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eeba2de15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2e3ee0e822b64ea4"/>
    <x:sheet xmlns:r="http://schemas.openxmlformats.org/officeDocument/2006/relationships" name="Controls" sheetId="2" r:id="Rae536e3ae97d4a02"/>
    <x:sheet xmlns:r="http://schemas.openxmlformats.org/officeDocument/2006/relationships" name="Architecture Gates" sheetId="3" r:id="R368055699e8e460f"/>
    <x:sheet xmlns:r="http://schemas.openxmlformats.org/officeDocument/2006/relationships" name="Service Contract" sheetId="4" r:id="R02540a25569a40c8"/>
    <x:sheet xmlns:r="http://schemas.openxmlformats.org/officeDocument/2006/relationships" name="Root Units" sheetId="5" r:id="Rfea20aa8fe7a4137"/>
    <x:sheet xmlns:r="http://schemas.openxmlformats.org/officeDocument/2006/relationships" name="Private Recovery" sheetId="6" r:id="Rd4919b1738fd4d9a"/>
    <x:sheet xmlns:r="http://schemas.openxmlformats.org/officeDocument/2006/relationships" name="Public Paths" sheetId="7" r:id="R05dae4b2b43c4e81"/>
    <x:sheet xmlns:r="http://schemas.openxmlformats.org/officeDocument/2006/relationships" name="Cell Capacity" sheetId="8" r:id="Ra891943aa026466e"/>
    <x:sheet xmlns:r="http://schemas.openxmlformats.org/officeDocument/2006/relationships" name="Bay Register" sheetId="9" r:id="Re0a2f40c53f940e7"/>
    <x:sheet xmlns:r="http://schemas.openxmlformats.org/officeDocument/2006/relationships" name="Workforce" sheetId="10" r:id="R21efdba36ed34b72"/>
    <x:sheet xmlns:r="http://schemas.openxmlformats.org/officeDocument/2006/relationships" name="Inventory" sheetId="11" r:id="R1167ccef16364ade"/>
    <x:sheet xmlns:r="http://schemas.openxmlformats.org/officeDocument/2006/relationships" name="Utility Islands" sheetId="12" r:id="R963f67ffa47c4193"/>
    <x:sheet xmlns:r="http://schemas.openxmlformats.org/officeDocument/2006/relationships" name="Cohort Envelope" sheetId="13" r:id="R5cc7d0451a544058"/>
    <x:sheet xmlns:r="http://schemas.openxmlformats.org/officeDocument/2006/relationships" name="Capital Plan" sheetId="14" r:id="R60010cf032cc4c12"/>
    <x:sheet xmlns:r="http://schemas.openxmlformats.org/officeDocument/2006/relationships" name="Wave Schedule" sheetId="15" r:id="R75cf105d2b174882"/>
    <x:sheet xmlns:r="http://schemas.openxmlformats.org/officeDocument/2006/relationships" name="Failure Law" sheetId="16" r:id="R59ce33fdf61a4514"/>
    <x:sheet xmlns:r="http://schemas.openxmlformats.org/officeDocument/2006/relationships" name="Innovation Program" sheetId="17" r:id="Rc0c2eb6470014289"/>
    <x:sheet xmlns:r="http://schemas.openxmlformats.org/officeDocument/2006/relationships" name="Audit" sheetId="18" r:id="R043b7dde319c454b"/>
    <x:sheet xmlns:r="http://schemas.openxmlformats.org/officeDocument/2006/relationships" name="Sources" sheetId="19" r:id="Reb489487089c458f"/>
    <x:sheet xmlns:r="http://schemas.openxmlformats.org/officeDocument/2006/relationships" name="Read Me" sheetId="20" r:id="R599c2e72797b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x"/>
    <x:numFmt numFmtId="202" formatCode="0"/>
    <x:numFmt numFmtId="203" formatCode="#,##0"/>
    <x:numFmt numFmtId="204" formatCode="0.0"/>
    <x:numFmt numFmtId="205" formatCode="#,##0.0"/>
    <x:numFmt numFmtId="206" formatCode="#,##0.00"/>
    <x:numFmt numFmtId="207" formatCode="0.00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0000F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200" fontId="5" fillId="3" borderId="3" xfId="0" applyNumberFormat="1" applyFont="1" applyFill="1" applyBorder="1" applyAlignment="1">
      <x:alignment vertical="center"/>
    </x:xf>
    <x:xf numFmtId="201" fontId="5" fillId="3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3" fontId="5" fillId="3" borderId="2" xfId="0" applyNumberFormat="1" applyFont="1" applyFill="1" applyBorder="1" applyAlignment="1">
      <x:alignment vertical="center"/>
    </x:xf>
    <x:xf numFmtId="204" fontId="5" fillId="3" borderId="2" xfId="0" applyNumberFormat="1" applyFont="1" applyFill="1" applyBorder="1" applyAlignment="1">
      <x:alignment vertical="center"/>
    </x:xf>
    <x:xf numFmtId="203" fontId="5" fillId="3" borderId="3" xfId="0" applyNumberFormat="1" applyFont="1" applyFill="1" applyBorder="1" applyAlignment="1">
      <x:alignment vertical="center"/>
    </x:xf>
    <x:xf numFmtId="204" fontId="5" fillId="3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207" fontId="5" fillId="0" borderId="2" xfId="0" applyNumberFormat="1" applyFont="1" applyFill="1" applyBorder="1" applyAlignment="1">
      <x:alignment vertical="center"/>
    </x:xf>
    <x:xf numFmtId="207" fontId="5" fillId="0" borderId="3" xfId="0" applyNumberFormat="1" applyFont="1" applyFill="1" applyBorder="1" applyAlignment="1">
      <x:alignment vertical="center"/>
    </x:xf>
    <x:xf numFmtId="207" fontId="5" fillId="3" borderId="2" xfId="0" applyNumberFormat="1" applyFont="1" applyFill="1" applyBorder="1" applyAlignment="1">
      <x:alignment vertical="center"/>
    </x:xf>
    <x:xf numFmtId="207" fontId="5" fillId="3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7" fontId="6" fillId="0" borderId="3" xfId="0" applyNumberFormat="1" applyFont="1" applyFill="1" applyBorder="1" applyAlignment="1">
      <x:alignment vertical="center"/>
    </x:xf>
    <x:xf numFmtId="204" fontId="6" fillId="0" borderId="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8F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407836d6341d5" /><Relationship Type="http://schemas.openxmlformats.org/officeDocument/2006/relationships/theme" Target="/xl/theme/theme1.xml" Id="R0485c2cc05034d9c" /><Relationship Type="http://schemas.microsoft.com/office/2022/11/relationships/FeaturePropertyBag" Target="/xl/featurePropertyBag/featurePropertyBag.xml" Id="R42e5043ebd0840f4" /><Relationship Type="http://schemas.openxmlformats.org/officeDocument/2006/relationships/sharedStrings" Target="/xl/sharedStrings.xml" Id="R46c030eebfdf4b76" /><Relationship Type="http://schemas.openxmlformats.org/officeDocument/2006/relationships/worksheet" Target="/xl/worksheets/sheet1.xml" Id="R2e3ee0e822b64ea4" /><Relationship Type="http://schemas.openxmlformats.org/officeDocument/2006/relationships/worksheet" Target="/xl/worksheets/sheet2.xml" Id="Rae536e3ae97d4a02" /><Relationship Type="http://schemas.openxmlformats.org/officeDocument/2006/relationships/worksheet" Target="/xl/worksheets/sheet3.xml" Id="R368055699e8e460f" /><Relationship Type="http://schemas.openxmlformats.org/officeDocument/2006/relationships/worksheet" Target="/xl/worksheets/sheet4.xml" Id="R02540a25569a40c8" /><Relationship Type="http://schemas.openxmlformats.org/officeDocument/2006/relationships/worksheet" Target="/xl/worksheets/sheet5.xml" Id="Rfea20aa8fe7a4137" /><Relationship Type="http://schemas.openxmlformats.org/officeDocument/2006/relationships/worksheet" Target="/xl/worksheets/sheet6.xml" Id="Rd4919b1738fd4d9a" /><Relationship Type="http://schemas.openxmlformats.org/officeDocument/2006/relationships/worksheet" Target="/xl/worksheets/sheet7.xml" Id="R05dae4b2b43c4e81" /><Relationship Type="http://schemas.openxmlformats.org/officeDocument/2006/relationships/worksheet" Target="/xl/worksheets/sheet8.xml" Id="Ra891943aa026466e" /><Relationship Type="http://schemas.openxmlformats.org/officeDocument/2006/relationships/worksheet" Target="/xl/worksheets/sheet9.xml" Id="Re0a2f40c53f940e7" /><Relationship Type="http://schemas.openxmlformats.org/officeDocument/2006/relationships/worksheet" Target="/xl/worksheets/sheet10.xml" Id="R21efdba36ed34b72" /><Relationship Type="http://schemas.openxmlformats.org/officeDocument/2006/relationships/worksheet" Target="/xl/worksheets/sheet11.xml" Id="R1167ccef16364ade" /><Relationship Type="http://schemas.openxmlformats.org/officeDocument/2006/relationships/worksheet" Target="/xl/worksheets/sheet12.xml" Id="R963f67ffa47c4193" /><Relationship Type="http://schemas.openxmlformats.org/officeDocument/2006/relationships/worksheet" Target="/xl/worksheets/sheet13.xml" Id="R5cc7d0451a544058" /><Relationship Type="http://schemas.openxmlformats.org/officeDocument/2006/relationships/worksheet" Target="/xl/worksheets/sheet14.xml" Id="R60010cf032cc4c12" /><Relationship Type="http://schemas.openxmlformats.org/officeDocument/2006/relationships/worksheet" Target="/xl/worksheets/sheet15.xml" Id="R75cf105d2b174882" /><Relationship Type="http://schemas.openxmlformats.org/officeDocument/2006/relationships/worksheet" Target="/xl/worksheets/sheet16.xml" Id="R59ce33fdf61a4514" /><Relationship Type="http://schemas.openxmlformats.org/officeDocument/2006/relationships/worksheet" Target="/xl/worksheets/sheet17.xml" Id="Rc0c2eb6470014289" /><Relationship Type="http://schemas.openxmlformats.org/officeDocument/2006/relationships/worksheet" Target="/xl/worksheets/sheet18.xml" Id="R043b7dde319c454b" /><Relationship Type="http://schemas.openxmlformats.org/officeDocument/2006/relationships/worksheet" Target="/xl/worksheets/sheet19.xml" Id="Reb489487089c458f" /><Relationship Type="http://schemas.openxmlformats.org/officeDocument/2006/relationships/worksheet" Target="/xl/worksheets/sheet20.xml" Id="R599c2e72797b40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709ecb907441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Maximum recovery-unit mass by system (kt)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Maximum unit mass (kt)</c:v>
          </c:tx>
          <c:cat>
            <c:strRef>
              <c:f>'Decision'!$A$24:$A$29</c:f>
              <c:strCache>
                <c:ptCount val="0"/>
              </c:strCache>
            </c:strRef>
          </c:cat>
          <c:val>
            <c:numRef>
              <c:f>'Decision'!$B$24:$B$29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709ecb9074415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ed4380e821484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8" hidden="0" customWidth="1"/>
    <x:col min="4" max="4" width="72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2">
      <x:c r="A2" s="59" t="str">
        <x:v>Dual-path production-recovery service constitution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3">
      <x:c r="A3" s="61" t="str">
        <x:v>Pass 187 | MPC-2 | CLOSE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</x:row>
    <x:row r="5" ht="30" customHeight="1">
      <x:c r="A5" s="9" t="str">
        <x:v>Decision measure</x:v>
      </x:c>
      <x:c r="B5" s="9" t="str">
        <x:v>Result</x:v>
      </x:c>
      <x:c r="C5" s="9" t="str">
        <x:v>Unit</x:v>
      </x:c>
      <x:c r="D5" s="9" t="str">
        <x:v>Decision meaning</x:v>
      </x:c>
      <x:c r="E5" s="62"/>
      <x:c r="F5" s="62"/>
      <x:c r="G5" s="62"/>
      <x:c r="H5" s="62"/>
      <x:c r="I5" s="62"/>
      <x:c r="J5" s="62"/>
    </x:row>
    <x:row r="6">
      <x:c r="A6" s="12" t="str">
        <x:v>Selected architecture</x:v>
      </x:c>
      <x:c r="B6" s="12" t="str">
        <x:f>'Architecture Gates'!A10</x:f>
        <x:v>Dual-path root recovery service</x:v>
      </x:c>
      <x:c r="C6" s="12"/>
      <x:c r="D6" s="12" t="str">
        <x:v>One private survivor network plus two public cold-production paths per root</x:v>
      </x:c>
      <x:c r="E6" s="62"/>
      <x:c r="F6" s="62"/>
      <x:c r="G6" s="62"/>
      <x:c r="H6" s="62"/>
      <x:c r="I6" s="62"/>
      <x:c r="J6" s="62"/>
    </x:row>
    <x:row r="7">
      <x:c r="A7" s="13" t="str">
        <x:v>Architecture gates passed</x:v>
      </x:c>
      <x:c r="B7" s="13" t="n">
        <x:f>'Architecture Gates'!N10</x:f>
        <x:v>12</x:v>
      </x:c>
      <x:c r="C7" s="13" t="str">
        <x:v>of 12</x:v>
      </x:c>
      <x:c r="D7" s="13" t="str">
        <x:v>Every gate is noncompensatory</x:v>
      </x:c>
      <x:c r="E7" s="62"/>
      <x:c r="F7" s="62"/>
      <x:c r="G7" s="62"/>
      <x:c r="H7" s="62"/>
      <x:c r="I7" s="62"/>
      <x:c r="J7" s="62"/>
    </x:row>
    <x:row r="8">
      <x:c r="A8" s="13" t="str">
        <x:v>Recovery service units</x:v>
      </x:c>
      <x:c r="B8" s="13" t="n">
        <x:f>COUNTA('Root Units'!A6:A29)</x:f>
        <x:v>24</x:v>
      </x:c>
      <x:c r="C8" s="13" t="str">
        <x:v>roots</x:v>
      </x:c>
      <x:c r="D8" s="13" t="str">
        <x:v>Complete system-native quarter-service units</x:v>
      </x:c>
      <x:c r="E8" s="62"/>
      <x:c r="F8" s="62"/>
      <x:c r="G8" s="62"/>
      <x:c r="H8" s="62"/>
      <x:c r="I8" s="62"/>
      <x:c r="J8" s="62"/>
    </x:row>
    <x:row r="9">
      <x:c r="A9" s="13" t="str">
        <x:v>Recovery-unit mass range</x:v>
      </x:c>
      <x:c r="B9" s="30" t="n">
        <x:f>MIN('Root Units'!E6:E29)/1000</x:f>
        <x:v>16</x:v>
      </x:c>
      <x:c r="C9" s="13" t="str">
        <x:v>kt minimum</x:v>
      </x:c>
      <x:c r="D9" s="13" t="str">
        <x:v>Lower end of the physical recovery denominator</x:v>
      </x:c>
      <x:c r="E9" s="62"/>
      <x:c r="F9" s="62"/>
      <x:c r="G9" s="62"/>
      <x:c r="H9" s="62"/>
      <x:c r="I9" s="62"/>
      <x:c r="J9" s="62"/>
    </x:row>
    <x:row r="10">
      <x:c r="A10" s="13" t="str">
        <x:v>Maximum recovery-unit mass</x:v>
      </x:c>
      <x:c r="B10" s="30" t="n">
        <x:f>MAX('Root Units'!E6:E29)/1000</x:f>
        <x:v>96</x:v>
      </x:c>
      <x:c r="C10" s="13" t="str">
        <x:v>kt</x:v>
      </x:c>
      <x:c r="D10" s="13" t="str">
        <x:v>Governing single-root mass</x:v>
      </x:c>
      <x:c r="E10" s="62"/>
      <x:c r="F10" s="62"/>
      <x:c r="G10" s="62"/>
      <x:c r="H10" s="62"/>
      <x:c r="I10" s="62"/>
      <x:c r="J10" s="62"/>
    </x:row>
    <x:row r="11">
      <x:c r="A11" s="13" t="str">
        <x:v>Public production cells</x:v>
      </x:c>
      <x:c r="B11" s="30" t="n">
        <x:f>COUNTA('Cell Capacity'!A6:A29)</x:f>
        <x:v>24</x:v>
      </x:c>
      <x:c r="C11" s="13" t="str">
        <x:v>cells</x:v>
      </x:c>
      <x:c r="D11" s="13" t="str">
        <x:v>Four per mission system</x:v>
      </x:c>
      <x:c r="E11" s="62"/>
      <x:c r="F11" s="62"/>
      <x:c r="G11" s="62"/>
      <x:c r="H11" s="62"/>
      <x:c r="I11" s="62"/>
      <x:c r="J11" s="62"/>
    </x:row>
    <x:row r="12">
      <x:c r="A12" s="13" t="str">
        <x:v>Independent public paths</x:v>
      </x:c>
      <x:c r="B12" s="30" t="n">
        <x:f>COUNTA('Public Paths'!A6:A53)</x:f>
        <x:v>48</x:v>
      </x:c>
      <x:c r="C12" s="13" t="str">
        <x:v>qualifications</x:v>
      </x:c>
      <x:c r="D12" s="13" t="str">
        <x:v>Two paths per root</x:v>
      </x:c>
      <x:c r="E12" s="62"/>
      <x:c r="F12" s="62"/>
      <x:c r="G12" s="62"/>
      <x:c r="H12" s="62"/>
      <x:c r="I12" s="62"/>
      <x:c r="J12" s="62"/>
    </x:row>
    <x:row r="13">
      <x:c r="A13" s="13" t="str">
        <x:v>Adaptive production bays</x:v>
      </x:c>
      <x:c r="B13" s="30" t="n">
        <x:f>COUNTA('Bay Register'!A6:A149)</x:f>
        <x:v>144</x:v>
      </x:c>
      <x:c r="C13" s="13" t="str">
        <x:v>bays</x:v>
      </x:c>
      <x:c r="D13" s="13" t="str">
        <x:v>Six per public cell</x:v>
      </x:c>
      <x:c r="E13" s="62"/>
      <x:c r="F13" s="62"/>
      <x:c r="G13" s="62"/>
      <x:c r="H13" s="62"/>
      <x:c r="I13" s="62"/>
      <x:c r="J13" s="62"/>
    </x:row>
    <x:row r="14">
      <x:c r="A14" s="13" t="str">
        <x:v>Maximum six-root cohort mass</x:v>
      </x:c>
      <x:c r="B14" s="30" t="n">
        <x:f>'Cohort Envelope'!B18/1000</x:f>
        <x:v>357.825</x:v>
      </x:c>
      <x:c r="C14" s="13" t="str">
        <x:v>kt</x:v>
      </x:c>
      <x:c r="D14" s="13" t="str">
        <x:v>One heaviest root per system</x:v>
      </x:c>
      <x:c r="E14" s="62"/>
      <x:c r="F14" s="62"/>
      <x:c r="G14" s="62"/>
      <x:c r="H14" s="62"/>
      <x:c r="I14" s="62"/>
      <x:c r="J14" s="62"/>
    </x:row>
    <x:row r="15">
      <x:c r="A15" s="13" t="str">
        <x:v>Maximum cohort year-one output</x:v>
      </x:c>
      <x:c r="B15" s="30" t="n">
        <x:f>'Cohort Envelope'!B20</x:f>
        <x:v>1960.6849315068494</x:v>
      </x:c>
      <x:c r="C15" s="13" t="str">
        <x:v>t/day</x:v>
      </x:c>
      <x:c r="D15" s="13" t="str">
        <x:v>Two complete units per failed root by day 365</x:v>
      </x:c>
      <x:c r="E15" s="62"/>
      <x:c r="F15" s="62"/>
      <x:c r="G15" s="62"/>
      <x:c r="H15" s="62"/>
      <x:c r="I15" s="62"/>
      <x:c r="J15" s="62"/>
    </x:row>
    <x:row r="16">
      <x:c r="A16" s="13" t="str">
        <x:v>Public-cell workforce establishment</x:v>
      </x:c>
      <x:c r="B16" s="30" t="n">
        <x:f>SUM(Workforce!G6:G29)</x:f>
        <x:v>87721.9178082192</x:v>
      </x:c>
      <x:c r="C16" s="13" t="str">
        <x:v>people</x:v>
      </x:c>
      <x:c r="D16" s="13" t="str">
        <x:v>Gross qualified establishment across all cells</x:v>
      </x:c>
      <x:c r="E16" s="62"/>
      <x:c r="F16" s="62"/>
      <x:c r="G16" s="62"/>
      <x:c r="H16" s="62"/>
      <x:c r="I16" s="62"/>
      <x:c r="J16" s="62"/>
    </x:row>
    <x:row r="17">
      <x:c r="A17" s="13" t="str">
        <x:v>Controlled public inventory</x:v>
      </x:c>
      <x:c r="B17" s="30" t="n">
        <x:f>SUM(Inventory!G6:G29)/1000</x:f>
        <x:v>465.0075</x:v>
      </x:c>
      <x:c r="C17" s="13" t="str">
        <x:v>kt</x:v>
      </x:c>
      <x:c r="D17" s="13" t="str">
        <x:v>Keystone and common feedstock stocks</x:v>
      </x:c>
      <x:c r="E17" s="62"/>
      <x:c r="F17" s="62"/>
      <x:c r="G17" s="62"/>
      <x:c r="H17" s="62"/>
      <x:c r="I17" s="62"/>
      <x:c r="J17" s="62"/>
    </x:row>
    <x:row r="18">
      <x:c r="A18" s="13" t="str">
        <x:v>Public productive estate</x:v>
      </x:c>
      <x:c r="B18" s="30" t="n">
        <x:f>'Capital Plan'!F15</x:f>
        <x:v>250</x:v>
      </x:c>
      <x:c r="C18" s="13" t="str">
        <x:v>USD B</x:v>
      </x:c>
      <x:c r="D18" s="13" t="str">
        <x:v>Existing authority cross-classified</x:v>
      </x:c>
      <x:c r="E18" s="62"/>
      <x:c r="F18" s="62"/>
      <x:c r="G18" s="62"/>
      <x:c r="H18" s="62"/>
      <x:c r="I18" s="62"/>
      <x:c r="J18" s="62"/>
    </x:row>
    <x:row r="19">
      <x:c r="A19" s="13" t="str">
        <x:v>Released production authority</x:v>
      </x:c>
      <x:c r="B19" s="28" t="n">
        <x:v>0</x:v>
      </x:c>
      <x:c r="C19" s="13" t="str">
        <x:v>USD B</x:v>
      </x:c>
      <x:c r="D19" s="13" t="str">
        <x:v>Identities and evidence remain empty</x:v>
      </x:c>
      <x:c r="E19" s="62"/>
      <x:c r="F19" s="62"/>
      <x:c r="G19" s="62"/>
      <x:c r="H19" s="62"/>
      <x:c r="I19" s="62"/>
      <x:c r="J19" s="62"/>
    </x:row>
    <x:row r="20">
      <x:c r="A20" s="13"/>
      <x:c r="B20" s="28"/>
      <x:c r="C20" s="13"/>
      <x:c r="D20" s="13"/>
      <x:c r="E20" s="62"/>
      <x:c r="F20" s="62"/>
      <x:c r="G20" s="62"/>
      <x:c r="H20" s="62"/>
      <x:c r="I20" s="62"/>
      <x:c r="J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</x:row>
    <x:row r="23" ht="30" customHeight="1">
      <x:c r="A23" s="9" t="str">
        <x:v>System</x:v>
      </x:c>
      <x:c r="B23" s="9" t="str">
        <x:v>Maximum unit mass (kt)</x:v>
      </x:c>
      <x:c r="C23" s="62"/>
      <x:c r="D23" s="62"/>
      <x:c r="E23" s="62"/>
      <x:c r="F23" s="62"/>
      <x:c r="G23" s="62"/>
      <x:c r="H23" s="62"/>
      <x:c r="I23" s="62"/>
      <x:c r="J23" s="62"/>
    </x:row>
    <x:row r="24">
      <x:c r="A24" s="12" t="str">
        <x:v>MS-ET</x:v>
      </x:c>
      <x:c r="B24" s="27" t="n">
        <x:f>'Cohort Envelope'!D6/1000</x:f>
        <x:v>89</x:v>
      </x:c>
      <x:c r="C24" s="62"/>
      <x:c r="D24" s="62"/>
      <x:c r="E24" s="62"/>
      <x:c r="F24" s="62"/>
      <x:c r="G24" s="62"/>
      <x:c r="H24" s="62"/>
      <x:c r="I24" s="62"/>
      <x:c r="J24" s="62"/>
    </x:row>
    <x:row r="25">
      <x:c r="A25" s="13" t="str">
        <x:v>MS-CT</x:v>
      </x:c>
      <x:c r="B25" s="28" t="n">
        <x:f>'Cohort Envelope'!D7/1000</x:f>
        <x:v>27</x:v>
      </x:c>
      <x:c r="C25" s="62"/>
      <x:c r="D25" s="62"/>
      <x:c r="E25" s="62"/>
      <x:c r="F25" s="62"/>
      <x:c r="G25" s="62"/>
      <x:c r="H25" s="62"/>
      <x:c r="I25" s="62"/>
      <x:c r="J25" s="62"/>
    </x:row>
    <x:row r="26">
      <x:c r="A26" s="13" t="str">
        <x:v>MS-HC</x:v>
      </x:c>
      <x:c r="B26" s="28" t="n">
        <x:f>'Cohort Envelope'!D8/1000</x:f>
        <x:v>61</x:v>
      </x:c>
      <x:c r="C26" s="62"/>
      <x:c r="D26" s="62"/>
      <x:c r="E26" s="62"/>
      <x:c r="F26" s="62"/>
      <x:c r="G26" s="62"/>
      <x:c r="H26" s="62"/>
      <x:c r="I26" s="62"/>
      <x:c r="J26" s="62"/>
    </x:row>
    <x:row r="27">
      <x:c r="A27" s="13" t="str">
        <x:v>MS-LF</x:v>
      </x:c>
      <x:c r="B27" s="28" t="n">
        <x:f>'Cohort Envelope'!D9/1000</x:f>
        <x:v>42.825</x:v>
      </x:c>
      <x:c r="C27" s="62"/>
      <x:c r="D27" s="62"/>
      <x:c r="E27" s="62"/>
      <x:c r="F27" s="62"/>
      <x:c r="G27" s="62"/>
      <x:c r="H27" s="62"/>
      <x:c r="I27" s="62"/>
      <x:c r="J27" s="62"/>
    </x:row>
    <x:row r="28">
      <x:c r="A28" s="13" t="str">
        <x:v>MS-HU</x:v>
      </x:c>
      <x:c r="B28" s="28" t="n">
        <x:f>'Cohort Envelope'!D10/1000</x:f>
        <x:v>42</x:v>
      </x:c>
      <x:c r="C28" s="62"/>
      <x:c r="D28" s="62"/>
      <x:c r="E28" s="62"/>
      <x:c r="F28" s="62"/>
      <x:c r="G28" s="62"/>
      <x:c r="H28" s="62"/>
      <x:c r="I28" s="62"/>
      <x:c r="J28" s="62"/>
    </x:row>
    <x:row r="29">
      <x:c r="A29" s="13" t="str">
        <x:v>MS-RT</x:v>
      </x:c>
      <x:c r="B29" s="28" t="n">
        <x:f>'Cohort Envelope'!D11/1000</x:f>
        <x:v>96</x:v>
      </x:c>
      <x:c r="C29" s="62"/>
      <x:c r="D29" s="62"/>
      <x:c r="E29" s="62"/>
      <x:c r="F29" s="62"/>
      <x:c r="G29" s="62"/>
      <x:c r="H29" s="62"/>
      <x:c r="I29" s="62"/>
      <x:c r="J29" s="62"/>
    </x:row>
  </x:sheetData>
  <x:pageMargins left="0.7" right="0.7" top="0.75" bottom="0.75" header="0.3" footer="0.3"/>
  <x:drawing xmlns:r="http://schemas.openxmlformats.org/officeDocument/2006/relationships" r:id="R63ed4380e821484a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68" hidden="0" customWidth="1"/>
  </x:cols>
  <x:sheetData>
    <x:row r="2">
      <x:c r="A2" s="59" t="str">
        <x:v>Production-recovery controls</x:v>
      </x:c>
      <x:c r="B2" s="60"/>
      <x:c r="C2" s="60"/>
      <x:c r="D2" s="60"/>
    </x:row>
    <x:row r="3">
      <x:c r="A3" s="61" t="str">
        <x:v>Blue cells are controlled planning hypotheses. They create no production or readiness credit.</x:v>
      </x:c>
      <x:c r="B3" s="61"/>
      <x:c r="C3" s="61"/>
      <x:c r="D3" s="61"/>
    </x:row>
    <x:row r="4">
      <x:c r="A4" s="62"/>
      <x:c r="B4" s="62"/>
      <x:c r="C4" s="62"/>
      <x:c r="D4" s="62"/>
    </x:row>
    <x:row r="5" ht="30" customHeight="1">
      <x:c r="A5" s="9" t="str">
        <x:v>Control</x:v>
      </x:c>
      <x:c r="B5" s="9" t="str">
        <x:v>Value</x:v>
      </x:c>
      <x:c r="C5" s="9" t="str">
        <x:v>Unit</x:v>
      </x:c>
      <x:c r="D5" s="9" t="str">
        <x:v>Meaning</x:v>
      </x:c>
    </x:row>
    <x:row r="6">
      <x:c r="A6" s="12" t="str">
        <x:v>Program authority</x:v>
      </x:c>
      <x:c r="B6" s="16" t="n">
        <x:v>1000</x:v>
      </x:c>
      <x:c r="C6" s="12" t="str">
        <x:v>USD B</x:v>
      </x:c>
      <x:c r="D6" s="12" t="str">
        <x:v>Conserved twenty-five-year program</x:v>
      </x:c>
    </x:row>
    <x:row r="7">
      <x:c r="A7" s="13" t="str">
        <x:v>Public productive estate</x:v>
      </x:c>
      <x:c r="B7" s="17" t="n">
        <x:v>250</x:v>
      </x:c>
      <x:c r="C7" s="13" t="str">
        <x:v>USD B</x:v>
      </x:c>
      <x:c r="D7" s="13" t="str">
        <x:v>Cross-classification of existing authority</x:v>
      </x:c>
    </x:row>
    <x:row r="8">
      <x:c r="A8" s="13" t="str">
        <x:v>Mission systems</x:v>
      </x:c>
      <x:c r="B8" s="17" t="n">
        <x:v>6</x:v>
      </x:c>
      <x:c r="C8" s="13" t="str">
        <x:v>systems</x:v>
      </x:c>
      <x:c r="D8" s="13" t="str">
        <x:v>Independent complete service chains</x:v>
      </x:c>
    </x:row>
    <x:row r="9">
      <x:c r="A9" s="13" t="str">
        <x:v>Roots per system</x:v>
      </x:c>
      <x:c r="B9" s="17" t="n">
        <x:v>4</x:v>
      </x:c>
      <x:c r="C9" s="13" t="str">
        <x:v>roots</x:v>
      </x:c>
      <x:c r="D9" s="13" t="str">
        <x:v>Unlike complete configurations</x:v>
      </x:c>
    </x:row>
    <x:row r="10">
      <x:c r="A10" s="13" t="str">
        <x:v>Independent roots</x:v>
      </x:c>
      <x:c r="B10" s="17" t="n">
        <x:v>24</x:v>
      </x:c>
      <x:c r="C10" s="13" t="str">
        <x:v>roots</x:v>
      </x:c>
      <x:c r="D10" s="13" t="str">
        <x:v>One chartered control group per root</x:v>
      </x:c>
    </x:row>
    <x:row r="11">
      <x:c r="A11" s="13" t="str">
        <x:v>Public cells</x:v>
      </x:c>
      <x:c r="B11" s="17" t="n">
        <x:v>24</x:v>
      </x:c>
      <x:c r="C11" s="13" t="str">
        <x:v>cells</x:v>
      </x:c>
      <x:c r="D11" s="13" t="str">
        <x:v>Four functional cells per system</x:v>
      </x:c>
    </x:row>
    <x:row r="12">
      <x:c r="A12" s="13" t="str">
        <x:v>Public paths per root</x:v>
      </x:c>
      <x:c r="B12" s="17" t="n">
        <x:v>2</x:v>
      </x:c>
      <x:c r="C12" s="13" t="str">
        <x:v>qualifications</x:v>
      </x:c>
      <x:c r="D12" s="13" t="str">
        <x:v>Two independent fallback routes per</x:v>
      </x:c>
    </x:row>
    <x:row r="13">
      <x:c r="A13" s="13" t="str">
        <x:v>Maximum roots per cell</x:v>
      </x:c>
      <x:c r="B13" s="17" t="n">
        <x:v>2</x:v>
      </x:c>
      <x:c r="C13" s="13" t="str">
        <x:v>roots</x:v>
      </x:c>
      <x:c r="D13" s="13" t="str">
        <x:v>Inherited shared-dependency cap</x:v>
      </x:c>
    </x:row>
    <x:row r="14">
      <x:c r="A14" s="13" t="str">
        <x:v>Minimum private production sites</x:v>
      </x:c>
      <x:c r="B14" s="17" t="n">
        <x:v>3</x:v>
      </x:c>
      <x:c r="C14" s="13" t="str">
        <x:v>sites</x:v>
      </x:c>
      <x:c r="D14" s="13" t="str">
        <x:v>Largest-site-loss survival</x:v>
      </x:c>
    </x:row>
    <x:row r="15">
      <x:c r="A15" s="13" t="str">
        <x:v>Maximum private site share</x:v>
      </x:c>
      <x:c r="B15" s="18" t="n">
        <x:v>0.4</x:v>
      </x:c>
      <x:c r="C15" s="13" t="str">
        <x:v>fraction</x:v>
      </x:c>
      <x:c r="D15" s="13" t="str">
        <x:v>No private site may own a majority</x:v>
      </x:c>
    </x:row>
    <x:row r="16">
      <x:c r="A16" s="13" t="str">
        <x:v>Workforce denial</x:v>
      </x:c>
      <x:c r="B16" s="18" t="n">
        <x:v>0.25</x:v>
      </x:c>
      <x:c r="C16" s="13" t="str">
        <x:v>fraction</x:v>
      </x:c>
      <x:c r="D16" s="13" t="str">
        <x:v>Denied qualified establishment</x:v>
      </x:c>
    </x:row>
    <x:row r="17">
      <x:c r="A17" s="13" t="str">
        <x:v>Private black-start</x:v>
      </x:c>
      <x:c r="B17" s="17" t="n">
        <x:v>72</x:v>
      </x:c>
      <x:c r="C17" s="13" t="str">
        <x:v>hours</x:v>
      </x:c>
      <x:c r="D17" s="13" t="str">
        <x:v>After largest private site loss</x:v>
      </x:c>
    </x:row>
    <x:row r="18">
      <x:c r="A18" s="13" t="str">
        <x:v>Private first critical lot</x:v>
      </x:c>
      <x:c r="B18" s="17" t="n">
        <x:v>30</x:v>
      </x:c>
      <x:c r="C18" s="13" t="str">
        <x:v>days</x:v>
      </x:c>
      <x:c r="D18" s="13" t="str">
        <x:v>Conforming keystone lot</x:v>
      </x:c>
    </x:row>
    <x:row r="19">
      <x:c r="A19" s="13" t="str">
        <x:v>Private first recovery unit</x:v>
      </x:c>
      <x:c r="B19" s="17" t="n">
        <x:v>120</x:v>
      </x:c>
      <x:c r="C19" s="13" t="str">
        <x:v>days</x:v>
      </x:c>
      <x:c r="D19" s="13" t="str">
        <x:v>One complete recovery service unit</x:v>
      </x:c>
    </x:row>
    <x:row r="20">
      <x:c r="A20" s="13" t="str">
        <x:v>Private units by day 365</x:v>
      </x:c>
      <x:c r="B20" s="17" t="n">
        <x:v>3</x:v>
      </x:c>
      <x:c r="C20" s="13" t="str">
        <x:v>units</x:v>
      </x:c>
      <x:c r="D20" s="13" t="str">
        <x:v>Cumulative conforming output</x:v>
      </x:c>
    </x:row>
    <x:row r="21">
      <x:c r="A21" s="13" t="str">
        <x:v>Public black-start</x:v>
      </x:c>
      <x:c r="B21" s="17" t="n">
        <x:v>168</x:v>
      </x:c>
      <x:c r="C21" s="13" t="str">
        <x:v>hours</x:v>
      </x:c>
      <x:c r="D21" s="13" t="str">
        <x:v>Surviving public cell after firm and cell loss</x:v>
      </x:c>
    </x:row>
    <x:row r="22">
      <x:c r="A22" s="13" t="str">
        <x:v>Public first critical lot</x:v>
      </x:c>
      <x:c r="B22" s="17" t="n">
        <x:v>60</x:v>
      </x:c>
      <x:c r="C22" s="13" t="str">
        <x:v>days</x:v>
      </x:c>
      <x:c r="D22" s="13" t="str">
        <x:v>Conforming keystone lot</x:v>
      </x:c>
    </x:row>
    <x:row r="23">
      <x:c r="A23" s="13" t="str">
        <x:v>Public first recovery unit</x:v>
      </x:c>
      <x:c r="B23" s="17" t="n">
        <x:v>240</x:v>
      </x:c>
      <x:c r="C23" s="13" t="str">
        <x:v>days</x:v>
      </x:c>
      <x:c r="D23" s="13" t="str">
        <x:v>One complete recovery service unit</x:v>
      </x:c>
    </x:row>
    <x:row r="24">
      <x:c r="A24" s="13" t="str">
        <x:v>Public units by day 365</x:v>
      </x:c>
      <x:c r="B24" s="17" t="n">
        <x:v>2</x:v>
      </x:c>
      <x:c r="C24" s="13" t="str">
        <x:v>units</x:v>
      </x:c>
      <x:c r="D24" s="13" t="str">
        <x:v>Cumulative conforming output</x:v>
      </x:c>
    </x:row>
    <x:row r="25">
      <x:c r="A25" s="13" t="str">
        <x:v>Production bays per public cell</x:v>
      </x:c>
      <x:c r="B25" s="17" t="n">
        <x:v>6</x:v>
      </x:c>
      <x:c r="C25" s="13" t="str">
        <x:v>bays</x:v>
      </x:c>
      <x:c r="D25" s="13" t="str">
        <x:v>Internally loss-tolerant process lanes</x:v>
      </x:c>
    </x:row>
    <x:row r="26">
      <x:c r="A26" s="13" t="str">
        <x:v>Capacity share per bay</x:v>
      </x:c>
      <x:c r="B26" s="18" t="n">
        <x:v>0.25</x:v>
      </x:c>
      <x:c r="C26" s="13" t="str">
        <x:v>fraction</x:v>
      </x:c>
      <x:c r="D26" s="13" t="str">
        <x:v>Five surviving bays retain full rate</x:v>
      </x:c>
    </x:row>
    <x:row r="27">
      <x:c r="A27" s="13" t="str">
        <x:v>Utility reserve factor</x:v>
      </x:c>
      <x:c r="B27" s="19" t="n">
        <x:v>1.25</x:v>
      </x:c>
      <x:c r="C27" s="13" t="str">
        <x:v>multiple</x:v>
      </x:c>
      <x:c r="D27" s="13" t="str">
        <x:v>Required process power after module loss</x:v>
      </x:c>
    </x:row>
    <x:row r="28">
      <x:c r="A28" s="13" t="str">
        <x:v>Keystone inventory per root path</x:v>
      </x:c>
      <x:c r="B28" s="18" t="n">
        <x:v>0.15</x:v>
      </x:c>
      <x:c r="C28" s="13" t="str">
        <x:v>fraction of unit mass</x:v>
      </x:c>
      <x:c r="D28" s="13" t="str">
        <x:v>Root-specific long-cycle set</x:v>
      </x:c>
    </x:row>
    <x:row r="29">
      <x:c r="A29" s="13" t="str">
        <x:v>Common feedstock per cell</x:v>
      </x:c>
      <x:c r="B29" s="18" t="n">
        <x:v>0.1</x:v>
      </x:c>
      <x:c r="C29" s="13" t="str">
        <x:v>fraction of governing unit mass</x:v>
      </x:c>
      <x:c r="D29" s="13" t="str">
        <x:v>Rotating convertible stock</x:v>
      </x:c>
    </x:row>
    <x:row r="30">
      <x:c r="A30" s="13" t="str">
        <x:v>Productive hours per worker-day</x:v>
      </x:c>
      <x:c r="B30" s="17" t="n">
        <x:v>6</x:v>
      </x:c>
      <x:c r="C30" s="13" t="str">
        <x:v>hours</x:v>
      </x:c>
      <x:c r="D30" s="13" t="str">
        <x:v>Net qualified production time</x:v>
      </x:c>
    </x:row>
    <x:row r="31">
      <x:c r="A31" s="13" t="str">
        <x:v>Simultaneous recovery cohort</x:v>
      </x:c>
      <x:c r="B31" s="17" t="n">
        <x:v>6</x:v>
      </x:c>
      <x:c r="C31" s="13" t="str">
        <x:v>roots</x:v>
      </x:c>
      <x:c r="D31" s="13" t="str">
        <x:v>One failed root per system</x:v>
      </x:c>
    </x:row>
    <x:row r="32">
      <x:c r="A32" s="13" t="str">
        <x:v>Public cell losses per failed root</x:v>
      </x:c>
      <x:c r="B32" s="17" t="n">
        <x:v>1</x:v>
      </x:c>
      <x:c r="C32" s="13" t="str">
        <x:v>cell</x:v>
      </x:c>
      <x:c r="D32" s="13" t="str">
        <x:v>One of two paths unavailable</x:v>
      </x:c>
    </x:row>
    <x:row r="33">
      <x:c r="A33" s="13" t="str">
        <x:v>Decisive supplier losses per failed root</x:v>
      </x:c>
      <x:c r="B33" s="17" t="n">
        <x:v>1</x:v>
      </x:c>
      <x:c r="C33" s="13" t="str">
        <x:v>supplier</x:v>
      </x:c>
      <x:c r="D33" s="13" t="str">
        <x:v>Long-cycle supplier denied</x:v>
      </x:c>
    </x:row>
    <x:row r="34">
      <x:c r="A34" s="13" t="str">
        <x:v>Bay losses per active cell</x:v>
      </x:c>
      <x:c r="B34" s="17" t="n">
        <x:v>1</x:v>
      </x:c>
      <x:c r="C34" s="13" t="str">
        <x:v>bay</x:v>
      </x:c>
      <x:c r="D34" s="13" t="str">
        <x:v>Largest internal process bay unavailable</x:v>
      </x:c>
    </x:row>
    <x:row r="35">
      <x:c r="A35" s="13" t="str">
        <x:v>Program horizon</x:v>
      </x:c>
      <x:c r="B35" s="17" t="n">
        <x:v>25</x:v>
      </x:c>
      <x:c r="C35" s="13" t="str">
        <x:v>years</x:v>
      </x:c>
      <x:c r="D35" s="13" t="str">
        <x:v>Fiscal boundary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2" hidden="0" customWidth="1"/>
  </x:cols>
  <x:sheetData>
    <x:row r="2">
      <x:c r="A2" s="59" t="str">
        <x:v>Production-recovery architecture test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</x:row>
    <x:row r="3">
      <x:c r="A3" s="61" t="str">
        <x:v>Every gate is noncompensatory. One failed gate rejects the architecture.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</x:row>
    <x:row r="5" ht="30" customHeight="1">
      <x:c r="A5" s="9" t="str">
        <x:v>Architecture</x:v>
      </x:c>
      <x:c r="B5" s="9" t="str">
        <x:v>Complete recovery-unit denominator</x:v>
      </x:c>
      <x:c r="C5" s="9" t="str">
        <x:v>Private largest-site loss</x:v>
      </x:c>
      <x:c r="D5" s="9" t="str">
        <x:v>Total firm loss</x:v>
      </x:c>
      <x:c r="E5" s="9" t="str">
        <x:v>One public fallback-site loss</x:v>
      </x:c>
      <x:c r="F5" s="9" t="str">
        <x:v>One decisive supplier loss</x:v>
      </x:c>
      <x:c r="G5" s="9" t="str">
        <x:v>Twenty-five-percent workforce denial</x:v>
      </x:c>
      <x:c r="H5" s="9" t="str">
        <x:v>First conforming lot clock</x:v>
      </x:c>
      <x:c r="I5" s="9" t="str">
        <x:v>Complete-unit clock</x:v>
      </x:c>
      <x:c r="J5" s="9" t="str">
        <x:v>Year-one cumulative output</x:v>
      </x:c>
      <x:c r="K5" s="9" t="str">
        <x:v>Cold configuration conformity</x:v>
      </x:c>
      <x:c r="L5" s="9" t="str">
        <x:v>Root and control separation</x:v>
      </x:c>
      <x:c r="M5" s="9" t="str">
        <x:v>USD 250B estate conservation</x:v>
      </x:c>
      <x:c r="N5" s="9" t="str">
        <x:v>Gates passed</x:v>
      </x:c>
      <x:c r="O5" s="9" t="str">
        <x:v>Decision</x:v>
      </x:c>
    </x:row>
    <x:row r="6">
      <x:c r="A6" s="12" t="str">
        <x:v>Escrow and contractor call-up</x:v>
      </x:c>
      <x:c r="B6" s="20" t="n">
        <x:v>1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0" t="n">
        <x:v>0</x:v>
      </x:c>
      <x:c r="J6" s="20" t="n">
        <x:v>0</x:v>
      </x:c>
      <x:c r="K6" s="20" t="n">
        <x:v>0</x:v>
      </x:c>
      <x:c r="L6" s="20" t="n">
        <x:v>1</x:v>
      </x:c>
      <x:c r="M6" s="20" t="n">
        <x:v>1</x:v>
      </x:c>
      <x:c r="N6" s="22" t="n">
        <x:f>SUM(B6:M6)</x:f>
        <x:v>3</x:v>
      </x:c>
      <x:c r="O6" s="12" t="str">
        <x:v>REJECT</x:v>
      </x:c>
    </x:row>
    <x:row r="7">
      <x:c r="A7" s="13" t="str">
        <x:v>Inventory-only strategic reserve</x:v>
      </x:c>
      <x:c r="B7" s="21" t="n">
        <x:v>1</x:v>
      </x:c>
      <x:c r="C7" s="21" t="n">
        <x:v>1</x:v>
      </x:c>
      <x:c r="D7" s="21" t="n">
        <x:v>0</x:v>
      </x:c>
      <x:c r="E7" s="21" t="n">
        <x:v>1</x:v>
      </x:c>
      <x:c r="F7" s="21" t="n">
        <x:v>1</x:v>
      </x:c>
      <x:c r="G7" s="21" t="n">
        <x:v>0</x:v>
      </x:c>
      <x:c r="H7" s="21" t="n">
        <x:v>1</x:v>
      </x:c>
      <x:c r="I7" s="21" t="n">
        <x:v>0</x:v>
      </x:c>
      <x:c r="J7" s="21" t="n">
        <x:v>0</x:v>
      </x:c>
      <x:c r="K7" s="21" t="n">
        <x:v>0</x:v>
      </x:c>
      <x:c r="L7" s="21" t="n">
        <x:v>1</x:v>
      </x:c>
      <x:c r="M7" s="21" t="n">
        <x:v>1</x:v>
      </x:c>
      <x:c r="N7" s="23" t="n">
        <x:f>SUM(B7:M7)</x:f>
        <x:v>7</x:v>
      </x:c>
      <x:c r="O7" s="13" t="str">
        <x:v>REJECT</x:v>
      </x:c>
    </x:row>
    <x:row r="8">
      <x:c r="A8" s="13" t="str">
        <x:v>Universal public mega-arsenal</x:v>
      </x:c>
      <x:c r="B8" s="21" t="n">
        <x:v>1</x:v>
      </x:c>
      <x:c r="C8" s="21" t="n">
        <x:v>1</x:v>
      </x:c>
      <x:c r="D8" s="21" t="n">
        <x:v>1</x:v>
      </x:c>
      <x:c r="E8" s="21" t="n">
        <x:v>0</x:v>
      </x:c>
      <x:c r="F8" s="21" t="n">
        <x:v>1</x:v>
      </x:c>
      <x:c r="G8" s="21" t="n">
        <x:v>1</x:v>
      </x:c>
      <x:c r="H8" s="21" t="n">
        <x:v>1</x:v>
      </x:c>
      <x:c r="I8" s="21" t="n">
        <x:v>1</x:v>
      </x:c>
      <x:c r="J8" s="21" t="n">
        <x:v>1</x:v>
      </x:c>
      <x:c r="K8" s="21" t="n">
        <x:v>0</x:v>
      </x:c>
      <x:c r="L8" s="21" t="n">
        <x:v>0</x:v>
      </x:c>
      <x:c r="M8" s="21" t="n">
        <x:v>1</x:v>
      </x:c>
      <x:c r="N8" s="23" t="n">
        <x:f>SUM(B8:M8)</x:f>
        <x:v>9</x:v>
      </x:c>
      <x:c r="O8" s="13" t="str">
        <x:v>REJECT</x:v>
      </x:c>
    </x:row>
    <x:row r="9">
      <x:c r="A9" s="13" t="str">
        <x:v>Two exact twin factories per root</x:v>
      </x:c>
      <x:c r="B9" s="21" t="n">
        <x:v>1</x:v>
      </x:c>
      <x:c r="C9" s="21" t="n">
        <x:v>1</x:v>
      </x:c>
      <x:c r="D9" s="21" t="n">
        <x:v>1</x:v>
      </x:c>
      <x:c r="E9" s="21" t="n">
        <x:v>1</x:v>
      </x:c>
      <x:c r="F9" s="21" t="n">
        <x:v>1</x:v>
      </x:c>
      <x:c r="G9" s="21" t="n">
        <x:v>1</x:v>
      </x:c>
      <x:c r="H9" s="21" t="n">
        <x:v>1</x:v>
      </x:c>
      <x:c r="I9" s="21" t="n">
        <x:v>1</x:v>
      </x:c>
      <x:c r="J9" s="21" t="n">
        <x:v>1</x:v>
      </x:c>
      <x:c r="K9" s="21" t="n">
        <x:v>1</x:v>
      </x:c>
      <x:c r="L9" s="21" t="n">
        <x:v>1</x:v>
      </x:c>
      <x:c r="M9" s="21" t="n">
        <x:v>0</x:v>
      </x:c>
      <x:c r="N9" s="23" t="n">
        <x:f>SUM(B9:M9)</x:f>
        <x:v>11</x:v>
      </x:c>
      <x:c r="O9" s="13" t="str">
        <x:v>REJECT</x:v>
      </x:c>
    </x:row>
    <x:row r="10">
      <x:c r="A10" s="13" t="str">
        <x:v>Dual-path root recovery service</x:v>
      </x:c>
      <x:c r="B10" s="21" t="n">
        <x:v>1</x:v>
      </x:c>
      <x:c r="C10" s="21" t="n">
        <x:v>1</x:v>
      </x:c>
      <x:c r="D10" s="21" t="n">
        <x:v>1</x:v>
      </x:c>
      <x:c r="E10" s="21" t="n">
        <x:v>1</x:v>
      </x:c>
      <x:c r="F10" s="21" t="n">
        <x:v>1</x:v>
      </x:c>
      <x:c r="G10" s="21" t="n">
        <x:v>1</x:v>
      </x:c>
      <x:c r="H10" s="21" t="n">
        <x:v>1</x:v>
      </x:c>
      <x:c r="I10" s="21" t="n">
        <x:v>1</x:v>
      </x:c>
      <x:c r="J10" s="21" t="n">
        <x:v>1</x:v>
      </x:c>
      <x:c r="K10" s="21" t="n">
        <x:v>1</x:v>
      </x:c>
      <x:c r="L10" s="21" t="n">
        <x:v>1</x:v>
      </x:c>
      <x:c r="M10" s="21" t="n">
        <x:v>1</x:v>
      </x:c>
      <x:c r="N10" s="23" t="n">
        <x:f>SUM(B10:M10)</x:f>
        <x:v>12</x:v>
      </x:c>
      <x:c r="O10" s="13" t="str">
        <x:v>SELECT</x:v>
      </x:c>
    </x:row>
  </x:sheetData>
  <x:conditionalFormatting sqref="O6:O10">
    <x:cfRule type="containsText" dxfId="0" priority="1" operator="containsText" text="FAIL"/>
    <x:cfRule type="containsText" dxfId="1" priority="2" operator="containsText" text="SOURCE EMPT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34" hidden="0" customWidth="1"/>
    <x:col min="5" max="5" width="62" hidden="0" customWidth="1"/>
  </x:cols>
  <x:sheetData>
    <x:row r="2">
      <x:c r="A2" s="59" t="str">
        <x:v>Production-recovery service contract</x:v>
      </x:c>
      <x:c r="B2" s="60"/>
      <x:c r="C2" s="60"/>
      <x:c r="D2" s="60"/>
      <x:c r="E2" s="60"/>
    </x:row>
    <x:row r="3">
      <x:c r="A3" s="61" t="str">
        <x:v>The service world couples firm, site, supplier, workforce and internal-bay loss.</x:v>
      </x:c>
      <x:c r="B3" s="61"/>
      <x:c r="C3" s="61"/>
      <x:c r="D3" s="61"/>
      <x:c r="E3" s="61"/>
    </x:row>
    <x:row r="4">
      <x:c r="A4" s="62"/>
      <x:c r="B4" s="62"/>
      <x:c r="C4" s="62"/>
      <x:c r="D4" s="62"/>
      <x:c r="E4" s="62"/>
    </x:row>
    <x:row r="5" ht="30" customHeight="1">
      <x:c r="A5" s="9" t="str">
        <x:v>Clause</x:v>
      </x:c>
      <x:c r="B5" s="9" t="str">
        <x:v>Obligation</x:v>
      </x:c>
      <x:c r="C5" s="9" t="str">
        <x:v>Threshold</x:v>
      </x:c>
      <x:c r="D5" s="9" t="str">
        <x:v>Unit or scope</x:v>
      </x:c>
      <x:c r="E5" s="9" t="str">
        <x:v>Credit rule</x:v>
      </x:c>
    </x:row>
    <x:row r="6">
      <x:c r="A6" s="12" t="str">
        <x:v>PR-01</x:v>
      </x:c>
      <x:c r="B6" s="12" t="str">
        <x:v>Recovery service unit</x:v>
      </x:c>
      <x:c r="C6" s="12" t="n">
        <x:v>1</x:v>
      </x:c>
      <x:c r="D6" s="12" t="str">
        <x:v>complete system-native quarter-service unit</x:v>
      </x:c>
      <x:c r="E6" s="12" t="str">
        <x:v>All inherited positions, interfaces and safety functions conform</x:v>
      </x:c>
    </x:row>
    <x:row r="7">
      <x:c r="A7" s="13" t="str">
        <x:v>PR-02</x:v>
      </x:c>
      <x:c r="B7" s="13" t="str">
        <x:v>Simultaneous failure cohort</x:v>
      </x:c>
      <x:c r="C7" s="13" t="n">
        <x:v>6</x:v>
      </x:c>
      <x:c r="D7" s="13" t="str">
        <x:v>roots</x:v>
      </x:c>
      <x:c r="E7" s="13" t="str">
        <x:v>One private Root House per mission system may be unavailable</x:v>
      </x:c>
    </x:row>
    <x:row r="8">
      <x:c r="A8" s="13" t="str">
        <x:v>PR-03</x:v>
      </x:c>
      <x:c r="B8" s="13" t="str">
        <x:v>Public path casualty</x:v>
      </x:c>
      <x:c r="C8" s="13" t="n">
        <x:v>1</x:v>
      </x:c>
      <x:c r="D8" s="13" t="str">
        <x:v>cell per failed root</x:v>
      </x:c>
      <x:c r="E8" s="13" t="str">
        <x:v>One of the two qualified public cells is unavailable</x:v>
      </x:c>
    </x:row>
    <x:row r="9">
      <x:c r="A9" s="13" t="str">
        <x:v>PR-04</x:v>
      </x:c>
      <x:c r="B9" s="13" t="str">
        <x:v>Supplier casualty</x:v>
      </x:c>
      <x:c r="C9" s="13" t="n">
        <x:v>1</x:v>
      </x:c>
      <x:c r="D9" s="13" t="str">
        <x:v>decisive supplier per failed root</x:v>
      </x:c>
      <x:c r="E9" s="13" t="str">
        <x:v>Keystone bank and unrelated alternate carry the path</x:v>
      </x:c>
    </x:row>
    <x:row r="10">
      <x:c r="A10" s="13" t="str">
        <x:v>PR-05</x:v>
      </x:c>
      <x:c r="B10" s="13" t="str">
        <x:v>Workforce casualty</x:v>
      </x:c>
      <x:c r="C10" s="24" t="n">
        <x:v>0.25</x:v>
      </x:c>
      <x:c r="D10" s="13" t="str">
        <x:v>qualified establishment</x:v>
      </x:c>
      <x:c r="E10" s="13" t="str">
        <x:v>Remaining workers must meet the complete clock</x:v>
      </x:c>
    </x:row>
    <x:row r="11">
      <x:c r="A11" s="13" t="str">
        <x:v>PR-06</x:v>
      </x:c>
      <x:c r="B11" s="13" t="str">
        <x:v>Private black-start</x:v>
      </x:c>
      <x:c r="C11" s="13" t="n">
        <x:v>72</x:v>
      </x:c>
      <x:c r="D11" s="13" t="str">
        <x:v>hours</x:v>
      </x:c>
      <x:c r="E11" s="13" t="str">
        <x:v>After largest private production-site loss</x:v>
      </x:c>
    </x:row>
    <x:row r="12">
      <x:c r="A12" s="13" t="str">
        <x:v>PR-07</x:v>
      </x:c>
      <x:c r="B12" s="13" t="str">
        <x:v>Private first critical lot</x:v>
      </x:c>
      <x:c r="C12" s="13" t="n">
        <x:v>30</x:v>
      </x:c>
      <x:c r="D12" s="13" t="str">
        <x:v>days</x:v>
      </x:c>
      <x:c r="E12" s="13" t="str">
        <x:v>Conforming keystone lot, not an inventory issue</x:v>
      </x:c>
    </x:row>
    <x:row r="13">
      <x:c r="A13" s="13" t="str">
        <x:v>PR-08</x:v>
      </x:c>
      <x:c r="B13" s="13" t="str">
        <x:v>Private first complete unit</x:v>
      </x:c>
      <x:c r="C13" s="13" t="n">
        <x:v>120</x:v>
      </x:c>
      <x:c r="D13" s="13" t="str">
        <x:v>days</x:v>
      </x:c>
      <x:c r="E13" s="13" t="str">
        <x:v>Accepted recovery service unit</x:v>
      </x:c>
    </x:row>
    <x:row r="14">
      <x:c r="A14" s="13" t="str">
        <x:v>PR-09</x:v>
      </x:c>
      <x:c r="B14" s="13" t="str">
        <x:v>Private cumulative output</x:v>
      </x:c>
      <x:c r="C14" s="13" t="n">
        <x:v>3</x:v>
      </x:c>
      <x:c r="D14" s="13" t="str">
        <x:v>units by day 365</x:v>
      </x:c>
      <x:c r="E14" s="13" t="str">
        <x:v>No partial-unit capacity credit</x:v>
      </x:c>
    </x:row>
    <x:row r="15">
      <x:c r="A15" s="13" t="str">
        <x:v>PR-10</x:v>
      </x:c>
      <x:c r="B15" s="13" t="str">
        <x:v>Public black-start</x:v>
      </x:c>
      <x:c r="C15" s="13" t="n">
        <x:v>168</x:v>
      </x:c>
      <x:c r="D15" s="13" t="str">
        <x:v>hours</x:v>
      </x:c>
      <x:c r="E15" s="13" t="str">
        <x:v>Surviving cell after total firm and alternate-cell loss</x:v>
      </x:c>
    </x:row>
    <x:row r="16">
      <x:c r="A16" s="13" t="str">
        <x:v>PR-11</x:v>
      </x:c>
      <x:c r="B16" s="13" t="str">
        <x:v>Public first critical lot</x:v>
      </x:c>
      <x:c r="C16" s="13" t="n">
        <x:v>60</x:v>
      </x:c>
      <x:c r="D16" s="13" t="str">
        <x:v>days</x:v>
      </x:c>
      <x:c r="E16" s="13" t="str">
        <x:v>Cold-built conforming keystone lot</x:v>
      </x:c>
    </x:row>
    <x:row r="17">
      <x:c r="A17" s="13" t="str">
        <x:v>PR-12</x:v>
      </x:c>
      <x:c r="B17" s="13" t="str">
        <x:v>Public first complete unit</x:v>
      </x:c>
      <x:c r="C17" s="13" t="n">
        <x:v>240</x:v>
      </x:c>
      <x:c r="D17" s="13" t="str">
        <x:v>days</x:v>
      </x:c>
      <x:c r="E17" s="13" t="str">
        <x:v>Cold-built accepted recovery service unit</x:v>
      </x:c>
    </x:row>
    <x:row r="18">
      <x:c r="A18" s="13" t="str">
        <x:v>PR-13</x:v>
      </x:c>
      <x:c r="B18" s="13" t="str">
        <x:v>Public cumulative output</x:v>
      </x:c>
      <x:c r="C18" s="13" t="n">
        <x:v>2</x:v>
      </x:c>
      <x:c r="D18" s="13" t="str">
        <x:v>units by day 365</x:v>
      </x:c>
      <x:c r="E18" s="13" t="str">
        <x:v>Second complete unit proves sustained rate</x:v>
      </x:c>
    </x:row>
    <x:row r="19">
      <x:c r="A19" s="13" t="str">
        <x:v>PR-14</x:v>
      </x:c>
      <x:c r="B19" s="13" t="str">
        <x:v>Internal public-cell casualty</x:v>
      </x:c>
      <x:c r="C19" s="13" t="n">
        <x:v>1</x:v>
      </x:c>
      <x:c r="D19" s="13" t="str">
        <x:v>largest bay</x:v>
      </x:c>
      <x:c r="E19" s="13" t="str">
        <x:v>Five surviving bays retain full required rate</x:v>
      </x:c>
    </x:row>
    <x:row r="20">
      <x:c r="A20" s="13" t="str">
        <x:v>PR-15</x:v>
      </x:c>
      <x:c r="B20" s="13" t="str">
        <x:v>Authority rule</x:v>
      </x:c>
      <x:c r="C20" s="13" t="n">
        <x:v>0</x:v>
      </x:c>
      <x:c r="D20" s="13" t="str">
        <x:v>readiness credit before evidence</x:v>
      </x:c>
      <x:c r="E20" s="13" t="str">
        <x:v>Money, inventory, identity or partial output cannot imply recovery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6" hidden="0" customWidth="1"/>
    <x:col min="4" max="4" width="12" hidden="0" customWidth="1"/>
    <x:col min="5" max="5" width="16" hidden="0" customWidth="1"/>
    <x:col min="6" max="6" width="14" hidden="0" customWidth="1"/>
    <x:col min="7" max="7" width="20" hidden="0" customWidth="1"/>
    <x:col min="8" max="8" width="20" hidden="0" customWidth="1"/>
    <x:col min="9" max="9" width="21" hidden="0" customWidth="1"/>
    <x:col min="10" max="10" width="19" hidden="0" customWidth="1"/>
    <x:col min="11" max="11" width="18" hidden="0" customWidth="1"/>
    <x:col min="12" max="12" width="14" hidden="0" customWidth="1"/>
  </x:cols>
  <x:sheetData>
    <x:row r="2">
      <x:c r="A2" s="59" t="str">
        <x:v>Twenty-four recovery service units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61" t="str">
        <x:v>Masses and positions inherit the controlled quarter-service designs. Labor and process-energy intensities are unproved acquisition hypotheses.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</x:row>
    <x:row r="5" ht="30" customHeight="1">
      <x:c r="A5" s="9" t="str">
        <x:v>Root</x:v>
      </x:c>
      <x:c r="B5" s="9" t="str">
        <x:v>System</x:v>
      </x:c>
      <x:c r="C5" s="9" t="str">
        <x:v>Configuration thesis</x:v>
      </x:c>
      <x:c r="D5" s="9" t="str">
        <x:v>Positions</x:v>
      </x:c>
      <x:c r="E5" s="9" t="str">
        <x:v>Dry mass (t)</x:v>
      </x:c>
      <x:c r="F5" s="9" t="str">
        <x:v>Labor (h/t)</x:v>
      </x:c>
      <x:c r="G5" s="9" t="str">
        <x:v>Process energy (MWh/t)</x:v>
      </x:c>
      <x:c r="H5" s="9" t="str">
        <x:v>Public effective rate (t/day)</x:v>
      </x:c>
      <x:c r="I5" s="9" t="str">
        <x:v>Private survivor rate (t/day)</x:v>
      </x:c>
      <x:c r="J5" s="9" t="str">
        <x:v>Public process power (MW)</x:v>
      </x:c>
      <x:c r="K5" s="9" t="str">
        <x:v>Public active workers</x:v>
      </x:c>
      <x:c r="L5" s="9" t="str">
        <x:v>Evidence</x:v>
      </x:c>
    </x:row>
    <x:row r="6">
      <x:c r="A6" s="12" t="str">
        <x:v>TE-A</x:v>
      </x:c>
      <x:c r="B6" s="12" t="str">
        <x:v>MS-ET</x:v>
      </x:c>
      <x:c r="C6" s="12" t="str">
        <x:v>Oceanic mass bridge</x:v>
      </x:c>
      <x:c r="D6" s="12" t="n">
        <x:v>17</x:v>
      </x:c>
      <x:c r="E6" s="35" t="n">
        <x:v>89000</x:v>
      </x:c>
      <x:c r="F6" s="36" t="n">
        <x:v>45</x:v>
      </x:c>
      <x:c r="G6" s="36" t="n">
        <x:v>1.2</x:v>
      </x:c>
      <x:c r="H6" s="29" t="n">
        <x:f>E6*Controls!$B$24/365</x:f>
        <x:v>487.67123287671234</x:v>
      </x:c>
      <x:c r="I6" s="29" t="n">
        <x:f>MAX(E6/Controls!$B$19,E6*Controls!$B$20/365)</x:f>
        <x:v>741.6666666666666</x:v>
      </x:c>
      <x:c r="J6" s="29" t="n">
        <x:f>H6*G6/24</x:f>
        <x:v>24.383561643835616</x:v>
      </x:c>
      <x:c r="K6" s="29" t="n">
        <x:f>E6*Controls!$B$24*F6/(365*Controls!$B$30)</x:f>
        <x:v>3657.5342465753424</x:v>
      </x:c>
      <x:c r="L6" s="12" t="str">
        <x:v>OPEN</x:v>
      </x:c>
    </x:row>
    <x:row r="7">
      <x:c r="A7" s="13" t="str">
        <x:v>TE-B</x:v>
      </x:c>
      <x:c r="B7" s="13" t="str">
        <x:v>MS-ET</x:v>
      </x:c>
      <x:c r="C7" s="13" t="str">
        <x:v>Buoyant air bridge</x:v>
      </x:c>
      <x:c r="D7" s="13" t="n">
        <x:v>17</x:v>
      </x:c>
      <x:c r="E7" s="37" t="n">
        <x:v>58000</x:v>
      </x:c>
      <x:c r="F7" s="38" t="n">
        <x:v>65</x:v>
      </x:c>
      <x:c r="G7" s="38" t="n">
        <x:v>1.8</x:v>
      </x:c>
      <x:c r="H7" s="30" t="n">
        <x:f>E7*Controls!$B$24/365</x:f>
        <x:v>317.8082191780822</x:v>
      </x:c>
      <x:c r="I7" s="30" t="n">
        <x:f>MAX(E7/Controls!$B$19,E7*Controls!$B$20/365)</x:f>
        <x:v>483.3333333333333</x:v>
      </x:c>
      <x:c r="J7" s="30" t="n">
        <x:f>H7*G7/24</x:f>
        <x:v>23.835616438356166</x:v>
      </x:c>
      <x:c r="K7" s="30" t="n">
        <x:f>E7*Controls!$B$24*F7/(365*Controls!$B$30)</x:f>
        <x:v>3442.922374429224</x:v>
      </x:c>
      <x:c r="L7" s="13" t="str">
        <x:v>OPEN</x:v>
      </x:c>
    </x:row>
    <x:row r="8">
      <x:c r="A8" s="13" t="str">
        <x:v>TE-C</x:v>
      </x:c>
      <x:c r="B8" s="13" t="str">
        <x:v>MS-ET</x:v>
      </x:c>
      <x:c r="C8" s="13" t="str">
        <x:v>Austere surface bridge</x:v>
      </x:c>
      <x:c r="D8" s="13" t="n">
        <x:v>17</x:v>
      </x:c>
      <x:c r="E8" s="37" t="n">
        <x:v>74000</x:v>
      </x:c>
      <x:c r="F8" s="38" t="n">
        <x:v>40</x:v>
      </x:c>
      <x:c r="G8" s="38" t="n">
        <x:v>0.9</x:v>
      </x:c>
      <x:c r="H8" s="30" t="n">
        <x:f>E8*Controls!$B$24/365</x:f>
        <x:v>405.47945205479454</x:v>
      </x:c>
      <x:c r="I8" s="30" t="n">
        <x:f>MAX(E8/Controls!$B$19,E8*Controls!$B$20/365)</x:f>
        <x:v>616.6666666666666</x:v>
      </x:c>
      <x:c r="J8" s="30" t="n">
        <x:f>H8*G8/24</x:f>
        <x:v>15.205479452054796</x:v>
      </x:c>
      <x:c r="K8" s="30" t="n">
        <x:f>E8*Controls!$B$24*F8/(365*Controls!$B$30)</x:f>
        <x:v>2703.1963470319633</x:v>
      </x:c>
      <x:c r="L8" s="13" t="str">
        <x:v>OPEN</x:v>
      </x:c>
    </x:row>
    <x:row r="9">
      <x:c r="A9" s="13" t="str">
        <x:v>TE-D</x:v>
      </x:c>
      <x:c r="B9" s="13" t="str">
        <x:v>MS-ET</x:v>
      </x:c>
      <x:c r="C9" s="13" t="str">
        <x:v>Amphibious autonomous mesh</x:v>
      </x:c>
      <x:c r="D9" s="13" t="n">
        <x:v>17</x:v>
      </x:c>
      <x:c r="E9" s="37" t="n">
        <x:v>52000</x:v>
      </x:c>
      <x:c r="F9" s="38" t="n">
        <x:v>50</x:v>
      </x:c>
      <x:c r="G9" s="38" t="n">
        <x:v>1.1</x:v>
      </x:c>
      <x:c r="H9" s="30" t="n">
        <x:f>E9*Controls!$B$24/365</x:f>
        <x:v>284.93150684931504</x:v>
      </x:c>
      <x:c r="I9" s="30" t="n">
        <x:f>MAX(E9/Controls!$B$19,E9*Controls!$B$20/365)</x:f>
        <x:v>433.3333333333333</x:v>
      </x:c>
      <x:c r="J9" s="30" t="n">
        <x:f>H9*G9/24</x:f>
        <x:v>13.059360730593609</x:v>
      </x:c>
      <x:c r="K9" s="30" t="n">
        <x:f>E9*Controls!$B$24*F9/(365*Controls!$B$30)</x:f>
        <x:v>2374.4292237442924</x:v>
      </x:c>
      <x:c r="L9" s="13" t="str">
        <x:v>OPEN</x:v>
      </x:c>
    </x:row>
    <x:row r="10">
      <x:c r="A10" s="13" t="str">
        <x:v>CT-A</x:v>
      </x:c>
      <x:c r="B10" s="13" t="str">
        <x:v>MS-CT</x:v>
      </x:c>
      <x:c r="C10" s="13" t="str">
        <x:v>Civic edge grid</x:v>
      </x:c>
      <x:c r="D10" s="13" t="n">
        <x:v>14</x:v>
      </x:c>
      <x:c r="E10" s="37" t="n">
        <x:v>16000</x:v>
      </x:c>
      <x:c r="F10" s="38" t="n">
        <x:v>55</x:v>
      </x:c>
      <x:c r="G10" s="38" t="n">
        <x:v>1.5</x:v>
      </x:c>
      <x:c r="H10" s="30" t="n">
        <x:f>E10*Controls!$B$24/365</x:f>
        <x:v>87.67123287671232</x:v>
      </x:c>
      <x:c r="I10" s="30" t="n">
        <x:f>MAX(E10/Controls!$B$19,E10*Controls!$B$20/365)</x:f>
        <x:v>133.33333333333334</x:v>
      </x:c>
      <x:c r="J10" s="30" t="n">
        <x:f>H10*G10/24</x:f>
        <x:v>5.47945205479452</x:v>
      </x:c>
      <x:c r="K10" s="30" t="n">
        <x:f>E10*Controls!$B$24*F10/(365*Controls!$B$30)</x:f>
        <x:v>803.6529680365297</x:v>
      </x:c>
      <x:c r="L10" s="13" t="str">
        <x:v>OPEN</x:v>
      </x:c>
    </x:row>
    <x:row r="11">
      <x:c r="A11" s="13" t="str">
        <x:v>CT-B</x:v>
      </x:c>
      <x:c r="B11" s="13" t="str">
        <x:v>MS-CT</x:v>
      </x:c>
      <x:c r="C11" s="13" t="str">
        <x:v>Air-and-skin reach</x:v>
      </x:c>
      <x:c r="D11" s="13" t="n">
        <x:v>14</x:v>
      </x:c>
      <x:c r="E11" s="37" t="n">
        <x:v>21000</x:v>
      </x:c>
      <x:c r="F11" s="38" t="n">
        <x:v>70</x:v>
      </x:c>
      <x:c r="G11" s="38" t="n">
        <x:v>2</x:v>
      </x:c>
      <x:c r="H11" s="30" t="n">
        <x:f>E11*Controls!$B$24/365</x:f>
        <x:v>115.06849315068493</x:v>
      </x:c>
      <x:c r="I11" s="30" t="n">
        <x:f>MAX(E11/Controls!$B$19,E11*Controls!$B$20/365)</x:f>
        <x:v>175</x:v>
      </x:c>
      <x:c r="J11" s="30" t="n">
        <x:f>H11*G11/24</x:f>
        <x:v>9.58904109589041</x:v>
      </x:c>
      <x:c r="K11" s="30" t="n">
        <x:f>E11*Controls!$B$24*F11/(365*Controls!$B$30)</x:f>
        <x:v>1342.4657534246576</x:v>
      </x:c>
      <x:c r="L11" s="13" t="str">
        <x:v>OPEN</x:v>
      </x:c>
    </x:row>
    <x:row r="12">
      <x:c r="A12" s="13" t="str">
        <x:v>CT-C</x:v>
      </x:c>
      <x:c r="B12" s="13" t="str">
        <x:v>MS-CT</x:v>
      </x:c>
      <x:c r="C12" s="13" t="str">
        <x:v>Building utility spine</x:v>
      </x:c>
      <x:c r="D12" s="13" t="n">
        <x:v>14</x:v>
      </x:c>
      <x:c r="E12" s="37" t="n">
        <x:v>27000</x:v>
      </x:c>
      <x:c r="F12" s="38" t="n">
        <x:v>60</x:v>
      </x:c>
      <x:c r="G12" s="38" t="n">
        <x:v>1.3</x:v>
      </x:c>
      <x:c r="H12" s="30" t="n">
        <x:f>E12*Controls!$B$24/365</x:f>
        <x:v>147.94520547945206</x:v>
      </x:c>
      <x:c r="I12" s="30" t="n">
        <x:f>MAX(E12/Controls!$B$19,E12*Controls!$B$20/365)</x:f>
        <x:v>225</x:v>
      </x:c>
      <x:c r="J12" s="30" t="n">
        <x:f>H12*G12/24</x:f>
        <x:v>8.013698630136988</x:v>
      </x:c>
      <x:c r="K12" s="30" t="n">
        <x:f>E12*Controls!$B$24*F12/(365*Controls!$B$30)</x:f>
        <x:v>1479.4520547945206</x:v>
      </x:c>
      <x:c r="L12" s="13" t="str">
        <x:v>OPEN</x:v>
      </x:c>
    </x:row>
    <x:row r="13">
      <x:c r="A13" s="13" t="str">
        <x:v>CT-D</x:v>
      </x:c>
      <x:c r="B13" s="13" t="str">
        <x:v>MS-CT</x:v>
      </x:c>
      <x:c r="C13" s="13" t="str">
        <x:v>Neighborhood machine swarm</x:v>
      </x:c>
      <x:c r="D13" s="13" t="n">
        <x:v>14</x:v>
      </x:c>
      <x:c r="E13" s="37" t="n">
        <x:v>19000</x:v>
      </x:c>
      <x:c r="F13" s="38" t="n">
        <x:v>50</x:v>
      </x:c>
      <x:c r="G13" s="38" t="n">
        <x:v>1.6</x:v>
      </x:c>
      <x:c r="H13" s="30" t="n">
        <x:f>E13*Controls!$B$24/365</x:f>
        <x:v>104.10958904109589</x:v>
      </x:c>
      <x:c r="I13" s="30" t="n">
        <x:f>MAX(E13/Controls!$B$19,E13*Controls!$B$20/365)</x:f>
        <x:v>158.33333333333334</x:v>
      </x:c>
      <x:c r="J13" s="30" t="n">
        <x:f>H13*G13/24</x:f>
        <x:v>6.940639269406393</x:v>
      </x:c>
      <x:c r="K13" s="30" t="n">
        <x:f>E13*Controls!$B$24*F13/(365*Controls!$B$30)</x:f>
        <x:v>867.5799086757991</x:v>
      </x:c>
      <x:c r="L13" s="13" t="str">
        <x:v>OPEN</x:v>
      </x:c>
    </x:row>
    <x:row r="14">
      <x:c r="A14" s="13" t="str">
        <x:v>HC-A</x:v>
      </x:c>
      <x:c r="B14" s="13" t="str">
        <x:v>MS-HC</x:v>
      </x:c>
      <x:c r="C14" s="13" t="str">
        <x:v>Atmospheric control wing</x:v>
      </x:c>
      <x:c r="D14" s="13" t="n">
        <x:v>7</x:v>
      </x:c>
      <x:c r="E14" s="37" t="n">
        <x:v>44000</x:v>
      </x:c>
      <x:c r="F14" s="38" t="n">
        <x:v>70</x:v>
      </x:c>
      <x:c r="G14" s="38" t="n">
        <x:v>2.2</x:v>
      </x:c>
      <x:c r="H14" s="30" t="n">
        <x:f>E14*Controls!$B$24/365</x:f>
        <x:v>241.0958904109589</x:v>
      </x:c>
      <x:c r="I14" s="30" t="n">
        <x:f>MAX(E14/Controls!$B$19,E14*Controls!$B$20/365)</x:f>
        <x:v>366.6666666666667</x:v>
      </x:c>
      <x:c r="J14" s="30" t="n">
        <x:f>H14*G14/24</x:f>
        <x:v>22.100456621004568</x:v>
      </x:c>
      <x:c r="K14" s="30" t="n">
        <x:f>E14*Controls!$B$24*F14/(365*Controls!$B$30)</x:f>
        <x:v>2812.785388127854</x:v>
      </x:c>
      <x:c r="L14" s="13" t="str">
        <x:v>OPEN</x:v>
      </x:c>
    </x:row>
    <x:row r="15">
      <x:c r="A15" s="13" t="str">
        <x:v>HC-B</x:v>
      </x:c>
      <x:c r="B15" s="13" t="str">
        <x:v>MS-HC</x:v>
      </x:c>
      <x:c r="C15" s="13" t="str">
        <x:v>Fluid intervention lattice</x:v>
      </x:c>
      <x:c r="D15" s="13" t="n">
        <x:v>7</x:v>
      </x:c>
      <x:c r="E15" s="37" t="n">
        <x:v>61000</x:v>
      </x:c>
      <x:c r="F15" s="38" t="n">
        <x:v>45</x:v>
      </x:c>
      <x:c r="G15" s="38" t="n">
        <x:v>1.2</x:v>
      </x:c>
      <x:c r="H15" s="30" t="n">
        <x:f>E15*Controls!$B$24/365</x:f>
        <x:v>334.24657534246575</x:v>
      </x:c>
      <x:c r="I15" s="30" t="n">
        <x:f>MAX(E15/Controls!$B$19,E15*Controls!$B$20/365)</x:f>
        <x:v>508.3333333333333</x:v>
      </x:c>
      <x:c r="J15" s="30" t="n">
        <x:f>H15*G15/24</x:f>
        <x:v>16.712328767123285</x:v>
      </x:c>
      <x:c r="K15" s="30" t="n">
        <x:f>E15*Controls!$B$24*F15/(365*Controls!$B$30)</x:f>
        <x:v>2506.849315068493</x:v>
      </x:c>
      <x:c r="L15" s="13" t="str">
        <x:v>OPEN</x:v>
      </x:c>
    </x:row>
    <x:row r="16">
      <x:c r="A16" s="13" t="str">
        <x:v>HC-C</x:v>
      </x:c>
      <x:c r="B16" s="13" t="str">
        <x:v>MS-HC</x:v>
      </x:c>
      <x:c r="C16" s="13" t="str">
        <x:v>Autonomous terrain corps</x:v>
      </x:c>
      <x:c r="D16" s="13" t="n">
        <x:v>7</x:v>
      </x:c>
      <x:c r="E16" s="37" t="n">
        <x:v>52000</x:v>
      </x:c>
      <x:c r="F16" s="38" t="n">
        <x:v>50</x:v>
      </x:c>
      <x:c r="G16" s="38" t="n">
        <x:v>1.1</x:v>
      </x:c>
      <x:c r="H16" s="30" t="n">
        <x:f>E16*Controls!$B$24/365</x:f>
        <x:v>284.93150684931504</x:v>
      </x:c>
      <x:c r="I16" s="30" t="n">
        <x:f>MAX(E16/Controls!$B$19,E16*Controls!$B$20/365)</x:f>
        <x:v>433.3333333333333</x:v>
      </x:c>
      <x:c r="J16" s="30" t="n">
        <x:f>H16*G16/24</x:f>
        <x:v>13.059360730593609</x:v>
      </x:c>
      <x:c r="K16" s="30" t="n">
        <x:f>E16*Controls!$B$24*F16/(365*Controls!$B$30)</x:f>
        <x:v>2374.4292237442924</x:v>
      </x:c>
      <x:c r="L16" s="13" t="str">
        <x:v>OPEN</x:v>
      </x:c>
    </x:row>
    <x:row r="17">
      <x:c r="A17" s="13" t="str">
        <x:v>HC-D</x:v>
      </x:c>
      <x:c r="B17" s="13" t="str">
        <x:v>MS-HC</x:v>
      </x:c>
      <x:c r="C17" s="13" t="str">
        <x:v>Distributed control field</x:v>
      </x:c>
      <x:c r="D17" s="13" t="n">
        <x:v>7</x:v>
      </x:c>
      <x:c r="E17" s="37" t="n">
        <x:v>33000</x:v>
      </x:c>
      <x:c r="F17" s="38" t="n">
        <x:v>55</x:v>
      </x:c>
      <x:c r="G17" s="38" t="n">
        <x:v>1.4</x:v>
      </x:c>
      <x:c r="H17" s="30" t="n">
        <x:f>E17*Controls!$B$24/365</x:f>
        <x:v>180.82191780821918</x:v>
      </x:c>
      <x:c r="I17" s="30" t="n">
        <x:f>MAX(E17/Controls!$B$19,E17*Controls!$B$20/365)</x:f>
        <x:v>275</x:v>
      </x:c>
      <x:c r="J17" s="30" t="n">
        <x:f>H17*G17/24</x:f>
        <x:v>10.547945205479452</x:v>
      </x:c>
      <x:c r="K17" s="30" t="n">
        <x:f>E17*Controls!$B$24*F17/(365*Controls!$B$30)</x:f>
        <x:v>1657.5342465753424</x:v>
      </x:c>
      <x:c r="L17" s="13" t="str">
        <x:v>OPEN</x:v>
      </x:c>
    </x:row>
    <x:row r="18">
      <x:c r="A18" s="13" t="str">
        <x:v>LF-A</x:v>
      </x:c>
      <x:c r="B18" s="13" t="str">
        <x:v>MS-LF</x:v>
      </x:c>
      <x:c r="C18" s="13" t="str">
        <x:v>Oceanic nuclear utility</x:v>
      </x:c>
      <x:c r="D18" s="13" t="n">
        <x:v>10</x:v>
      </x:c>
      <x:c r="E18" s="37" t="n">
        <x:v>42825</x:v>
      </x:c>
      <x:c r="F18" s="38" t="n">
        <x:v>80</x:v>
      </x:c>
      <x:c r="G18" s="38" t="n">
        <x:v>2.5</x:v>
      </x:c>
      <x:c r="H18" s="30" t="n">
        <x:f>E18*Controls!$B$24/365</x:f>
        <x:v>234.65753424657535</x:v>
      </x:c>
      <x:c r="I18" s="30" t="n">
        <x:f>MAX(E18/Controls!$B$19,E18*Controls!$B$20/365)</x:f>
        <x:v>356.875</x:v>
      </x:c>
      <x:c r="J18" s="30" t="n">
        <x:f>H18*G18/24</x:f>
        <x:v>24.443493150684933</x:v>
      </x:c>
      <x:c r="K18" s="30" t="n">
        <x:f>E18*Controls!$B$24*F18/(365*Controls!$B$30)</x:f>
        <x:v>3128.7671232876714</x:v>
      </x:c>
      <x:c r="L18" s="13" t="str">
        <x:v>OPEN</x:v>
      </x:c>
    </x:row>
    <x:row r="19">
      <x:c r="A19" s="13" t="str">
        <x:v>LF-B</x:v>
      </x:c>
      <x:c r="B19" s="13" t="str">
        <x:v>MS-LF</x:v>
      </x:c>
      <x:c r="C19" s="13" t="str">
        <x:v>Inland geothermal train</x:v>
      </x:c>
      <x:c r="D19" s="13" t="n">
        <x:v>10</x:v>
      </x:c>
      <x:c r="E19" s="37" t="n">
        <x:v>31075</x:v>
      </x:c>
      <x:c r="F19" s="38" t="n">
        <x:v>75</x:v>
      </x:c>
      <x:c r="G19" s="38" t="n">
        <x:v>2.3</x:v>
      </x:c>
      <x:c r="H19" s="30" t="n">
        <x:f>E19*Controls!$B$24/365</x:f>
        <x:v>170.27397260273972</x:v>
      </x:c>
      <x:c r="I19" s="30" t="n">
        <x:f>MAX(E19/Controls!$B$19,E19*Controls!$B$20/365)</x:f>
        <x:v>258.9583333333333</x:v>
      </x:c>
      <x:c r="J19" s="30" t="n">
        <x:f>H19*G19/24</x:f>
        <x:v>16.31792237442922</x:v>
      </x:c>
      <x:c r="K19" s="30" t="n">
        <x:f>E19*Controls!$B$24*F19/(365*Controls!$B$30)</x:f>
        <x:v>2128.4246575342468</x:v>
      </x:c>
      <x:c r="L19" s="13" t="str">
        <x:v>OPEN</x:v>
      </x:c>
    </x:row>
    <x:row r="20">
      <x:c r="A20" s="13" t="str">
        <x:v>LF-C</x:v>
      </x:c>
      <x:c r="B20" s="13" t="str">
        <x:v>MS-LF</x:v>
      </x:c>
      <x:c r="C20" s="13" t="str">
        <x:v>Renewable electrochemical swarm</x:v>
      </x:c>
      <x:c r="D20" s="13" t="n">
        <x:v>10</x:v>
      </x:c>
      <x:c r="E20" s="37" t="n">
        <x:v>34650</x:v>
      </x:c>
      <x:c r="F20" s="38" t="n">
        <x:v>60</x:v>
      </x:c>
      <x:c r="G20" s="38" t="n">
        <x:v>1.8</x:v>
      </x:c>
      <x:c r="H20" s="30" t="n">
        <x:f>E20*Controls!$B$24/365</x:f>
        <x:v>189.86301369863014</x:v>
      </x:c>
      <x:c r="I20" s="30" t="n">
        <x:f>MAX(E20/Controls!$B$19,E20*Controls!$B$20/365)</x:f>
        <x:v>288.75</x:v>
      </x:c>
      <x:c r="J20" s="30" t="n">
        <x:f>H20*G20/24</x:f>
        <x:v>14.23972602739726</x:v>
      </x:c>
      <x:c r="K20" s="30" t="n">
        <x:f>E20*Controls!$B$24*F20/(365*Controls!$B$30)</x:f>
        <x:v>1898.6301369863013</x:v>
      </x:c>
      <x:c r="L20" s="13" t="str">
        <x:v>OPEN</x:v>
      </x:c>
    </x:row>
    <x:row r="21">
      <x:c r="A21" s="13" t="str">
        <x:v>LF-D</x:v>
      </x:c>
      <x:c r="B21" s="13" t="str">
        <x:v>MS-LF</x:v>
      </x:c>
      <x:c r="C21" s="13" t="str">
        <x:v>Synthetic-fuel service fleet</x:v>
      </x:c>
      <x:c r="D21" s="13" t="n">
        <x:v>10</x:v>
      </x:c>
      <x:c r="E21" s="37" t="n">
        <x:v>18350</x:v>
      </x:c>
      <x:c r="F21" s="38" t="n">
        <x:v>45</x:v>
      </x:c>
      <x:c r="G21" s="38" t="n">
        <x:v>1.2</x:v>
      </x:c>
      <x:c r="H21" s="30" t="n">
        <x:f>E21*Controls!$B$24/365</x:f>
        <x:v>100.54794520547945</x:v>
      </x:c>
      <x:c r="I21" s="30" t="n">
        <x:f>MAX(E21/Controls!$B$19,E21*Controls!$B$20/365)</x:f>
        <x:v>152.91666666666666</x:v>
      </x:c>
      <x:c r="J21" s="30" t="n">
        <x:f>H21*G21/24</x:f>
        <x:v>5.027397260273973</x:v>
      </x:c>
      <x:c r="K21" s="30" t="n">
        <x:f>E21*Controls!$B$24*F21/(365*Controls!$B$30)</x:f>
        <x:v>754.1095890410959</x:v>
      </x:c>
      <x:c r="L21" s="13" t="str">
        <x:v>OPEN</x:v>
      </x:c>
    </x:row>
    <x:row r="22">
      <x:c r="A22" s="13" t="str">
        <x:v>HU-A</x:v>
      </x:c>
      <x:c r="B22" s="13" t="str">
        <x:v>MS-HU</x:v>
      </x:c>
      <x:c r="C22" s="13" t="str">
        <x:v>Clinical continuity campus</x:v>
      </x:c>
      <x:c r="D22" s="13" t="n">
        <x:v>34</x:v>
      </x:c>
      <x:c r="E22" s="37" t="n">
        <x:v>42000</x:v>
      </x:c>
      <x:c r="F22" s="38" t="n">
        <x:v>90</x:v>
      </x:c>
      <x:c r="G22" s="38" t="n">
        <x:v>2.4</x:v>
      </x:c>
      <x:c r="H22" s="30" t="n">
        <x:f>E22*Controls!$B$24/365</x:f>
        <x:v>230.13698630136986</x:v>
      </x:c>
      <x:c r="I22" s="30" t="n">
        <x:f>MAX(E22/Controls!$B$19,E22*Controls!$B$20/365)</x:f>
        <x:v>350</x:v>
      </x:c>
      <x:c r="J22" s="30" t="n">
        <x:f>H22*G22/24</x:f>
        <x:v>23.013698630136986</x:v>
      </x:c>
      <x:c r="K22" s="30" t="n">
        <x:f>E22*Controls!$B$24*F22/(365*Controls!$B$30)</x:f>
        <x:v>3452.054794520548</x:v>
      </x:c>
      <x:c r="L22" s="13" t="str">
        <x:v>OPEN</x:v>
      </x:c>
    </x:row>
    <x:row r="23">
      <x:c r="A23" s="13" t="str">
        <x:v>HU-B</x:v>
      </x:c>
      <x:c r="B23" s="13" t="str">
        <x:v>MS-HU</x:v>
      </x:c>
      <x:c r="C23" s="13" t="str">
        <x:v>Neighborhood care fabric</x:v>
      </x:c>
      <x:c r="D23" s="13" t="n">
        <x:v>34</x:v>
      </x:c>
      <x:c r="E23" s="37" t="n">
        <x:v>31000</x:v>
      </x:c>
      <x:c r="F23" s="38" t="n">
        <x:v>75</x:v>
      </x:c>
      <x:c r="G23" s="38" t="n">
        <x:v>2</x:v>
      </x:c>
      <x:c r="H23" s="30" t="n">
        <x:f>E23*Controls!$B$24/365</x:f>
        <x:v>169.86301369863014</x:v>
      </x:c>
      <x:c r="I23" s="30" t="n">
        <x:f>MAX(E23/Controls!$B$19,E23*Controls!$B$20/365)</x:f>
        <x:v>258.3333333333333</x:v>
      </x:c>
      <x:c r="J23" s="30" t="n">
        <x:f>H23*G23/24</x:f>
        <x:v>14.155251141552512</x:v>
      </x:c>
      <x:c r="K23" s="30" t="n">
        <x:f>E23*Controls!$B$24*F23/(365*Controls!$B$30)</x:f>
        <x:v>2123.2876712328766</x:v>
      </x:c>
      <x:c r="L23" s="13" t="str">
        <x:v>OPEN</x:v>
      </x:c>
    </x:row>
    <x:row r="24">
      <x:c r="A24" s="13" t="str">
        <x:v>HU-C</x:v>
      </x:c>
      <x:c r="B24" s="13" t="str">
        <x:v>MS-HU</x:v>
      </x:c>
      <x:c r="C24" s="13" t="str">
        <x:v>Mobile care network</x:v>
      </x:c>
      <x:c r="D24" s="13" t="n">
        <x:v>34</x:v>
      </x:c>
      <x:c r="E24" s="37" t="n">
        <x:v>38000</x:v>
      </x:c>
      <x:c r="F24" s="38" t="n">
        <x:v>85</x:v>
      </x:c>
      <x:c r="G24" s="38" t="n">
        <x:v>2.6</x:v>
      </x:c>
      <x:c r="H24" s="30" t="n">
        <x:f>E24*Controls!$B$24/365</x:f>
        <x:v>208.21917808219177</x:v>
      </x:c>
      <x:c r="I24" s="30" t="n">
        <x:f>MAX(E24/Controls!$B$19,E24*Controls!$B$20/365)</x:f>
        <x:v>316.6666666666667</x:v>
      </x:c>
      <x:c r="J24" s="30" t="n">
        <x:f>H24*G24/24</x:f>
        <x:v>22.557077625570773</x:v>
      </x:c>
      <x:c r="K24" s="30" t="n">
        <x:f>E24*Controls!$B$24*F24/(365*Controls!$B$30)</x:f>
        <x:v>2949.771689497717</x:v>
      </x:c>
      <x:c r="L24" s="13" t="str">
        <x:v>OPEN</x:v>
      </x:c>
    </x:row>
    <x:row r="25">
      <x:c r="A25" s="13" t="str">
        <x:v>HU-D</x:v>
      </x:c>
      <x:c r="B25" s="13" t="str">
        <x:v>MS-HU</x:v>
      </x:c>
      <x:c r="C25" s="13" t="str">
        <x:v>Host-building conversion system</x:v>
      </x:c>
      <x:c r="D25" s="13" t="n">
        <x:v>34</x:v>
      </x:c>
      <x:c r="E25" s="37" t="n">
        <x:v>24000</x:v>
      </x:c>
      <x:c r="F25" s="38" t="n">
        <x:v>65</x:v>
      </x:c>
      <x:c r="G25" s="38" t="n">
        <x:v>1.7</x:v>
      </x:c>
      <x:c r="H25" s="30" t="n">
        <x:f>E25*Controls!$B$24/365</x:f>
        <x:v>131.5068493150685</x:v>
      </x:c>
      <x:c r="I25" s="30" t="n">
        <x:f>MAX(E25/Controls!$B$19,E25*Controls!$B$20/365)</x:f>
        <x:v>200</x:v>
      </x:c>
      <x:c r="J25" s="30" t="n">
        <x:f>H25*G25/24</x:f>
        <x:v>9.315068493150685</x:v>
      </x:c>
      <x:c r="K25" s="30" t="n">
        <x:f>E25*Controls!$B$24*F25/(365*Controls!$B$30)</x:f>
        <x:v>1424.6575342465753</x:v>
      </x:c>
      <x:c r="L25" s="13" t="str">
        <x:v>OPEN</x:v>
      </x:c>
    </x:row>
    <x:row r="26">
      <x:c r="A26" s="13" t="str">
        <x:v>RT-A</x:v>
      </x:c>
      <x:c r="B26" s="13" t="str">
        <x:v>MS-RT</x:v>
      </x:c>
      <x:c r="C26" s="13" t="str">
        <x:v>Heavy arsenal base</x:v>
      </x:c>
      <x:c r="D26" s="13" t="n">
        <x:v>17</x:v>
      </x:c>
      <x:c r="E26" s="37" t="n">
        <x:v>96000</x:v>
      </x:c>
      <x:c r="F26" s="38" t="n">
        <x:v>40</x:v>
      </x:c>
      <x:c r="G26" s="38" t="n">
        <x:v>0.8</x:v>
      </x:c>
      <x:c r="H26" s="30" t="n">
        <x:f>E26*Controls!$B$24/365</x:f>
        <x:v>526.027397260274</x:v>
      </x:c>
      <x:c r="I26" s="30" t="n">
        <x:f>MAX(E26/Controls!$B$19,E26*Controls!$B$20/365)</x:f>
        <x:v>800</x:v>
      </x:c>
      <x:c r="J26" s="30" t="n">
        <x:f>H26*G26/24</x:f>
        <x:v>17.53424657534247</x:v>
      </x:c>
      <x:c r="K26" s="30" t="n">
        <x:f>E26*Controls!$B$24*F26/(365*Controls!$B$30)</x:f>
        <x:v>3506.849315068493</x:v>
      </x:c>
      <x:c r="L26" s="13" t="str">
        <x:v>OPEN</x:v>
      </x:c>
    </x:row>
    <x:row r="27">
      <x:c r="A27" s="13" t="str">
        <x:v>RT-B</x:v>
      </x:c>
      <x:c r="B27" s="13" t="str">
        <x:v>MS-RT</x:v>
      </x:c>
      <x:c r="C27" s="13" t="str">
        <x:v>Distributed microfactory mesh</x:v>
      </x:c>
      <x:c r="D27" s="13" t="n">
        <x:v>17</x:v>
      </x:c>
      <x:c r="E27" s="37" t="n">
        <x:v>58000</x:v>
      </x:c>
      <x:c r="F27" s="38" t="n">
        <x:v>55</x:v>
      </x:c>
      <x:c r="G27" s="38" t="n">
        <x:v>1.4</x:v>
      </x:c>
      <x:c r="H27" s="30" t="n">
        <x:f>E27*Controls!$B$24/365</x:f>
        <x:v>317.8082191780822</x:v>
      </x:c>
      <x:c r="I27" s="30" t="n">
        <x:f>MAX(E27/Controls!$B$19,E27*Controls!$B$20/365)</x:f>
        <x:v>483.3333333333333</x:v>
      </x:c>
      <x:c r="J27" s="30" t="n">
        <x:f>H27*G27/24</x:f>
        <x:v>18.538812785388128</x:v>
      </x:c>
      <x:c r="K27" s="30" t="n">
        <x:f>E27*Controls!$B$24*F27/(365*Controls!$B$30)</x:f>
        <x:v>2913.24200913242</x:v>
      </x:c>
      <x:c r="L27" s="13" t="str">
        <x:v>OPEN</x:v>
      </x:c>
    </x:row>
    <x:row r="28">
      <x:c r="A28" s="13" t="str">
        <x:v>RT-C</x:v>
      </x:c>
      <x:c r="B28" s="13" t="str">
        <x:v>MS-RT</x:v>
      </x:c>
      <x:c r="C28" s="13" t="str">
        <x:v>Exchange and remanufacture network</x:v>
      </x:c>
      <x:c r="D28" s="13" t="n">
        <x:v>17</x:v>
      </x:c>
      <x:c r="E28" s="37" t="n">
        <x:v>72000</x:v>
      </x:c>
      <x:c r="F28" s="38" t="n">
        <x:v>35</x:v>
      </x:c>
      <x:c r="G28" s="38" t="n">
        <x:v>0.7</x:v>
      </x:c>
      <x:c r="H28" s="30" t="n">
        <x:f>E28*Controls!$B$24/365</x:f>
        <x:v>394.52054794520546</x:v>
      </x:c>
      <x:c r="I28" s="30" t="n">
        <x:f>MAX(E28/Controls!$B$19,E28*Controls!$B$20/365)</x:f>
        <x:v>600</x:v>
      </x:c>
      <x:c r="J28" s="30" t="n">
        <x:f>H28*G28/24</x:f>
        <x:v>11.506849315068493</x:v>
      </x:c>
      <x:c r="K28" s="30" t="n">
        <x:f>E28*Controls!$B$24*F28/(365*Controls!$B$30)</x:f>
        <x:v>2301.3698630136987</x:v>
      </x:c>
      <x:c r="L28" s="13" t="str">
        <x:v>OPEN</x:v>
      </x:c>
    </x:row>
    <x:row r="29">
      <x:c r="A29" s="13" t="str">
        <x:v>RT-D</x:v>
      </x:c>
      <x:c r="B29" s="13" t="str">
        <x:v>MS-RT</x:v>
      </x:c>
      <x:c r="C29" s="13" t="str">
        <x:v>Closed-loop sustainment fleet</x:v>
      </x:c>
      <x:c r="D29" s="13" t="n">
        <x:v>17</x:v>
      </x:c>
      <x:c r="E29" s="37" t="n">
        <x:v>84000</x:v>
      </x:c>
      <x:c r="F29" s="38" t="n">
        <x:v>45</x:v>
      </x:c>
      <x:c r="G29" s="38" t="n">
        <x:v>1</x:v>
      </x:c>
      <x:c r="H29" s="30" t="n">
        <x:f>E29*Controls!$B$24/365</x:f>
        <x:v>460.2739726027397</x:v>
      </x:c>
      <x:c r="I29" s="30" t="n">
        <x:f>MAX(E29/Controls!$B$19,E29*Controls!$B$20/365)</x:f>
        <x:v>700</x:v>
      </x:c>
      <x:c r="J29" s="30" t="n">
        <x:f>H29*G29/24</x:f>
        <x:v>19.17808219178082</x:v>
      </x:c>
      <x:c r="K29" s="30" t="n">
        <x:f>E29*Controls!$B$24*F29/(365*Controls!$B$30)</x:f>
        <x:v>3452.054794520548</x:v>
      </x:c>
      <x:c r="L29" s="13" t="str">
        <x:v>OPEN</x:v>
      </x:c>
    </x:row>
  </x:sheetData>
  <x:conditionalFormatting sqref="L6:L29">
    <x:cfRule type="containsText" dxfId="2" priority="1" operator="containsText" text="FAIL"/>
    <x:cfRule type="containsText" dxfId="3" priority="2" operator="containsText" text="SOURCE EMPT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1" hidden="0" customWidth="1"/>
    <x:col min="5" max="5" width="13" hidden="0" customWidth="1"/>
    <x:col min="6" max="6" width="16" hidden="0" customWidth="1"/>
    <x:col min="7" max="7" width="21" hidden="0" customWidth="1"/>
    <x:col min="8" max="8" width="22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0" hidden="0" customWidth="1"/>
    <x:col min="16" max="16" width="18" hidden="0" customWidth="1"/>
    <x:col min="17" max="17" width="12" hidden="0" customWidth="1"/>
    <x:col min="18" max="18" width="18" hidden="0" customWidth="1"/>
  </x:cols>
  <x:sheetData>
    <x:row r="2">
      <x:c r="A2" s="59" t="str">
        <x:v>Private root-house survivor obligation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</x:row>
    <x:row r="3">
      <x:c r="A3" s="61" t="str">
        <x:v>Each Root House distributes production across at least three sites; the surviving network meets the contract after loss of its largest site.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</x:row>
    <x:row r="5" ht="30" customHeight="1">
      <x:c r="A5" s="9" t="str">
        <x:v>Root</x:v>
      </x:c>
      <x:c r="B5" s="9" t="str">
        <x:v>System</x:v>
      </x:c>
      <x:c r="C5" s="9" t="str">
        <x:v>Unit mass (t)</x:v>
      </x:c>
      <x:c r="D5" s="9" t="str">
        <x:v>Required survivor rate (t/day)</x:v>
      </x:c>
      <x:c r="E5" s="9" t="str">
        <x:v>Minimum sites</x:v>
      </x:c>
      <x:c r="F5" s="9" t="str">
        <x:v>Maximum site share</x:v>
      </x:c>
      <x:c r="G5" s="9" t="str">
        <x:v>Installed distributed rate (t/day)</x:v>
      </x:c>
      <x:c r="H5" s="9" t="str">
        <x:v>Rate after largest-site loss</x:v>
      </x:c>
      <x:c r="I5" s="9" t="str">
        <x:v>First lot (days)</x:v>
      </x:c>
      <x:c r="J5" s="9" t="str">
        <x:v>First unit (days)</x:v>
      </x:c>
      <x:c r="K5" s="9" t="str">
        <x:v>Units by day 365</x:v>
      </x:c>
      <x:c r="L5" s="9" t="str">
        <x:v>Site 1 ID</x:v>
      </x:c>
      <x:c r="M5" s="9" t="str">
        <x:v>Site 2 ID</x:v>
      </x:c>
      <x:c r="N5" s="9" t="str">
        <x:v>Site 3 ID</x:v>
      </x:c>
      <x:c r="O5" s="9" t="str">
        <x:v>Alternate supplier ID</x:v>
      </x:c>
      <x:c r="P5" s="9" t="str">
        <x:v>Evidence ID</x:v>
      </x:c>
      <x:c r="Q5" s="9" t="str">
        <x:v>Planning</x:v>
      </x:c>
      <x:c r="R5" s="9" t="str">
        <x:v>Authority</x:v>
      </x:c>
    </x:row>
    <x:row r="6">
      <x:c r="A6" s="12" t="str">
        <x:v>TE-A</x:v>
      </x:c>
      <x:c r="B6" s="12" t="str">
        <x:v>MS-ET</x:v>
      </x:c>
      <x:c r="C6" s="29" t="n">
        <x:f>VLOOKUP(A6,'Root Units'!$A$6:$K$29,5,FALSE)</x:f>
        <x:v>89000</x:v>
      </x:c>
      <x:c r="D6" s="29" t="n">
        <x:f>VLOOKUP(A6,'Root Units'!$A$6:$K$29,9,FALSE)</x:f>
        <x:v>741.6666666666666</x:v>
      </x:c>
      <x:c r="E6" s="12" t="n">
        <x:f>Controls!$B$14</x:f>
        <x:v>3</x:v>
      </x:c>
      <x:c r="F6" s="39" t="n">
        <x:f>Controls!$B$15</x:f>
        <x:v>0.4</x:v>
      </x:c>
      <x:c r="G6" s="29" t="n">
        <x:f>D6/(1-F6)</x:f>
        <x:v>1236.111111111111</x:v>
      </x:c>
      <x:c r="H6" s="29" t="n">
        <x:f>G6*(1-F6)</x:f>
        <x:v>741.6666666666666</x:v>
      </x:c>
      <x:c r="I6" s="12" t="n">
        <x:f>Controls!$B$18</x:f>
        <x:v>30</x:v>
      </x:c>
      <x:c r="J6" s="12" t="n">
        <x:f>Controls!$B$19</x:f>
        <x:v>120</x:v>
      </x:c>
      <x:c r="K6" s="12" t="n">
        <x:f>Controls!$B$20</x:f>
        <x:v>3</x:v>
      </x:c>
      <x:c r="L6" s="16"/>
      <x:c r="M6" s="16"/>
      <x:c r="N6" s="16"/>
      <x:c r="O6" s="16"/>
      <x:c r="P6" s="16"/>
      <x:c r="Q6" s="12" t="str">
        <x:f>IF(AND(E6&gt;=3,F6&lt;=0.4,H6&gt;=D6,I6&lt;=30,J6&lt;=120,K6&gt;=3),"PASS","FAIL")</x:f>
        <x:v>PASS</x:v>
      </x:c>
      <x:c r="R6" s="12" t="str">
        <x:f>IF(COUNTA(L6:P6)=5,"EVIDENCE REQUIRED","SOURCE EMPTY")</x:f>
        <x:v>SOURCE EMPTY</x:v>
      </x:c>
    </x:row>
    <x:row r="7">
      <x:c r="A7" s="13" t="str">
        <x:v>TE-B</x:v>
      </x:c>
      <x:c r="B7" s="13" t="str">
        <x:v>MS-ET</x:v>
      </x:c>
      <x:c r="C7" s="30" t="n">
        <x:f>VLOOKUP(A7,'Root Units'!$A$6:$K$29,5,FALSE)</x:f>
        <x:v>58000</x:v>
      </x:c>
      <x:c r="D7" s="30" t="n">
        <x:f>VLOOKUP(A7,'Root Units'!$A$6:$K$29,9,FALSE)</x:f>
        <x:v>483.3333333333333</x:v>
      </x:c>
      <x:c r="E7" s="13" t="n">
        <x:f>Controls!$B$14</x:f>
        <x:v>3</x:v>
      </x:c>
      <x:c r="F7" s="24" t="n">
        <x:f>Controls!$B$15</x:f>
        <x:v>0.4</x:v>
      </x:c>
      <x:c r="G7" s="30" t="n">
        <x:f>D7/(1-F7)</x:f>
        <x:v>805.5555555555555</x:v>
      </x:c>
      <x:c r="H7" s="30" t="n">
        <x:f>G7*(1-F7)</x:f>
        <x:v>483.3333333333333</x:v>
      </x:c>
      <x:c r="I7" s="13" t="n">
        <x:f>Controls!$B$18</x:f>
        <x:v>30</x:v>
      </x:c>
      <x:c r="J7" s="13" t="n">
        <x:f>Controls!$B$19</x:f>
        <x:v>120</x:v>
      </x:c>
      <x:c r="K7" s="13" t="n">
        <x:f>Controls!$B$20</x:f>
        <x:v>3</x:v>
      </x:c>
      <x:c r="L7" s="17"/>
      <x:c r="M7" s="17"/>
      <x:c r="N7" s="17"/>
      <x:c r="O7" s="17"/>
      <x:c r="P7" s="17"/>
      <x:c r="Q7" s="13" t="str">
        <x:f>IF(AND(E7&gt;=3,F7&lt;=0.4,H7&gt;=D7,I7&lt;=30,J7&lt;=120,K7&gt;=3),"PASS","FAIL")</x:f>
        <x:v>PASS</x:v>
      </x:c>
      <x:c r="R7" s="13" t="str">
        <x:f>IF(COUNTA(L7:P7)=5,"EVIDENCE REQUIRED","SOURCE EMPTY")</x:f>
        <x:v>SOURCE EMPTY</x:v>
      </x:c>
    </x:row>
    <x:row r="8">
      <x:c r="A8" s="13" t="str">
        <x:v>TE-C</x:v>
      </x:c>
      <x:c r="B8" s="13" t="str">
        <x:v>MS-ET</x:v>
      </x:c>
      <x:c r="C8" s="30" t="n">
        <x:f>VLOOKUP(A8,'Root Units'!$A$6:$K$29,5,FALSE)</x:f>
        <x:v>74000</x:v>
      </x:c>
      <x:c r="D8" s="30" t="n">
        <x:f>VLOOKUP(A8,'Root Units'!$A$6:$K$29,9,FALSE)</x:f>
        <x:v>616.6666666666666</x:v>
      </x:c>
      <x:c r="E8" s="13" t="n">
        <x:f>Controls!$B$14</x:f>
        <x:v>3</x:v>
      </x:c>
      <x:c r="F8" s="24" t="n">
        <x:f>Controls!$B$15</x:f>
        <x:v>0.4</x:v>
      </x:c>
      <x:c r="G8" s="30" t="n">
        <x:f>D8/(1-F8)</x:f>
        <x:v>1027.7777777777778</x:v>
      </x:c>
      <x:c r="H8" s="30" t="n">
        <x:f>G8*(1-F8)</x:f>
        <x:v>616.6666666666666</x:v>
      </x:c>
      <x:c r="I8" s="13" t="n">
        <x:f>Controls!$B$18</x:f>
        <x:v>30</x:v>
      </x:c>
      <x:c r="J8" s="13" t="n">
        <x:f>Controls!$B$19</x:f>
        <x:v>120</x:v>
      </x:c>
      <x:c r="K8" s="13" t="n">
        <x:f>Controls!$B$20</x:f>
        <x:v>3</x:v>
      </x:c>
      <x:c r="L8" s="17"/>
      <x:c r="M8" s="17"/>
      <x:c r="N8" s="17"/>
      <x:c r="O8" s="17"/>
      <x:c r="P8" s="17"/>
      <x:c r="Q8" s="13" t="str">
        <x:f>IF(AND(E8&gt;=3,F8&lt;=0.4,H8&gt;=D8,I8&lt;=30,J8&lt;=120,K8&gt;=3),"PASS","FAIL")</x:f>
        <x:v>PASS</x:v>
      </x:c>
      <x:c r="R8" s="13" t="str">
        <x:f>IF(COUNTA(L8:P8)=5,"EVIDENCE REQUIRED","SOURCE EMPTY")</x:f>
        <x:v>SOURCE EMPTY</x:v>
      </x:c>
    </x:row>
    <x:row r="9">
      <x:c r="A9" s="13" t="str">
        <x:v>TE-D</x:v>
      </x:c>
      <x:c r="B9" s="13" t="str">
        <x:v>MS-ET</x:v>
      </x:c>
      <x:c r="C9" s="30" t="n">
        <x:f>VLOOKUP(A9,'Root Units'!$A$6:$K$29,5,FALSE)</x:f>
        <x:v>52000</x:v>
      </x:c>
      <x:c r="D9" s="30" t="n">
        <x:f>VLOOKUP(A9,'Root Units'!$A$6:$K$29,9,FALSE)</x:f>
        <x:v>433.3333333333333</x:v>
      </x:c>
      <x:c r="E9" s="13" t="n">
        <x:f>Controls!$B$14</x:f>
        <x:v>3</x:v>
      </x:c>
      <x:c r="F9" s="24" t="n">
        <x:f>Controls!$B$15</x:f>
        <x:v>0.4</x:v>
      </x:c>
      <x:c r="G9" s="30" t="n">
        <x:f>D9/(1-F9)</x:f>
        <x:v>722.2222222222222</x:v>
      </x:c>
      <x:c r="H9" s="30" t="n">
        <x:f>G9*(1-F9)</x:f>
        <x:v>433.3333333333333</x:v>
      </x:c>
      <x:c r="I9" s="13" t="n">
        <x:f>Controls!$B$18</x:f>
        <x:v>30</x:v>
      </x:c>
      <x:c r="J9" s="13" t="n">
        <x:f>Controls!$B$19</x:f>
        <x:v>120</x:v>
      </x:c>
      <x:c r="K9" s="13" t="n">
        <x:f>Controls!$B$20</x:f>
        <x:v>3</x:v>
      </x:c>
      <x:c r="L9" s="17"/>
      <x:c r="M9" s="17"/>
      <x:c r="N9" s="17"/>
      <x:c r="O9" s="17"/>
      <x:c r="P9" s="17"/>
      <x:c r="Q9" s="13" t="str">
        <x:f>IF(AND(E9&gt;=3,F9&lt;=0.4,H9&gt;=D9,I9&lt;=30,J9&lt;=120,K9&gt;=3),"PASS","FAIL")</x:f>
        <x:v>PASS</x:v>
      </x:c>
      <x:c r="R9" s="13" t="str">
        <x:f>IF(COUNTA(L9:P9)=5,"EVIDENCE REQUIRED","SOURCE EMPTY")</x:f>
        <x:v>SOURCE EMPTY</x:v>
      </x:c>
    </x:row>
    <x:row r="10">
      <x:c r="A10" s="13" t="str">
        <x:v>CT-A</x:v>
      </x:c>
      <x:c r="B10" s="13" t="str">
        <x:v>MS-CT</x:v>
      </x:c>
      <x:c r="C10" s="30" t="n">
        <x:f>VLOOKUP(A10,'Root Units'!$A$6:$K$29,5,FALSE)</x:f>
        <x:v>16000</x:v>
      </x:c>
      <x:c r="D10" s="30" t="n">
        <x:f>VLOOKUP(A10,'Root Units'!$A$6:$K$29,9,FALSE)</x:f>
        <x:v>133.33333333333334</x:v>
      </x:c>
      <x:c r="E10" s="13" t="n">
        <x:f>Controls!$B$14</x:f>
        <x:v>3</x:v>
      </x:c>
      <x:c r="F10" s="24" t="n">
        <x:f>Controls!$B$15</x:f>
        <x:v>0.4</x:v>
      </x:c>
      <x:c r="G10" s="30" t="n">
        <x:f>D10/(1-F10)</x:f>
        <x:v>222.22222222222226</x:v>
      </x:c>
      <x:c r="H10" s="30" t="n">
        <x:f>G10*(1-F10)</x:f>
        <x:v>133.33333333333334</x:v>
      </x:c>
      <x:c r="I10" s="13" t="n">
        <x:f>Controls!$B$18</x:f>
        <x:v>30</x:v>
      </x:c>
      <x:c r="J10" s="13" t="n">
        <x:f>Controls!$B$19</x:f>
        <x:v>120</x:v>
      </x:c>
      <x:c r="K10" s="13" t="n">
        <x:f>Controls!$B$20</x:f>
        <x:v>3</x:v>
      </x:c>
      <x:c r="L10" s="17"/>
      <x:c r="M10" s="17"/>
      <x:c r="N10" s="17"/>
      <x:c r="O10" s="17"/>
      <x:c r="P10" s="17"/>
      <x:c r="Q10" s="13" t="str">
        <x:f>IF(AND(E10&gt;=3,F10&lt;=0.4,H10&gt;=D10,I10&lt;=30,J10&lt;=120,K10&gt;=3),"PASS","FAIL")</x:f>
        <x:v>PASS</x:v>
      </x:c>
      <x:c r="R10" s="13" t="str">
        <x:f>IF(COUNTA(L10:P10)=5,"EVIDENCE REQUIRED","SOURCE EMPTY")</x:f>
        <x:v>SOURCE EMPTY</x:v>
      </x:c>
    </x:row>
    <x:row r="11">
      <x:c r="A11" s="13" t="str">
        <x:v>CT-B</x:v>
      </x:c>
      <x:c r="B11" s="13" t="str">
        <x:v>MS-CT</x:v>
      </x:c>
      <x:c r="C11" s="30" t="n">
        <x:f>VLOOKUP(A11,'Root Units'!$A$6:$K$29,5,FALSE)</x:f>
        <x:v>21000</x:v>
      </x:c>
      <x:c r="D11" s="30" t="n">
        <x:f>VLOOKUP(A11,'Root Units'!$A$6:$K$29,9,FALSE)</x:f>
        <x:v>175</x:v>
      </x:c>
      <x:c r="E11" s="13" t="n">
        <x:f>Controls!$B$14</x:f>
        <x:v>3</x:v>
      </x:c>
      <x:c r="F11" s="24" t="n">
        <x:f>Controls!$B$15</x:f>
        <x:v>0.4</x:v>
      </x:c>
      <x:c r="G11" s="30" t="n">
        <x:f>D11/(1-F11)</x:f>
        <x:v>291.6666666666667</x:v>
      </x:c>
      <x:c r="H11" s="30" t="n">
        <x:f>G11*(1-F11)</x:f>
        <x:v>175</x:v>
      </x:c>
      <x:c r="I11" s="13" t="n">
        <x:f>Controls!$B$18</x:f>
        <x:v>30</x:v>
      </x:c>
      <x:c r="J11" s="13" t="n">
        <x:f>Controls!$B$19</x:f>
        <x:v>120</x:v>
      </x:c>
      <x:c r="K11" s="13" t="n">
        <x:f>Controls!$B$20</x:f>
        <x:v>3</x:v>
      </x:c>
      <x:c r="L11" s="17"/>
      <x:c r="M11" s="17"/>
      <x:c r="N11" s="17"/>
      <x:c r="O11" s="17"/>
      <x:c r="P11" s="17"/>
      <x:c r="Q11" s="13" t="str">
        <x:f>IF(AND(E11&gt;=3,F11&lt;=0.4,H11&gt;=D11,I11&lt;=30,J11&lt;=120,K11&gt;=3),"PASS","FAIL")</x:f>
        <x:v>PASS</x:v>
      </x:c>
      <x:c r="R11" s="13" t="str">
        <x:f>IF(COUNTA(L11:P11)=5,"EVIDENCE REQUIRED","SOURCE EMPTY")</x:f>
        <x:v>SOURCE EMPTY</x:v>
      </x:c>
    </x:row>
    <x:row r="12">
      <x:c r="A12" s="13" t="str">
        <x:v>CT-C</x:v>
      </x:c>
      <x:c r="B12" s="13" t="str">
        <x:v>MS-CT</x:v>
      </x:c>
      <x:c r="C12" s="30" t="n">
        <x:f>VLOOKUP(A12,'Root Units'!$A$6:$K$29,5,FALSE)</x:f>
        <x:v>27000</x:v>
      </x:c>
      <x:c r="D12" s="30" t="n">
        <x:f>VLOOKUP(A12,'Root Units'!$A$6:$K$29,9,FALSE)</x:f>
        <x:v>225</x:v>
      </x:c>
      <x:c r="E12" s="13" t="n">
        <x:f>Controls!$B$14</x:f>
        <x:v>3</x:v>
      </x:c>
      <x:c r="F12" s="24" t="n">
        <x:f>Controls!$B$15</x:f>
        <x:v>0.4</x:v>
      </x:c>
      <x:c r="G12" s="30" t="n">
        <x:f>D12/(1-F12)</x:f>
        <x:v>375</x:v>
      </x:c>
      <x:c r="H12" s="30" t="n">
        <x:f>G12*(1-F12)</x:f>
        <x:v>225</x:v>
      </x:c>
      <x:c r="I12" s="13" t="n">
        <x:f>Controls!$B$18</x:f>
        <x:v>30</x:v>
      </x:c>
      <x:c r="J12" s="13" t="n">
        <x:f>Controls!$B$19</x:f>
        <x:v>120</x:v>
      </x:c>
      <x:c r="K12" s="13" t="n">
        <x:f>Controls!$B$20</x:f>
        <x:v>3</x:v>
      </x:c>
      <x:c r="L12" s="17"/>
      <x:c r="M12" s="17"/>
      <x:c r="N12" s="17"/>
      <x:c r="O12" s="17"/>
      <x:c r="P12" s="17"/>
      <x:c r="Q12" s="13" t="str">
        <x:f>IF(AND(E12&gt;=3,F12&lt;=0.4,H12&gt;=D12,I12&lt;=30,J12&lt;=120,K12&gt;=3),"PASS","FAIL")</x:f>
        <x:v>PASS</x:v>
      </x:c>
      <x:c r="R12" s="13" t="str">
        <x:f>IF(COUNTA(L12:P12)=5,"EVIDENCE REQUIRED","SOURCE EMPTY")</x:f>
        <x:v>SOURCE EMPTY</x:v>
      </x:c>
    </x:row>
    <x:row r="13">
      <x:c r="A13" s="13" t="str">
        <x:v>CT-D</x:v>
      </x:c>
      <x:c r="B13" s="13" t="str">
        <x:v>MS-CT</x:v>
      </x:c>
      <x:c r="C13" s="30" t="n">
        <x:f>VLOOKUP(A13,'Root Units'!$A$6:$K$29,5,FALSE)</x:f>
        <x:v>19000</x:v>
      </x:c>
      <x:c r="D13" s="30" t="n">
        <x:f>VLOOKUP(A13,'Root Units'!$A$6:$K$29,9,FALSE)</x:f>
        <x:v>158.33333333333334</x:v>
      </x:c>
      <x:c r="E13" s="13" t="n">
        <x:f>Controls!$B$14</x:f>
        <x:v>3</x:v>
      </x:c>
      <x:c r="F13" s="24" t="n">
        <x:f>Controls!$B$15</x:f>
        <x:v>0.4</x:v>
      </x:c>
      <x:c r="G13" s="30" t="n">
        <x:f>D13/(1-F13)</x:f>
        <x:v>263.8888888888889</x:v>
      </x:c>
      <x:c r="H13" s="30" t="n">
        <x:f>G13*(1-F13)</x:f>
        <x:v>158.33333333333334</x:v>
      </x:c>
      <x:c r="I13" s="13" t="n">
        <x:f>Controls!$B$18</x:f>
        <x:v>30</x:v>
      </x:c>
      <x:c r="J13" s="13" t="n">
        <x:f>Controls!$B$19</x:f>
        <x:v>120</x:v>
      </x:c>
      <x:c r="K13" s="13" t="n">
        <x:f>Controls!$B$20</x:f>
        <x:v>3</x:v>
      </x:c>
      <x:c r="L13" s="17"/>
      <x:c r="M13" s="17"/>
      <x:c r="N13" s="17"/>
      <x:c r="O13" s="17"/>
      <x:c r="P13" s="17"/>
      <x:c r="Q13" s="13" t="str">
        <x:f>IF(AND(E13&gt;=3,F13&lt;=0.4,H13&gt;=D13,I13&lt;=30,J13&lt;=120,K13&gt;=3),"PASS","FAIL")</x:f>
        <x:v>PASS</x:v>
      </x:c>
      <x:c r="R13" s="13" t="str">
        <x:f>IF(COUNTA(L13:P13)=5,"EVIDENCE REQUIRED","SOURCE EMPTY")</x:f>
        <x:v>SOURCE EMPTY</x:v>
      </x:c>
    </x:row>
    <x:row r="14">
      <x:c r="A14" s="13" t="str">
        <x:v>HC-A</x:v>
      </x:c>
      <x:c r="B14" s="13" t="str">
        <x:v>MS-HC</x:v>
      </x:c>
      <x:c r="C14" s="30" t="n">
        <x:f>VLOOKUP(A14,'Root Units'!$A$6:$K$29,5,FALSE)</x:f>
        <x:v>44000</x:v>
      </x:c>
      <x:c r="D14" s="30" t="n">
        <x:f>VLOOKUP(A14,'Root Units'!$A$6:$K$29,9,FALSE)</x:f>
        <x:v>366.6666666666667</x:v>
      </x:c>
      <x:c r="E14" s="13" t="n">
        <x:f>Controls!$B$14</x:f>
        <x:v>3</x:v>
      </x:c>
      <x:c r="F14" s="24" t="n">
        <x:f>Controls!$B$15</x:f>
        <x:v>0.4</x:v>
      </x:c>
      <x:c r="G14" s="30" t="n">
        <x:f>D14/(1-F14)</x:f>
        <x:v>611.1111111111112</x:v>
      </x:c>
      <x:c r="H14" s="30" t="n">
        <x:f>G14*(1-F14)</x:f>
        <x:v>366.6666666666667</x:v>
      </x:c>
      <x:c r="I14" s="13" t="n">
        <x:f>Controls!$B$18</x:f>
        <x:v>30</x:v>
      </x:c>
      <x:c r="J14" s="13" t="n">
        <x:f>Controls!$B$19</x:f>
        <x:v>120</x:v>
      </x:c>
      <x:c r="K14" s="13" t="n">
        <x:f>Controls!$B$20</x:f>
        <x:v>3</x:v>
      </x:c>
      <x:c r="L14" s="17"/>
      <x:c r="M14" s="17"/>
      <x:c r="N14" s="17"/>
      <x:c r="O14" s="17"/>
      <x:c r="P14" s="17"/>
      <x:c r="Q14" s="13" t="str">
        <x:f>IF(AND(E14&gt;=3,F14&lt;=0.4,H14&gt;=D14,I14&lt;=30,J14&lt;=120,K14&gt;=3),"PASS","FAIL")</x:f>
        <x:v>PASS</x:v>
      </x:c>
      <x:c r="R14" s="13" t="str">
        <x:f>IF(COUNTA(L14:P14)=5,"EVIDENCE REQUIRED","SOURCE EMPTY")</x:f>
        <x:v>SOURCE EMPTY</x:v>
      </x:c>
    </x:row>
    <x:row r="15">
      <x:c r="A15" s="13" t="str">
        <x:v>HC-B</x:v>
      </x:c>
      <x:c r="B15" s="13" t="str">
        <x:v>MS-HC</x:v>
      </x:c>
      <x:c r="C15" s="30" t="n">
        <x:f>VLOOKUP(A15,'Root Units'!$A$6:$K$29,5,FALSE)</x:f>
        <x:v>61000</x:v>
      </x:c>
      <x:c r="D15" s="30" t="n">
        <x:f>VLOOKUP(A15,'Root Units'!$A$6:$K$29,9,FALSE)</x:f>
        <x:v>508.3333333333333</x:v>
      </x:c>
      <x:c r="E15" s="13" t="n">
        <x:f>Controls!$B$14</x:f>
        <x:v>3</x:v>
      </x:c>
      <x:c r="F15" s="24" t="n">
        <x:f>Controls!$B$15</x:f>
        <x:v>0.4</x:v>
      </x:c>
      <x:c r="G15" s="30" t="n">
        <x:f>D15/(1-F15)</x:f>
        <x:v>847.2222222222222</x:v>
      </x:c>
      <x:c r="H15" s="30" t="n">
        <x:f>G15*(1-F15)</x:f>
        <x:v>508.33333333333326</x:v>
      </x:c>
      <x:c r="I15" s="13" t="n">
        <x:f>Controls!$B$18</x:f>
        <x:v>30</x:v>
      </x:c>
      <x:c r="J15" s="13" t="n">
        <x:f>Controls!$B$19</x:f>
        <x:v>120</x:v>
      </x:c>
      <x:c r="K15" s="13" t="n">
        <x:f>Controls!$B$20</x:f>
        <x:v>3</x:v>
      </x:c>
      <x:c r="L15" s="17"/>
      <x:c r="M15" s="17"/>
      <x:c r="N15" s="17"/>
      <x:c r="O15" s="17"/>
      <x:c r="P15" s="17"/>
      <x:c r="Q15" s="13" t="str">
        <x:f>IF(AND(E15&gt;=3,F15&lt;=0.4,H15&gt;=D15,I15&lt;=30,J15&lt;=120,K15&gt;=3),"PASS","FAIL")</x:f>
        <x:v>PASS</x:v>
      </x:c>
      <x:c r="R15" s="13" t="str">
        <x:f>IF(COUNTA(L15:P15)=5,"EVIDENCE REQUIRED","SOURCE EMPTY")</x:f>
        <x:v>SOURCE EMPTY</x:v>
      </x:c>
    </x:row>
    <x:row r="16">
      <x:c r="A16" s="13" t="str">
        <x:v>HC-C</x:v>
      </x:c>
      <x:c r="B16" s="13" t="str">
        <x:v>MS-HC</x:v>
      </x:c>
      <x:c r="C16" s="30" t="n">
        <x:f>VLOOKUP(A16,'Root Units'!$A$6:$K$29,5,FALSE)</x:f>
        <x:v>52000</x:v>
      </x:c>
      <x:c r="D16" s="30" t="n">
        <x:f>VLOOKUP(A16,'Root Units'!$A$6:$K$29,9,FALSE)</x:f>
        <x:v>433.3333333333333</x:v>
      </x:c>
      <x:c r="E16" s="13" t="n">
        <x:f>Controls!$B$14</x:f>
        <x:v>3</x:v>
      </x:c>
      <x:c r="F16" s="24" t="n">
        <x:f>Controls!$B$15</x:f>
        <x:v>0.4</x:v>
      </x:c>
      <x:c r="G16" s="30" t="n">
        <x:f>D16/(1-F16)</x:f>
        <x:v>722.2222222222222</x:v>
      </x:c>
      <x:c r="H16" s="30" t="n">
        <x:f>G16*(1-F16)</x:f>
        <x:v>433.3333333333333</x:v>
      </x:c>
      <x:c r="I16" s="13" t="n">
        <x:f>Controls!$B$18</x:f>
        <x:v>30</x:v>
      </x:c>
      <x:c r="J16" s="13" t="n">
        <x:f>Controls!$B$19</x:f>
        <x:v>120</x:v>
      </x:c>
      <x:c r="K16" s="13" t="n">
        <x:f>Controls!$B$20</x:f>
        <x:v>3</x:v>
      </x:c>
      <x:c r="L16" s="17"/>
      <x:c r="M16" s="17"/>
      <x:c r="N16" s="17"/>
      <x:c r="O16" s="17"/>
      <x:c r="P16" s="17"/>
      <x:c r="Q16" s="13" t="str">
        <x:f>IF(AND(E16&gt;=3,F16&lt;=0.4,H16&gt;=D16,I16&lt;=30,J16&lt;=120,K16&gt;=3),"PASS","FAIL")</x:f>
        <x:v>PASS</x:v>
      </x:c>
      <x:c r="R16" s="13" t="str">
        <x:f>IF(COUNTA(L16:P16)=5,"EVIDENCE REQUIRED","SOURCE EMPTY")</x:f>
        <x:v>SOURCE EMPTY</x:v>
      </x:c>
    </x:row>
    <x:row r="17">
      <x:c r="A17" s="13" t="str">
        <x:v>HC-D</x:v>
      </x:c>
      <x:c r="B17" s="13" t="str">
        <x:v>MS-HC</x:v>
      </x:c>
      <x:c r="C17" s="30" t="n">
        <x:f>VLOOKUP(A17,'Root Units'!$A$6:$K$29,5,FALSE)</x:f>
        <x:v>33000</x:v>
      </x:c>
      <x:c r="D17" s="30" t="n">
        <x:f>VLOOKUP(A17,'Root Units'!$A$6:$K$29,9,FALSE)</x:f>
        <x:v>275</x:v>
      </x:c>
      <x:c r="E17" s="13" t="n">
        <x:f>Controls!$B$14</x:f>
        <x:v>3</x:v>
      </x:c>
      <x:c r="F17" s="24" t="n">
        <x:f>Controls!$B$15</x:f>
        <x:v>0.4</x:v>
      </x:c>
      <x:c r="G17" s="30" t="n">
        <x:f>D17/(1-F17)</x:f>
        <x:v>458.33333333333337</x:v>
      </x:c>
      <x:c r="H17" s="30" t="n">
        <x:f>G17*(1-F17)</x:f>
        <x:v>275</x:v>
      </x:c>
      <x:c r="I17" s="13" t="n">
        <x:f>Controls!$B$18</x:f>
        <x:v>30</x:v>
      </x:c>
      <x:c r="J17" s="13" t="n">
        <x:f>Controls!$B$19</x:f>
        <x:v>120</x:v>
      </x:c>
      <x:c r="K17" s="13" t="n">
        <x:f>Controls!$B$20</x:f>
        <x:v>3</x:v>
      </x:c>
      <x:c r="L17" s="17"/>
      <x:c r="M17" s="17"/>
      <x:c r="N17" s="17"/>
      <x:c r="O17" s="17"/>
      <x:c r="P17" s="17"/>
      <x:c r="Q17" s="13" t="str">
        <x:f>IF(AND(E17&gt;=3,F17&lt;=0.4,H17&gt;=D17,I17&lt;=30,J17&lt;=120,K17&gt;=3),"PASS","FAIL")</x:f>
        <x:v>PASS</x:v>
      </x:c>
      <x:c r="R17" s="13" t="str">
        <x:f>IF(COUNTA(L17:P17)=5,"EVIDENCE REQUIRED","SOURCE EMPTY")</x:f>
        <x:v>SOURCE EMPTY</x:v>
      </x:c>
    </x:row>
    <x:row r="18">
      <x:c r="A18" s="13" t="str">
        <x:v>LF-A</x:v>
      </x:c>
      <x:c r="B18" s="13" t="str">
        <x:v>MS-LF</x:v>
      </x:c>
      <x:c r="C18" s="30" t="n">
        <x:f>VLOOKUP(A18,'Root Units'!$A$6:$K$29,5,FALSE)</x:f>
        <x:v>42825</x:v>
      </x:c>
      <x:c r="D18" s="30" t="n">
        <x:f>VLOOKUP(A18,'Root Units'!$A$6:$K$29,9,FALSE)</x:f>
        <x:v>356.875</x:v>
      </x:c>
      <x:c r="E18" s="13" t="n">
        <x:f>Controls!$B$14</x:f>
        <x:v>3</x:v>
      </x:c>
      <x:c r="F18" s="24" t="n">
        <x:f>Controls!$B$15</x:f>
        <x:v>0.4</x:v>
      </x:c>
      <x:c r="G18" s="30" t="n">
        <x:f>D18/(1-F18)</x:f>
        <x:v>594.7916666666667</x:v>
      </x:c>
      <x:c r="H18" s="30" t="n">
        <x:f>G18*(1-F18)</x:f>
        <x:v>356.87500000000006</x:v>
      </x:c>
      <x:c r="I18" s="13" t="n">
        <x:f>Controls!$B$18</x:f>
        <x:v>30</x:v>
      </x:c>
      <x:c r="J18" s="13" t="n">
        <x:f>Controls!$B$19</x:f>
        <x:v>120</x:v>
      </x:c>
      <x:c r="K18" s="13" t="n">
        <x:f>Controls!$B$20</x:f>
        <x:v>3</x:v>
      </x:c>
      <x:c r="L18" s="17"/>
      <x:c r="M18" s="17"/>
      <x:c r="N18" s="17"/>
      <x:c r="O18" s="17"/>
      <x:c r="P18" s="17"/>
      <x:c r="Q18" s="13" t="str">
        <x:f>IF(AND(E18&gt;=3,F18&lt;=0.4,H18&gt;=D18,I18&lt;=30,J18&lt;=120,K18&gt;=3),"PASS","FAIL")</x:f>
        <x:v>PASS</x:v>
      </x:c>
      <x:c r="R18" s="13" t="str">
        <x:f>IF(COUNTA(L18:P18)=5,"EVIDENCE REQUIRED","SOURCE EMPTY")</x:f>
        <x:v>SOURCE EMPTY</x:v>
      </x:c>
    </x:row>
    <x:row r="19">
      <x:c r="A19" s="13" t="str">
        <x:v>LF-B</x:v>
      </x:c>
      <x:c r="B19" s="13" t="str">
        <x:v>MS-LF</x:v>
      </x:c>
      <x:c r="C19" s="30" t="n">
        <x:f>VLOOKUP(A19,'Root Units'!$A$6:$K$29,5,FALSE)</x:f>
        <x:v>31075</x:v>
      </x:c>
      <x:c r="D19" s="30" t="n">
        <x:f>VLOOKUP(A19,'Root Units'!$A$6:$K$29,9,FALSE)</x:f>
        <x:v>258.9583333333333</x:v>
      </x:c>
      <x:c r="E19" s="13" t="n">
        <x:f>Controls!$B$14</x:f>
        <x:v>3</x:v>
      </x:c>
      <x:c r="F19" s="24" t="n">
        <x:f>Controls!$B$15</x:f>
        <x:v>0.4</x:v>
      </x:c>
      <x:c r="G19" s="30" t="n">
        <x:f>D19/(1-F19)</x:f>
        <x:v>431.59722222222223</x:v>
      </x:c>
      <x:c r="H19" s="30" t="n">
        <x:f>G19*(1-F19)</x:f>
        <x:v>258.9583333333333</x:v>
      </x:c>
      <x:c r="I19" s="13" t="n">
        <x:f>Controls!$B$18</x:f>
        <x:v>30</x:v>
      </x:c>
      <x:c r="J19" s="13" t="n">
        <x:f>Controls!$B$19</x:f>
        <x:v>120</x:v>
      </x:c>
      <x:c r="K19" s="13" t="n">
        <x:f>Controls!$B$20</x:f>
        <x:v>3</x:v>
      </x:c>
      <x:c r="L19" s="17"/>
      <x:c r="M19" s="17"/>
      <x:c r="N19" s="17"/>
      <x:c r="O19" s="17"/>
      <x:c r="P19" s="17"/>
      <x:c r="Q19" s="13" t="str">
        <x:f>IF(AND(E19&gt;=3,F19&lt;=0.4,H19&gt;=D19,I19&lt;=30,J19&lt;=120,K19&gt;=3),"PASS","FAIL")</x:f>
        <x:v>PASS</x:v>
      </x:c>
      <x:c r="R19" s="13" t="str">
        <x:f>IF(COUNTA(L19:P19)=5,"EVIDENCE REQUIRED","SOURCE EMPTY")</x:f>
        <x:v>SOURCE EMPTY</x:v>
      </x:c>
    </x:row>
    <x:row r="20">
      <x:c r="A20" s="13" t="str">
        <x:v>LF-C</x:v>
      </x:c>
      <x:c r="B20" s="13" t="str">
        <x:v>MS-LF</x:v>
      </x:c>
      <x:c r="C20" s="30" t="n">
        <x:f>VLOOKUP(A20,'Root Units'!$A$6:$K$29,5,FALSE)</x:f>
        <x:v>34650</x:v>
      </x:c>
      <x:c r="D20" s="30" t="n">
        <x:f>VLOOKUP(A20,'Root Units'!$A$6:$K$29,9,FALSE)</x:f>
        <x:v>288.75</x:v>
      </x:c>
      <x:c r="E20" s="13" t="n">
        <x:f>Controls!$B$14</x:f>
        <x:v>3</x:v>
      </x:c>
      <x:c r="F20" s="24" t="n">
        <x:f>Controls!$B$15</x:f>
        <x:v>0.4</x:v>
      </x:c>
      <x:c r="G20" s="30" t="n">
        <x:f>D20/(1-F20)</x:f>
        <x:v>481.25</x:v>
      </x:c>
      <x:c r="H20" s="30" t="n">
        <x:f>G20*(1-F20)</x:f>
        <x:v>288.75</x:v>
      </x:c>
      <x:c r="I20" s="13" t="n">
        <x:f>Controls!$B$18</x:f>
        <x:v>30</x:v>
      </x:c>
      <x:c r="J20" s="13" t="n">
        <x:f>Controls!$B$19</x:f>
        <x:v>120</x:v>
      </x:c>
      <x:c r="K20" s="13" t="n">
        <x:f>Controls!$B$20</x:f>
        <x:v>3</x:v>
      </x:c>
      <x:c r="L20" s="17"/>
      <x:c r="M20" s="17"/>
      <x:c r="N20" s="17"/>
      <x:c r="O20" s="17"/>
      <x:c r="P20" s="17"/>
      <x:c r="Q20" s="13" t="str">
        <x:f>IF(AND(E20&gt;=3,F20&lt;=0.4,H20&gt;=D20,I20&lt;=30,J20&lt;=120,K20&gt;=3),"PASS","FAIL")</x:f>
        <x:v>PASS</x:v>
      </x:c>
      <x:c r="R20" s="13" t="str">
        <x:f>IF(COUNTA(L20:P20)=5,"EVIDENCE REQUIRED","SOURCE EMPTY")</x:f>
        <x:v>SOURCE EMPTY</x:v>
      </x:c>
    </x:row>
    <x:row r="21">
      <x:c r="A21" s="13" t="str">
        <x:v>LF-D</x:v>
      </x:c>
      <x:c r="B21" s="13" t="str">
        <x:v>MS-LF</x:v>
      </x:c>
      <x:c r="C21" s="30" t="n">
        <x:f>VLOOKUP(A21,'Root Units'!$A$6:$K$29,5,FALSE)</x:f>
        <x:v>18350</x:v>
      </x:c>
      <x:c r="D21" s="30" t="n">
        <x:f>VLOOKUP(A21,'Root Units'!$A$6:$K$29,9,FALSE)</x:f>
        <x:v>152.91666666666666</x:v>
      </x:c>
      <x:c r="E21" s="13" t="n">
        <x:f>Controls!$B$14</x:f>
        <x:v>3</x:v>
      </x:c>
      <x:c r="F21" s="24" t="n">
        <x:f>Controls!$B$15</x:f>
        <x:v>0.4</x:v>
      </x:c>
      <x:c r="G21" s="30" t="n">
        <x:f>D21/(1-F21)</x:f>
        <x:v>254.86111111111111</x:v>
      </x:c>
      <x:c r="H21" s="30" t="n">
        <x:f>G21*(1-F21)</x:f>
        <x:v>152.91666666666666</x:v>
      </x:c>
      <x:c r="I21" s="13" t="n">
        <x:f>Controls!$B$18</x:f>
        <x:v>30</x:v>
      </x:c>
      <x:c r="J21" s="13" t="n">
        <x:f>Controls!$B$19</x:f>
        <x:v>120</x:v>
      </x:c>
      <x:c r="K21" s="13" t="n">
        <x:f>Controls!$B$20</x:f>
        <x:v>3</x:v>
      </x:c>
      <x:c r="L21" s="17"/>
      <x:c r="M21" s="17"/>
      <x:c r="N21" s="17"/>
      <x:c r="O21" s="17"/>
      <x:c r="P21" s="17"/>
      <x:c r="Q21" s="13" t="str">
        <x:f>IF(AND(E21&gt;=3,F21&lt;=0.4,H21&gt;=D21,I21&lt;=30,J21&lt;=120,K21&gt;=3),"PASS","FAIL")</x:f>
        <x:v>PASS</x:v>
      </x:c>
      <x:c r="R21" s="13" t="str">
        <x:f>IF(COUNTA(L21:P21)=5,"EVIDENCE REQUIRED","SOURCE EMPTY")</x:f>
        <x:v>SOURCE EMPTY</x:v>
      </x:c>
    </x:row>
    <x:row r="22">
      <x:c r="A22" s="13" t="str">
        <x:v>HU-A</x:v>
      </x:c>
      <x:c r="B22" s="13" t="str">
        <x:v>MS-HU</x:v>
      </x:c>
      <x:c r="C22" s="30" t="n">
        <x:f>VLOOKUP(A22,'Root Units'!$A$6:$K$29,5,FALSE)</x:f>
        <x:v>42000</x:v>
      </x:c>
      <x:c r="D22" s="30" t="n">
        <x:f>VLOOKUP(A22,'Root Units'!$A$6:$K$29,9,FALSE)</x:f>
        <x:v>350</x:v>
      </x:c>
      <x:c r="E22" s="13" t="n">
        <x:f>Controls!$B$14</x:f>
        <x:v>3</x:v>
      </x:c>
      <x:c r="F22" s="24" t="n">
        <x:f>Controls!$B$15</x:f>
        <x:v>0.4</x:v>
      </x:c>
      <x:c r="G22" s="30" t="n">
        <x:f>D22/(1-F22)</x:f>
        <x:v>583.3333333333334</x:v>
      </x:c>
      <x:c r="H22" s="30" t="n">
        <x:f>G22*(1-F22)</x:f>
        <x:v>350</x:v>
      </x:c>
      <x:c r="I22" s="13" t="n">
        <x:f>Controls!$B$18</x:f>
        <x:v>30</x:v>
      </x:c>
      <x:c r="J22" s="13" t="n">
        <x:f>Controls!$B$19</x:f>
        <x:v>120</x:v>
      </x:c>
      <x:c r="K22" s="13" t="n">
        <x:f>Controls!$B$20</x:f>
        <x:v>3</x:v>
      </x:c>
      <x:c r="L22" s="17"/>
      <x:c r="M22" s="17"/>
      <x:c r="N22" s="17"/>
      <x:c r="O22" s="17"/>
      <x:c r="P22" s="17"/>
      <x:c r="Q22" s="13" t="str">
        <x:f>IF(AND(E22&gt;=3,F22&lt;=0.4,H22&gt;=D22,I22&lt;=30,J22&lt;=120,K22&gt;=3),"PASS","FAIL")</x:f>
        <x:v>PASS</x:v>
      </x:c>
      <x:c r="R22" s="13" t="str">
        <x:f>IF(COUNTA(L22:P22)=5,"EVIDENCE REQUIRED","SOURCE EMPTY")</x:f>
        <x:v>SOURCE EMPTY</x:v>
      </x:c>
    </x:row>
    <x:row r="23">
      <x:c r="A23" s="13" t="str">
        <x:v>HU-B</x:v>
      </x:c>
      <x:c r="B23" s="13" t="str">
        <x:v>MS-HU</x:v>
      </x:c>
      <x:c r="C23" s="30" t="n">
        <x:f>VLOOKUP(A23,'Root Units'!$A$6:$K$29,5,FALSE)</x:f>
        <x:v>31000</x:v>
      </x:c>
      <x:c r="D23" s="30" t="n">
        <x:f>VLOOKUP(A23,'Root Units'!$A$6:$K$29,9,FALSE)</x:f>
        <x:v>258.3333333333333</x:v>
      </x:c>
      <x:c r="E23" s="13" t="n">
        <x:f>Controls!$B$14</x:f>
        <x:v>3</x:v>
      </x:c>
      <x:c r="F23" s="24" t="n">
        <x:f>Controls!$B$15</x:f>
        <x:v>0.4</x:v>
      </x:c>
      <x:c r="G23" s="30" t="n">
        <x:f>D23/(1-F23)</x:f>
        <x:v>430.55555555555554</x:v>
      </x:c>
      <x:c r="H23" s="30" t="n">
        <x:f>G23*(1-F23)</x:f>
        <x:v>258.3333333333333</x:v>
      </x:c>
      <x:c r="I23" s="13" t="n">
        <x:f>Controls!$B$18</x:f>
        <x:v>30</x:v>
      </x:c>
      <x:c r="J23" s="13" t="n">
        <x:f>Controls!$B$19</x:f>
        <x:v>120</x:v>
      </x:c>
      <x:c r="K23" s="13" t="n">
        <x:f>Controls!$B$20</x:f>
        <x:v>3</x:v>
      </x:c>
      <x:c r="L23" s="17"/>
      <x:c r="M23" s="17"/>
      <x:c r="N23" s="17"/>
      <x:c r="O23" s="17"/>
      <x:c r="P23" s="17"/>
      <x:c r="Q23" s="13" t="str">
        <x:f>IF(AND(E23&gt;=3,F23&lt;=0.4,H23&gt;=D23,I23&lt;=30,J23&lt;=120,K23&gt;=3),"PASS","FAIL")</x:f>
        <x:v>PASS</x:v>
      </x:c>
      <x:c r="R23" s="13" t="str">
        <x:f>IF(COUNTA(L23:P23)=5,"EVIDENCE REQUIRED","SOURCE EMPTY")</x:f>
        <x:v>SOURCE EMPTY</x:v>
      </x:c>
    </x:row>
    <x:row r="24">
      <x:c r="A24" s="13" t="str">
        <x:v>HU-C</x:v>
      </x:c>
      <x:c r="B24" s="13" t="str">
        <x:v>MS-HU</x:v>
      </x:c>
      <x:c r="C24" s="30" t="n">
        <x:f>VLOOKUP(A24,'Root Units'!$A$6:$K$29,5,FALSE)</x:f>
        <x:v>38000</x:v>
      </x:c>
      <x:c r="D24" s="30" t="n">
        <x:f>VLOOKUP(A24,'Root Units'!$A$6:$K$29,9,FALSE)</x:f>
        <x:v>316.6666666666667</x:v>
      </x:c>
      <x:c r="E24" s="13" t="n">
        <x:f>Controls!$B$14</x:f>
        <x:v>3</x:v>
      </x:c>
      <x:c r="F24" s="24" t="n">
        <x:f>Controls!$B$15</x:f>
        <x:v>0.4</x:v>
      </x:c>
      <x:c r="G24" s="30" t="n">
        <x:f>D24/(1-F24)</x:f>
        <x:v>527.7777777777778</x:v>
      </x:c>
      <x:c r="H24" s="30" t="n">
        <x:f>G24*(1-F24)</x:f>
        <x:v>316.6666666666667</x:v>
      </x:c>
      <x:c r="I24" s="13" t="n">
        <x:f>Controls!$B$18</x:f>
        <x:v>30</x:v>
      </x:c>
      <x:c r="J24" s="13" t="n">
        <x:f>Controls!$B$19</x:f>
        <x:v>120</x:v>
      </x:c>
      <x:c r="K24" s="13" t="n">
        <x:f>Controls!$B$20</x:f>
        <x:v>3</x:v>
      </x:c>
      <x:c r="L24" s="17"/>
      <x:c r="M24" s="17"/>
      <x:c r="N24" s="17"/>
      <x:c r="O24" s="17"/>
      <x:c r="P24" s="17"/>
      <x:c r="Q24" s="13" t="str">
        <x:f>IF(AND(E24&gt;=3,F24&lt;=0.4,H24&gt;=D24,I24&lt;=30,J24&lt;=120,K24&gt;=3),"PASS","FAIL")</x:f>
        <x:v>PASS</x:v>
      </x:c>
      <x:c r="R24" s="13" t="str">
        <x:f>IF(COUNTA(L24:P24)=5,"EVIDENCE REQUIRED","SOURCE EMPTY")</x:f>
        <x:v>SOURCE EMPTY</x:v>
      </x:c>
    </x:row>
    <x:row r="25">
      <x:c r="A25" s="13" t="str">
        <x:v>HU-D</x:v>
      </x:c>
      <x:c r="B25" s="13" t="str">
        <x:v>MS-HU</x:v>
      </x:c>
      <x:c r="C25" s="30" t="n">
        <x:f>VLOOKUP(A25,'Root Units'!$A$6:$K$29,5,FALSE)</x:f>
        <x:v>24000</x:v>
      </x:c>
      <x:c r="D25" s="30" t="n">
        <x:f>VLOOKUP(A25,'Root Units'!$A$6:$K$29,9,FALSE)</x:f>
        <x:v>200</x:v>
      </x:c>
      <x:c r="E25" s="13" t="n">
        <x:f>Controls!$B$14</x:f>
        <x:v>3</x:v>
      </x:c>
      <x:c r="F25" s="24" t="n">
        <x:f>Controls!$B$15</x:f>
        <x:v>0.4</x:v>
      </x:c>
      <x:c r="G25" s="30" t="n">
        <x:f>D25/(1-F25)</x:f>
        <x:v>333.33333333333337</x:v>
      </x:c>
      <x:c r="H25" s="30" t="n">
        <x:f>G25*(1-F25)</x:f>
        <x:v>200.00000000000003</x:v>
      </x:c>
      <x:c r="I25" s="13" t="n">
        <x:f>Controls!$B$18</x:f>
        <x:v>30</x:v>
      </x:c>
      <x:c r="J25" s="13" t="n">
        <x:f>Controls!$B$19</x:f>
        <x:v>120</x:v>
      </x:c>
      <x:c r="K25" s="13" t="n">
        <x:f>Controls!$B$20</x:f>
        <x:v>3</x:v>
      </x:c>
      <x:c r="L25" s="17"/>
      <x:c r="M25" s="17"/>
      <x:c r="N25" s="17"/>
      <x:c r="O25" s="17"/>
      <x:c r="P25" s="17"/>
      <x:c r="Q25" s="13" t="str">
        <x:f>IF(AND(E25&gt;=3,F25&lt;=0.4,H25&gt;=D25,I25&lt;=30,J25&lt;=120,K25&gt;=3),"PASS","FAIL")</x:f>
        <x:v>PASS</x:v>
      </x:c>
      <x:c r="R25" s="13" t="str">
        <x:f>IF(COUNTA(L25:P25)=5,"EVIDENCE REQUIRED","SOURCE EMPTY")</x:f>
        <x:v>SOURCE EMPTY</x:v>
      </x:c>
    </x:row>
    <x:row r="26">
      <x:c r="A26" s="13" t="str">
        <x:v>RT-A</x:v>
      </x:c>
      <x:c r="B26" s="13" t="str">
        <x:v>MS-RT</x:v>
      </x:c>
      <x:c r="C26" s="30" t="n">
        <x:f>VLOOKUP(A26,'Root Units'!$A$6:$K$29,5,FALSE)</x:f>
        <x:v>96000</x:v>
      </x:c>
      <x:c r="D26" s="30" t="n">
        <x:f>VLOOKUP(A26,'Root Units'!$A$6:$K$29,9,FALSE)</x:f>
        <x:v>800</x:v>
      </x:c>
      <x:c r="E26" s="13" t="n">
        <x:f>Controls!$B$14</x:f>
        <x:v>3</x:v>
      </x:c>
      <x:c r="F26" s="24" t="n">
        <x:f>Controls!$B$15</x:f>
        <x:v>0.4</x:v>
      </x:c>
      <x:c r="G26" s="30" t="n">
        <x:f>D26/(1-F26)</x:f>
        <x:v>1333.3333333333335</x:v>
      </x:c>
      <x:c r="H26" s="30" t="n">
        <x:f>G26*(1-F26)</x:f>
        <x:v>800.0000000000001</x:v>
      </x:c>
      <x:c r="I26" s="13" t="n">
        <x:f>Controls!$B$18</x:f>
        <x:v>30</x:v>
      </x:c>
      <x:c r="J26" s="13" t="n">
        <x:f>Controls!$B$19</x:f>
        <x:v>120</x:v>
      </x:c>
      <x:c r="K26" s="13" t="n">
        <x:f>Controls!$B$20</x:f>
        <x:v>3</x:v>
      </x:c>
      <x:c r="L26" s="17"/>
      <x:c r="M26" s="17"/>
      <x:c r="N26" s="17"/>
      <x:c r="O26" s="17"/>
      <x:c r="P26" s="17"/>
      <x:c r="Q26" s="13" t="str">
        <x:f>IF(AND(E26&gt;=3,F26&lt;=0.4,H26&gt;=D26,I26&lt;=30,J26&lt;=120,K26&gt;=3),"PASS","FAIL")</x:f>
        <x:v>PASS</x:v>
      </x:c>
      <x:c r="R26" s="13" t="str">
        <x:f>IF(COUNTA(L26:P26)=5,"EVIDENCE REQUIRED","SOURCE EMPTY")</x:f>
        <x:v>SOURCE EMPTY</x:v>
      </x:c>
    </x:row>
    <x:row r="27">
      <x:c r="A27" s="13" t="str">
        <x:v>RT-B</x:v>
      </x:c>
      <x:c r="B27" s="13" t="str">
        <x:v>MS-RT</x:v>
      </x:c>
      <x:c r="C27" s="30" t="n">
        <x:f>VLOOKUP(A27,'Root Units'!$A$6:$K$29,5,FALSE)</x:f>
        <x:v>58000</x:v>
      </x:c>
      <x:c r="D27" s="30" t="n">
        <x:f>VLOOKUP(A27,'Root Units'!$A$6:$K$29,9,FALSE)</x:f>
        <x:v>483.3333333333333</x:v>
      </x:c>
      <x:c r="E27" s="13" t="n">
        <x:f>Controls!$B$14</x:f>
        <x:v>3</x:v>
      </x:c>
      <x:c r="F27" s="24" t="n">
        <x:f>Controls!$B$15</x:f>
        <x:v>0.4</x:v>
      </x:c>
      <x:c r="G27" s="30" t="n">
        <x:f>D27/(1-F27)</x:f>
        <x:v>805.5555555555555</x:v>
      </x:c>
      <x:c r="H27" s="30" t="n">
        <x:f>G27*(1-F27)</x:f>
        <x:v>483.3333333333333</x:v>
      </x:c>
      <x:c r="I27" s="13" t="n">
        <x:f>Controls!$B$18</x:f>
        <x:v>30</x:v>
      </x:c>
      <x:c r="J27" s="13" t="n">
        <x:f>Controls!$B$19</x:f>
        <x:v>120</x:v>
      </x:c>
      <x:c r="K27" s="13" t="n">
        <x:f>Controls!$B$20</x:f>
        <x:v>3</x:v>
      </x:c>
      <x:c r="L27" s="17"/>
      <x:c r="M27" s="17"/>
      <x:c r="N27" s="17"/>
      <x:c r="O27" s="17"/>
      <x:c r="P27" s="17"/>
      <x:c r="Q27" s="13" t="str">
        <x:f>IF(AND(E27&gt;=3,F27&lt;=0.4,H27&gt;=D27,I27&lt;=30,J27&lt;=120,K27&gt;=3),"PASS","FAIL")</x:f>
        <x:v>PASS</x:v>
      </x:c>
      <x:c r="R27" s="13" t="str">
        <x:f>IF(COUNTA(L27:P27)=5,"EVIDENCE REQUIRED","SOURCE EMPTY")</x:f>
        <x:v>SOURCE EMPTY</x:v>
      </x:c>
    </x:row>
    <x:row r="28">
      <x:c r="A28" s="13" t="str">
        <x:v>RT-C</x:v>
      </x:c>
      <x:c r="B28" s="13" t="str">
        <x:v>MS-RT</x:v>
      </x:c>
      <x:c r="C28" s="30" t="n">
        <x:f>VLOOKUP(A28,'Root Units'!$A$6:$K$29,5,FALSE)</x:f>
        <x:v>72000</x:v>
      </x:c>
      <x:c r="D28" s="30" t="n">
        <x:f>VLOOKUP(A28,'Root Units'!$A$6:$K$29,9,FALSE)</x:f>
        <x:v>600</x:v>
      </x:c>
      <x:c r="E28" s="13" t="n">
        <x:f>Controls!$B$14</x:f>
        <x:v>3</x:v>
      </x:c>
      <x:c r="F28" s="24" t="n">
        <x:f>Controls!$B$15</x:f>
        <x:v>0.4</x:v>
      </x:c>
      <x:c r="G28" s="30" t="n">
        <x:f>D28/(1-F28)</x:f>
        <x:v>1000</x:v>
      </x:c>
      <x:c r="H28" s="30" t="n">
        <x:f>G28*(1-F28)</x:f>
        <x:v>600</x:v>
      </x:c>
      <x:c r="I28" s="13" t="n">
        <x:f>Controls!$B$18</x:f>
        <x:v>30</x:v>
      </x:c>
      <x:c r="J28" s="13" t="n">
        <x:f>Controls!$B$19</x:f>
        <x:v>120</x:v>
      </x:c>
      <x:c r="K28" s="13" t="n">
        <x:f>Controls!$B$20</x:f>
        <x:v>3</x:v>
      </x:c>
      <x:c r="L28" s="17"/>
      <x:c r="M28" s="17"/>
      <x:c r="N28" s="17"/>
      <x:c r="O28" s="17"/>
      <x:c r="P28" s="17"/>
      <x:c r="Q28" s="13" t="str">
        <x:f>IF(AND(E28&gt;=3,F28&lt;=0.4,H28&gt;=D28,I28&lt;=30,J28&lt;=120,K28&gt;=3),"PASS","FAIL")</x:f>
        <x:v>PASS</x:v>
      </x:c>
      <x:c r="R28" s="13" t="str">
        <x:f>IF(COUNTA(L28:P28)=5,"EVIDENCE REQUIRED","SOURCE EMPTY")</x:f>
        <x:v>SOURCE EMPTY</x:v>
      </x:c>
    </x:row>
    <x:row r="29">
      <x:c r="A29" s="13" t="str">
        <x:v>RT-D</x:v>
      </x:c>
      <x:c r="B29" s="13" t="str">
        <x:v>MS-RT</x:v>
      </x:c>
      <x:c r="C29" s="30" t="n">
        <x:f>VLOOKUP(A29,'Root Units'!$A$6:$K$29,5,FALSE)</x:f>
        <x:v>84000</x:v>
      </x:c>
      <x:c r="D29" s="30" t="n">
        <x:f>VLOOKUP(A29,'Root Units'!$A$6:$K$29,9,FALSE)</x:f>
        <x:v>700</x:v>
      </x:c>
      <x:c r="E29" s="13" t="n">
        <x:f>Controls!$B$14</x:f>
        <x:v>3</x:v>
      </x:c>
      <x:c r="F29" s="24" t="n">
        <x:f>Controls!$B$15</x:f>
        <x:v>0.4</x:v>
      </x:c>
      <x:c r="G29" s="30" t="n">
        <x:f>D29/(1-F29)</x:f>
        <x:v>1166.6666666666667</x:v>
      </x:c>
      <x:c r="H29" s="30" t="n">
        <x:f>G29*(1-F29)</x:f>
        <x:v>700</x:v>
      </x:c>
      <x:c r="I29" s="13" t="n">
        <x:f>Controls!$B$18</x:f>
        <x:v>30</x:v>
      </x:c>
      <x:c r="J29" s="13" t="n">
        <x:f>Controls!$B$19</x:f>
        <x:v>120</x:v>
      </x:c>
      <x:c r="K29" s="13" t="n">
        <x:f>Controls!$B$20</x:f>
        <x:v>3</x:v>
      </x:c>
      <x:c r="L29" s="17"/>
      <x:c r="M29" s="17"/>
      <x:c r="N29" s="17"/>
      <x:c r="O29" s="17"/>
      <x:c r="P29" s="17"/>
      <x:c r="Q29" s="13" t="str">
        <x:f>IF(AND(E29&gt;=3,F29&lt;=0.4,H29&gt;=D29,I29&lt;=30,J29&lt;=120,K29&gt;=3),"PASS","FAIL")</x:f>
        <x:v>PASS</x:v>
      </x:c>
      <x:c r="R29" s="13" t="str">
        <x:f>IF(COUNTA(L29:P29)=5,"EVIDENCE REQUIRED","SOURCE EMPTY")</x:f>
        <x:v>SOURCE EMPTY</x:v>
      </x:c>
    </x:row>
  </x:sheetData>
  <x:conditionalFormatting sqref="Q6:R29">
    <x:cfRule type="containsText" dxfId="4" priority="1" operator="containsText" text="FAIL"/>
    <x:cfRule type="containsText" dxfId="5" priority="2" operator="containsText" text="SOURCE EMPT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9" hidden="0" customWidth="1"/>
    <x:col min="10" max="10" width="20" hidden="0" customWidth="1"/>
    <x:col min="11" max="11" width="18" hidden="0" customWidth="1"/>
    <x:col min="12" max="12" width="21" hidden="0" customWidth="1"/>
    <x:col min="13" max="13" width="20" hidden="0" customWidth="1"/>
    <x:col min="14" max="14" width="20" hidden="0" customWidth="1"/>
    <x:col min="15" max="15" width="16" hidden="0" customWidth="1"/>
    <x:col min="16" max="16" width="16" hidden="0" customWidth="1"/>
    <x:col min="17" max="17" width="12" hidden="0" customWidth="1"/>
    <x:col min="18" max="18" width="18" hidden="0" customWidth="1"/>
  </x:cols>
  <x:sheetData>
    <x:row r="2">
      <x:c r="A2" s="59" t="str">
        <x:v>Forty-eight public cold-production paths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</x:row>
    <x:row r="3">
      <x:c r="A3" s="61" t="str">
        <x:v>Each root has two paths under different cell, site and operator identities. Identity fields remain source-empty.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</x:row>
    <x:row r="5" ht="30" customHeight="1">
      <x:c r="A5" s="9" t="str">
        <x:v>Qualification</x:v>
      </x:c>
      <x:c r="B5" s="9" t="str">
        <x:v>Root</x:v>
      </x:c>
      <x:c r="C5" s="9" t="str">
        <x:v>System</x:v>
      </x:c>
      <x:c r="D5" s="9" t="str">
        <x:v>Cell</x:v>
      </x:c>
      <x:c r="E5" s="9" t="str">
        <x:v>Unit mass (t)</x:v>
      </x:c>
      <x:c r="F5" s="9" t="str">
        <x:v>Effective rate (t/day)</x:v>
      </x:c>
      <x:c r="G5" s="9" t="str">
        <x:v>Process power (MW)</x:v>
      </x:c>
      <x:c r="H5" s="9" t="str">
        <x:v>Active workers</x:v>
      </x:c>
      <x:c r="I5" s="9" t="str">
        <x:v>Keystone inventory (t)</x:v>
      </x:c>
      <x:c r="J5" s="9" t="str">
        <x:v>Tooling capsule ID</x:v>
      </x:c>
      <x:c r="K5" s="9" t="str">
        <x:v>Cell-site ID</x:v>
      </x:c>
      <x:c r="L5" s="9" t="str">
        <x:v>Operator-control ID</x:v>
      </x:c>
      <x:c r="M5" s="9" t="str">
        <x:v>Alternate supplier ID</x:v>
      </x:c>
      <x:c r="N5" s="9" t="str">
        <x:v>Workforce cohort ID</x:v>
      </x:c>
      <x:c r="O5" s="9" t="str">
        <x:v>Cold lot ID</x:v>
      </x:c>
      <x:c r="P5" s="9" t="str">
        <x:v>Evidence ID</x:v>
      </x:c>
      <x:c r="Q5" s="9" t="str">
        <x:v>Planning</x:v>
      </x:c>
      <x:c r="R5" s="9" t="str">
        <x:v>Authority</x:v>
      </x:c>
    </x:row>
    <x:row r="6">
      <x:c r="A6" s="12" t="str">
        <x:v>TE-A-TE-CELL-1</x:v>
      </x:c>
      <x:c r="B6" s="12" t="str">
        <x:v>TE-A</x:v>
      </x:c>
      <x:c r="C6" s="12" t="str">
        <x:v>MS-ET</x:v>
      </x:c>
      <x:c r="D6" s="12" t="str">
        <x:v>TE-CELL-1</x:v>
      </x:c>
      <x:c r="E6" s="29" t="n">
        <x:f>VLOOKUP(B6,'Root Units'!$A$6:$K$29,5,FALSE)</x:f>
        <x:v>89000</x:v>
      </x:c>
      <x:c r="F6" s="29" t="n">
        <x:f>VLOOKUP(B6,'Root Units'!$A$6:$K$29,8,FALSE)</x:f>
        <x:v>487.67123287671234</x:v>
      </x:c>
      <x:c r="G6" s="29" t="n">
        <x:f>VLOOKUP(B6,'Root Units'!$A$6:$K$29,10,FALSE)</x:f>
        <x:v>24.383561643835616</x:v>
      </x:c>
      <x:c r="H6" s="29" t="n">
        <x:f>VLOOKUP(B6,'Root Units'!$A$6:$K$29,11,FALSE)</x:f>
        <x:v>3657.5342465753424</x:v>
      </x:c>
      <x:c r="I6" s="29" t="n">
        <x:f>E6*Controls!$B$28</x:f>
        <x:v>13350</x:v>
      </x:c>
      <x:c r="J6" s="16"/>
      <x:c r="K6" s="16"/>
      <x:c r="L6" s="16"/>
      <x:c r="M6" s="16"/>
      <x:c r="N6" s="16"/>
      <x:c r="O6" s="16"/>
      <x:c r="P6" s="16"/>
      <x:c r="Q6" s="12" t="str">
        <x:f>IF(AND(E6&gt;0,F6&gt;0,G6&gt;0,H6&gt;0,I6=E6*Controls!$B$28),"PASS","FAIL")</x:f>
        <x:v>PASS</x:v>
      </x:c>
      <x:c r="R6" s="12" t="str">
        <x:f>IF(COUNTA(J6:P6)=7,"EVIDENCE REQUIRED","SOURCE EMPTY")</x:f>
        <x:v>SOURCE EMPTY</x:v>
      </x:c>
    </x:row>
    <x:row r="7">
      <x:c r="A7" s="13" t="str">
        <x:v>TE-B-TE-CELL-1</x:v>
      </x:c>
      <x:c r="B7" s="13" t="str">
        <x:v>TE-B</x:v>
      </x:c>
      <x:c r="C7" s="13" t="str">
        <x:v>MS-ET</x:v>
      </x:c>
      <x:c r="D7" s="13" t="str">
        <x:v>TE-CELL-1</x:v>
      </x:c>
      <x:c r="E7" s="30" t="n">
        <x:f>VLOOKUP(B7,'Root Units'!$A$6:$K$29,5,FALSE)</x:f>
        <x:v>58000</x:v>
      </x:c>
      <x:c r="F7" s="30" t="n">
        <x:f>VLOOKUP(B7,'Root Units'!$A$6:$K$29,8,FALSE)</x:f>
        <x:v>317.8082191780822</x:v>
      </x:c>
      <x:c r="G7" s="30" t="n">
        <x:f>VLOOKUP(B7,'Root Units'!$A$6:$K$29,10,FALSE)</x:f>
        <x:v>23.835616438356166</x:v>
      </x:c>
      <x:c r="H7" s="30" t="n">
        <x:f>VLOOKUP(B7,'Root Units'!$A$6:$K$29,11,FALSE)</x:f>
        <x:v>3442.922374429224</x:v>
      </x:c>
      <x:c r="I7" s="30" t="n">
        <x:f>E7*Controls!$B$28</x:f>
        <x:v>8700</x:v>
      </x:c>
      <x:c r="J7" s="17"/>
      <x:c r="K7" s="17"/>
      <x:c r="L7" s="17"/>
      <x:c r="M7" s="17"/>
      <x:c r="N7" s="17"/>
      <x:c r="O7" s="17"/>
      <x:c r="P7" s="17"/>
      <x:c r="Q7" s="13" t="str">
        <x:f>IF(AND(E7&gt;0,F7&gt;0,G7&gt;0,H7&gt;0,I7=E7*Controls!$B$28),"PASS","FAIL")</x:f>
        <x:v>PASS</x:v>
      </x:c>
      <x:c r="R7" s="13" t="str">
        <x:f>IF(COUNTA(J7:P7)=7,"EVIDENCE REQUIRED","SOURCE EMPTY")</x:f>
        <x:v>SOURCE EMPTY</x:v>
      </x:c>
    </x:row>
    <x:row r="8">
      <x:c r="A8" s="13" t="str">
        <x:v>TE-C-TE-CELL-2</x:v>
      </x:c>
      <x:c r="B8" s="13" t="str">
        <x:v>TE-C</x:v>
      </x:c>
      <x:c r="C8" s="13" t="str">
        <x:v>MS-ET</x:v>
      </x:c>
      <x:c r="D8" s="13" t="str">
        <x:v>TE-CELL-2</x:v>
      </x:c>
      <x:c r="E8" s="30" t="n">
        <x:f>VLOOKUP(B8,'Root Units'!$A$6:$K$29,5,FALSE)</x:f>
        <x:v>74000</x:v>
      </x:c>
      <x:c r="F8" s="30" t="n">
        <x:f>VLOOKUP(B8,'Root Units'!$A$6:$K$29,8,FALSE)</x:f>
        <x:v>405.47945205479454</x:v>
      </x:c>
      <x:c r="G8" s="30" t="n">
        <x:f>VLOOKUP(B8,'Root Units'!$A$6:$K$29,10,FALSE)</x:f>
        <x:v>15.205479452054796</x:v>
      </x:c>
      <x:c r="H8" s="30" t="n">
        <x:f>VLOOKUP(B8,'Root Units'!$A$6:$K$29,11,FALSE)</x:f>
        <x:v>2703.1963470319633</x:v>
      </x:c>
      <x:c r="I8" s="30" t="n">
        <x:f>E8*Controls!$B$28</x:f>
        <x:v>11100</x:v>
      </x:c>
      <x:c r="J8" s="17"/>
      <x:c r="K8" s="17"/>
      <x:c r="L8" s="17"/>
      <x:c r="M8" s="17"/>
      <x:c r="N8" s="17"/>
      <x:c r="O8" s="17"/>
      <x:c r="P8" s="17"/>
      <x:c r="Q8" s="13" t="str">
        <x:f>IF(AND(E8&gt;0,F8&gt;0,G8&gt;0,H8&gt;0,I8=E8*Controls!$B$28),"PASS","FAIL")</x:f>
        <x:v>PASS</x:v>
      </x:c>
      <x:c r="R8" s="13" t="str">
        <x:f>IF(COUNTA(J8:P8)=7,"EVIDENCE REQUIRED","SOURCE EMPTY")</x:f>
        <x:v>SOURCE EMPTY</x:v>
      </x:c>
    </x:row>
    <x:row r="9">
      <x:c r="A9" s="13" t="str">
        <x:v>TE-D-TE-CELL-2</x:v>
      </x:c>
      <x:c r="B9" s="13" t="str">
        <x:v>TE-D</x:v>
      </x:c>
      <x:c r="C9" s="13" t="str">
        <x:v>MS-ET</x:v>
      </x:c>
      <x:c r="D9" s="13" t="str">
        <x:v>TE-CELL-2</x:v>
      </x:c>
      <x:c r="E9" s="30" t="n">
        <x:f>VLOOKUP(B9,'Root Units'!$A$6:$K$29,5,FALSE)</x:f>
        <x:v>52000</x:v>
      </x:c>
      <x:c r="F9" s="30" t="n">
        <x:f>VLOOKUP(B9,'Root Units'!$A$6:$K$29,8,FALSE)</x:f>
        <x:v>284.93150684931504</x:v>
      </x:c>
      <x:c r="G9" s="30" t="n">
        <x:f>VLOOKUP(B9,'Root Units'!$A$6:$K$29,10,FALSE)</x:f>
        <x:v>13.059360730593609</x:v>
      </x:c>
      <x:c r="H9" s="30" t="n">
        <x:f>VLOOKUP(B9,'Root Units'!$A$6:$K$29,11,FALSE)</x:f>
        <x:v>2374.4292237442924</x:v>
      </x:c>
      <x:c r="I9" s="30" t="n">
        <x:f>E9*Controls!$B$28</x:f>
        <x:v>7800</x:v>
      </x:c>
      <x:c r="J9" s="17"/>
      <x:c r="K9" s="17"/>
      <x:c r="L9" s="17"/>
      <x:c r="M9" s="17"/>
      <x:c r="N9" s="17"/>
      <x:c r="O9" s="17"/>
      <x:c r="P9" s="17"/>
      <x:c r="Q9" s="13" t="str">
        <x:f>IF(AND(E9&gt;0,F9&gt;0,G9&gt;0,H9&gt;0,I9=E9*Controls!$B$28),"PASS","FAIL")</x:f>
        <x:v>PASS</x:v>
      </x:c>
      <x:c r="R9" s="13" t="str">
        <x:f>IF(COUNTA(J9:P9)=7,"EVIDENCE REQUIRED","SOURCE EMPTY")</x:f>
        <x:v>SOURCE EMPTY</x:v>
      </x:c>
    </x:row>
    <x:row r="10">
      <x:c r="A10" s="13" t="str">
        <x:v>TE-A-TE-CELL-3</x:v>
      </x:c>
      <x:c r="B10" s="13" t="str">
        <x:v>TE-A</x:v>
      </x:c>
      <x:c r="C10" s="13" t="str">
        <x:v>MS-ET</x:v>
      </x:c>
      <x:c r="D10" s="13" t="str">
        <x:v>TE-CELL-3</x:v>
      </x:c>
      <x:c r="E10" s="30" t="n">
        <x:f>VLOOKUP(B10,'Root Units'!$A$6:$K$29,5,FALSE)</x:f>
        <x:v>89000</x:v>
      </x:c>
      <x:c r="F10" s="30" t="n">
        <x:f>VLOOKUP(B10,'Root Units'!$A$6:$K$29,8,FALSE)</x:f>
        <x:v>487.67123287671234</x:v>
      </x:c>
      <x:c r="G10" s="30" t="n">
        <x:f>VLOOKUP(B10,'Root Units'!$A$6:$K$29,10,FALSE)</x:f>
        <x:v>24.383561643835616</x:v>
      </x:c>
      <x:c r="H10" s="30" t="n">
        <x:f>VLOOKUP(B10,'Root Units'!$A$6:$K$29,11,FALSE)</x:f>
        <x:v>3657.5342465753424</x:v>
      </x:c>
      <x:c r="I10" s="30" t="n">
        <x:f>E10*Controls!$B$28</x:f>
        <x:v>13350</x:v>
      </x:c>
      <x:c r="J10" s="17"/>
      <x:c r="K10" s="17"/>
      <x:c r="L10" s="17"/>
      <x:c r="M10" s="17"/>
      <x:c r="N10" s="17"/>
      <x:c r="O10" s="17"/>
      <x:c r="P10" s="17"/>
      <x:c r="Q10" s="13" t="str">
        <x:f>IF(AND(E10&gt;0,F10&gt;0,G10&gt;0,H10&gt;0,I10=E10*Controls!$B$28),"PASS","FAIL")</x:f>
        <x:v>PASS</x:v>
      </x:c>
      <x:c r="R10" s="13" t="str">
        <x:f>IF(COUNTA(J10:P10)=7,"EVIDENCE REQUIRED","SOURCE EMPTY")</x:f>
        <x:v>SOURCE EMPTY</x:v>
      </x:c>
    </x:row>
    <x:row r="11">
      <x:c r="A11" s="13" t="str">
        <x:v>TE-C-TE-CELL-3</x:v>
      </x:c>
      <x:c r="B11" s="13" t="str">
        <x:v>TE-C</x:v>
      </x:c>
      <x:c r="C11" s="13" t="str">
        <x:v>MS-ET</x:v>
      </x:c>
      <x:c r="D11" s="13" t="str">
        <x:v>TE-CELL-3</x:v>
      </x:c>
      <x:c r="E11" s="30" t="n">
        <x:f>VLOOKUP(B11,'Root Units'!$A$6:$K$29,5,FALSE)</x:f>
        <x:v>74000</x:v>
      </x:c>
      <x:c r="F11" s="30" t="n">
        <x:f>VLOOKUP(B11,'Root Units'!$A$6:$K$29,8,FALSE)</x:f>
        <x:v>405.47945205479454</x:v>
      </x:c>
      <x:c r="G11" s="30" t="n">
        <x:f>VLOOKUP(B11,'Root Units'!$A$6:$K$29,10,FALSE)</x:f>
        <x:v>15.205479452054796</x:v>
      </x:c>
      <x:c r="H11" s="30" t="n">
        <x:f>VLOOKUP(B11,'Root Units'!$A$6:$K$29,11,FALSE)</x:f>
        <x:v>2703.1963470319633</x:v>
      </x:c>
      <x:c r="I11" s="30" t="n">
        <x:f>E11*Controls!$B$28</x:f>
        <x:v>11100</x:v>
      </x:c>
      <x:c r="J11" s="17"/>
      <x:c r="K11" s="17"/>
      <x:c r="L11" s="17"/>
      <x:c r="M11" s="17"/>
      <x:c r="N11" s="17"/>
      <x:c r="O11" s="17"/>
      <x:c r="P11" s="17"/>
      <x:c r="Q11" s="13" t="str">
        <x:f>IF(AND(E11&gt;0,F11&gt;0,G11&gt;0,H11&gt;0,I11=E11*Controls!$B$28),"PASS","FAIL")</x:f>
        <x:v>PASS</x:v>
      </x:c>
      <x:c r="R11" s="13" t="str">
        <x:f>IF(COUNTA(J11:P11)=7,"EVIDENCE REQUIRED","SOURCE EMPTY")</x:f>
        <x:v>SOURCE EMPTY</x:v>
      </x:c>
    </x:row>
    <x:row r="12">
      <x:c r="A12" s="13" t="str">
        <x:v>TE-B-TE-CELL-4</x:v>
      </x:c>
      <x:c r="B12" s="13" t="str">
        <x:v>TE-B</x:v>
      </x:c>
      <x:c r="C12" s="13" t="str">
        <x:v>MS-ET</x:v>
      </x:c>
      <x:c r="D12" s="13" t="str">
        <x:v>TE-CELL-4</x:v>
      </x:c>
      <x:c r="E12" s="30" t="n">
        <x:f>VLOOKUP(B12,'Root Units'!$A$6:$K$29,5,FALSE)</x:f>
        <x:v>58000</x:v>
      </x:c>
      <x:c r="F12" s="30" t="n">
        <x:f>VLOOKUP(B12,'Root Units'!$A$6:$K$29,8,FALSE)</x:f>
        <x:v>317.8082191780822</x:v>
      </x:c>
      <x:c r="G12" s="30" t="n">
        <x:f>VLOOKUP(B12,'Root Units'!$A$6:$K$29,10,FALSE)</x:f>
        <x:v>23.835616438356166</x:v>
      </x:c>
      <x:c r="H12" s="30" t="n">
        <x:f>VLOOKUP(B12,'Root Units'!$A$6:$K$29,11,FALSE)</x:f>
        <x:v>3442.922374429224</x:v>
      </x:c>
      <x:c r="I12" s="30" t="n">
        <x:f>E12*Controls!$B$28</x:f>
        <x:v>8700</x:v>
      </x:c>
      <x:c r="J12" s="17"/>
      <x:c r="K12" s="17"/>
      <x:c r="L12" s="17"/>
      <x:c r="M12" s="17"/>
      <x:c r="N12" s="17"/>
      <x:c r="O12" s="17"/>
      <x:c r="P12" s="17"/>
      <x:c r="Q12" s="13" t="str">
        <x:f>IF(AND(E12&gt;0,F12&gt;0,G12&gt;0,H12&gt;0,I12=E12*Controls!$B$28),"PASS","FAIL")</x:f>
        <x:v>PASS</x:v>
      </x:c>
      <x:c r="R12" s="13" t="str">
        <x:f>IF(COUNTA(J12:P12)=7,"EVIDENCE REQUIRED","SOURCE EMPTY")</x:f>
        <x:v>SOURCE EMPTY</x:v>
      </x:c>
    </x:row>
    <x:row r="13">
      <x:c r="A13" s="13" t="str">
        <x:v>TE-D-TE-CELL-4</x:v>
      </x:c>
      <x:c r="B13" s="13" t="str">
        <x:v>TE-D</x:v>
      </x:c>
      <x:c r="C13" s="13" t="str">
        <x:v>MS-ET</x:v>
      </x:c>
      <x:c r="D13" s="13" t="str">
        <x:v>TE-CELL-4</x:v>
      </x:c>
      <x:c r="E13" s="30" t="n">
        <x:f>VLOOKUP(B13,'Root Units'!$A$6:$K$29,5,FALSE)</x:f>
        <x:v>52000</x:v>
      </x:c>
      <x:c r="F13" s="30" t="n">
        <x:f>VLOOKUP(B13,'Root Units'!$A$6:$K$29,8,FALSE)</x:f>
        <x:v>284.93150684931504</x:v>
      </x:c>
      <x:c r="G13" s="30" t="n">
        <x:f>VLOOKUP(B13,'Root Units'!$A$6:$K$29,10,FALSE)</x:f>
        <x:v>13.059360730593609</x:v>
      </x:c>
      <x:c r="H13" s="30" t="n">
        <x:f>VLOOKUP(B13,'Root Units'!$A$6:$K$29,11,FALSE)</x:f>
        <x:v>2374.4292237442924</x:v>
      </x:c>
      <x:c r="I13" s="30" t="n">
        <x:f>E13*Controls!$B$28</x:f>
        <x:v>7800</x:v>
      </x:c>
      <x:c r="J13" s="17"/>
      <x:c r="K13" s="17"/>
      <x:c r="L13" s="17"/>
      <x:c r="M13" s="17"/>
      <x:c r="N13" s="17"/>
      <x:c r="O13" s="17"/>
      <x:c r="P13" s="17"/>
      <x:c r="Q13" s="13" t="str">
        <x:f>IF(AND(E13&gt;0,F13&gt;0,G13&gt;0,H13&gt;0,I13=E13*Controls!$B$28),"PASS","FAIL")</x:f>
        <x:v>PASS</x:v>
      </x:c>
      <x:c r="R13" s="13" t="str">
        <x:f>IF(COUNTA(J13:P13)=7,"EVIDENCE REQUIRED","SOURCE EMPTY")</x:f>
        <x:v>SOURCE EMPTY</x:v>
      </x:c>
    </x:row>
    <x:row r="14">
      <x:c r="A14" s="13" t="str">
        <x:v>CT-A-CT-CELL-1</x:v>
      </x:c>
      <x:c r="B14" s="13" t="str">
        <x:v>CT-A</x:v>
      </x:c>
      <x:c r="C14" s="13" t="str">
        <x:v>MS-CT</x:v>
      </x:c>
      <x:c r="D14" s="13" t="str">
        <x:v>CT-CELL-1</x:v>
      </x:c>
      <x:c r="E14" s="30" t="n">
        <x:f>VLOOKUP(B14,'Root Units'!$A$6:$K$29,5,FALSE)</x:f>
        <x:v>16000</x:v>
      </x:c>
      <x:c r="F14" s="30" t="n">
        <x:f>VLOOKUP(B14,'Root Units'!$A$6:$K$29,8,FALSE)</x:f>
        <x:v>87.67123287671232</x:v>
      </x:c>
      <x:c r="G14" s="30" t="n">
        <x:f>VLOOKUP(B14,'Root Units'!$A$6:$K$29,10,FALSE)</x:f>
        <x:v>5.47945205479452</x:v>
      </x:c>
      <x:c r="H14" s="30" t="n">
        <x:f>VLOOKUP(B14,'Root Units'!$A$6:$K$29,11,FALSE)</x:f>
        <x:v>803.6529680365297</x:v>
      </x:c>
      <x:c r="I14" s="30" t="n">
        <x:f>E14*Controls!$B$28</x:f>
        <x:v>2400</x:v>
      </x:c>
      <x:c r="J14" s="17"/>
      <x:c r="K14" s="17"/>
      <x:c r="L14" s="17"/>
      <x:c r="M14" s="17"/>
      <x:c r="N14" s="17"/>
      <x:c r="O14" s="17"/>
      <x:c r="P14" s="17"/>
      <x:c r="Q14" s="13" t="str">
        <x:f>IF(AND(E14&gt;0,F14&gt;0,G14&gt;0,H14&gt;0,I14=E14*Controls!$B$28),"PASS","FAIL")</x:f>
        <x:v>PASS</x:v>
      </x:c>
      <x:c r="R14" s="13" t="str">
        <x:f>IF(COUNTA(J14:P14)=7,"EVIDENCE REQUIRED","SOURCE EMPTY")</x:f>
        <x:v>SOURCE EMPTY</x:v>
      </x:c>
    </x:row>
    <x:row r="15">
      <x:c r="A15" s="13" t="str">
        <x:v>CT-B-CT-CELL-1</x:v>
      </x:c>
      <x:c r="B15" s="13" t="str">
        <x:v>CT-B</x:v>
      </x:c>
      <x:c r="C15" s="13" t="str">
        <x:v>MS-CT</x:v>
      </x:c>
      <x:c r="D15" s="13" t="str">
        <x:v>CT-CELL-1</x:v>
      </x:c>
      <x:c r="E15" s="30" t="n">
        <x:f>VLOOKUP(B15,'Root Units'!$A$6:$K$29,5,FALSE)</x:f>
        <x:v>21000</x:v>
      </x:c>
      <x:c r="F15" s="30" t="n">
        <x:f>VLOOKUP(B15,'Root Units'!$A$6:$K$29,8,FALSE)</x:f>
        <x:v>115.06849315068493</x:v>
      </x:c>
      <x:c r="G15" s="30" t="n">
        <x:f>VLOOKUP(B15,'Root Units'!$A$6:$K$29,10,FALSE)</x:f>
        <x:v>9.58904109589041</x:v>
      </x:c>
      <x:c r="H15" s="30" t="n">
        <x:f>VLOOKUP(B15,'Root Units'!$A$6:$K$29,11,FALSE)</x:f>
        <x:v>1342.4657534246576</x:v>
      </x:c>
      <x:c r="I15" s="30" t="n">
        <x:f>E15*Controls!$B$28</x:f>
        <x:v>3150</x:v>
      </x:c>
      <x:c r="J15" s="17"/>
      <x:c r="K15" s="17"/>
      <x:c r="L15" s="17"/>
      <x:c r="M15" s="17"/>
      <x:c r="N15" s="17"/>
      <x:c r="O15" s="17"/>
      <x:c r="P15" s="17"/>
      <x:c r="Q15" s="13" t="str">
        <x:f>IF(AND(E15&gt;0,F15&gt;0,G15&gt;0,H15&gt;0,I15=E15*Controls!$B$28),"PASS","FAIL")</x:f>
        <x:v>PASS</x:v>
      </x:c>
      <x:c r="R15" s="13" t="str">
        <x:f>IF(COUNTA(J15:P15)=7,"EVIDENCE REQUIRED","SOURCE EMPTY")</x:f>
        <x:v>SOURCE EMPTY</x:v>
      </x:c>
    </x:row>
    <x:row r="16">
      <x:c r="A16" s="13" t="str">
        <x:v>CT-C-CT-CELL-2</x:v>
      </x:c>
      <x:c r="B16" s="13" t="str">
        <x:v>CT-C</x:v>
      </x:c>
      <x:c r="C16" s="13" t="str">
        <x:v>MS-CT</x:v>
      </x:c>
      <x:c r="D16" s="13" t="str">
        <x:v>CT-CELL-2</x:v>
      </x:c>
      <x:c r="E16" s="30" t="n">
        <x:f>VLOOKUP(B16,'Root Units'!$A$6:$K$29,5,FALSE)</x:f>
        <x:v>27000</x:v>
      </x:c>
      <x:c r="F16" s="30" t="n">
        <x:f>VLOOKUP(B16,'Root Units'!$A$6:$K$29,8,FALSE)</x:f>
        <x:v>147.94520547945206</x:v>
      </x:c>
      <x:c r="G16" s="30" t="n">
        <x:f>VLOOKUP(B16,'Root Units'!$A$6:$K$29,10,FALSE)</x:f>
        <x:v>8.013698630136988</x:v>
      </x:c>
      <x:c r="H16" s="30" t="n">
        <x:f>VLOOKUP(B16,'Root Units'!$A$6:$K$29,11,FALSE)</x:f>
        <x:v>1479.4520547945206</x:v>
      </x:c>
      <x:c r="I16" s="30" t="n">
        <x:f>E16*Controls!$B$28</x:f>
        <x:v>4050</x:v>
      </x:c>
      <x:c r="J16" s="17"/>
      <x:c r="K16" s="17"/>
      <x:c r="L16" s="17"/>
      <x:c r="M16" s="17"/>
      <x:c r="N16" s="17"/>
      <x:c r="O16" s="17"/>
      <x:c r="P16" s="17"/>
      <x:c r="Q16" s="13" t="str">
        <x:f>IF(AND(E16&gt;0,F16&gt;0,G16&gt;0,H16&gt;0,I16=E16*Controls!$B$28),"PASS","FAIL")</x:f>
        <x:v>PASS</x:v>
      </x:c>
      <x:c r="R16" s="13" t="str">
        <x:f>IF(COUNTA(J16:P16)=7,"EVIDENCE REQUIRED","SOURCE EMPTY")</x:f>
        <x:v>SOURCE EMPTY</x:v>
      </x:c>
    </x:row>
    <x:row r="17">
      <x:c r="A17" s="13" t="str">
        <x:v>CT-D-CT-CELL-2</x:v>
      </x:c>
      <x:c r="B17" s="13" t="str">
        <x:v>CT-D</x:v>
      </x:c>
      <x:c r="C17" s="13" t="str">
        <x:v>MS-CT</x:v>
      </x:c>
      <x:c r="D17" s="13" t="str">
        <x:v>CT-CELL-2</x:v>
      </x:c>
      <x:c r="E17" s="30" t="n">
        <x:f>VLOOKUP(B17,'Root Units'!$A$6:$K$29,5,FALSE)</x:f>
        <x:v>19000</x:v>
      </x:c>
      <x:c r="F17" s="30" t="n">
        <x:f>VLOOKUP(B17,'Root Units'!$A$6:$K$29,8,FALSE)</x:f>
        <x:v>104.10958904109589</x:v>
      </x:c>
      <x:c r="G17" s="30" t="n">
        <x:f>VLOOKUP(B17,'Root Units'!$A$6:$K$29,10,FALSE)</x:f>
        <x:v>6.940639269406393</x:v>
      </x:c>
      <x:c r="H17" s="30" t="n">
        <x:f>VLOOKUP(B17,'Root Units'!$A$6:$K$29,11,FALSE)</x:f>
        <x:v>867.5799086757991</x:v>
      </x:c>
      <x:c r="I17" s="30" t="n">
        <x:f>E17*Controls!$B$28</x:f>
        <x:v>2850</x:v>
      </x:c>
      <x:c r="J17" s="17"/>
      <x:c r="K17" s="17"/>
      <x:c r="L17" s="17"/>
      <x:c r="M17" s="17"/>
      <x:c r="N17" s="17"/>
      <x:c r="O17" s="17"/>
      <x:c r="P17" s="17"/>
      <x:c r="Q17" s="13" t="str">
        <x:f>IF(AND(E17&gt;0,F17&gt;0,G17&gt;0,H17&gt;0,I17=E17*Controls!$B$28),"PASS","FAIL")</x:f>
        <x:v>PASS</x:v>
      </x:c>
      <x:c r="R17" s="13" t="str">
        <x:f>IF(COUNTA(J17:P17)=7,"EVIDENCE REQUIRED","SOURCE EMPTY")</x:f>
        <x:v>SOURCE EMPTY</x:v>
      </x:c>
    </x:row>
    <x:row r="18">
      <x:c r="A18" s="13" t="str">
        <x:v>CT-A-CT-CELL-3</x:v>
      </x:c>
      <x:c r="B18" s="13" t="str">
        <x:v>CT-A</x:v>
      </x:c>
      <x:c r="C18" s="13" t="str">
        <x:v>MS-CT</x:v>
      </x:c>
      <x:c r="D18" s="13" t="str">
        <x:v>CT-CELL-3</x:v>
      </x:c>
      <x:c r="E18" s="30" t="n">
        <x:f>VLOOKUP(B18,'Root Units'!$A$6:$K$29,5,FALSE)</x:f>
        <x:v>16000</x:v>
      </x:c>
      <x:c r="F18" s="30" t="n">
        <x:f>VLOOKUP(B18,'Root Units'!$A$6:$K$29,8,FALSE)</x:f>
        <x:v>87.67123287671232</x:v>
      </x:c>
      <x:c r="G18" s="30" t="n">
        <x:f>VLOOKUP(B18,'Root Units'!$A$6:$K$29,10,FALSE)</x:f>
        <x:v>5.47945205479452</x:v>
      </x:c>
      <x:c r="H18" s="30" t="n">
        <x:f>VLOOKUP(B18,'Root Units'!$A$6:$K$29,11,FALSE)</x:f>
        <x:v>803.6529680365297</x:v>
      </x:c>
      <x:c r="I18" s="30" t="n">
        <x:f>E18*Controls!$B$28</x:f>
        <x:v>2400</x:v>
      </x:c>
      <x:c r="J18" s="17"/>
      <x:c r="K18" s="17"/>
      <x:c r="L18" s="17"/>
      <x:c r="M18" s="17"/>
      <x:c r="N18" s="17"/>
      <x:c r="O18" s="17"/>
      <x:c r="P18" s="17"/>
      <x:c r="Q18" s="13" t="str">
        <x:f>IF(AND(E18&gt;0,F18&gt;0,G18&gt;0,H18&gt;0,I18=E18*Controls!$B$28),"PASS","FAIL")</x:f>
        <x:v>PASS</x:v>
      </x:c>
      <x:c r="R18" s="13" t="str">
        <x:f>IF(COUNTA(J18:P18)=7,"EVIDENCE REQUIRED","SOURCE EMPTY")</x:f>
        <x:v>SOURCE EMPTY</x:v>
      </x:c>
    </x:row>
    <x:row r="19">
      <x:c r="A19" s="13" t="str">
        <x:v>CT-C-CT-CELL-3</x:v>
      </x:c>
      <x:c r="B19" s="13" t="str">
        <x:v>CT-C</x:v>
      </x:c>
      <x:c r="C19" s="13" t="str">
        <x:v>MS-CT</x:v>
      </x:c>
      <x:c r="D19" s="13" t="str">
        <x:v>CT-CELL-3</x:v>
      </x:c>
      <x:c r="E19" s="30" t="n">
        <x:f>VLOOKUP(B19,'Root Units'!$A$6:$K$29,5,FALSE)</x:f>
        <x:v>27000</x:v>
      </x:c>
      <x:c r="F19" s="30" t="n">
        <x:f>VLOOKUP(B19,'Root Units'!$A$6:$K$29,8,FALSE)</x:f>
        <x:v>147.94520547945206</x:v>
      </x:c>
      <x:c r="G19" s="30" t="n">
        <x:f>VLOOKUP(B19,'Root Units'!$A$6:$K$29,10,FALSE)</x:f>
        <x:v>8.013698630136988</x:v>
      </x:c>
      <x:c r="H19" s="30" t="n">
        <x:f>VLOOKUP(B19,'Root Units'!$A$6:$K$29,11,FALSE)</x:f>
        <x:v>1479.4520547945206</x:v>
      </x:c>
      <x:c r="I19" s="30" t="n">
        <x:f>E19*Controls!$B$28</x:f>
        <x:v>4050</x:v>
      </x:c>
      <x:c r="J19" s="17"/>
      <x:c r="K19" s="17"/>
      <x:c r="L19" s="17"/>
      <x:c r="M19" s="17"/>
      <x:c r="N19" s="17"/>
      <x:c r="O19" s="17"/>
      <x:c r="P19" s="17"/>
      <x:c r="Q19" s="13" t="str">
        <x:f>IF(AND(E19&gt;0,F19&gt;0,G19&gt;0,H19&gt;0,I19=E19*Controls!$B$28),"PASS","FAIL")</x:f>
        <x:v>PASS</x:v>
      </x:c>
      <x:c r="R19" s="13" t="str">
        <x:f>IF(COUNTA(J19:P19)=7,"EVIDENCE REQUIRED","SOURCE EMPTY")</x:f>
        <x:v>SOURCE EMPTY</x:v>
      </x:c>
    </x:row>
    <x:row r="20">
      <x:c r="A20" s="13" t="str">
        <x:v>CT-B-CT-CELL-4</x:v>
      </x:c>
      <x:c r="B20" s="13" t="str">
        <x:v>CT-B</x:v>
      </x:c>
      <x:c r="C20" s="13" t="str">
        <x:v>MS-CT</x:v>
      </x:c>
      <x:c r="D20" s="13" t="str">
        <x:v>CT-CELL-4</x:v>
      </x:c>
      <x:c r="E20" s="30" t="n">
        <x:f>VLOOKUP(B20,'Root Units'!$A$6:$K$29,5,FALSE)</x:f>
        <x:v>21000</x:v>
      </x:c>
      <x:c r="F20" s="30" t="n">
        <x:f>VLOOKUP(B20,'Root Units'!$A$6:$K$29,8,FALSE)</x:f>
        <x:v>115.06849315068493</x:v>
      </x:c>
      <x:c r="G20" s="30" t="n">
        <x:f>VLOOKUP(B20,'Root Units'!$A$6:$K$29,10,FALSE)</x:f>
        <x:v>9.58904109589041</x:v>
      </x:c>
      <x:c r="H20" s="30" t="n">
        <x:f>VLOOKUP(B20,'Root Units'!$A$6:$K$29,11,FALSE)</x:f>
        <x:v>1342.4657534246576</x:v>
      </x:c>
      <x:c r="I20" s="30" t="n">
        <x:f>E20*Controls!$B$28</x:f>
        <x:v>3150</x:v>
      </x:c>
      <x:c r="J20" s="17"/>
      <x:c r="K20" s="17"/>
      <x:c r="L20" s="17"/>
      <x:c r="M20" s="17"/>
      <x:c r="N20" s="17"/>
      <x:c r="O20" s="17"/>
      <x:c r="P20" s="17"/>
      <x:c r="Q20" s="13" t="str">
        <x:f>IF(AND(E20&gt;0,F20&gt;0,G20&gt;0,H20&gt;0,I20=E20*Controls!$B$28),"PASS","FAIL")</x:f>
        <x:v>PASS</x:v>
      </x:c>
      <x:c r="R20" s="13" t="str">
        <x:f>IF(COUNTA(J20:P20)=7,"EVIDENCE REQUIRED","SOURCE EMPTY")</x:f>
        <x:v>SOURCE EMPTY</x:v>
      </x:c>
    </x:row>
    <x:row r="21">
      <x:c r="A21" s="13" t="str">
        <x:v>CT-D-CT-CELL-4</x:v>
      </x:c>
      <x:c r="B21" s="13" t="str">
        <x:v>CT-D</x:v>
      </x:c>
      <x:c r="C21" s="13" t="str">
        <x:v>MS-CT</x:v>
      </x:c>
      <x:c r="D21" s="13" t="str">
        <x:v>CT-CELL-4</x:v>
      </x:c>
      <x:c r="E21" s="30" t="n">
        <x:f>VLOOKUP(B21,'Root Units'!$A$6:$K$29,5,FALSE)</x:f>
        <x:v>19000</x:v>
      </x:c>
      <x:c r="F21" s="30" t="n">
        <x:f>VLOOKUP(B21,'Root Units'!$A$6:$K$29,8,FALSE)</x:f>
        <x:v>104.10958904109589</x:v>
      </x:c>
      <x:c r="G21" s="30" t="n">
        <x:f>VLOOKUP(B21,'Root Units'!$A$6:$K$29,10,FALSE)</x:f>
        <x:v>6.940639269406393</x:v>
      </x:c>
      <x:c r="H21" s="30" t="n">
        <x:f>VLOOKUP(B21,'Root Units'!$A$6:$K$29,11,FALSE)</x:f>
        <x:v>867.5799086757991</x:v>
      </x:c>
      <x:c r="I21" s="30" t="n">
        <x:f>E21*Controls!$B$28</x:f>
        <x:v>2850</x:v>
      </x:c>
      <x:c r="J21" s="17"/>
      <x:c r="K21" s="17"/>
      <x:c r="L21" s="17"/>
      <x:c r="M21" s="17"/>
      <x:c r="N21" s="17"/>
      <x:c r="O21" s="17"/>
      <x:c r="P21" s="17"/>
      <x:c r="Q21" s="13" t="str">
        <x:f>IF(AND(E21&gt;0,F21&gt;0,G21&gt;0,H21&gt;0,I21=E21*Controls!$B$28),"PASS","FAIL")</x:f>
        <x:v>PASS</x:v>
      </x:c>
      <x:c r="R21" s="13" t="str">
        <x:f>IF(COUNTA(J21:P21)=7,"EVIDENCE REQUIRED","SOURCE EMPTY")</x:f>
        <x:v>SOURCE EMPTY</x:v>
      </x:c>
    </x:row>
    <x:row r="22">
      <x:c r="A22" s="13" t="str">
        <x:v>HC-A-HC-CELL-1</x:v>
      </x:c>
      <x:c r="B22" s="13" t="str">
        <x:v>HC-A</x:v>
      </x:c>
      <x:c r="C22" s="13" t="str">
        <x:v>MS-HC</x:v>
      </x:c>
      <x:c r="D22" s="13" t="str">
        <x:v>HC-CELL-1</x:v>
      </x:c>
      <x:c r="E22" s="30" t="n">
        <x:f>VLOOKUP(B22,'Root Units'!$A$6:$K$29,5,FALSE)</x:f>
        <x:v>44000</x:v>
      </x:c>
      <x:c r="F22" s="30" t="n">
        <x:f>VLOOKUP(B22,'Root Units'!$A$6:$K$29,8,FALSE)</x:f>
        <x:v>241.0958904109589</x:v>
      </x:c>
      <x:c r="G22" s="30" t="n">
        <x:f>VLOOKUP(B22,'Root Units'!$A$6:$K$29,10,FALSE)</x:f>
        <x:v>22.100456621004568</x:v>
      </x:c>
      <x:c r="H22" s="30" t="n">
        <x:f>VLOOKUP(B22,'Root Units'!$A$6:$K$29,11,FALSE)</x:f>
        <x:v>2812.785388127854</x:v>
      </x:c>
      <x:c r="I22" s="30" t="n">
        <x:f>E22*Controls!$B$28</x:f>
        <x:v>6600</x:v>
      </x:c>
      <x:c r="J22" s="17"/>
      <x:c r="K22" s="17"/>
      <x:c r="L22" s="17"/>
      <x:c r="M22" s="17"/>
      <x:c r="N22" s="17"/>
      <x:c r="O22" s="17"/>
      <x:c r="P22" s="17"/>
      <x:c r="Q22" s="13" t="str">
        <x:f>IF(AND(E22&gt;0,F22&gt;0,G22&gt;0,H22&gt;0,I22=E22*Controls!$B$28),"PASS","FAIL")</x:f>
        <x:v>PASS</x:v>
      </x:c>
      <x:c r="R22" s="13" t="str">
        <x:f>IF(COUNTA(J22:P22)=7,"EVIDENCE REQUIRED","SOURCE EMPTY")</x:f>
        <x:v>SOURCE EMPTY</x:v>
      </x:c>
    </x:row>
    <x:row r="23">
      <x:c r="A23" s="13" t="str">
        <x:v>HC-B-HC-CELL-1</x:v>
      </x:c>
      <x:c r="B23" s="13" t="str">
        <x:v>HC-B</x:v>
      </x:c>
      <x:c r="C23" s="13" t="str">
        <x:v>MS-HC</x:v>
      </x:c>
      <x:c r="D23" s="13" t="str">
        <x:v>HC-CELL-1</x:v>
      </x:c>
      <x:c r="E23" s="30" t="n">
        <x:f>VLOOKUP(B23,'Root Units'!$A$6:$K$29,5,FALSE)</x:f>
        <x:v>61000</x:v>
      </x:c>
      <x:c r="F23" s="30" t="n">
        <x:f>VLOOKUP(B23,'Root Units'!$A$6:$K$29,8,FALSE)</x:f>
        <x:v>334.24657534246575</x:v>
      </x:c>
      <x:c r="G23" s="30" t="n">
        <x:f>VLOOKUP(B23,'Root Units'!$A$6:$K$29,10,FALSE)</x:f>
        <x:v>16.712328767123285</x:v>
      </x:c>
      <x:c r="H23" s="30" t="n">
        <x:f>VLOOKUP(B23,'Root Units'!$A$6:$K$29,11,FALSE)</x:f>
        <x:v>2506.849315068493</x:v>
      </x:c>
      <x:c r="I23" s="30" t="n">
        <x:f>E23*Controls!$B$28</x:f>
        <x:v>9150</x:v>
      </x:c>
      <x:c r="J23" s="17"/>
      <x:c r="K23" s="17"/>
      <x:c r="L23" s="17"/>
      <x:c r="M23" s="17"/>
      <x:c r="N23" s="17"/>
      <x:c r="O23" s="17"/>
      <x:c r="P23" s="17"/>
      <x:c r="Q23" s="13" t="str">
        <x:f>IF(AND(E23&gt;0,F23&gt;0,G23&gt;0,H23&gt;0,I23=E23*Controls!$B$28),"PASS","FAIL")</x:f>
        <x:v>PASS</x:v>
      </x:c>
      <x:c r="R23" s="13" t="str">
        <x:f>IF(COUNTA(J23:P23)=7,"EVIDENCE REQUIRED","SOURCE EMPTY")</x:f>
        <x:v>SOURCE EMPTY</x:v>
      </x:c>
    </x:row>
    <x:row r="24">
      <x:c r="A24" s="13" t="str">
        <x:v>HC-C-HC-CELL-2</x:v>
      </x:c>
      <x:c r="B24" s="13" t="str">
        <x:v>HC-C</x:v>
      </x:c>
      <x:c r="C24" s="13" t="str">
        <x:v>MS-HC</x:v>
      </x:c>
      <x:c r="D24" s="13" t="str">
        <x:v>HC-CELL-2</x:v>
      </x:c>
      <x:c r="E24" s="30" t="n">
        <x:f>VLOOKUP(B24,'Root Units'!$A$6:$K$29,5,FALSE)</x:f>
        <x:v>52000</x:v>
      </x:c>
      <x:c r="F24" s="30" t="n">
        <x:f>VLOOKUP(B24,'Root Units'!$A$6:$K$29,8,FALSE)</x:f>
        <x:v>284.93150684931504</x:v>
      </x:c>
      <x:c r="G24" s="30" t="n">
        <x:f>VLOOKUP(B24,'Root Units'!$A$6:$K$29,10,FALSE)</x:f>
        <x:v>13.059360730593609</x:v>
      </x:c>
      <x:c r="H24" s="30" t="n">
        <x:f>VLOOKUP(B24,'Root Units'!$A$6:$K$29,11,FALSE)</x:f>
        <x:v>2374.4292237442924</x:v>
      </x:c>
      <x:c r="I24" s="30" t="n">
        <x:f>E24*Controls!$B$28</x:f>
        <x:v>7800</x:v>
      </x:c>
      <x:c r="J24" s="17"/>
      <x:c r="K24" s="17"/>
      <x:c r="L24" s="17"/>
      <x:c r="M24" s="17"/>
      <x:c r="N24" s="17"/>
      <x:c r="O24" s="17"/>
      <x:c r="P24" s="17"/>
      <x:c r="Q24" s="13" t="str">
        <x:f>IF(AND(E24&gt;0,F24&gt;0,G24&gt;0,H24&gt;0,I24=E24*Controls!$B$28),"PASS","FAIL")</x:f>
        <x:v>PASS</x:v>
      </x:c>
      <x:c r="R24" s="13" t="str">
        <x:f>IF(COUNTA(J24:P24)=7,"EVIDENCE REQUIRED","SOURCE EMPTY")</x:f>
        <x:v>SOURCE EMPTY</x:v>
      </x:c>
    </x:row>
    <x:row r="25">
      <x:c r="A25" s="13" t="str">
        <x:v>HC-D-HC-CELL-2</x:v>
      </x:c>
      <x:c r="B25" s="13" t="str">
        <x:v>HC-D</x:v>
      </x:c>
      <x:c r="C25" s="13" t="str">
        <x:v>MS-HC</x:v>
      </x:c>
      <x:c r="D25" s="13" t="str">
        <x:v>HC-CELL-2</x:v>
      </x:c>
      <x:c r="E25" s="30" t="n">
        <x:f>VLOOKUP(B25,'Root Units'!$A$6:$K$29,5,FALSE)</x:f>
        <x:v>33000</x:v>
      </x:c>
      <x:c r="F25" s="30" t="n">
        <x:f>VLOOKUP(B25,'Root Units'!$A$6:$K$29,8,FALSE)</x:f>
        <x:v>180.82191780821918</x:v>
      </x:c>
      <x:c r="G25" s="30" t="n">
        <x:f>VLOOKUP(B25,'Root Units'!$A$6:$K$29,10,FALSE)</x:f>
        <x:v>10.547945205479452</x:v>
      </x:c>
      <x:c r="H25" s="30" t="n">
        <x:f>VLOOKUP(B25,'Root Units'!$A$6:$K$29,11,FALSE)</x:f>
        <x:v>1657.5342465753424</x:v>
      </x:c>
      <x:c r="I25" s="30" t="n">
        <x:f>E25*Controls!$B$28</x:f>
        <x:v>4950</x:v>
      </x:c>
      <x:c r="J25" s="17"/>
      <x:c r="K25" s="17"/>
      <x:c r="L25" s="17"/>
      <x:c r="M25" s="17"/>
      <x:c r="N25" s="17"/>
      <x:c r="O25" s="17"/>
      <x:c r="P25" s="17"/>
      <x:c r="Q25" s="13" t="str">
        <x:f>IF(AND(E25&gt;0,F25&gt;0,G25&gt;0,H25&gt;0,I25=E25*Controls!$B$28),"PASS","FAIL")</x:f>
        <x:v>PASS</x:v>
      </x:c>
      <x:c r="R25" s="13" t="str">
        <x:f>IF(COUNTA(J25:P25)=7,"EVIDENCE REQUIRED","SOURCE EMPTY")</x:f>
        <x:v>SOURCE EMPTY</x:v>
      </x:c>
    </x:row>
    <x:row r="26">
      <x:c r="A26" s="13" t="str">
        <x:v>HC-A-HC-CELL-3</x:v>
      </x:c>
      <x:c r="B26" s="13" t="str">
        <x:v>HC-A</x:v>
      </x:c>
      <x:c r="C26" s="13" t="str">
        <x:v>MS-HC</x:v>
      </x:c>
      <x:c r="D26" s="13" t="str">
        <x:v>HC-CELL-3</x:v>
      </x:c>
      <x:c r="E26" s="30" t="n">
        <x:f>VLOOKUP(B26,'Root Units'!$A$6:$K$29,5,FALSE)</x:f>
        <x:v>44000</x:v>
      </x:c>
      <x:c r="F26" s="30" t="n">
        <x:f>VLOOKUP(B26,'Root Units'!$A$6:$K$29,8,FALSE)</x:f>
        <x:v>241.0958904109589</x:v>
      </x:c>
      <x:c r="G26" s="30" t="n">
        <x:f>VLOOKUP(B26,'Root Units'!$A$6:$K$29,10,FALSE)</x:f>
        <x:v>22.100456621004568</x:v>
      </x:c>
      <x:c r="H26" s="30" t="n">
        <x:f>VLOOKUP(B26,'Root Units'!$A$6:$K$29,11,FALSE)</x:f>
        <x:v>2812.785388127854</x:v>
      </x:c>
      <x:c r="I26" s="30" t="n">
        <x:f>E26*Controls!$B$28</x:f>
        <x:v>6600</x:v>
      </x:c>
      <x:c r="J26" s="17"/>
      <x:c r="K26" s="17"/>
      <x:c r="L26" s="17"/>
      <x:c r="M26" s="17"/>
      <x:c r="N26" s="17"/>
      <x:c r="O26" s="17"/>
      <x:c r="P26" s="17"/>
      <x:c r="Q26" s="13" t="str">
        <x:f>IF(AND(E26&gt;0,F26&gt;0,G26&gt;0,H26&gt;0,I26=E26*Controls!$B$28),"PASS","FAIL")</x:f>
        <x:v>PASS</x:v>
      </x:c>
      <x:c r="R26" s="13" t="str">
        <x:f>IF(COUNTA(J26:P26)=7,"EVIDENCE REQUIRED","SOURCE EMPTY")</x:f>
        <x:v>SOURCE EMPTY</x:v>
      </x:c>
    </x:row>
    <x:row r="27">
      <x:c r="A27" s="13" t="str">
        <x:v>HC-C-HC-CELL-3</x:v>
      </x:c>
      <x:c r="B27" s="13" t="str">
        <x:v>HC-C</x:v>
      </x:c>
      <x:c r="C27" s="13" t="str">
        <x:v>MS-HC</x:v>
      </x:c>
      <x:c r="D27" s="13" t="str">
        <x:v>HC-CELL-3</x:v>
      </x:c>
      <x:c r="E27" s="30" t="n">
        <x:f>VLOOKUP(B27,'Root Units'!$A$6:$K$29,5,FALSE)</x:f>
        <x:v>52000</x:v>
      </x:c>
      <x:c r="F27" s="30" t="n">
        <x:f>VLOOKUP(B27,'Root Units'!$A$6:$K$29,8,FALSE)</x:f>
        <x:v>284.93150684931504</x:v>
      </x:c>
      <x:c r="G27" s="30" t="n">
        <x:f>VLOOKUP(B27,'Root Units'!$A$6:$K$29,10,FALSE)</x:f>
        <x:v>13.059360730593609</x:v>
      </x:c>
      <x:c r="H27" s="30" t="n">
        <x:f>VLOOKUP(B27,'Root Units'!$A$6:$K$29,11,FALSE)</x:f>
        <x:v>2374.4292237442924</x:v>
      </x:c>
      <x:c r="I27" s="30" t="n">
        <x:f>E27*Controls!$B$28</x:f>
        <x:v>7800</x:v>
      </x:c>
      <x:c r="J27" s="17"/>
      <x:c r="K27" s="17"/>
      <x:c r="L27" s="17"/>
      <x:c r="M27" s="17"/>
      <x:c r="N27" s="17"/>
      <x:c r="O27" s="17"/>
      <x:c r="P27" s="17"/>
      <x:c r="Q27" s="13" t="str">
        <x:f>IF(AND(E27&gt;0,F27&gt;0,G27&gt;0,H27&gt;0,I27=E27*Controls!$B$28),"PASS","FAIL")</x:f>
        <x:v>PASS</x:v>
      </x:c>
      <x:c r="R27" s="13" t="str">
        <x:f>IF(COUNTA(J27:P27)=7,"EVIDENCE REQUIRED","SOURCE EMPTY")</x:f>
        <x:v>SOURCE EMPTY</x:v>
      </x:c>
    </x:row>
    <x:row r="28">
      <x:c r="A28" s="13" t="str">
        <x:v>HC-B-HC-CELL-4</x:v>
      </x:c>
      <x:c r="B28" s="13" t="str">
        <x:v>HC-B</x:v>
      </x:c>
      <x:c r="C28" s="13" t="str">
        <x:v>MS-HC</x:v>
      </x:c>
      <x:c r="D28" s="13" t="str">
        <x:v>HC-CELL-4</x:v>
      </x:c>
      <x:c r="E28" s="30" t="n">
        <x:f>VLOOKUP(B28,'Root Units'!$A$6:$K$29,5,FALSE)</x:f>
        <x:v>61000</x:v>
      </x:c>
      <x:c r="F28" s="30" t="n">
        <x:f>VLOOKUP(B28,'Root Units'!$A$6:$K$29,8,FALSE)</x:f>
        <x:v>334.24657534246575</x:v>
      </x:c>
      <x:c r="G28" s="30" t="n">
        <x:f>VLOOKUP(B28,'Root Units'!$A$6:$K$29,10,FALSE)</x:f>
        <x:v>16.712328767123285</x:v>
      </x:c>
      <x:c r="H28" s="30" t="n">
        <x:f>VLOOKUP(B28,'Root Units'!$A$6:$K$29,11,FALSE)</x:f>
        <x:v>2506.849315068493</x:v>
      </x:c>
      <x:c r="I28" s="30" t="n">
        <x:f>E28*Controls!$B$28</x:f>
        <x:v>9150</x:v>
      </x:c>
      <x:c r="J28" s="17"/>
      <x:c r="K28" s="17"/>
      <x:c r="L28" s="17"/>
      <x:c r="M28" s="17"/>
      <x:c r="N28" s="17"/>
      <x:c r="O28" s="17"/>
      <x:c r="P28" s="17"/>
      <x:c r="Q28" s="13" t="str">
        <x:f>IF(AND(E28&gt;0,F28&gt;0,G28&gt;0,H28&gt;0,I28=E28*Controls!$B$28),"PASS","FAIL")</x:f>
        <x:v>PASS</x:v>
      </x:c>
      <x:c r="R28" s="13" t="str">
        <x:f>IF(COUNTA(J28:P28)=7,"EVIDENCE REQUIRED","SOURCE EMPTY")</x:f>
        <x:v>SOURCE EMPTY</x:v>
      </x:c>
    </x:row>
    <x:row r="29">
      <x:c r="A29" s="13" t="str">
        <x:v>HC-D-HC-CELL-4</x:v>
      </x:c>
      <x:c r="B29" s="13" t="str">
        <x:v>HC-D</x:v>
      </x:c>
      <x:c r="C29" s="13" t="str">
        <x:v>MS-HC</x:v>
      </x:c>
      <x:c r="D29" s="13" t="str">
        <x:v>HC-CELL-4</x:v>
      </x:c>
      <x:c r="E29" s="30" t="n">
        <x:f>VLOOKUP(B29,'Root Units'!$A$6:$K$29,5,FALSE)</x:f>
        <x:v>33000</x:v>
      </x:c>
      <x:c r="F29" s="30" t="n">
        <x:f>VLOOKUP(B29,'Root Units'!$A$6:$K$29,8,FALSE)</x:f>
        <x:v>180.82191780821918</x:v>
      </x:c>
      <x:c r="G29" s="30" t="n">
        <x:f>VLOOKUP(B29,'Root Units'!$A$6:$K$29,10,FALSE)</x:f>
        <x:v>10.547945205479452</x:v>
      </x:c>
      <x:c r="H29" s="30" t="n">
        <x:f>VLOOKUP(B29,'Root Units'!$A$6:$K$29,11,FALSE)</x:f>
        <x:v>1657.5342465753424</x:v>
      </x:c>
      <x:c r="I29" s="30" t="n">
        <x:f>E29*Controls!$B$28</x:f>
        <x:v>4950</x:v>
      </x:c>
      <x:c r="J29" s="17"/>
      <x:c r="K29" s="17"/>
      <x:c r="L29" s="17"/>
      <x:c r="M29" s="17"/>
      <x:c r="N29" s="17"/>
      <x:c r="O29" s="17"/>
      <x:c r="P29" s="17"/>
      <x:c r="Q29" s="13" t="str">
        <x:f>IF(AND(E29&gt;0,F29&gt;0,G29&gt;0,H29&gt;0,I29=E29*Controls!$B$28),"PASS","FAIL")</x:f>
        <x:v>PASS</x:v>
      </x:c>
      <x:c r="R29" s="13" t="str">
        <x:f>IF(COUNTA(J29:P29)=7,"EVIDENCE REQUIRED","SOURCE EMPTY")</x:f>
        <x:v>SOURCE EMPTY</x:v>
      </x:c>
    </x:row>
    <x:row r="30">
      <x:c r="A30" s="13" t="str">
        <x:v>LF-A-LF-CELL-1</x:v>
      </x:c>
      <x:c r="B30" s="13" t="str">
        <x:v>LF-A</x:v>
      </x:c>
      <x:c r="C30" s="13" t="str">
        <x:v>MS-LF</x:v>
      </x:c>
      <x:c r="D30" s="13" t="str">
        <x:v>LF-CELL-1</x:v>
      </x:c>
      <x:c r="E30" s="30" t="n">
        <x:f>VLOOKUP(B30,'Root Units'!$A$6:$K$29,5,FALSE)</x:f>
        <x:v>42825</x:v>
      </x:c>
      <x:c r="F30" s="30" t="n">
        <x:f>VLOOKUP(B30,'Root Units'!$A$6:$K$29,8,FALSE)</x:f>
        <x:v>234.65753424657535</x:v>
      </x:c>
      <x:c r="G30" s="30" t="n">
        <x:f>VLOOKUP(B30,'Root Units'!$A$6:$K$29,10,FALSE)</x:f>
        <x:v>24.443493150684933</x:v>
      </x:c>
      <x:c r="H30" s="30" t="n">
        <x:f>VLOOKUP(B30,'Root Units'!$A$6:$K$29,11,FALSE)</x:f>
        <x:v>3128.7671232876714</x:v>
      </x:c>
      <x:c r="I30" s="30" t="n">
        <x:f>E30*Controls!$B$28</x:f>
        <x:v>6423.75</x:v>
      </x:c>
      <x:c r="J30" s="17"/>
      <x:c r="K30" s="17"/>
      <x:c r="L30" s="17"/>
      <x:c r="M30" s="17"/>
      <x:c r="N30" s="17"/>
      <x:c r="O30" s="17"/>
      <x:c r="P30" s="17"/>
      <x:c r="Q30" s="13" t="str">
        <x:f>IF(AND(E30&gt;0,F30&gt;0,G30&gt;0,H30&gt;0,I30=E30*Controls!$B$28),"PASS","FAIL")</x:f>
        <x:v>PASS</x:v>
      </x:c>
      <x:c r="R30" s="13" t="str">
        <x:f>IF(COUNTA(J30:P30)=7,"EVIDENCE REQUIRED","SOURCE EMPTY")</x:f>
        <x:v>SOURCE EMPTY</x:v>
      </x:c>
    </x:row>
    <x:row r="31">
      <x:c r="A31" s="13" t="str">
        <x:v>LF-B-LF-CELL-1</x:v>
      </x:c>
      <x:c r="B31" s="13" t="str">
        <x:v>LF-B</x:v>
      </x:c>
      <x:c r="C31" s="13" t="str">
        <x:v>MS-LF</x:v>
      </x:c>
      <x:c r="D31" s="13" t="str">
        <x:v>LF-CELL-1</x:v>
      </x:c>
      <x:c r="E31" s="30" t="n">
        <x:f>VLOOKUP(B31,'Root Units'!$A$6:$K$29,5,FALSE)</x:f>
        <x:v>31075</x:v>
      </x:c>
      <x:c r="F31" s="30" t="n">
        <x:f>VLOOKUP(B31,'Root Units'!$A$6:$K$29,8,FALSE)</x:f>
        <x:v>170.27397260273972</x:v>
      </x:c>
      <x:c r="G31" s="30" t="n">
        <x:f>VLOOKUP(B31,'Root Units'!$A$6:$K$29,10,FALSE)</x:f>
        <x:v>16.31792237442922</x:v>
      </x:c>
      <x:c r="H31" s="30" t="n">
        <x:f>VLOOKUP(B31,'Root Units'!$A$6:$K$29,11,FALSE)</x:f>
        <x:v>2128.4246575342468</x:v>
      </x:c>
      <x:c r="I31" s="30" t="n">
        <x:f>E31*Controls!$B$28</x:f>
        <x:v>4661.25</x:v>
      </x:c>
      <x:c r="J31" s="17"/>
      <x:c r="K31" s="17"/>
      <x:c r="L31" s="17"/>
      <x:c r="M31" s="17"/>
      <x:c r="N31" s="17"/>
      <x:c r="O31" s="17"/>
      <x:c r="P31" s="17"/>
      <x:c r="Q31" s="13" t="str">
        <x:f>IF(AND(E31&gt;0,F31&gt;0,G31&gt;0,H31&gt;0,I31=E31*Controls!$B$28),"PASS","FAIL")</x:f>
        <x:v>PASS</x:v>
      </x:c>
      <x:c r="R31" s="13" t="str">
        <x:f>IF(COUNTA(J31:P31)=7,"EVIDENCE REQUIRED","SOURCE EMPTY")</x:f>
        <x:v>SOURCE EMPTY</x:v>
      </x:c>
    </x:row>
    <x:row r="32">
      <x:c r="A32" s="13" t="str">
        <x:v>LF-C-LF-CELL-2</x:v>
      </x:c>
      <x:c r="B32" s="13" t="str">
        <x:v>LF-C</x:v>
      </x:c>
      <x:c r="C32" s="13" t="str">
        <x:v>MS-LF</x:v>
      </x:c>
      <x:c r="D32" s="13" t="str">
        <x:v>LF-CELL-2</x:v>
      </x:c>
      <x:c r="E32" s="30" t="n">
        <x:f>VLOOKUP(B32,'Root Units'!$A$6:$K$29,5,FALSE)</x:f>
        <x:v>34650</x:v>
      </x:c>
      <x:c r="F32" s="30" t="n">
        <x:f>VLOOKUP(B32,'Root Units'!$A$6:$K$29,8,FALSE)</x:f>
        <x:v>189.86301369863014</x:v>
      </x:c>
      <x:c r="G32" s="30" t="n">
        <x:f>VLOOKUP(B32,'Root Units'!$A$6:$K$29,10,FALSE)</x:f>
        <x:v>14.23972602739726</x:v>
      </x:c>
      <x:c r="H32" s="30" t="n">
        <x:f>VLOOKUP(B32,'Root Units'!$A$6:$K$29,11,FALSE)</x:f>
        <x:v>1898.6301369863013</x:v>
      </x:c>
      <x:c r="I32" s="30" t="n">
        <x:f>E32*Controls!$B$28</x:f>
        <x:v>5197.5</x:v>
      </x:c>
      <x:c r="J32" s="17"/>
      <x:c r="K32" s="17"/>
      <x:c r="L32" s="17"/>
      <x:c r="M32" s="17"/>
      <x:c r="N32" s="17"/>
      <x:c r="O32" s="17"/>
      <x:c r="P32" s="17"/>
      <x:c r="Q32" s="13" t="str">
        <x:f>IF(AND(E32&gt;0,F32&gt;0,G32&gt;0,H32&gt;0,I32=E32*Controls!$B$28),"PASS","FAIL")</x:f>
        <x:v>PASS</x:v>
      </x:c>
      <x:c r="R32" s="13" t="str">
        <x:f>IF(COUNTA(J32:P32)=7,"EVIDENCE REQUIRED","SOURCE EMPTY")</x:f>
        <x:v>SOURCE EMPTY</x:v>
      </x:c>
    </x:row>
    <x:row r="33">
      <x:c r="A33" s="13" t="str">
        <x:v>LF-D-LF-CELL-2</x:v>
      </x:c>
      <x:c r="B33" s="13" t="str">
        <x:v>LF-D</x:v>
      </x:c>
      <x:c r="C33" s="13" t="str">
        <x:v>MS-LF</x:v>
      </x:c>
      <x:c r="D33" s="13" t="str">
        <x:v>LF-CELL-2</x:v>
      </x:c>
      <x:c r="E33" s="30" t="n">
        <x:f>VLOOKUP(B33,'Root Units'!$A$6:$K$29,5,FALSE)</x:f>
        <x:v>18350</x:v>
      </x:c>
      <x:c r="F33" s="30" t="n">
        <x:f>VLOOKUP(B33,'Root Units'!$A$6:$K$29,8,FALSE)</x:f>
        <x:v>100.54794520547945</x:v>
      </x:c>
      <x:c r="G33" s="30" t="n">
        <x:f>VLOOKUP(B33,'Root Units'!$A$6:$K$29,10,FALSE)</x:f>
        <x:v>5.027397260273973</x:v>
      </x:c>
      <x:c r="H33" s="30" t="n">
        <x:f>VLOOKUP(B33,'Root Units'!$A$6:$K$29,11,FALSE)</x:f>
        <x:v>754.1095890410959</x:v>
      </x:c>
      <x:c r="I33" s="30" t="n">
        <x:f>E33*Controls!$B$28</x:f>
        <x:v>2752.5</x:v>
      </x:c>
      <x:c r="J33" s="17"/>
      <x:c r="K33" s="17"/>
      <x:c r="L33" s="17"/>
      <x:c r="M33" s="17"/>
      <x:c r="N33" s="17"/>
      <x:c r="O33" s="17"/>
      <x:c r="P33" s="17"/>
      <x:c r="Q33" s="13" t="str">
        <x:f>IF(AND(E33&gt;0,F33&gt;0,G33&gt;0,H33&gt;0,I33=E33*Controls!$B$28),"PASS","FAIL")</x:f>
        <x:v>PASS</x:v>
      </x:c>
      <x:c r="R33" s="13" t="str">
        <x:f>IF(COUNTA(J33:P33)=7,"EVIDENCE REQUIRED","SOURCE EMPTY")</x:f>
        <x:v>SOURCE EMPTY</x:v>
      </x:c>
    </x:row>
    <x:row r="34">
      <x:c r="A34" s="13" t="str">
        <x:v>LF-A-LF-CELL-3</x:v>
      </x:c>
      <x:c r="B34" s="13" t="str">
        <x:v>LF-A</x:v>
      </x:c>
      <x:c r="C34" s="13" t="str">
        <x:v>MS-LF</x:v>
      </x:c>
      <x:c r="D34" s="13" t="str">
        <x:v>LF-CELL-3</x:v>
      </x:c>
      <x:c r="E34" s="30" t="n">
        <x:f>VLOOKUP(B34,'Root Units'!$A$6:$K$29,5,FALSE)</x:f>
        <x:v>42825</x:v>
      </x:c>
      <x:c r="F34" s="30" t="n">
        <x:f>VLOOKUP(B34,'Root Units'!$A$6:$K$29,8,FALSE)</x:f>
        <x:v>234.65753424657535</x:v>
      </x:c>
      <x:c r="G34" s="30" t="n">
        <x:f>VLOOKUP(B34,'Root Units'!$A$6:$K$29,10,FALSE)</x:f>
        <x:v>24.443493150684933</x:v>
      </x:c>
      <x:c r="H34" s="30" t="n">
        <x:f>VLOOKUP(B34,'Root Units'!$A$6:$K$29,11,FALSE)</x:f>
        <x:v>3128.7671232876714</x:v>
      </x:c>
      <x:c r="I34" s="30" t="n">
        <x:f>E34*Controls!$B$28</x:f>
        <x:v>6423.75</x:v>
      </x:c>
      <x:c r="J34" s="17"/>
      <x:c r="K34" s="17"/>
      <x:c r="L34" s="17"/>
      <x:c r="M34" s="17"/>
      <x:c r="N34" s="17"/>
      <x:c r="O34" s="17"/>
      <x:c r="P34" s="17"/>
      <x:c r="Q34" s="13" t="str">
        <x:f>IF(AND(E34&gt;0,F34&gt;0,G34&gt;0,H34&gt;0,I34=E34*Controls!$B$28),"PASS","FAIL")</x:f>
        <x:v>PASS</x:v>
      </x:c>
      <x:c r="R34" s="13" t="str">
        <x:f>IF(COUNTA(J34:P34)=7,"EVIDENCE REQUIRED","SOURCE EMPTY")</x:f>
        <x:v>SOURCE EMPTY</x:v>
      </x:c>
    </x:row>
    <x:row r="35">
      <x:c r="A35" s="13" t="str">
        <x:v>LF-C-LF-CELL-3</x:v>
      </x:c>
      <x:c r="B35" s="13" t="str">
        <x:v>LF-C</x:v>
      </x:c>
      <x:c r="C35" s="13" t="str">
        <x:v>MS-LF</x:v>
      </x:c>
      <x:c r="D35" s="13" t="str">
        <x:v>LF-CELL-3</x:v>
      </x:c>
      <x:c r="E35" s="30" t="n">
        <x:f>VLOOKUP(B35,'Root Units'!$A$6:$K$29,5,FALSE)</x:f>
        <x:v>34650</x:v>
      </x:c>
      <x:c r="F35" s="30" t="n">
        <x:f>VLOOKUP(B35,'Root Units'!$A$6:$K$29,8,FALSE)</x:f>
        <x:v>189.86301369863014</x:v>
      </x:c>
      <x:c r="G35" s="30" t="n">
        <x:f>VLOOKUP(B35,'Root Units'!$A$6:$K$29,10,FALSE)</x:f>
        <x:v>14.23972602739726</x:v>
      </x:c>
      <x:c r="H35" s="30" t="n">
        <x:f>VLOOKUP(B35,'Root Units'!$A$6:$K$29,11,FALSE)</x:f>
        <x:v>1898.6301369863013</x:v>
      </x:c>
      <x:c r="I35" s="30" t="n">
        <x:f>E35*Controls!$B$28</x:f>
        <x:v>5197.5</x:v>
      </x:c>
      <x:c r="J35" s="17"/>
      <x:c r="K35" s="17"/>
      <x:c r="L35" s="17"/>
      <x:c r="M35" s="17"/>
      <x:c r="N35" s="17"/>
      <x:c r="O35" s="17"/>
      <x:c r="P35" s="17"/>
      <x:c r="Q35" s="13" t="str">
        <x:f>IF(AND(E35&gt;0,F35&gt;0,G35&gt;0,H35&gt;0,I35=E35*Controls!$B$28),"PASS","FAIL")</x:f>
        <x:v>PASS</x:v>
      </x:c>
      <x:c r="R35" s="13" t="str">
        <x:f>IF(COUNTA(J35:P35)=7,"EVIDENCE REQUIRED","SOURCE EMPTY")</x:f>
        <x:v>SOURCE EMPTY</x:v>
      </x:c>
    </x:row>
    <x:row r="36">
      <x:c r="A36" s="13" t="str">
        <x:v>LF-B-LF-CELL-4</x:v>
      </x:c>
      <x:c r="B36" s="13" t="str">
        <x:v>LF-B</x:v>
      </x:c>
      <x:c r="C36" s="13" t="str">
        <x:v>MS-LF</x:v>
      </x:c>
      <x:c r="D36" s="13" t="str">
        <x:v>LF-CELL-4</x:v>
      </x:c>
      <x:c r="E36" s="30" t="n">
        <x:f>VLOOKUP(B36,'Root Units'!$A$6:$K$29,5,FALSE)</x:f>
        <x:v>31075</x:v>
      </x:c>
      <x:c r="F36" s="30" t="n">
        <x:f>VLOOKUP(B36,'Root Units'!$A$6:$K$29,8,FALSE)</x:f>
        <x:v>170.27397260273972</x:v>
      </x:c>
      <x:c r="G36" s="30" t="n">
        <x:f>VLOOKUP(B36,'Root Units'!$A$6:$K$29,10,FALSE)</x:f>
        <x:v>16.31792237442922</x:v>
      </x:c>
      <x:c r="H36" s="30" t="n">
        <x:f>VLOOKUP(B36,'Root Units'!$A$6:$K$29,11,FALSE)</x:f>
        <x:v>2128.4246575342468</x:v>
      </x:c>
      <x:c r="I36" s="30" t="n">
        <x:f>E36*Controls!$B$28</x:f>
        <x:v>4661.25</x:v>
      </x:c>
      <x:c r="J36" s="17"/>
      <x:c r="K36" s="17"/>
      <x:c r="L36" s="17"/>
      <x:c r="M36" s="17"/>
      <x:c r="N36" s="17"/>
      <x:c r="O36" s="17"/>
      <x:c r="P36" s="17"/>
      <x:c r="Q36" s="13" t="str">
        <x:f>IF(AND(E36&gt;0,F36&gt;0,G36&gt;0,H36&gt;0,I36=E36*Controls!$B$28),"PASS","FAIL")</x:f>
        <x:v>PASS</x:v>
      </x:c>
      <x:c r="R36" s="13" t="str">
        <x:f>IF(COUNTA(J36:P36)=7,"EVIDENCE REQUIRED","SOURCE EMPTY")</x:f>
        <x:v>SOURCE EMPTY</x:v>
      </x:c>
    </x:row>
    <x:row r="37">
      <x:c r="A37" s="13" t="str">
        <x:v>LF-D-LF-CELL-4</x:v>
      </x:c>
      <x:c r="B37" s="13" t="str">
        <x:v>LF-D</x:v>
      </x:c>
      <x:c r="C37" s="13" t="str">
        <x:v>MS-LF</x:v>
      </x:c>
      <x:c r="D37" s="13" t="str">
        <x:v>LF-CELL-4</x:v>
      </x:c>
      <x:c r="E37" s="30" t="n">
        <x:f>VLOOKUP(B37,'Root Units'!$A$6:$K$29,5,FALSE)</x:f>
        <x:v>18350</x:v>
      </x:c>
      <x:c r="F37" s="30" t="n">
        <x:f>VLOOKUP(B37,'Root Units'!$A$6:$K$29,8,FALSE)</x:f>
        <x:v>100.54794520547945</x:v>
      </x:c>
      <x:c r="G37" s="30" t="n">
        <x:f>VLOOKUP(B37,'Root Units'!$A$6:$K$29,10,FALSE)</x:f>
        <x:v>5.027397260273973</x:v>
      </x:c>
      <x:c r="H37" s="30" t="n">
        <x:f>VLOOKUP(B37,'Root Units'!$A$6:$K$29,11,FALSE)</x:f>
        <x:v>754.1095890410959</x:v>
      </x:c>
      <x:c r="I37" s="30" t="n">
        <x:f>E37*Controls!$B$28</x:f>
        <x:v>2752.5</x:v>
      </x:c>
      <x:c r="J37" s="17"/>
      <x:c r="K37" s="17"/>
      <x:c r="L37" s="17"/>
      <x:c r="M37" s="17"/>
      <x:c r="N37" s="17"/>
      <x:c r="O37" s="17"/>
      <x:c r="P37" s="17"/>
      <x:c r="Q37" s="13" t="str">
        <x:f>IF(AND(E37&gt;0,F37&gt;0,G37&gt;0,H37&gt;0,I37=E37*Controls!$B$28),"PASS","FAIL")</x:f>
        <x:v>PASS</x:v>
      </x:c>
      <x:c r="R37" s="13" t="str">
        <x:f>IF(COUNTA(J37:P37)=7,"EVIDENCE REQUIRED","SOURCE EMPTY")</x:f>
        <x:v>SOURCE EMPTY</x:v>
      </x:c>
    </x:row>
    <x:row r="38">
      <x:c r="A38" s="13" t="str">
        <x:v>HU-A-HU-CELL-1</x:v>
      </x:c>
      <x:c r="B38" s="13" t="str">
        <x:v>HU-A</x:v>
      </x:c>
      <x:c r="C38" s="13" t="str">
        <x:v>MS-HU</x:v>
      </x:c>
      <x:c r="D38" s="13" t="str">
        <x:v>HU-CELL-1</x:v>
      </x:c>
      <x:c r="E38" s="30" t="n">
        <x:f>VLOOKUP(B38,'Root Units'!$A$6:$K$29,5,FALSE)</x:f>
        <x:v>42000</x:v>
      </x:c>
      <x:c r="F38" s="30" t="n">
        <x:f>VLOOKUP(B38,'Root Units'!$A$6:$K$29,8,FALSE)</x:f>
        <x:v>230.13698630136986</x:v>
      </x:c>
      <x:c r="G38" s="30" t="n">
        <x:f>VLOOKUP(B38,'Root Units'!$A$6:$K$29,10,FALSE)</x:f>
        <x:v>23.013698630136986</x:v>
      </x:c>
      <x:c r="H38" s="30" t="n">
        <x:f>VLOOKUP(B38,'Root Units'!$A$6:$K$29,11,FALSE)</x:f>
        <x:v>3452.054794520548</x:v>
      </x:c>
      <x:c r="I38" s="30" t="n">
        <x:f>E38*Controls!$B$28</x:f>
        <x:v>6300</x:v>
      </x:c>
      <x:c r="J38" s="17"/>
      <x:c r="K38" s="17"/>
      <x:c r="L38" s="17"/>
      <x:c r="M38" s="17"/>
      <x:c r="N38" s="17"/>
      <x:c r="O38" s="17"/>
      <x:c r="P38" s="17"/>
      <x:c r="Q38" s="13" t="str">
        <x:f>IF(AND(E38&gt;0,F38&gt;0,G38&gt;0,H38&gt;0,I38=E38*Controls!$B$28),"PASS","FAIL")</x:f>
        <x:v>PASS</x:v>
      </x:c>
      <x:c r="R38" s="13" t="str">
        <x:f>IF(COUNTA(J38:P38)=7,"EVIDENCE REQUIRED","SOURCE EMPTY")</x:f>
        <x:v>SOURCE EMPTY</x:v>
      </x:c>
    </x:row>
    <x:row r="39">
      <x:c r="A39" s="13" t="str">
        <x:v>HU-B-HU-CELL-1</x:v>
      </x:c>
      <x:c r="B39" s="13" t="str">
        <x:v>HU-B</x:v>
      </x:c>
      <x:c r="C39" s="13" t="str">
        <x:v>MS-HU</x:v>
      </x:c>
      <x:c r="D39" s="13" t="str">
        <x:v>HU-CELL-1</x:v>
      </x:c>
      <x:c r="E39" s="30" t="n">
        <x:f>VLOOKUP(B39,'Root Units'!$A$6:$K$29,5,FALSE)</x:f>
        <x:v>31000</x:v>
      </x:c>
      <x:c r="F39" s="30" t="n">
        <x:f>VLOOKUP(B39,'Root Units'!$A$6:$K$29,8,FALSE)</x:f>
        <x:v>169.86301369863014</x:v>
      </x:c>
      <x:c r="G39" s="30" t="n">
        <x:f>VLOOKUP(B39,'Root Units'!$A$6:$K$29,10,FALSE)</x:f>
        <x:v>14.155251141552512</x:v>
      </x:c>
      <x:c r="H39" s="30" t="n">
        <x:f>VLOOKUP(B39,'Root Units'!$A$6:$K$29,11,FALSE)</x:f>
        <x:v>2123.2876712328766</x:v>
      </x:c>
      <x:c r="I39" s="30" t="n">
        <x:f>E39*Controls!$B$28</x:f>
        <x:v>4650</x:v>
      </x:c>
      <x:c r="J39" s="17"/>
      <x:c r="K39" s="17"/>
      <x:c r="L39" s="17"/>
      <x:c r="M39" s="17"/>
      <x:c r="N39" s="17"/>
      <x:c r="O39" s="17"/>
      <x:c r="P39" s="17"/>
      <x:c r="Q39" s="13" t="str">
        <x:f>IF(AND(E39&gt;0,F39&gt;0,G39&gt;0,H39&gt;0,I39=E39*Controls!$B$28),"PASS","FAIL")</x:f>
        <x:v>PASS</x:v>
      </x:c>
      <x:c r="R39" s="13" t="str">
        <x:f>IF(COUNTA(J39:P39)=7,"EVIDENCE REQUIRED","SOURCE EMPTY")</x:f>
        <x:v>SOURCE EMPTY</x:v>
      </x:c>
    </x:row>
    <x:row r="40">
      <x:c r="A40" s="13" t="str">
        <x:v>HU-C-HU-CELL-2</x:v>
      </x:c>
      <x:c r="B40" s="13" t="str">
        <x:v>HU-C</x:v>
      </x:c>
      <x:c r="C40" s="13" t="str">
        <x:v>MS-HU</x:v>
      </x:c>
      <x:c r="D40" s="13" t="str">
        <x:v>HU-CELL-2</x:v>
      </x:c>
      <x:c r="E40" s="30" t="n">
        <x:f>VLOOKUP(B40,'Root Units'!$A$6:$K$29,5,FALSE)</x:f>
        <x:v>38000</x:v>
      </x:c>
      <x:c r="F40" s="30" t="n">
        <x:f>VLOOKUP(B40,'Root Units'!$A$6:$K$29,8,FALSE)</x:f>
        <x:v>208.21917808219177</x:v>
      </x:c>
      <x:c r="G40" s="30" t="n">
        <x:f>VLOOKUP(B40,'Root Units'!$A$6:$K$29,10,FALSE)</x:f>
        <x:v>22.557077625570773</x:v>
      </x:c>
      <x:c r="H40" s="30" t="n">
        <x:f>VLOOKUP(B40,'Root Units'!$A$6:$K$29,11,FALSE)</x:f>
        <x:v>2949.771689497717</x:v>
      </x:c>
      <x:c r="I40" s="30" t="n">
        <x:f>E40*Controls!$B$28</x:f>
        <x:v>5700</x:v>
      </x:c>
      <x:c r="J40" s="17"/>
      <x:c r="K40" s="17"/>
      <x:c r="L40" s="17"/>
      <x:c r="M40" s="17"/>
      <x:c r="N40" s="17"/>
      <x:c r="O40" s="17"/>
      <x:c r="P40" s="17"/>
      <x:c r="Q40" s="13" t="str">
        <x:f>IF(AND(E40&gt;0,F40&gt;0,G40&gt;0,H40&gt;0,I40=E40*Controls!$B$28),"PASS","FAIL")</x:f>
        <x:v>PASS</x:v>
      </x:c>
      <x:c r="R40" s="13" t="str">
        <x:f>IF(COUNTA(J40:P40)=7,"EVIDENCE REQUIRED","SOURCE EMPTY")</x:f>
        <x:v>SOURCE EMPTY</x:v>
      </x:c>
    </x:row>
    <x:row r="41">
      <x:c r="A41" s="13" t="str">
        <x:v>HU-D-HU-CELL-2</x:v>
      </x:c>
      <x:c r="B41" s="13" t="str">
        <x:v>HU-D</x:v>
      </x:c>
      <x:c r="C41" s="13" t="str">
        <x:v>MS-HU</x:v>
      </x:c>
      <x:c r="D41" s="13" t="str">
        <x:v>HU-CELL-2</x:v>
      </x:c>
      <x:c r="E41" s="30" t="n">
        <x:f>VLOOKUP(B41,'Root Units'!$A$6:$K$29,5,FALSE)</x:f>
        <x:v>24000</x:v>
      </x:c>
      <x:c r="F41" s="30" t="n">
        <x:f>VLOOKUP(B41,'Root Units'!$A$6:$K$29,8,FALSE)</x:f>
        <x:v>131.5068493150685</x:v>
      </x:c>
      <x:c r="G41" s="30" t="n">
        <x:f>VLOOKUP(B41,'Root Units'!$A$6:$K$29,10,FALSE)</x:f>
        <x:v>9.315068493150685</x:v>
      </x:c>
      <x:c r="H41" s="30" t="n">
        <x:f>VLOOKUP(B41,'Root Units'!$A$6:$K$29,11,FALSE)</x:f>
        <x:v>1424.6575342465753</x:v>
      </x:c>
      <x:c r="I41" s="30" t="n">
        <x:f>E41*Controls!$B$28</x:f>
        <x:v>3600</x:v>
      </x:c>
      <x:c r="J41" s="17"/>
      <x:c r="K41" s="17"/>
      <x:c r="L41" s="17"/>
      <x:c r="M41" s="17"/>
      <x:c r="N41" s="17"/>
      <x:c r="O41" s="17"/>
      <x:c r="P41" s="17"/>
      <x:c r="Q41" s="13" t="str">
        <x:f>IF(AND(E41&gt;0,F41&gt;0,G41&gt;0,H41&gt;0,I41=E41*Controls!$B$28),"PASS","FAIL")</x:f>
        <x:v>PASS</x:v>
      </x:c>
      <x:c r="R41" s="13" t="str">
        <x:f>IF(COUNTA(J41:P41)=7,"EVIDENCE REQUIRED","SOURCE EMPTY")</x:f>
        <x:v>SOURCE EMPTY</x:v>
      </x:c>
    </x:row>
    <x:row r="42">
      <x:c r="A42" s="13" t="str">
        <x:v>HU-A-HU-CELL-3</x:v>
      </x:c>
      <x:c r="B42" s="13" t="str">
        <x:v>HU-A</x:v>
      </x:c>
      <x:c r="C42" s="13" t="str">
        <x:v>MS-HU</x:v>
      </x:c>
      <x:c r="D42" s="13" t="str">
        <x:v>HU-CELL-3</x:v>
      </x:c>
      <x:c r="E42" s="30" t="n">
        <x:f>VLOOKUP(B42,'Root Units'!$A$6:$K$29,5,FALSE)</x:f>
        <x:v>42000</x:v>
      </x:c>
      <x:c r="F42" s="30" t="n">
        <x:f>VLOOKUP(B42,'Root Units'!$A$6:$K$29,8,FALSE)</x:f>
        <x:v>230.13698630136986</x:v>
      </x:c>
      <x:c r="G42" s="30" t="n">
        <x:f>VLOOKUP(B42,'Root Units'!$A$6:$K$29,10,FALSE)</x:f>
        <x:v>23.013698630136986</x:v>
      </x:c>
      <x:c r="H42" s="30" t="n">
        <x:f>VLOOKUP(B42,'Root Units'!$A$6:$K$29,11,FALSE)</x:f>
        <x:v>3452.054794520548</x:v>
      </x:c>
      <x:c r="I42" s="30" t="n">
        <x:f>E42*Controls!$B$28</x:f>
        <x:v>6300</x:v>
      </x:c>
      <x:c r="J42" s="17"/>
      <x:c r="K42" s="17"/>
      <x:c r="L42" s="17"/>
      <x:c r="M42" s="17"/>
      <x:c r="N42" s="17"/>
      <x:c r="O42" s="17"/>
      <x:c r="P42" s="17"/>
      <x:c r="Q42" s="13" t="str">
        <x:f>IF(AND(E42&gt;0,F42&gt;0,G42&gt;0,H42&gt;0,I42=E42*Controls!$B$28),"PASS","FAIL")</x:f>
        <x:v>PASS</x:v>
      </x:c>
      <x:c r="R42" s="13" t="str">
        <x:f>IF(COUNTA(J42:P42)=7,"EVIDENCE REQUIRED","SOURCE EMPTY")</x:f>
        <x:v>SOURCE EMPTY</x:v>
      </x:c>
    </x:row>
    <x:row r="43">
      <x:c r="A43" s="13" t="str">
        <x:v>HU-C-HU-CELL-3</x:v>
      </x:c>
      <x:c r="B43" s="13" t="str">
        <x:v>HU-C</x:v>
      </x:c>
      <x:c r="C43" s="13" t="str">
        <x:v>MS-HU</x:v>
      </x:c>
      <x:c r="D43" s="13" t="str">
        <x:v>HU-CELL-3</x:v>
      </x:c>
      <x:c r="E43" s="30" t="n">
        <x:f>VLOOKUP(B43,'Root Units'!$A$6:$K$29,5,FALSE)</x:f>
        <x:v>38000</x:v>
      </x:c>
      <x:c r="F43" s="30" t="n">
        <x:f>VLOOKUP(B43,'Root Units'!$A$6:$K$29,8,FALSE)</x:f>
        <x:v>208.21917808219177</x:v>
      </x:c>
      <x:c r="G43" s="30" t="n">
        <x:f>VLOOKUP(B43,'Root Units'!$A$6:$K$29,10,FALSE)</x:f>
        <x:v>22.557077625570773</x:v>
      </x:c>
      <x:c r="H43" s="30" t="n">
        <x:f>VLOOKUP(B43,'Root Units'!$A$6:$K$29,11,FALSE)</x:f>
        <x:v>2949.771689497717</x:v>
      </x:c>
      <x:c r="I43" s="30" t="n">
        <x:f>E43*Controls!$B$28</x:f>
        <x:v>5700</x:v>
      </x:c>
      <x:c r="J43" s="17"/>
      <x:c r="K43" s="17"/>
      <x:c r="L43" s="17"/>
      <x:c r="M43" s="17"/>
      <x:c r="N43" s="17"/>
      <x:c r="O43" s="17"/>
      <x:c r="P43" s="17"/>
      <x:c r="Q43" s="13" t="str">
        <x:f>IF(AND(E43&gt;0,F43&gt;0,G43&gt;0,H43&gt;0,I43=E43*Controls!$B$28),"PASS","FAIL")</x:f>
        <x:v>PASS</x:v>
      </x:c>
      <x:c r="R43" s="13" t="str">
        <x:f>IF(COUNTA(J43:P43)=7,"EVIDENCE REQUIRED","SOURCE EMPTY")</x:f>
        <x:v>SOURCE EMPTY</x:v>
      </x:c>
    </x:row>
    <x:row r="44">
      <x:c r="A44" s="13" t="str">
        <x:v>HU-B-HU-CELL-4</x:v>
      </x:c>
      <x:c r="B44" s="13" t="str">
        <x:v>HU-B</x:v>
      </x:c>
      <x:c r="C44" s="13" t="str">
        <x:v>MS-HU</x:v>
      </x:c>
      <x:c r="D44" s="13" t="str">
        <x:v>HU-CELL-4</x:v>
      </x:c>
      <x:c r="E44" s="30" t="n">
        <x:f>VLOOKUP(B44,'Root Units'!$A$6:$K$29,5,FALSE)</x:f>
        <x:v>31000</x:v>
      </x:c>
      <x:c r="F44" s="30" t="n">
        <x:f>VLOOKUP(B44,'Root Units'!$A$6:$K$29,8,FALSE)</x:f>
        <x:v>169.86301369863014</x:v>
      </x:c>
      <x:c r="G44" s="30" t="n">
        <x:f>VLOOKUP(B44,'Root Units'!$A$6:$K$29,10,FALSE)</x:f>
        <x:v>14.155251141552512</x:v>
      </x:c>
      <x:c r="H44" s="30" t="n">
        <x:f>VLOOKUP(B44,'Root Units'!$A$6:$K$29,11,FALSE)</x:f>
        <x:v>2123.2876712328766</x:v>
      </x:c>
      <x:c r="I44" s="30" t="n">
        <x:f>E44*Controls!$B$28</x:f>
        <x:v>4650</x:v>
      </x:c>
      <x:c r="J44" s="17"/>
      <x:c r="K44" s="17"/>
      <x:c r="L44" s="17"/>
      <x:c r="M44" s="17"/>
      <x:c r="N44" s="17"/>
      <x:c r="O44" s="17"/>
      <x:c r="P44" s="17"/>
      <x:c r="Q44" s="13" t="str">
        <x:f>IF(AND(E44&gt;0,F44&gt;0,G44&gt;0,H44&gt;0,I44=E44*Controls!$B$28),"PASS","FAIL")</x:f>
        <x:v>PASS</x:v>
      </x:c>
      <x:c r="R44" s="13" t="str">
        <x:f>IF(COUNTA(J44:P44)=7,"EVIDENCE REQUIRED","SOURCE EMPTY")</x:f>
        <x:v>SOURCE EMPTY</x:v>
      </x:c>
    </x:row>
    <x:row r="45">
      <x:c r="A45" s="13" t="str">
        <x:v>HU-D-HU-CELL-4</x:v>
      </x:c>
      <x:c r="B45" s="13" t="str">
        <x:v>HU-D</x:v>
      </x:c>
      <x:c r="C45" s="13" t="str">
        <x:v>MS-HU</x:v>
      </x:c>
      <x:c r="D45" s="13" t="str">
        <x:v>HU-CELL-4</x:v>
      </x:c>
      <x:c r="E45" s="30" t="n">
        <x:f>VLOOKUP(B45,'Root Units'!$A$6:$K$29,5,FALSE)</x:f>
        <x:v>24000</x:v>
      </x:c>
      <x:c r="F45" s="30" t="n">
        <x:f>VLOOKUP(B45,'Root Units'!$A$6:$K$29,8,FALSE)</x:f>
        <x:v>131.5068493150685</x:v>
      </x:c>
      <x:c r="G45" s="30" t="n">
        <x:f>VLOOKUP(B45,'Root Units'!$A$6:$K$29,10,FALSE)</x:f>
        <x:v>9.315068493150685</x:v>
      </x:c>
      <x:c r="H45" s="30" t="n">
        <x:f>VLOOKUP(B45,'Root Units'!$A$6:$K$29,11,FALSE)</x:f>
        <x:v>1424.6575342465753</x:v>
      </x:c>
      <x:c r="I45" s="30" t="n">
        <x:f>E45*Controls!$B$28</x:f>
        <x:v>3600</x:v>
      </x:c>
      <x:c r="J45" s="17"/>
      <x:c r="K45" s="17"/>
      <x:c r="L45" s="17"/>
      <x:c r="M45" s="17"/>
      <x:c r="N45" s="17"/>
      <x:c r="O45" s="17"/>
      <x:c r="P45" s="17"/>
      <x:c r="Q45" s="13" t="str">
        <x:f>IF(AND(E45&gt;0,F45&gt;0,G45&gt;0,H45&gt;0,I45=E45*Controls!$B$28),"PASS","FAIL")</x:f>
        <x:v>PASS</x:v>
      </x:c>
      <x:c r="R45" s="13" t="str">
        <x:f>IF(COUNTA(J45:P45)=7,"EVIDENCE REQUIRED","SOURCE EMPTY")</x:f>
        <x:v>SOURCE EMPTY</x:v>
      </x:c>
    </x:row>
    <x:row r="46">
      <x:c r="A46" s="13" t="str">
        <x:v>RT-A-RT-CELL-1</x:v>
      </x:c>
      <x:c r="B46" s="13" t="str">
        <x:v>RT-A</x:v>
      </x:c>
      <x:c r="C46" s="13" t="str">
        <x:v>MS-RT</x:v>
      </x:c>
      <x:c r="D46" s="13" t="str">
        <x:v>RT-CELL-1</x:v>
      </x:c>
      <x:c r="E46" s="30" t="n">
        <x:f>VLOOKUP(B46,'Root Units'!$A$6:$K$29,5,FALSE)</x:f>
        <x:v>96000</x:v>
      </x:c>
      <x:c r="F46" s="30" t="n">
        <x:f>VLOOKUP(B46,'Root Units'!$A$6:$K$29,8,FALSE)</x:f>
        <x:v>526.027397260274</x:v>
      </x:c>
      <x:c r="G46" s="30" t="n">
        <x:f>VLOOKUP(B46,'Root Units'!$A$6:$K$29,10,FALSE)</x:f>
        <x:v>17.53424657534247</x:v>
      </x:c>
      <x:c r="H46" s="30" t="n">
        <x:f>VLOOKUP(B46,'Root Units'!$A$6:$K$29,11,FALSE)</x:f>
        <x:v>3506.849315068493</x:v>
      </x:c>
      <x:c r="I46" s="30" t="n">
        <x:f>E46*Controls!$B$28</x:f>
        <x:v>14400</x:v>
      </x:c>
      <x:c r="J46" s="17"/>
      <x:c r="K46" s="17"/>
      <x:c r="L46" s="17"/>
      <x:c r="M46" s="17"/>
      <x:c r="N46" s="17"/>
      <x:c r="O46" s="17"/>
      <x:c r="P46" s="17"/>
      <x:c r="Q46" s="13" t="str">
        <x:f>IF(AND(E46&gt;0,F46&gt;0,G46&gt;0,H46&gt;0,I46=E46*Controls!$B$28),"PASS","FAIL")</x:f>
        <x:v>PASS</x:v>
      </x:c>
      <x:c r="R46" s="13" t="str">
        <x:f>IF(COUNTA(J46:P46)=7,"EVIDENCE REQUIRED","SOURCE EMPTY")</x:f>
        <x:v>SOURCE EMPTY</x:v>
      </x:c>
    </x:row>
    <x:row r="47">
      <x:c r="A47" s="13" t="str">
        <x:v>RT-B-RT-CELL-1</x:v>
      </x:c>
      <x:c r="B47" s="13" t="str">
        <x:v>RT-B</x:v>
      </x:c>
      <x:c r="C47" s="13" t="str">
        <x:v>MS-RT</x:v>
      </x:c>
      <x:c r="D47" s="13" t="str">
        <x:v>RT-CELL-1</x:v>
      </x:c>
      <x:c r="E47" s="30" t="n">
        <x:f>VLOOKUP(B47,'Root Units'!$A$6:$K$29,5,FALSE)</x:f>
        <x:v>58000</x:v>
      </x:c>
      <x:c r="F47" s="30" t="n">
        <x:f>VLOOKUP(B47,'Root Units'!$A$6:$K$29,8,FALSE)</x:f>
        <x:v>317.8082191780822</x:v>
      </x:c>
      <x:c r="G47" s="30" t="n">
        <x:f>VLOOKUP(B47,'Root Units'!$A$6:$K$29,10,FALSE)</x:f>
        <x:v>18.538812785388128</x:v>
      </x:c>
      <x:c r="H47" s="30" t="n">
        <x:f>VLOOKUP(B47,'Root Units'!$A$6:$K$29,11,FALSE)</x:f>
        <x:v>2913.24200913242</x:v>
      </x:c>
      <x:c r="I47" s="30" t="n">
        <x:f>E47*Controls!$B$28</x:f>
        <x:v>8700</x:v>
      </x:c>
      <x:c r="J47" s="17"/>
      <x:c r="K47" s="17"/>
      <x:c r="L47" s="17"/>
      <x:c r="M47" s="17"/>
      <x:c r="N47" s="17"/>
      <x:c r="O47" s="17"/>
      <x:c r="P47" s="17"/>
      <x:c r="Q47" s="13" t="str">
        <x:f>IF(AND(E47&gt;0,F47&gt;0,G47&gt;0,H47&gt;0,I47=E47*Controls!$B$28),"PASS","FAIL")</x:f>
        <x:v>PASS</x:v>
      </x:c>
      <x:c r="R47" s="13" t="str">
        <x:f>IF(COUNTA(J47:P47)=7,"EVIDENCE REQUIRED","SOURCE EMPTY")</x:f>
        <x:v>SOURCE EMPTY</x:v>
      </x:c>
    </x:row>
    <x:row r="48">
      <x:c r="A48" s="13" t="str">
        <x:v>RT-C-RT-CELL-2</x:v>
      </x:c>
      <x:c r="B48" s="13" t="str">
        <x:v>RT-C</x:v>
      </x:c>
      <x:c r="C48" s="13" t="str">
        <x:v>MS-RT</x:v>
      </x:c>
      <x:c r="D48" s="13" t="str">
        <x:v>RT-CELL-2</x:v>
      </x:c>
      <x:c r="E48" s="30" t="n">
        <x:f>VLOOKUP(B48,'Root Units'!$A$6:$K$29,5,FALSE)</x:f>
        <x:v>72000</x:v>
      </x:c>
      <x:c r="F48" s="30" t="n">
        <x:f>VLOOKUP(B48,'Root Units'!$A$6:$K$29,8,FALSE)</x:f>
        <x:v>394.52054794520546</x:v>
      </x:c>
      <x:c r="G48" s="30" t="n">
        <x:f>VLOOKUP(B48,'Root Units'!$A$6:$K$29,10,FALSE)</x:f>
        <x:v>11.506849315068493</x:v>
      </x:c>
      <x:c r="H48" s="30" t="n">
        <x:f>VLOOKUP(B48,'Root Units'!$A$6:$K$29,11,FALSE)</x:f>
        <x:v>2301.3698630136987</x:v>
      </x:c>
      <x:c r="I48" s="30" t="n">
        <x:f>E48*Controls!$B$28</x:f>
        <x:v>10800</x:v>
      </x:c>
      <x:c r="J48" s="17"/>
      <x:c r="K48" s="17"/>
      <x:c r="L48" s="17"/>
      <x:c r="M48" s="17"/>
      <x:c r="N48" s="17"/>
      <x:c r="O48" s="17"/>
      <x:c r="P48" s="17"/>
      <x:c r="Q48" s="13" t="str">
        <x:f>IF(AND(E48&gt;0,F48&gt;0,G48&gt;0,H48&gt;0,I48=E48*Controls!$B$28),"PASS","FAIL")</x:f>
        <x:v>PASS</x:v>
      </x:c>
      <x:c r="R48" s="13" t="str">
        <x:f>IF(COUNTA(J48:P48)=7,"EVIDENCE REQUIRED","SOURCE EMPTY")</x:f>
        <x:v>SOURCE EMPTY</x:v>
      </x:c>
    </x:row>
    <x:row r="49">
      <x:c r="A49" s="13" t="str">
        <x:v>RT-D-RT-CELL-2</x:v>
      </x:c>
      <x:c r="B49" s="13" t="str">
        <x:v>RT-D</x:v>
      </x:c>
      <x:c r="C49" s="13" t="str">
        <x:v>MS-RT</x:v>
      </x:c>
      <x:c r="D49" s="13" t="str">
        <x:v>RT-CELL-2</x:v>
      </x:c>
      <x:c r="E49" s="30" t="n">
        <x:f>VLOOKUP(B49,'Root Units'!$A$6:$K$29,5,FALSE)</x:f>
        <x:v>84000</x:v>
      </x:c>
      <x:c r="F49" s="30" t="n">
        <x:f>VLOOKUP(B49,'Root Units'!$A$6:$K$29,8,FALSE)</x:f>
        <x:v>460.2739726027397</x:v>
      </x:c>
      <x:c r="G49" s="30" t="n">
        <x:f>VLOOKUP(B49,'Root Units'!$A$6:$K$29,10,FALSE)</x:f>
        <x:v>19.17808219178082</x:v>
      </x:c>
      <x:c r="H49" s="30" t="n">
        <x:f>VLOOKUP(B49,'Root Units'!$A$6:$K$29,11,FALSE)</x:f>
        <x:v>3452.054794520548</x:v>
      </x:c>
      <x:c r="I49" s="30" t="n">
        <x:f>E49*Controls!$B$28</x:f>
        <x:v>12600</x:v>
      </x:c>
      <x:c r="J49" s="17"/>
      <x:c r="K49" s="17"/>
      <x:c r="L49" s="17"/>
      <x:c r="M49" s="17"/>
      <x:c r="N49" s="17"/>
      <x:c r="O49" s="17"/>
      <x:c r="P49" s="17"/>
      <x:c r="Q49" s="13" t="str">
        <x:f>IF(AND(E49&gt;0,F49&gt;0,G49&gt;0,H49&gt;0,I49=E49*Controls!$B$28),"PASS","FAIL")</x:f>
        <x:v>PASS</x:v>
      </x:c>
      <x:c r="R49" s="13" t="str">
        <x:f>IF(COUNTA(J49:P49)=7,"EVIDENCE REQUIRED","SOURCE EMPTY")</x:f>
        <x:v>SOURCE EMPTY</x:v>
      </x:c>
    </x:row>
    <x:row r="50">
      <x:c r="A50" s="13" t="str">
        <x:v>RT-A-RT-CELL-3</x:v>
      </x:c>
      <x:c r="B50" s="13" t="str">
        <x:v>RT-A</x:v>
      </x:c>
      <x:c r="C50" s="13" t="str">
        <x:v>MS-RT</x:v>
      </x:c>
      <x:c r="D50" s="13" t="str">
        <x:v>RT-CELL-3</x:v>
      </x:c>
      <x:c r="E50" s="30" t="n">
        <x:f>VLOOKUP(B50,'Root Units'!$A$6:$K$29,5,FALSE)</x:f>
        <x:v>96000</x:v>
      </x:c>
      <x:c r="F50" s="30" t="n">
        <x:f>VLOOKUP(B50,'Root Units'!$A$6:$K$29,8,FALSE)</x:f>
        <x:v>526.027397260274</x:v>
      </x:c>
      <x:c r="G50" s="30" t="n">
        <x:f>VLOOKUP(B50,'Root Units'!$A$6:$K$29,10,FALSE)</x:f>
        <x:v>17.53424657534247</x:v>
      </x:c>
      <x:c r="H50" s="30" t="n">
        <x:f>VLOOKUP(B50,'Root Units'!$A$6:$K$29,11,FALSE)</x:f>
        <x:v>3506.849315068493</x:v>
      </x:c>
      <x:c r="I50" s="30" t="n">
        <x:f>E50*Controls!$B$28</x:f>
        <x:v>14400</x:v>
      </x:c>
      <x:c r="J50" s="17"/>
      <x:c r="K50" s="17"/>
      <x:c r="L50" s="17"/>
      <x:c r="M50" s="17"/>
      <x:c r="N50" s="17"/>
      <x:c r="O50" s="17"/>
      <x:c r="P50" s="17"/>
      <x:c r="Q50" s="13" t="str">
        <x:f>IF(AND(E50&gt;0,F50&gt;0,G50&gt;0,H50&gt;0,I50=E50*Controls!$B$28),"PASS","FAIL")</x:f>
        <x:v>PASS</x:v>
      </x:c>
      <x:c r="R50" s="13" t="str">
        <x:f>IF(COUNTA(J50:P50)=7,"EVIDENCE REQUIRED","SOURCE EMPTY")</x:f>
        <x:v>SOURCE EMPTY</x:v>
      </x:c>
    </x:row>
    <x:row r="51">
      <x:c r="A51" s="13" t="str">
        <x:v>RT-C-RT-CELL-3</x:v>
      </x:c>
      <x:c r="B51" s="13" t="str">
        <x:v>RT-C</x:v>
      </x:c>
      <x:c r="C51" s="13" t="str">
        <x:v>MS-RT</x:v>
      </x:c>
      <x:c r="D51" s="13" t="str">
        <x:v>RT-CELL-3</x:v>
      </x:c>
      <x:c r="E51" s="30" t="n">
        <x:f>VLOOKUP(B51,'Root Units'!$A$6:$K$29,5,FALSE)</x:f>
        <x:v>72000</x:v>
      </x:c>
      <x:c r="F51" s="30" t="n">
        <x:f>VLOOKUP(B51,'Root Units'!$A$6:$K$29,8,FALSE)</x:f>
        <x:v>394.52054794520546</x:v>
      </x:c>
      <x:c r="G51" s="30" t="n">
        <x:f>VLOOKUP(B51,'Root Units'!$A$6:$K$29,10,FALSE)</x:f>
        <x:v>11.506849315068493</x:v>
      </x:c>
      <x:c r="H51" s="30" t="n">
        <x:f>VLOOKUP(B51,'Root Units'!$A$6:$K$29,11,FALSE)</x:f>
        <x:v>2301.3698630136987</x:v>
      </x:c>
      <x:c r="I51" s="30" t="n">
        <x:f>E51*Controls!$B$28</x:f>
        <x:v>10800</x:v>
      </x:c>
      <x:c r="J51" s="17"/>
      <x:c r="K51" s="17"/>
      <x:c r="L51" s="17"/>
      <x:c r="M51" s="17"/>
      <x:c r="N51" s="17"/>
      <x:c r="O51" s="17"/>
      <x:c r="P51" s="17"/>
      <x:c r="Q51" s="13" t="str">
        <x:f>IF(AND(E51&gt;0,F51&gt;0,G51&gt;0,H51&gt;0,I51=E51*Controls!$B$28),"PASS","FAIL")</x:f>
        <x:v>PASS</x:v>
      </x:c>
      <x:c r="R51" s="13" t="str">
        <x:f>IF(COUNTA(J51:P51)=7,"EVIDENCE REQUIRED","SOURCE EMPTY")</x:f>
        <x:v>SOURCE EMPTY</x:v>
      </x:c>
    </x:row>
    <x:row r="52">
      <x:c r="A52" s="13" t="str">
        <x:v>RT-B-RT-CELL-4</x:v>
      </x:c>
      <x:c r="B52" s="13" t="str">
        <x:v>RT-B</x:v>
      </x:c>
      <x:c r="C52" s="13" t="str">
        <x:v>MS-RT</x:v>
      </x:c>
      <x:c r="D52" s="13" t="str">
        <x:v>RT-CELL-4</x:v>
      </x:c>
      <x:c r="E52" s="30" t="n">
        <x:f>VLOOKUP(B52,'Root Units'!$A$6:$K$29,5,FALSE)</x:f>
        <x:v>58000</x:v>
      </x:c>
      <x:c r="F52" s="30" t="n">
        <x:f>VLOOKUP(B52,'Root Units'!$A$6:$K$29,8,FALSE)</x:f>
        <x:v>317.8082191780822</x:v>
      </x:c>
      <x:c r="G52" s="30" t="n">
        <x:f>VLOOKUP(B52,'Root Units'!$A$6:$K$29,10,FALSE)</x:f>
        <x:v>18.538812785388128</x:v>
      </x:c>
      <x:c r="H52" s="30" t="n">
        <x:f>VLOOKUP(B52,'Root Units'!$A$6:$K$29,11,FALSE)</x:f>
        <x:v>2913.24200913242</x:v>
      </x:c>
      <x:c r="I52" s="30" t="n">
        <x:f>E52*Controls!$B$28</x:f>
        <x:v>8700</x:v>
      </x:c>
      <x:c r="J52" s="17"/>
      <x:c r="K52" s="17"/>
      <x:c r="L52" s="17"/>
      <x:c r="M52" s="17"/>
      <x:c r="N52" s="17"/>
      <x:c r="O52" s="17"/>
      <x:c r="P52" s="17"/>
      <x:c r="Q52" s="13" t="str">
        <x:f>IF(AND(E52&gt;0,F52&gt;0,G52&gt;0,H52&gt;0,I52=E52*Controls!$B$28),"PASS","FAIL")</x:f>
        <x:v>PASS</x:v>
      </x:c>
      <x:c r="R52" s="13" t="str">
        <x:f>IF(COUNTA(J52:P52)=7,"EVIDENCE REQUIRED","SOURCE EMPTY")</x:f>
        <x:v>SOURCE EMPTY</x:v>
      </x:c>
    </x:row>
    <x:row r="53">
      <x:c r="A53" s="13" t="str">
        <x:v>RT-D-RT-CELL-4</x:v>
      </x:c>
      <x:c r="B53" s="13" t="str">
        <x:v>RT-D</x:v>
      </x:c>
      <x:c r="C53" s="13" t="str">
        <x:v>MS-RT</x:v>
      </x:c>
      <x:c r="D53" s="13" t="str">
        <x:v>RT-CELL-4</x:v>
      </x:c>
      <x:c r="E53" s="30" t="n">
        <x:f>VLOOKUP(B53,'Root Units'!$A$6:$K$29,5,FALSE)</x:f>
        <x:v>84000</x:v>
      </x:c>
      <x:c r="F53" s="30" t="n">
        <x:f>VLOOKUP(B53,'Root Units'!$A$6:$K$29,8,FALSE)</x:f>
        <x:v>460.2739726027397</x:v>
      </x:c>
      <x:c r="G53" s="30" t="n">
        <x:f>VLOOKUP(B53,'Root Units'!$A$6:$K$29,10,FALSE)</x:f>
        <x:v>19.17808219178082</x:v>
      </x:c>
      <x:c r="H53" s="30" t="n">
        <x:f>VLOOKUP(B53,'Root Units'!$A$6:$K$29,11,FALSE)</x:f>
        <x:v>3452.054794520548</x:v>
      </x:c>
      <x:c r="I53" s="30" t="n">
        <x:f>E53*Controls!$B$28</x:f>
        <x:v>12600</x:v>
      </x:c>
      <x:c r="J53" s="17"/>
      <x:c r="K53" s="17"/>
      <x:c r="L53" s="17"/>
      <x:c r="M53" s="17"/>
      <x:c r="N53" s="17"/>
      <x:c r="O53" s="17"/>
      <x:c r="P53" s="17"/>
      <x:c r="Q53" s="13" t="str">
        <x:f>IF(AND(E53&gt;0,F53&gt;0,G53&gt;0,H53&gt;0,I53=E53*Controls!$B$28),"PASS","FAIL")</x:f>
        <x:v>PASS</x:v>
      </x:c>
      <x:c r="R53" s="13" t="str">
        <x:f>IF(COUNTA(J53:P53)=7,"EVIDENCE REQUIRED","SOURCE EMPTY")</x:f>
        <x:v>SOURCE EMPTY</x:v>
      </x:c>
    </x:row>
  </x:sheetData>
  <x:conditionalFormatting sqref="Q6:R53">
    <x:cfRule type="containsText" dxfId="6" priority="1" operator="containsText" text="FAIL"/>
    <x:cfRule type="containsText" dxfId="7" priority="2" operator="containsText" text="SOURCE EMPTY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15" hidden="0" customWidth="1"/>
    <x:col min="7" max="7" width="15" hidden="0" customWidth="1"/>
    <x:col min="8" max="8" width="17" hidden="0" customWidth="1"/>
    <x:col min="9" max="9" width="9" hidden="0" customWidth="1"/>
    <x:col min="10" max="10" width="14" hidden="0" customWidth="1"/>
    <x:col min="11" max="11" width="16" hidden="0" customWidth="1"/>
    <x:col min="12" max="12" width="16" hidden="0" customWidth="1"/>
    <x:col min="13" max="13" width="13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  <x:col min="19" max="19" width="26" hidden="0" customWidth="1"/>
  </x:cols>
  <x:sheetData>
    <x:row r="2">
      <x:c r="A2" s="59" t="str">
        <x:v>Twenty-four public production cells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</x:row>
    <x:row r="3">
      <x:c r="A3" s="61" t="str">
        <x:v>A cell serves no more than two roots. Six bays at one-quarter rate retain 125% of the governing requirement after one bay loss.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</x:row>
    <x:row r="5" ht="30" customHeight="1">
      <x:c r="A5" s="9" t="str">
        <x:v>Cell</x:v>
      </x:c>
      <x:c r="B5" s="9" t="str">
        <x:v>System</x:v>
      </x:c>
      <x:c r="C5" s="9" t="str">
        <x:v>Root 1</x:v>
      </x:c>
      <x:c r="D5" s="9" t="str">
        <x:v>Root 2</x:v>
      </x:c>
      <x:c r="E5" s="9" t="str">
        <x:v>Path count</x:v>
      </x:c>
      <x:c r="F5" s="9" t="str">
        <x:v>Root 1 rate</x:v>
      </x:c>
      <x:c r="G5" s="9" t="str">
        <x:v>Root 2 rate</x:v>
      </x:c>
      <x:c r="H5" s="9" t="str">
        <x:v>Governing rate</x:v>
      </x:c>
      <x:c r="I5" s="9" t="str">
        <x:v>Bays</x:v>
      </x:c>
      <x:c r="J5" s="9" t="str">
        <x:v>Rate share per bay</x:v>
      </x:c>
      <x:c r="K5" s="9" t="str">
        <x:v>Installed rate</x:v>
      </x:c>
      <x:c r="L5" s="9" t="str">
        <x:v>After bay loss</x:v>
      </x:c>
      <x:c r="M5" s="9" t="str">
        <x:v>Loss margin</x:v>
      </x:c>
      <x:c r="N5" s="9" t="str">
        <x:v>Planning</x:v>
      </x:c>
      <x:c r="O5" s="9" t="str">
        <x:v>Site ID</x:v>
      </x:c>
      <x:c r="P5" s="9" t="str">
        <x:v>Operator ID</x:v>
      </x:c>
      <x:c r="Q5" s="9" t="str">
        <x:v>Utility-island ID</x:v>
      </x:c>
      <x:c r="R5" s="9" t="str">
        <x:v>Custody ID</x:v>
      </x:c>
      <x:c r="S5" s="9" t="str">
        <x:v>Authority</x:v>
      </x:c>
    </x:row>
    <x:row r="6">
      <x:c r="A6" s="12" t="str">
        <x:v>TE-CELL-1</x:v>
      </x:c>
      <x:c r="B6" s="12" t="str">
        <x:v>MS-ET</x:v>
      </x:c>
      <x:c r="C6" s="12" t="str">
        <x:v>TE-A</x:v>
      </x:c>
      <x:c r="D6" s="12" t="str">
        <x:v>TE-B</x:v>
      </x:c>
      <x:c r="E6" s="12" t="n">
        <x:f>COUNTIFS('Public Paths'!$D$6:$D$53,A6)</x:f>
        <x:v>2</x:v>
      </x:c>
      <x:c r="F6" s="29" t="n">
        <x:f>VLOOKUP(C6,'Root Units'!$A$6:$K$29,8,FALSE)</x:f>
        <x:v>487.67123287671234</x:v>
      </x:c>
      <x:c r="G6" s="29" t="n">
        <x:f>VLOOKUP(D6,'Root Units'!$A$6:$K$29,8,FALSE)</x:f>
        <x:v>317.8082191780822</x:v>
      </x:c>
      <x:c r="H6" s="29" t="n">
        <x:f>MAX(F6:G6)</x:f>
        <x:v>487.67123287671234</x:v>
      </x:c>
      <x:c r="I6" s="12" t="n">
        <x:f>Controls!$B$25</x:f>
        <x:v>6</x:v>
      </x:c>
      <x:c r="J6" s="39" t="n">
        <x:f>Controls!$B$26</x:f>
        <x:v>0.25</x:v>
      </x:c>
      <x:c r="K6" s="42" t="n">
        <x:f>H6*I6*J6</x:f>
        <x:v>731.5068493150685</x:v>
      </x:c>
      <x:c r="L6" s="42" t="n">
        <x:f>H6*(I6-Controls!$B$34)*J6</x:f>
        <x:v>609.5890410958905</x:v>
      </x:c>
      <x:c r="M6" s="42" t="n">
        <x:f>L6/H6</x:f>
        <x:v>1.2500000000000002</x:v>
      </x:c>
      <x:c r="N6" s="12" t="str">
        <x:f>IF(AND(E6=2,I6=6,J6=0.25,L6&gt;=H6),"PASS","FAIL")</x:f>
        <x:v>PASS</x:v>
      </x:c>
      <x:c r="O6" s="16"/>
      <x:c r="P6" s="16"/>
      <x:c r="Q6" s="16"/>
      <x:c r="R6" s="16"/>
      <x:c r="S6" s="12" t="str">
        <x:f>IF(COUNTA(O6:R6)=4,"IDENTIFIED; EVIDENCE REQUIRED","SOURCE EMPTY")</x:f>
        <x:v>SOURCE EMPTY</x:v>
      </x:c>
    </x:row>
    <x:row r="7">
      <x:c r="A7" s="13" t="str">
        <x:v>TE-CELL-2</x:v>
      </x:c>
      <x:c r="B7" s="13" t="str">
        <x:v>MS-ET</x:v>
      </x:c>
      <x:c r="C7" s="13" t="str">
        <x:v>TE-C</x:v>
      </x:c>
      <x:c r="D7" s="13" t="str">
        <x:v>TE-D</x:v>
      </x:c>
      <x:c r="E7" s="13" t="n">
        <x:f>COUNTIFS('Public Paths'!$D$6:$D$53,A7)</x:f>
        <x:v>2</x:v>
      </x:c>
      <x:c r="F7" s="30" t="n">
        <x:f>VLOOKUP(C7,'Root Units'!$A$6:$K$29,8,FALSE)</x:f>
        <x:v>405.47945205479454</x:v>
      </x:c>
      <x:c r="G7" s="30" t="n">
        <x:f>VLOOKUP(D7,'Root Units'!$A$6:$K$29,8,FALSE)</x:f>
        <x:v>284.93150684931504</x:v>
      </x:c>
      <x:c r="H7" s="30" t="n">
        <x:f>MAX(F7:G7)</x:f>
        <x:v>405.47945205479454</x:v>
      </x:c>
      <x:c r="I7" s="13" t="n">
        <x:f>Controls!$B$25</x:f>
        <x:v>6</x:v>
      </x:c>
      <x:c r="J7" s="24" t="n">
        <x:f>Controls!$B$26</x:f>
        <x:v>0.25</x:v>
      </x:c>
      <x:c r="K7" s="43" t="n">
        <x:f>H7*I7*J7</x:f>
        <x:v>608.2191780821918</x:v>
      </x:c>
      <x:c r="L7" s="43" t="n">
        <x:f>H7*(I7-Controls!$B$34)*J7</x:f>
        <x:v>506.8493150684932</x:v>
      </x:c>
      <x:c r="M7" s="43" t="n">
        <x:f>L7/H7</x:f>
        <x:v>1.25</x:v>
      </x:c>
      <x:c r="N7" s="13" t="str">
        <x:f>IF(AND(E7=2,I7=6,J7=0.25,L7&gt;=H7),"PASS","FAIL")</x:f>
        <x:v>PASS</x:v>
      </x:c>
      <x:c r="O7" s="17"/>
      <x:c r="P7" s="17"/>
      <x:c r="Q7" s="17"/>
      <x:c r="R7" s="17"/>
      <x:c r="S7" s="13" t="str">
        <x:f>IF(COUNTA(O7:R7)=4,"IDENTIFIED; EVIDENCE REQUIRED","SOURCE EMPTY")</x:f>
        <x:v>SOURCE EMPTY</x:v>
      </x:c>
    </x:row>
    <x:row r="8">
      <x:c r="A8" s="13" t="str">
        <x:v>TE-CELL-3</x:v>
      </x:c>
      <x:c r="B8" s="13" t="str">
        <x:v>MS-ET</x:v>
      </x:c>
      <x:c r="C8" s="13" t="str">
        <x:v>TE-A</x:v>
      </x:c>
      <x:c r="D8" s="13" t="str">
        <x:v>TE-C</x:v>
      </x:c>
      <x:c r="E8" s="13" t="n">
        <x:f>COUNTIFS('Public Paths'!$D$6:$D$53,A8)</x:f>
        <x:v>2</x:v>
      </x:c>
      <x:c r="F8" s="30" t="n">
        <x:f>VLOOKUP(C8,'Root Units'!$A$6:$K$29,8,FALSE)</x:f>
        <x:v>487.67123287671234</x:v>
      </x:c>
      <x:c r="G8" s="30" t="n">
        <x:f>VLOOKUP(D8,'Root Units'!$A$6:$K$29,8,FALSE)</x:f>
        <x:v>405.47945205479454</x:v>
      </x:c>
      <x:c r="H8" s="30" t="n">
        <x:f>MAX(F8:G8)</x:f>
        <x:v>487.67123287671234</x:v>
      </x:c>
      <x:c r="I8" s="13" t="n">
        <x:f>Controls!$B$25</x:f>
        <x:v>6</x:v>
      </x:c>
      <x:c r="J8" s="24" t="n">
        <x:f>Controls!$B$26</x:f>
        <x:v>0.25</x:v>
      </x:c>
      <x:c r="K8" s="43" t="n">
        <x:f>H8*I8*J8</x:f>
        <x:v>731.5068493150685</x:v>
      </x:c>
      <x:c r="L8" s="43" t="n">
        <x:f>H8*(I8-Controls!$B$34)*J8</x:f>
        <x:v>609.5890410958905</x:v>
      </x:c>
      <x:c r="M8" s="43" t="n">
        <x:f>L8/H8</x:f>
        <x:v>1.2500000000000002</x:v>
      </x:c>
      <x:c r="N8" s="13" t="str">
        <x:f>IF(AND(E8=2,I8=6,J8=0.25,L8&gt;=H8),"PASS","FAIL")</x:f>
        <x:v>PASS</x:v>
      </x:c>
      <x:c r="O8" s="17"/>
      <x:c r="P8" s="17"/>
      <x:c r="Q8" s="17"/>
      <x:c r="R8" s="17"/>
      <x:c r="S8" s="13" t="str">
        <x:f>IF(COUNTA(O8:R8)=4,"IDENTIFIED; EVIDENCE REQUIRED","SOURCE EMPTY")</x:f>
        <x:v>SOURCE EMPTY</x:v>
      </x:c>
    </x:row>
    <x:row r="9">
      <x:c r="A9" s="13" t="str">
        <x:v>TE-CELL-4</x:v>
      </x:c>
      <x:c r="B9" s="13" t="str">
        <x:v>MS-ET</x:v>
      </x:c>
      <x:c r="C9" s="13" t="str">
        <x:v>TE-B</x:v>
      </x:c>
      <x:c r="D9" s="13" t="str">
        <x:v>TE-D</x:v>
      </x:c>
      <x:c r="E9" s="13" t="n">
        <x:f>COUNTIFS('Public Paths'!$D$6:$D$53,A9)</x:f>
        <x:v>2</x:v>
      </x:c>
      <x:c r="F9" s="30" t="n">
        <x:f>VLOOKUP(C9,'Root Units'!$A$6:$K$29,8,FALSE)</x:f>
        <x:v>317.8082191780822</x:v>
      </x:c>
      <x:c r="G9" s="30" t="n">
        <x:f>VLOOKUP(D9,'Root Units'!$A$6:$K$29,8,FALSE)</x:f>
        <x:v>284.93150684931504</x:v>
      </x:c>
      <x:c r="H9" s="30" t="n">
        <x:f>MAX(F9:G9)</x:f>
        <x:v>317.8082191780822</x:v>
      </x:c>
      <x:c r="I9" s="13" t="n">
        <x:f>Controls!$B$25</x:f>
        <x:v>6</x:v>
      </x:c>
      <x:c r="J9" s="24" t="n">
        <x:f>Controls!$B$26</x:f>
        <x:v>0.25</x:v>
      </x:c>
      <x:c r="K9" s="43" t="n">
        <x:f>H9*I9*J9</x:f>
        <x:v>476.71232876712327</x:v>
      </x:c>
      <x:c r="L9" s="43" t="n">
        <x:f>H9*(I9-Controls!$B$34)*J9</x:f>
        <x:v>397.26027397260276</x:v>
      </x:c>
      <x:c r="M9" s="43" t="n">
        <x:f>L9/H9</x:f>
        <x:v>1.25</x:v>
      </x:c>
      <x:c r="N9" s="13" t="str">
        <x:f>IF(AND(E9=2,I9=6,J9=0.25,L9&gt;=H9),"PASS","FAIL")</x:f>
        <x:v>PASS</x:v>
      </x:c>
      <x:c r="O9" s="17"/>
      <x:c r="P9" s="17"/>
      <x:c r="Q9" s="17"/>
      <x:c r="R9" s="17"/>
      <x:c r="S9" s="13" t="str">
        <x:f>IF(COUNTA(O9:R9)=4,"IDENTIFIED; EVIDENCE REQUIRED","SOURCE EMPTY")</x:f>
        <x:v>SOURCE EMPTY</x:v>
      </x:c>
    </x:row>
    <x:row r="10">
      <x:c r="A10" s="13" t="str">
        <x:v>CT-CELL-1</x:v>
      </x:c>
      <x:c r="B10" s="13" t="str">
        <x:v>MS-CT</x:v>
      </x:c>
      <x:c r="C10" s="13" t="str">
        <x:v>CT-A</x:v>
      </x:c>
      <x:c r="D10" s="13" t="str">
        <x:v>CT-B</x:v>
      </x:c>
      <x:c r="E10" s="13" t="n">
        <x:f>COUNTIFS('Public Paths'!$D$6:$D$53,A10)</x:f>
        <x:v>2</x:v>
      </x:c>
      <x:c r="F10" s="30" t="n">
        <x:f>VLOOKUP(C10,'Root Units'!$A$6:$K$29,8,FALSE)</x:f>
        <x:v>87.67123287671232</x:v>
      </x:c>
      <x:c r="G10" s="30" t="n">
        <x:f>VLOOKUP(D10,'Root Units'!$A$6:$K$29,8,FALSE)</x:f>
        <x:v>115.06849315068493</x:v>
      </x:c>
      <x:c r="H10" s="30" t="n">
        <x:f>MAX(F10:G10)</x:f>
        <x:v>115.06849315068493</x:v>
      </x:c>
      <x:c r="I10" s="13" t="n">
        <x:f>Controls!$B$25</x:f>
        <x:v>6</x:v>
      </x:c>
      <x:c r="J10" s="24" t="n">
        <x:f>Controls!$B$26</x:f>
        <x:v>0.25</x:v>
      </x:c>
      <x:c r="K10" s="43" t="n">
        <x:f>H10*I10*J10</x:f>
        <x:v>172.60273972602738</x:v>
      </x:c>
      <x:c r="L10" s="43" t="n">
        <x:f>H10*(I10-Controls!$B$34)*J10</x:f>
        <x:v>143.83561643835617</x:v>
      </x:c>
      <x:c r="M10" s="43" t="n">
        <x:f>L10/H10</x:f>
        <x:v>1.25</x:v>
      </x:c>
      <x:c r="N10" s="13" t="str">
        <x:f>IF(AND(E10=2,I10=6,J10=0.25,L10&gt;=H10),"PASS","FAIL")</x:f>
        <x:v>PASS</x:v>
      </x:c>
      <x:c r="O10" s="17"/>
      <x:c r="P10" s="17"/>
      <x:c r="Q10" s="17"/>
      <x:c r="R10" s="17"/>
      <x:c r="S10" s="13" t="str">
        <x:f>IF(COUNTA(O10:R10)=4,"IDENTIFIED; EVIDENCE REQUIRED","SOURCE EMPTY")</x:f>
        <x:v>SOURCE EMPTY</x:v>
      </x:c>
    </x:row>
    <x:row r="11">
      <x:c r="A11" s="13" t="str">
        <x:v>CT-CELL-2</x:v>
      </x:c>
      <x:c r="B11" s="13" t="str">
        <x:v>MS-CT</x:v>
      </x:c>
      <x:c r="C11" s="13" t="str">
        <x:v>CT-C</x:v>
      </x:c>
      <x:c r="D11" s="13" t="str">
        <x:v>CT-D</x:v>
      </x:c>
      <x:c r="E11" s="13" t="n">
        <x:f>COUNTIFS('Public Paths'!$D$6:$D$53,A11)</x:f>
        <x:v>2</x:v>
      </x:c>
      <x:c r="F11" s="30" t="n">
        <x:f>VLOOKUP(C11,'Root Units'!$A$6:$K$29,8,FALSE)</x:f>
        <x:v>147.94520547945206</x:v>
      </x:c>
      <x:c r="G11" s="30" t="n">
        <x:f>VLOOKUP(D11,'Root Units'!$A$6:$K$29,8,FALSE)</x:f>
        <x:v>104.10958904109589</x:v>
      </x:c>
      <x:c r="H11" s="30" t="n">
        <x:f>MAX(F11:G11)</x:f>
        <x:v>147.94520547945206</x:v>
      </x:c>
      <x:c r="I11" s="13" t="n">
        <x:f>Controls!$B$25</x:f>
        <x:v>6</x:v>
      </x:c>
      <x:c r="J11" s="24" t="n">
        <x:f>Controls!$B$26</x:f>
        <x:v>0.25</x:v>
      </x:c>
      <x:c r="K11" s="43" t="n">
        <x:f>H11*I11*J11</x:f>
        <x:v>221.91780821917808</x:v>
      </x:c>
      <x:c r="L11" s="43" t="n">
        <x:f>H11*(I11-Controls!$B$34)*J11</x:f>
        <x:v>184.93150684931507</x:v>
      </x:c>
      <x:c r="M11" s="43" t="n">
        <x:f>L11/H11</x:f>
        <x:v>1.25</x:v>
      </x:c>
      <x:c r="N11" s="13" t="str">
        <x:f>IF(AND(E11=2,I11=6,J11=0.25,L11&gt;=H11),"PASS","FAIL")</x:f>
        <x:v>PASS</x:v>
      </x:c>
      <x:c r="O11" s="17"/>
      <x:c r="P11" s="17"/>
      <x:c r="Q11" s="17"/>
      <x:c r="R11" s="17"/>
      <x:c r="S11" s="13" t="str">
        <x:f>IF(COUNTA(O11:R11)=4,"IDENTIFIED; EVIDENCE REQUIRED","SOURCE EMPTY")</x:f>
        <x:v>SOURCE EMPTY</x:v>
      </x:c>
    </x:row>
    <x:row r="12">
      <x:c r="A12" s="13" t="str">
        <x:v>CT-CELL-3</x:v>
      </x:c>
      <x:c r="B12" s="13" t="str">
        <x:v>MS-CT</x:v>
      </x:c>
      <x:c r="C12" s="13" t="str">
        <x:v>CT-A</x:v>
      </x:c>
      <x:c r="D12" s="13" t="str">
        <x:v>CT-C</x:v>
      </x:c>
      <x:c r="E12" s="13" t="n">
        <x:f>COUNTIFS('Public Paths'!$D$6:$D$53,A12)</x:f>
        <x:v>2</x:v>
      </x:c>
      <x:c r="F12" s="30" t="n">
        <x:f>VLOOKUP(C12,'Root Units'!$A$6:$K$29,8,FALSE)</x:f>
        <x:v>87.67123287671232</x:v>
      </x:c>
      <x:c r="G12" s="30" t="n">
        <x:f>VLOOKUP(D12,'Root Units'!$A$6:$K$29,8,FALSE)</x:f>
        <x:v>147.94520547945206</x:v>
      </x:c>
      <x:c r="H12" s="30" t="n">
        <x:f>MAX(F12:G12)</x:f>
        <x:v>147.94520547945206</x:v>
      </x:c>
      <x:c r="I12" s="13" t="n">
        <x:f>Controls!$B$25</x:f>
        <x:v>6</x:v>
      </x:c>
      <x:c r="J12" s="24" t="n">
        <x:f>Controls!$B$26</x:f>
        <x:v>0.25</x:v>
      </x:c>
      <x:c r="K12" s="43" t="n">
        <x:f>H12*I12*J12</x:f>
        <x:v>221.91780821917808</x:v>
      </x:c>
      <x:c r="L12" s="43" t="n">
        <x:f>H12*(I12-Controls!$B$34)*J12</x:f>
        <x:v>184.93150684931507</x:v>
      </x:c>
      <x:c r="M12" s="43" t="n">
        <x:f>L12/H12</x:f>
        <x:v>1.25</x:v>
      </x:c>
      <x:c r="N12" s="13" t="str">
        <x:f>IF(AND(E12=2,I12=6,J12=0.25,L12&gt;=H12),"PASS","FAIL")</x:f>
        <x:v>PASS</x:v>
      </x:c>
      <x:c r="O12" s="17"/>
      <x:c r="P12" s="17"/>
      <x:c r="Q12" s="17"/>
      <x:c r="R12" s="17"/>
      <x:c r="S12" s="13" t="str">
        <x:f>IF(COUNTA(O12:R12)=4,"IDENTIFIED; EVIDENCE REQUIRED","SOURCE EMPTY")</x:f>
        <x:v>SOURCE EMPTY</x:v>
      </x:c>
    </x:row>
    <x:row r="13">
      <x:c r="A13" s="13" t="str">
        <x:v>CT-CELL-4</x:v>
      </x:c>
      <x:c r="B13" s="13" t="str">
        <x:v>MS-CT</x:v>
      </x:c>
      <x:c r="C13" s="13" t="str">
        <x:v>CT-B</x:v>
      </x:c>
      <x:c r="D13" s="13" t="str">
        <x:v>CT-D</x:v>
      </x:c>
      <x:c r="E13" s="13" t="n">
        <x:f>COUNTIFS('Public Paths'!$D$6:$D$53,A13)</x:f>
        <x:v>2</x:v>
      </x:c>
      <x:c r="F13" s="30" t="n">
        <x:f>VLOOKUP(C13,'Root Units'!$A$6:$K$29,8,FALSE)</x:f>
        <x:v>115.06849315068493</x:v>
      </x:c>
      <x:c r="G13" s="30" t="n">
        <x:f>VLOOKUP(D13,'Root Units'!$A$6:$K$29,8,FALSE)</x:f>
        <x:v>104.10958904109589</x:v>
      </x:c>
      <x:c r="H13" s="30" t="n">
        <x:f>MAX(F13:G13)</x:f>
        <x:v>115.06849315068493</x:v>
      </x:c>
      <x:c r="I13" s="13" t="n">
        <x:f>Controls!$B$25</x:f>
        <x:v>6</x:v>
      </x:c>
      <x:c r="J13" s="24" t="n">
        <x:f>Controls!$B$26</x:f>
        <x:v>0.25</x:v>
      </x:c>
      <x:c r="K13" s="43" t="n">
        <x:f>H13*I13*J13</x:f>
        <x:v>172.60273972602738</x:v>
      </x:c>
      <x:c r="L13" s="43" t="n">
        <x:f>H13*(I13-Controls!$B$34)*J13</x:f>
        <x:v>143.83561643835617</x:v>
      </x:c>
      <x:c r="M13" s="43" t="n">
        <x:f>L13/H13</x:f>
        <x:v>1.25</x:v>
      </x:c>
      <x:c r="N13" s="13" t="str">
        <x:f>IF(AND(E13=2,I13=6,J13=0.25,L13&gt;=H13),"PASS","FAIL")</x:f>
        <x:v>PASS</x:v>
      </x:c>
      <x:c r="O13" s="17"/>
      <x:c r="P13" s="17"/>
      <x:c r="Q13" s="17"/>
      <x:c r="R13" s="17"/>
      <x:c r="S13" s="13" t="str">
        <x:f>IF(COUNTA(O13:R13)=4,"IDENTIFIED; EVIDENCE REQUIRED","SOURCE EMPTY")</x:f>
        <x:v>SOURCE EMPTY</x:v>
      </x:c>
    </x:row>
    <x:row r="14">
      <x:c r="A14" s="13" t="str">
        <x:v>HC-CELL-1</x:v>
      </x:c>
      <x:c r="B14" s="13" t="str">
        <x:v>MS-HC</x:v>
      </x:c>
      <x:c r="C14" s="13" t="str">
        <x:v>HC-A</x:v>
      </x:c>
      <x:c r="D14" s="13" t="str">
        <x:v>HC-B</x:v>
      </x:c>
      <x:c r="E14" s="13" t="n">
        <x:f>COUNTIFS('Public Paths'!$D$6:$D$53,A14)</x:f>
        <x:v>2</x:v>
      </x:c>
      <x:c r="F14" s="30" t="n">
        <x:f>VLOOKUP(C14,'Root Units'!$A$6:$K$29,8,FALSE)</x:f>
        <x:v>241.0958904109589</x:v>
      </x:c>
      <x:c r="G14" s="30" t="n">
        <x:f>VLOOKUP(D14,'Root Units'!$A$6:$K$29,8,FALSE)</x:f>
        <x:v>334.24657534246575</x:v>
      </x:c>
      <x:c r="H14" s="30" t="n">
        <x:f>MAX(F14:G14)</x:f>
        <x:v>334.24657534246575</x:v>
      </x:c>
      <x:c r="I14" s="13" t="n">
        <x:f>Controls!$B$25</x:f>
        <x:v>6</x:v>
      </x:c>
      <x:c r="J14" s="24" t="n">
        <x:f>Controls!$B$26</x:f>
        <x:v>0.25</x:v>
      </x:c>
      <x:c r="K14" s="43" t="n">
        <x:f>H14*I14*J14</x:f>
        <x:v>501.3698630136986</x:v>
      </x:c>
      <x:c r="L14" s="43" t="n">
        <x:f>H14*(I14-Controls!$B$34)*J14</x:f>
        <x:v>417.8082191780822</x:v>
      </x:c>
      <x:c r="M14" s="43" t="n">
        <x:f>L14/H14</x:f>
        <x:v>1.25</x:v>
      </x:c>
      <x:c r="N14" s="13" t="str">
        <x:f>IF(AND(E14=2,I14=6,J14=0.25,L14&gt;=H14),"PASS","FAIL")</x:f>
        <x:v>PASS</x:v>
      </x:c>
      <x:c r="O14" s="17"/>
      <x:c r="P14" s="17"/>
      <x:c r="Q14" s="17"/>
      <x:c r="R14" s="17"/>
      <x:c r="S14" s="13" t="str">
        <x:f>IF(COUNTA(O14:R14)=4,"IDENTIFIED; EVIDENCE REQUIRED","SOURCE EMPTY")</x:f>
        <x:v>SOURCE EMPTY</x:v>
      </x:c>
    </x:row>
    <x:row r="15">
      <x:c r="A15" s="13" t="str">
        <x:v>HC-CELL-2</x:v>
      </x:c>
      <x:c r="B15" s="13" t="str">
        <x:v>MS-HC</x:v>
      </x:c>
      <x:c r="C15" s="13" t="str">
        <x:v>HC-C</x:v>
      </x:c>
      <x:c r="D15" s="13" t="str">
        <x:v>HC-D</x:v>
      </x:c>
      <x:c r="E15" s="13" t="n">
        <x:f>COUNTIFS('Public Paths'!$D$6:$D$53,A15)</x:f>
        <x:v>2</x:v>
      </x:c>
      <x:c r="F15" s="30" t="n">
        <x:f>VLOOKUP(C15,'Root Units'!$A$6:$K$29,8,FALSE)</x:f>
        <x:v>284.93150684931504</x:v>
      </x:c>
      <x:c r="G15" s="30" t="n">
        <x:f>VLOOKUP(D15,'Root Units'!$A$6:$K$29,8,FALSE)</x:f>
        <x:v>180.82191780821918</x:v>
      </x:c>
      <x:c r="H15" s="30" t="n">
        <x:f>MAX(F15:G15)</x:f>
        <x:v>284.93150684931504</x:v>
      </x:c>
      <x:c r="I15" s="13" t="n">
        <x:f>Controls!$B$25</x:f>
        <x:v>6</x:v>
      </x:c>
      <x:c r="J15" s="24" t="n">
        <x:f>Controls!$B$26</x:f>
        <x:v>0.25</x:v>
      </x:c>
      <x:c r="K15" s="43" t="n">
        <x:f>H15*I15*J15</x:f>
        <x:v>427.39726027397256</x:v>
      </x:c>
      <x:c r="L15" s="43" t="n">
        <x:f>H15*(I15-Controls!$B$34)*J15</x:f>
        <x:v>356.16438356164383</x:v>
      </x:c>
      <x:c r="M15" s="43" t="n">
        <x:f>L15/H15</x:f>
        <x:v>1.25</x:v>
      </x:c>
      <x:c r="N15" s="13" t="str">
        <x:f>IF(AND(E15=2,I15=6,J15=0.25,L15&gt;=H15),"PASS","FAIL")</x:f>
        <x:v>PASS</x:v>
      </x:c>
      <x:c r="O15" s="17"/>
      <x:c r="P15" s="17"/>
      <x:c r="Q15" s="17"/>
      <x:c r="R15" s="17"/>
      <x:c r="S15" s="13" t="str">
        <x:f>IF(COUNTA(O15:R15)=4,"IDENTIFIED; EVIDENCE REQUIRED","SOURCE EMPTY")</x:f>
        <x:v>SOURCE EMPTY</x:v>
      </x:c>
    </x:row>
    <x:row r="16">
      <x:c r="A16" s="13" t="str">
        <x:v>HC-CELL-3</x:v>
      </x:c>
      <x:c r="B16" s="13" t="str">
        <x:v>MS-HC</x:v>
      </x:c>
      <x:c r="C16" s="13" t="str">
        <x:v>HC-A</x:v>
      </x:c>
      <x:c r="D16" s="13" t="str">
        <x:v>HC-C</x:v>
      </x:c>
      <x:c r="E16" s="13" t="n">
        <x:f>COUNTIFS('Public Paths'!$D$6:$D$53,A16)</x:f>
        <x:v>2</x:v>
      </x:c>
      <x:c r="F16" s="30" t="n">
        <x:f>VLOOKUP(C16,'Root Units'!$A$6:$K$29,8,FALSE)</x:f>
        <x:v>241.0958904109589</x:v>
      </x:c>
      <x:c r="G16" s="30" t="n">
        <x:f>VLOOKUP(D16,'Root Units'!$A$6:$K$29,8,FALSE)</x:f>
        <x:v>284.93150684931504</x:v>
      </x:c>
      <x:c r="H16" s="30" t="n">
        <x:f>MAX(F16:G16)</x:f>
        <x:v>284.93150684931504</x:v>
      </x:c>
      <x:c r="I16" s="13" t="n">
        <x:f>Controls!$B$25</x:f>
        <x:v>6</x:v>
      </x:c>
      <x:c r="J16" s="24" t="n">
        <x:f>Controls!$B$26</x:f>
        <x:v>0.25</x:v>
      </x:c>
      <x:c r="K16" s="43" t="n">
        <x:f>H16*I16*J16</x:f>
        <x:v>427.39726027397256</x:v>
      </x:c>
      <x:c r="L16" s="43" t="n">
        <x:f>H16*(I16-Controls!$B$34)*J16</x:f>
        <x:v>356.16438356164383</x:v>
      </x:c>
      <x:c r="M16" s="43" t="n">
        <x:f>L16/H16</x:f>
        <x:v>1.25</x:v>
      </x:c>
      <x:c r="N16" s="13" t="str">
        <x:f>IF(AND(E16=2,I16=6,J16=0.25,L16&gt;=H16),"PASS","FAIL")</x:f>
        <x:v>PASS</x:v>
      </x:c>
      <x:c r="O16" s="17"/>
      <x:c r="P16" s="17"/>
      <x:c r="Q16" s="17"/>
      <x:c r="R16" s="17"/>
      <x:c r="S16" s="13" t="str">
        <x:f>IF(COUNTA(O16:R16)=4,"IDENTIFIED; EVIDENCE REQUIRED","SOURCE EMPTY")</x:f>
        <x:v>SOURCE EMPTY</x:v>
      </x:c>
    </x:row>
    <x:row r="17">
      <x:c r="A17" s="13" t="str">
        <x:v>HC-CELL-4</x:v>
      </x:c>
      <x:c r="B17" s="13" t="str">
        <x:v>MS-HC</x:v>
      </x:c>
      <x:c r="C17" s="13" t="str">
        <x:v>HC-B</x:v>
      </x:c>
      <x:c r="D17" s="13" t="str">
        <x:v>HC-D</x:v>
      </x:c>
      <x:c r="E17" s="13" t="n">
        <x:f>COUNTIFS('Public Paths'!$D$6:$D$53,A17)</x:f>
        <x:v>2</x:v>
      </x:c>
      <x:c r="F17" s="30" t="n">
        <x:f>VLOOKUP(C17,'Root Units'!$A$6:$K$29,8,FALSE)</x:f>
        <x:v>334.24657534246575</x:v>
      </x:c>
      <x:c r="G17" s="30" t="n">
        <x:f>VLOOKUP(D17,'Root Units'!$A$6:$K$29,8,FALSE)</x:f>
        <x:v>180.82191780821918</x:v>
      </x:c>
      <x:c r="H17" s="30" t="n">
        <x:f>MAX(F17:G17)</x:f>
        <x:v>334.24657534246575</x:v>
      </x:c>
      <x:c r="I17" s="13" t="n">
        <x:f>Controls!$B$25</x:f>
        <x:v>6</x:v>
      </x:c>
      <x:c r="J17" s="24" t="n">
        <x:f>Controls!$B$26</x:f>
        <x:v>0.25</x:v>
      </x:c>
      <x:c r="K17" s="43" t="n">
        <x:f>H17*I17*J17</x:f>
        <x:v>501.3698630136986</x:v>
      </x:c>
      <x:c r="L17" s="43" t="n">
        <x:f>H17*(I17-Controls!$B$34)*J17</x:f>
        <x:v>417.8082191780822</x:v>
      </x:c>
      <x:c r="M17" s="43" t="n">
        <x:f>L17/H17</x:f>
        <x:v>1.25</x:v>
      </x:c>
      <x:c r="N17" s="13" t="str">
        <x:f>IF(AND(E17=2,I17=6,J17=0.25,L17&gt;=H17),"PASS","FAIL")</x:f>
        <x:v>PASS</x:v>
      </x:c>
      <x:c r="O17" s="17"/>
      <x:c r="P17" s="17"/>
      <x:c r="Q17" s="17"/>
      <x:c r="R17" s="17"/>
      <x:c r="S17" s="13" t="str">
        <x:f>IF(COUNTA(O17:R17)=4,"IDENTIFIED; EVIDENCE REQUIRED","SOURCE EMPTY")</x:f>
        <x:v>SOURCE EMPTY</x:v>
      </x:c>
    </x:row>
    <x:row r="18">
      <x:c r="A18" s="13" t="str">
        <x:v>LF-CELL-1</x:v>
      </x:c>
      <x:c r="B18" s="13" t="str">
        <x:v>MS-LF</x:v>
      </x:c>
      <x:c r="C18" s="13" t="str">
        <x:v>LF-A</x:v>
      </x:c>
      <x:c r="D18" s="13" t="str">
        <x:v>LF-B</x:v>
      </x:c>
      <x:c r="E18" s="13" t="n">
        <x:f>COUNTIFS('Public Paths'!$D$6:$D$53,A18)</x:f>
        <x:v>2</x:v>
      </x:c>
      <x:c r="F18" s="30" t="n">
        <x:f>VLOOKUP(C18,'Root Units'!$A$6:$K$29,8,FALSE)</x:f>
        <x:v>234.65753424657535</x:v>
      </x:c>
      <x:c r="G18" s="30" t="n">
        <x:f>VLOOKUP(D18,'Root Units'!$A$6:$K$29,8,FALSE)</x:f>
        <x:v>170.27397260273972</x:v>
      </x:c>
      <x:c r="H18" s="30" t="n">
        <x:f>MAX(F18:G18)</x:f>
        <x:v>234.65753424657535</x:v>
      </x:c>
      <x:c r="I18" s="13" t="n">
        <x:f>Controls!$B$25</x:f>
        <x:v>6</x:v>
      </x:c>
      <x:c r="J18" s="24" t="n">
        <x:f>Controls!$B$26</x:f>
        <x:v>0.25</x:v>
      </x:c>
      <x:c r="K18" s="43" t="n">
        <x:f>H18*I18*J18</x:f>
        <x:v>351.98630136986304</x:v>
      </x:c>
      <x:c r="L18" s="43" t="n">
        <x:f>H18*(I18-Controls!$B$34)*J18</x:f>
        <x:v>293.3219178082192</x:v>
      </x:c>
      <x:c r="M18" s="43" t="n">
        <x:f>L18/H18</x:f>
        <x:v>1.25</x:v>
      </x:c>
      <x:c r="N18" s="13" t="str">
        <x:f>IF(AND(E18=2,I18=6,J18=0.25,L18&gt;=H18),"PASS","FAIL")</x:f>
        <x:v>PASS</x:v>
      </x:c>
      <x:c r="O18" s="17"/>
      <x:c r="P18" s="17"/>
      <x:c r="Q18" s="17"/>
      <x:c r="R18" s="17"/>
      <x:c r="S18" s="13" t="str">
        <x:f>IF(COUNTA(O18:R18)=4,"IDENTIFIED; EVIDENCE REQUIRED","SOURCE EMPTY")</x:f>
        <x:v>SOURCE EMPTY</x:v>
      </x:c>
    </x:row>
    <x:row r="19">
      <x:c r="A19" s="13" t="str">
        <x:v>LF-CELL-2</x:v>
      </x:c>
      <x:c r="B19" s="13" t="str">
        <x:v>MS-LF</x:v>
      </x:c>
      <x:c r="C19" s="13" t="str">
        <x:v>LF-C</x:v>
      </x:c>
      <x:c r="D19" s="13" t="str">
        <x:v>LF-D</x:v>
      </x:c>
      <x:c r="E19" s="13" t="n">
        <x:f>COUNTIFS('Public Paths'!$D$6:$D$53,A19)</x:f>
        <x:v>2</x:v>
      </x:c>
      <x:c r="F19" s="30" t="n">
        <x:f>VLOOKUP(C19,'Root Units'!$A$6:$K$29,8,FALSE)</x:f>
        <x:v>189.86301369863014</x:v>
      </x:c>
      <x:c r="G19" s="30" t="n">
        <x:f>VLOOKUP(D19,'Root Units'!$A$6:$K$29,8,FALSE)</x:f>
        <x:v>100.54794520547945</x:v>
      </x:c>
      <x:c r="H19" s="30" t="n">
        <x:f>MAX(F19:G19)</x:f>
        <x:v>189.86301369863014</x:v>
      </x:c>
      <x:c r="I19" s="13" t="n">
        <x:f>Controls!$B$25</x:f>
        <x:v>6</x:v>
      </x:c>
      <x:c r="J19" s="24" t="n">
        <x:f>Controls!$B$26</x:f>
        <x:v>0.25</x:v>
      </x:c>
      <x:c r="K19" s="43" t="n">
        <x:f>H19*I19*J19</x:f>
        <x:v>284.79452054794524</x:v>
      </x:c>
      <x:c r="L19" s="43" t="n">
        <x:f>H19*(I19-Controls!$B$34)*J19</x:f>
        <x:v>237.32876712328766</x:v>
      </x:c>
      <x:c r="M19" s="43" t="n">
        <x:f>L19/H19</x:f>
        <x:v>1.25</x:v>
      </x:c>
      <x:c r="N19" s="13" t="str">
        <x:f>IF(AND(E19=2,I19=6,J19=0.25,L19&gt;=H19),"PASS","FAIL")</x:f>
        <x:v>PASS</x:v>
      </x:c>
      <x:c r="O19" s="17"/>
      <x:c r="P19" s="17"/>
      <x:c r="Q19" s="17"/>
      <x:c r="R19" s="17"/>
      <x:c r="S19" s="13" t="str">
        <x:f>IF(COUNTA(O19:R19)=4,"IDENTIFIED; EVIDENCE REQUIRED","SOURCE EMPTY")</x:f>
        <x:v>SOURCE EMPTY</x:v>
      </x:c>
    </x:row>
    <x:row r="20">
      <x:c r="A20" s="13" t="str">
        <x:v>LF-CELL-3</x:v>
      </x:c>
      <x:c r="B20" s="13" t="str">
        <x:v>MS-LF</x:v>
      </x:c>
      <x:c r="C20" s="13" t="str">
        <x:v>LF-A</x:v>
      </x:c>
      <x:c r="D20" s="13" t="str">
        <x:v>LF-C</x:v>
      </x:c>
      <x:c r="E20" s="13" t="n">
        <x:f>COUNTIFS('Public Paths'!$D$6:$D$53,A20)</x:f>
        <x:v>2</x:v>
      </x:c>
      <x:c r="F20" s="30" t="n">
        <x:f>VLOOKUP(C20,'Root Units'!$A$6:$K$29,8,FALSE)</x:f>
        <x:v>234.65753424657535</x:v>
      </x:c>
      <x:c r="G20" s="30" t="n">
        <x:f>VLOOKUP(D20,'Root Units'!$A$6:$K$29,8,FALSE)</x:f>
        <x:v>189.86301369863014</x:v>
      </x:c>
      <x:c r="H20" s="30" t="n">
        <x:f>MAX(F20:G20)</x:f>
        <x:v>234.65753424657535</x:v>
      </x:c>
      <x:c r="I20" s="13" t="n">
        <x:f>Controls!$B$25</x:f>
        <x:v>6</x:v>
      </x:c>
      <x:c r="J20" s="24" t="n">
        <x:f>Controls!$B$26</x:f>
        <x:v>0.25</x:v>
      </x:c>
      <x:c r="K20" s="43" t="n">
        <x:f>H20*I20*J20</x:f>
        <x:v>351.98630136986304</x:v>
      </x:c>
      <x:c r="L20" s="43" t="n">
        <x:f>H20*(I20-Controls!$B$34)*J20</x:f>
        <x:v>293.3219178082192</x:v>
      </x:c>
      <x:c r="M20" s="43" t="n">
        <x:f>L20/H20</x:f>
        <x:v>1.25</x:v>
      </x:c>
      <x:c r="N20" s="13" t="str">
        <x:f>IF(AND(E20=2,I20=6,J20=0.25,L20&gt;=H20),"PASS","FAIL")</x:f>
        <x:v>PASS</x:v>
      </x:c>
      <x:c r="O20" s="17"/>
      <x:c r="P20" s="17"/>
      <x:c r="Q20" s="17"/>
      <x:c r="R20" s="17"/>
      <x:c r="S20" s="13" t="str">
        <x:f>IF(COUNTA(O20:R20)=4,"IDENTIFIED; EVIDENCE REQUIRED","SOURCE EMPTY")</x:f>
        <x:v>SOURCE EMPTY</x:v>
      </x:c>
    </x:row>
    <x:row r="21">
      <x:c r="A21" s="13" t="str">
        <x:v>LF-CELL-4</x:v>
      </x:c>
      <x:c r="B21" s="13" t="str">
        <x:v>MS-LF</x:v>
      </x:c>
      <x:c r="C21" s="13" t="str">
        <x:v>LF-B</x:v>
      </x:c>
      <x:c r="D21" s="13" t="str">
        <x:v>LF-D</x:v>
      </x:c>
      <x:c r="E21" s="13" t="n">
        <x:f>COUNTIFS('Public Paths'!$D$6:$D$53,A21)</x:f>
        <x:v>2</x:v>
      </x:c>
      <x:c r="F21" s="30" t="n">
        <x:f>VLOOKUP(C21,'Root Units'!$A$6:$K$29,8,FALSE)</x:f>
        <x:v>170.27397260273972</x:v>
      </x:c>
      <x:c r="G21" s="30" t="n">
        <x:f>VLOOKUP(D21,'Root Units'!$A$6:$K$29,8,FALSE)</x:f>
        <x:v>100.54794520547945</x:v>
      </x:c>
      <x:c r="H21" s="30" t="n">
        <x:f>MAX(F21:G21)</x:f>
        <x:v>170.27397260273972</x:v>
      </x:c>
      <x:c r="I21" s="13" t="n">
        <x:f>Controls!$B$25</x:f>
        <x:v>6</x:v>
      </x:c>
      <x:c r="J21" s="24" t="n">
        <x:f>Controls!$B$26</x:f>
        <x:v>0.25</x:v>
      </x:c>
      <x:c r="K21" s="43" t="n">
        <x:f>H21*I21*J21</x:f>
        <x:v>255.41095890410958</x:v>
      </x:c>
      <x:c r="L21" s="43" t="n">
        <x:f>H21*(I21-Controls!$B$34)*J21</x:f>
        <x:v>212.84246575342465</x:v>
      </x:c>
      <x:c r="M21" s="43" t="n">
        <x:f>L21/H21</x:f>
        <x:v>1.25</x:v>
      </x:c>
      <x:c r="N21" s="13" t="str">
        <x:f>IF(AND(E21=2,I21=6,J21=0.25,L21&gt;=H21),"PASS","FAIL")</x:f>
        <x:v>PASS</x:v>
      </x:c>
      <x:c r="O21" s="17"/>
      <x:c r="P21" s="17"/>
      <x:c r="Q21" s="17"/>
      <x:c r="R21" s="17"/>
      <x:c r="S21" s="13" t="str">
        <x:f>IF(COUNTA(O21:R21)=4,"IDENTIFIED; EVIDENCE REQUIRED","SOURCE EMPTY")</x:f>
        <x:v>SOURCE EMPTY</x:v>
      </x:c>
    </x:row>
    <x:row r="22">
      <x:c r="A22" s="13" t="str">
        <x:v>HU-CELL-1</x:v>
      </x:c>
      <x:c r="B22" s="13" t="str">
        <x:v>MS-HU</x:v>
      </x:c>
      <x:c r="C22" s="13" t="str">
        <x:v>HU-A</x:v>
      </x:c>
      <x:c r="D22" s="13" t="str">
        <x:v>HU-B</x:v>
      </x:c>
      <x:c r="E22" s="13" t="n">
        <x:f>COUNTIFS('Public Paths'!$D$6:$D$53,A22)</x:f>
        <x:v>2</x:v>
      </x:c>
      <x:c r="F22" s="30" t="n">
        <x:f>VLOOKUP(C22,'Root Units'!$A$6:$K$29,8,FALSE)</x:f>
        <x:v>230.13698630136986</x:v>
      </x:c>
      <x:c r="G22" s="30" t="n">
        <x:f>VLOOKUP(D22,'Root Units'!$A$6:$K$29,8,FALSE)</x:f>
        <x:v>169.86301369863014</x:v>
      </x:c>
      <x:c r="H22" s="30" t="n">
        <x:f>MAX(F22:G22)</x:f>
        <x:v>230.13698630136986</x:v>
      </x:c>
      <x:c r="I22" s="13" t="n">
        <x:f>Controls!$B$25</x:f>
        <x:v>6</x:v>
      </x:c>
      <x:c r="J22" s="24" t="n">
        <x:f>Controls!$B$26</x:f>
        <x:v>0.25</x:v>
      </x:c>
      <x:c r="K22" s="43" t="n">
        <x:f>H22*I22*J22</x:f>
        <x:v>345.20547945205476</x:v>
      </x:c>
      <x:c r="L22" s="43" t="n">
        <x:f>H22*(I22-Controls!$B$34)*J22</x:f>
        <x:v>287.67123287671234</x:v>
      </x:c>
      <x:c r="M22" s="43" t="n">
        <x:f>L22/H22</x:f>
        <x:v>1.25</x:v>
      </x:c>
      <x:c r="N22" s="13" t="str">
        <x:f>IF(AND(E22=2,I22=6,J22=0.25,L22&gt;=H22),"PASS","FAIL")</x:f>
        <x:v>PASS</x:v>
      </x:c>
      <x:c r="O22" s="17"/>
      <x:c r="P22" s="17"/>
      <x:c r="Q22" s="17"/>
      <x:c r="R22" s="17"/>
      <x:c r="S22" s="13" t="str">
        <x:f>IF(COUNTA(O22:R22)=4,"IDENTIFIED; EVIDENCE REQUIRED","SOURCE EMPTY")</x:f>
        <x:v>SOURCE EMPTY</x:v>
      </x:c>
    </x:row>
    <x:row r="23">
      <x:c r="A23" s="13" t="str">
        <x:v>HU-CELL-2</x:v>
      </x:c>
      <x:c r="B23" s="13" t="str">
        <x:v>MS-HU</x:v>
      </x:c>
      <x:c r="C23" s="13" t="str">
        <x:v>HU-C</x:v>
      </x:c>
      <x:c r="D23" s="13" t="str">
        <x:v>HU-D</x:v>
      </x:c>
      <x:c r="E23" s="13" t="n">
        <x:f>COUNTIFS('Public Paths'!$D$6:$D$53,A23)</x:f>
        <x:v>2</x:v>
      </x:c>
      <x:c r="F23" s="30" t="n">
        <x:f>VLOOKUP(C23,'Root Units'!$A$6:$K$29,8,FALSE)</x:f>
        <x:v>208.21917808219177</x:v>
      </x:c>
      <x:c r="G23" s="30" t="n">
        <x:f>VLOOKUP(D23,'Root Units'!$A$6:$K$29,8,FALSE)</x:f>
        <x:v>131.5068493150685</x:v>
      </x:c>
      <x:c r="H23" s="30" t="n">
        <x:f>MAX(F23:G23)</x:f>
        <x:v>208.21917808219177</x:v>
      </x:c>
      <x:c r="I23" s="13" t="n">
        <x:f>Controls!$B$25</x:f>
        <x:v>6</x:v>
      </x:c>
      <x:c r="J23" s="24" t="n">
        <x:f>Controls!$B$26</x:f>
        <x:v>0.25</x:v>
      </x:c>
      <x:c r="K23" s="43" t="n">
        <x:f>H23*I23*J23</x:f>
        <x:v>312.32876712328766</x:v>
      </x:c>
      <x:c r="L23" s="43" t="n">
        <x:f>H23*(I23-Controls!$B$34)*J23</x:f>
        <x:v>260.2739726027397</x:v>
      </x:c>
      <x:c r="M23" s="43" t="n">
        <x:f>L23/H23</x:f>
        <x:v>1.25</x:v>
      </x:c>
      <x:c r="N23" s="13" t="str">
        <x:f>IF(AND(E23=2,I23=6,J23=0.25,L23&gt;=H23),"PASS","FAIL")</x:f>
        <x:v>PASS</x:v>
      </x:c>
      <x:c r="O23" s="17"/>
      <x:c r="P23" s="17"/>
      <x:c r="Q23" s="17"/>
      <x:c r="R23" s="17"/>
      <x:c r="S23" s="13" t="str">
        <x:f>IF(COUNTA(O23:R23)=4,"IDENTIFIED; EVIDENCE REQUIRED","SOURCE EMPTY")</x:f>
        <x:v>SOURCE EMPTY</x:v>
      </x:c>
    </x:row>
    <x:row r="24">
      <x:c r="A24" s="13" t="str">
        <x:v>HU-CELL-3</x:v>
      </x:c>
      <x:c r="B24" s="13" t="str">
        <x:v>MS-HU</x:v>
      </x:c>
      <x:c r="C24" s="13" t="str">
        <x:v>HU-A</x:v>
      </x:c>
      <x:c r="D24" s="13" t="str">
        <x:v>HU-C</x:v>
      </x:c>
      <x:c r="E24" s="13" t="n">
        <x:f>COUNTIFS('Public Paths'!$D$6:$D$53,A24)</x:f>
        <x:v>2</x:v>
      </x:c>
      <x:c r="F24" s="30" t="n">
        <x:f>VLOOKUP(C24,'Root Units'!$A$6:$K$29,8,FALSE)</x:f>
        <x:v>230.13698630136986</x:v>
      </x:c>
      <x:c r="G24" s="30" t="n">
        <x:f>VLOOKUP(D24,'Root Units'!$A$6:$K$29,8,FALSE)</x:f>
        <x:v>208.21917808219177</x:v>
      </x:c>
      <x:c r="H24" s="30" t="n">
        <x:f>MAX(F24:G24)</x:f>
        <x:v>230.13698630136986</x:v>
      </x:c>
      <x:c r="I24" s="13" t="n">
        <x:f>Controls!$B$25</x:f>
        <x:v>6</x:v>
      </x:c>
      <x:c r="J24" s="24" t="n">
        <x:f>Controls!$B$26</x:f>
        <x:v>0.25</x:v>
      </x:c>
      <x:c r="K24" s="43" t="n">
        <x:f>H24*I24*J24</x:f>
        <x:v>345.20547945205476</x:v>
      </x:c>
      <x:c r="L24" s="43" t="n">
        <x:f>H24*(I24-Controls!$B$34)*J24</x:f>
        <x:v>287.67123287671234</x:v>
      </x:c>
      <x:c r="M24" s="43" t="n">
        <x:f>L24/H24</x:f>
        <x:v>1.25</x:v>
      </x:c>
      <x:c r="N24" s="13" t="str">
        <x:f>IF(AND(E24=2,I24=6,J24=0.25,L24&gt;=H24),"PASS","FAIL")</x:f>
        <x:v>PASS</x:v>
      </x:c>
      <x:c r="O24" s="17"/>
      <x:c r="P24" s="17"/>
      <x:c r="Q24" s="17"/>
      <x:c r="R24" s="17"/>
      <x:c r="S24" s="13" t="str">
        <x:f>IF(COUNTA(O24:R24)=4,"IDENTIFIED; EVIDENCE REQUIRED","SOURCE EMPTY")</x:f>
        <x:v>SOURCE EMPTY</x:v>
      </x:c>
    </x:row>
    <x:row r="25">
      <x:c r="A25" s="13" t="str">
        <x:v>HU-CELL-4</x:v>
      </x:c>
      <x:c r="B25" s="13" t="str">
        <x:v>MS-HU</x:v>
      </x:c>
      <x:c r="C25" s="13" t="str">
        <x:v>HU-B</x:v>
      </x:c>
      <x:c r="D25" s="13" t="str">
        <x:v>HU-D</x:v>
      </x:c>
      <x:c r="E25" s="13" t="n">
        <x:f>COUNTIFS('Public Paths'!$D$6:$D$53,A25)</x:f>
        <x:v>2</x:v>
      </x:c>
      <x:c r="F25" s="30" t="n">
        <x:f>VLOOKUP(C25,'Root Units'!$A$6:$K$29,8,FALSE)</x:f>
        <x:v>169.86301369863014</x:v>
      </x:c>
      <x:c r="G25" s="30" t="n">
        <x:f>VLOOKUP(D25,'Root Units'!$A$6:$K$29,8,FALSE)</x:f>
        <x:v>131.5068493150685</x:v>
      </x:c>
      <x:c r="H25" s="30" t="n">
        <x:f>MAX(F25:G25)</x:f>
        <x:v>169.86301369863014</x:v>
      </x:c>
      <x:c r="I25" s="13" t="n">
        <x:f>Controls!$B$25</x:f>
        <x:v>6</x:v>
      </x:c>
      <x:c r="J25" s="24" t="n">
        <x:f>Controls!$B$26</x:f>
        <x:v>0.25</x:v>
      </x:c>
      <x:c r="K25" s="43" t="n">
        <x:f>H25*I25*J25</x:f>
        <x:v>254.7945205479452</x:v>
      </x:c>
      <x:c r="L25" s="43" t="n">
        <x:f>H25*(I25-Controls!$B$34)*J25</x:f>
        <x:v>212.32876712328766</x:v>
      </x:c>
      <x:c r="M25" s="43" t="n">
        <x:f>L25/H25</x:f>
        <x:v>1.25</x:v>
      </x:c>
      <x:c r="N25" s="13" t="str">
        <x:f>IF(AND(E25=2,I25=6,J25=0.25,L25&gt;=H25),"PASS","FAIL")</x:f>
        <x:v>PASS</x:v>
      </x:c>
      <x:c r="O25" s="17"/>
      <x:c r="P25" s="17"/>
      <x:c r="Q25" s="17"/>
      <x:c r="R25" s="17"/>
      <x:c r="S25" s="13" t="str">
        <x:f>IF(COUNTA(O25:R25)=4,"IDENTIFIED; EVIDENCE REQUIRED","SOURCE EMPTY")</x:f>
        <x:v>SOURCE EMPTY</x:v>
      </x:c>
    </x:row>
    <x:row r="26">
      <x:c r="A26" s="13" t="str">
        <x:v>RT-CELL-1</x:v>
      </x:c>
      <x:c r="B26" s="13" t="str">
        <x:v>MS-RT</x:v>
      </x:c>
      <x:c r="C26" s="13" t="str">
        <x:v>RT-A</x:v>
      </x:c>
      <x:c r="D26" s="13" t="str">
        <x:v>RT-B</x:v>
      </x:c>
      <x:c r="E26" s="13" t="n">
        <x:f>COUNTIFS('Public Paths'!$D$6:$D$53,A26)</x:f>
        <x:v>2</x:v>
      </x:c>
      <x:c r="F26" s="30" t="n">
        <x:f>VLOOKUP(C26,'Root Units'!$A$6:$K$29,8,FALSE)</x:f>
        <x:v>526.027397260274</x:v>
      </x:c>
      <x:c r="G26" s="30" t="n">
        <x:f>VLOOKUP(D26,'Root Units'!$A$6:$K$29,8,FALSE)</x:f>
        <x:v>317.8082191780822</x:v>
      </x:c>
      <x:c r="H26" s="30" t="n">
        <x:f>MAX(F26:G26)</x:f>
        <x:v>526.027397260274</x:v>
      </x:c>
      <x:c r="I26" s="13" t="n">
        <x:f>Controls!$B$25</x:f>
        <x:v>6</x:v>
      </x:c>
      <x:c r="J26" s="24" t="n">
        <x:f>Controls!$B$26</x:f>
        <x:v>0.25</x:v>
      </x:c>
      <x:c r="K26" s="43" t="n">
        <x:f>H26*I26*J26</x:f>
        <x:v>789.041095890411</x:v>
      </x:c>
      <x:c r="L26" s="43" t="n">
        <x:f>H26*(I26-Controls!$B$34)*J26</x:f>
        <x:v>657.5342465753425</x:v>
      </x:c>
      <x:c r="M26" s="43" t="n">
        <x:f>L26/H26</x:f>
        <x:v>1.25</x:v>
      </x:c>
      <x:c r="N26" s="13" t="str">
        <x:f>IF(AND(E26=2,I26=6,J26=0.25,L26&gt;=H26),"PASS","FAIL")</x:f>
        <x:v>PASS</x:v>
      </x:c>
      <x:c r="O26" s="17"/>
      <x:c r="P26" s="17"/>
      <x:c r="Q26" s="17"/>
      <x:c r="R26" s="17"/>
      <x:c r="S26" s="13" t="str">
        <x:f>IF(COUNTA(O26:R26)=4,"IDENTIFIED; EVIDENCE REQUIRED","SOURCE EMPTY")</x:f>
        <x:v>SOURCE EMPTY</x:v>
      </x:c>
    </x:row>
    <x:row r="27">
      <x:c r="A27" s="13" t="str">
        <x:v>RT-CELL-2</x:v>
      </x:c>
      <x:c r="B27" s="13" t="str">
        <x:v>MS-RT</x:v>
      </x:c>
      <x:c r="C27" s="13" t="str">
        <x:v>RT-C</x:v>
      </x:c>
      <x:c r="D27" s="13" t="str">
        <x:v>RT-D</x:v>
      </x:c>
      <x:c r="E27" s="13" t="n">
        <x:f>COUNTIFS('Public Paths'!$D$6:$D$53,A27)</x:f>
        <x:v>2</x:v>
      </x:c>
      <x:c r="F27" s="30" t="n">
        <x:f>VLOOKUP(C27,'Root Units'!$A$6:$K$29,8,FALSE)</x:f>
        <x:v>394.52054794520546</x:v>
      </x:c>
      <x:c r="G27" s="30" t="n">
        <x:f>VLOOKUP(D27,'Root Units'!$A$6:$K$29,8,FALSE)</x:f>
        <x:v>460.2739726027397</x:v>
      </x:c>
      <x:c r="H27" s="30" t="n">
        <x:f>MAX(F27:G27)</x:f>
        <x:v>460.2739726027397</x:v>
      </x:c>
      <x:c r="I27" s="13" t="n">
        <x:f>Controls!$B$25</x:f>
        <x:v>6</x:v>
      </x:c>
      <x:c r="J27" s="24" t="n">
        <x:f>Controls!$B$26</x:f>
        <x:v>0.25</x:v>
      </x:c>
      <x:c r="K27" s="43" t="n">
        <x:f>H27*I27*J27</x:f>
        <x:v>690.4109589041095</x:v>
      </x:c>
      <x:c r="L27" s="43" t="n">
        <x:f>H27*(I27-Controls!$B$34)*J27</x:f>
        <x:v>575.3424657534247</x:v>
      </x:c>
      <x:c r="M27" s="43" t="n">
        <x:f>L27/H27</x:f>
        <x:v>1.25</x:v>
      </x:c>
      <x:c r="N27" s="13" t="str">
        <x:f>IF(AND(E27=2,I27=6,J27=0.25,L27&gt;=H27),"PASS","FAIL")</x:f>
        <x:v>PASS</x:v>
      </x:c>
      <x:c r="O27" s="17"/>
      <x:c r="P27" s="17"/>
      <x:c r="Q27" s="17"/>
      <x:c r="R27" s="17"/>
      <x:c r="S27" s="13" t="str">
        <x:f>IF(COUNTA(O27:R27)=4,"IDENTIFIED; EVIDENCE REQUIRED","SOURCE EMPTY")</x:f>
        <x:v>SOURCE EMPTY</x:v>
      </x:c>
    </x:row>
    <x:row r="28">
      <x:c r="A28" s="13" t="str">
        <x:v>RT-CELL-3</x:v>
      </x:c>
      <x:c r="B28" s="13" t="str">
        <x:v>MS-RT</x:v>
      </x:c>
      <x:c r="C28" s="13" t="str">
        <x:v>RT-A</x:v>
      </x:c>
      <x:c r="D28" s="13" t="str">
        <x:v>RT-C</x:v>
      </x:c>
      <x:c r="E28" s="13" t="n">
        <x:f>COUNTIFS('Public Paths'!$D$6:$D$53,A28)</x:f>
        <x:v>2</x:v>
      </x:c>
      <x:c r="F28" s="30" t="n">
        <x:f>VLOOKUP(C28,'Root Units'!$A$6:$K$29,8,FALSE)</x:f>
        <x:v>526.027397260274</x:v>
      </x:c>
      <x:c r="G28" s="30" t="n">
        <x:f>VLOOKUP(D28,'Root Units'!$A$6:$K$29,8,FALSE)</x:f>
        <x:v>394.52054794520546</x:v>
      </x:c>
      <x:c r="H28" s="30" t="n">
        <x:f>MAX(F28:G28)</x:f>
        <x:v>526.027397260274</x:v>
      </x:c>
      <x:c r="I28" s="13" t="n">
        <x:f>Controls!$B$25</x:f>
        <x:v>6</x:v>
      </x:c>
      <x:c r="J28" s="24" t="n">
        <x:f>Controls!$B$26</x:f>
        <x:v>0.25</x:v>
      </x:c>
      <x:c r="K28" s="43" t="n">
        <x:f>H28*I28*J28</x:f>
        <x:v>789.041095890411</x:v>
      </x:c>
      <x:c r="L28" s="43" t="n">
        <x:f>H28*(I28-Controls!$B$34)*J28</x:f>
        <x:v>657.5342465753425</x:v>
      </x:c>
      <x:c r="M28" s="43" t="n">
        <x:f>L28/H28</x:f>
        <x:v>1.25</x:v>
      </x:c>
      <x:c r="N28" s="13" t="str">
        <x:f>IF(AND(E28=2,I28=6,J28=0.25,L28&gt;=H28),"PASS","FAIL")</x:f>
        <x:v>PASS</x:v>
      </x:c>
      <x:c r="O28" s="17"/>
      <x:c r="P28" s="17"/>
      <x:c r="Q28" s="17"/>
      <x:c r="R28" s="17"/>
      <x:c r="S28" s="13" t="str">
        <x:f>IF(COUNTA(O28:R28)=4,"IDENTIFIED; EVIDENCE REQUIRED","SOURCE EMPTY")</x:f>
        <x:v>SOURCE EMPTY</x:v>
      </x:c>
    </x:row>
    <x:row r="29">
      <x:c r="A29" s="13" t="str">
        <x:v>RT-CELL-4</x:v>
      </x:c>
      <x:c r="B29" s="13" t="str">
        <x:v>MS-RT</x:v>
      </x:c>
      <x:c r="C29" s="13" t="str">
        <x:v>RT-B</x:v>
      </x:c>
      <x:c r="D29" s="13" t="str">
        <x:v>RT-D</x:v>
      </x:c>
      <x:c r="E29" s="13" t="n">
        <x:f>COUNTIFS('Public Paths'!$D$6:$D$53,A29)</x:f>
        <x:v>2</x:v>
      </x:c>
      <x:c r="F29" s="30" t="n">
        <x:f>VLOOKUP(C29,'Root Units'!$A$6:$K$29,8,FALSE)</x:f>
        <x:v>317.8082191780822</x:v>
      </x:c>
      <x:c r="G29" s="30" t="n">
        <x:f>VLOOKUP(D29,'Root Units'!$A$6:$K$29,8,FALSE)</x:f>
        <x:v>460.2739726027397</x:v>
      </x:c>
      <x:c r="H29" s="30" t="n">
        <x:f>MAX(F29:G29)</x:f>
        <x:v>460.2739726027397</x:v>
      </x:c>
      <x:c r="I29" s="13" t="n">
        <x:f>Controls!$B$25</x:f>
        <x:v>6</x:v>
      </x:c>
      <x:c r="J29" s="24" t="n">
        <x:f>Controls!$B$26</x:f>
        <x:v>0.25</x:v>
      </x:c>
      <x:c r="K29" s="43" t="n">
        <x:f>H29*I29*J29</x:f>
        <x:v>690.4109589041095</x:v>
      </x:c>
      <x:c r="L29" s="43" t="n">
        <x:f>H29*(I29-Controls!$B$34)*J29</x:f>
        <x:v>575.3424657534247</x:v>
      </x:c>
      <x:c r="M29" s="43" t="n">
        <x:f>L29/H29</x:f>
        <x:v>1.25</x:v>
      </x:c>
      <x:c r="N29" s="13" t="str">
        <x:f>IF(AND(E29=2,I29=6,J29=0.25,L29&gt;=H29),"PASS","FAIL")</x:f>
        <x:v>PASS</x:v>
      </x:c>
      <x:c r="O29" s="17"/>
      <x:c r="P29" s="17"/>
      <x:c r="Q29" s="17"/>
      <x:c r="R29" s="17"/>
      <x:c r="S29" s="13" t="str">
        <x:f>IF(COUNTA(O29:R29)=4,"IDENTIFIED; EVIDENCE REQUIRED","SOURCE EMPTY")</x:f>
        <x:v>SOURCE EMPTY</x:v>
      </x:c>
    </x:row>
  </x:sheetData>
  <x:conditionalFormatting sqref="N6:N29">
    <x:cfRule type="containsText" dxfId="8" priority="1" operator="containsText" text="FAIL"/>
    <x:cfRule type="containsText" dxfId="9" priority="2" operator="containsText" text="SOURCE EMPTY"/>
  </x:conditionalFormatting>
  <x:conditionalFormatting sqref="S6:S29">
    <x:cfRule type="containsText" dxfId="10" priority="3" operator="containsText" text="FAIL"/>
    <x:cfRule type="containsText" dxfId="11" priority="4" operator="containsText" text="SOURCE EMPTY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14" hidden="0" customWidth="1"/>
    <x:col min="6" max="6" width="18" hidden="0" customWidth="1"/>
    <x:col min="7" max="7" width="22" hidden="0" customWidth="1"/>
    <x:col min="8" max="8" width="18" hidden="0" customWidth="1"/>
    <x:col min="9" max="9" width="20" hidden="0" customWidth="1"/>
    <x:col min="10" max="10" width="18" hidden="0" customWidth="1"/>
  </x:cols>
  <x:sheetData>
    <x:row r="2">
      <x:c r="A2" s="59" t="str">
        <x:v>One hundred forty-four adaptive production bays</x:v>
      </x:c>
      <x:c r="B2" s="60"/>
      <x:c r="C2" s="60"/>
      <x:c r="D2" s="60"/>
      <x:c r="E2" s="60"/>
      <x:c r="F2" s="60"/>
      <x:c r="G2" s="60"/>
      <x:c r="H2" s="60"/>
      <x:c r="I2" s="60"/>
      <x:c r="J2" s="60"/>
    </x:row>
    <x:row r="3">
      <x:c r="A3" s="61" t="str">
        <x:v>Bays are process lanes inside public cells, not independent sites. Equipment and commissioning identities remain source-empty.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</x:row>
    <x:row r="5" ht="30" customHeight="1">
      <x:c r="A5" s="9" t="str">
        <x:v>Bay</x:v>
      </x:c>
      <x:c r="B5" s="9" t="str">
        <x:v>Cell</x:v>
      </x:c>
      <x:c r="C5" s="9" t="str">
        <x:v>Bay number</x:v>
      </x:c>
      <x:c r="D5" s="9" t="str">
        <x:v>Cell governing rate</x:v>
      </x:c>
      <x:c r="E5" s="9" t="str">
        <x:v>Rate share</x:v>
      </x:c>
      <x:c r="F5" s="9" t="str">
        <x:v>Bay rate (t/day)</x:v>
      </x:c>
      <x:c r="G5" s="9" t="str">
        <x:v>Equipment ancestry ID</x:v>
      </x:c>
      <x:c r="H5" s="9" t="str">
        <x:v>Calibration ID</x:v>
      </x:c>
      <x:c r="I5" s="9" t="str">
        <x:v>Commissioning event</x:v>
      </x:c>
      <x:c r="J5" s="9" t="str">
        <x:v>State</x:v>
      </x:c>
    </x:row>
    <x:row r="6">
      <x:c r="A6" s="12" t="str">
        <x:v>TE-CELL-1-BAY-1</x:v>
      </x:c>
      <x:c r="B6" s="12" t="str">
        <x:v>TE-CELL-1</x:v>
      </x:c>
      <x:c r="C6" s="12" t="n">
        <x:v>1</x:v>
      </x:c>
      <x:c r="D6" s="29" t="n">
        <x:f>VLOOKUP(B6,'Cell Capacity'!$A$6:$M$29,8,FALSE)</x:f>
        <x:v>487.67123287671234</x:v>
      </x:c>
      <x:c r="E6" s="39" t="n">
        <x:f>Controls!$B$26</x:f>
        <x:v>0.25</x:v>
      </x:c>
      <x:c r="F6" s="42" t="n">
        <x:f>D6*E6</x:f>
        <x:v>121.91780821917808</x:v>
      </x:c>
      <x:c r="G6" s="16"/>
      <x:c r="H6" s="16"/>
      <x:c r="I6" s="16"/>
      <x:c r="J6" s="12" t="str">
        <x:f>IF(COUNTA(G6:I6)=3,"EVIDENCE REQUIRED","SOURCE EMPTY")</x:f>
        <x:v>SOURCE EMPTY</x:v>
      </x:c>
    </x:row>
    <x:row r="7">
      <x:c r="A7" s="13" t="str">
        <x:v>TE-CELL-1-BAY-2</x:v>
      </x:c>
      <x:c r="B7" s="13" t="str">
        <x:v>TE-CELL-1</x:v>
      </x:c>
      <x:c r="C7" s="13" t="n">
        <x:v>2</x:v>
      </x:c>
      <x:c r="D7" s="30" t="n">
        <x:f>VLOOKUP(B7,'Cell Capacity'!$A$6:$M$29,8,FALSE)</x:f>
        <x:v>487.67123287671234</x:v>
      </x:c>
      <x:c r="E7" s="24" t="n">
        <x:f>Controls!$B$26</x:f>
        <x:v>0.25</x:v>
      </x:c>
      <x:c r="F7" s="43" t="n">
        <x:f>D7*E7</x:f>
        <x:v>121.91780821917808</x:v>
      </x:c>
      <x:c r="G7" s="17"/>
      <x:c r="H7" s="17"/>
      <x:c r="I7" s="17"/>
      <x:c r="J7" s="13" t="str">
        <x:f>IF(COUNTA(G7:I7)=3,"EVIDENCE REQUIRED","SOURCE EMPTY")</x:f>
        <x:v>SOURCE EMPTY</x:v>
      </x:c>
    </x:row>
    <x:row r="8">
      <x:c r="A8" s="13" t="str">
        <x:v>TE-CELL-1-BAY-3</x:v>
      </x:c>
      <x:c r="B8" s="13" t="str">
        <x:v>TE-CELL-1</x:v>
      </x:c>
      <x:c r="C8" s="13" t="n">
        <x:v>3</x:v>
      </x:c>
      <x:c r="D8" s="30" t="n">
        <x:f>VLOOKUP(B8,'Cell Capacity'!$A$6:$M$29,8,FALSE)</x:f>
        <x:v>487.67123287671234</x:v>
      </x:c>
      <x:c r="E8" s="24" t="n">
        <x:f>Controls!$B$26</x:f>
        <x:v>0.25</x:v>
      </x:c>
      <x:c r="F8" s="43" t="n">
        <x:f>D8*E8</x:f>
        <x:v>121.91780821917808</x:v>
      </x:c>
      <x:c r="G8" s="17"/>
      <x:c r="H8" s="17"/>
      <x:c r="I8" s="17"/>
      <x:c r="J8" s="13" t="str">
        <x:f>IF(COUNTA(G8:I8)=3,"EVIDENCE REQUIRED","SOURCE EMPTY")</x:f>
        <x:v>SOURCE EMPTY</x:v>
      </x:c>
    </x:row>
    <x:row r="9">
      <x:c r="A9" s="13" t="str">
        <x:v>TE-CELL-1-BAY-4</x:v>
      </x:c>
      <x:c r="B9" s="13" t="str">
        <x:v>TE-CELL-1</x:v>
      </x:c>
      <x:c r="C9" s="13" t="n">
        <x:v>4</x:v>
      </x:c>
      <x:c r="D9" s="30" t="n">
        <x:f>VLOOKUP(B9,'Cell Capacity'!$A$6:$M$29,8,FALSE)</x:f>
        <x:v>487.67123287671234</x:v>
      </x:c>
      <x:c r="E9" s="24" t="n">
        <x:f>Controls!$B$26</x:f>
        <x:v>0.25</x:v>
      </x:c>
      <x:c r="F9" s="43" t="n">
        <x:f>D9*E9</x:f>
        <x:v>121.91780821917808</x:v>
      </x:c>
      <x:c r="G9" s="17"/>
      <x:c r="H9" s="17"/>
      <x:c r="I9" s="17"/>
      <x:c r="J9" s="13" t="str">
        <x:f>IF(COUNTA(G9:I9)=3,"EVIDENCE REQUIRED","SOURCE EMPTY")</x:f>
        <x:v>SOURCE EMPTY</x:v>
      </x:c>
    </x:row>
    <x:row r="10">
      <x:c r="A10" s="13" t="str">
        <x:v>TE-CELL-1-BAY-5</x:v>
      </x:c>
      <x:c r="B10" s="13" t="str">
        <x:v>TE-CELL-1</x:v>
      </x:c>
      <x:c r="C10" s="13" t="n">
        <x:v>5</x:v>
      </x:c>
      <x:c r="D10" s="30" t="n">
        <x:f>VLOOKUP(B10,'Cell Capacity'!$A$6:$M$29,8,FALSE)</x:f>
        <x:v>487.67123287671234</x:v>
      </x:c>
      <x:c r="E10" s="24" t="n">
        <x:f>Controls!$B$26</x:f>
        <x:v>0.25</x:v>
      </x:c>
      <x:c r="F10" s="43" t="n">
        <x:f>D10*E10</x:f>
        <x:v>121.91780821917808</x:v>
      </x:c>
      <x:c r="G10" s="17"/>
      <x:c r="H10" s="17"/>
      <x:c r="I10" s="17"/>
      <x:c r="J10" s="13" t="str">
        <x:f>IF(COUNTA(G10:I10)=3,"EVIDENCE REQUIRED","SOURCE EMPTY")</x:f>
        <x:v>SOURCE EMPTY</x:v>
      </x:c>
    </x:row>
    <x:row r="11">
      <x:c r="A11" s="13" t="str">
        <x:v>TE-CELL-1-BAY-6</x:v>
      </x:c>
      <x:c r="B11" s="13" t="str">
        <x:v>TE-CELL-1</x:v>
      </x:c>
      <x:c r="C11" s="13" t="n">
        <x:v>6</x:v>
      </x:c>
      <x:c r="D11" s="30" t="n">
        <x:f>VLOOKUP(B11,'Cell Capacity'!$A$6:$M$29,8,FALSE)</x:f>
        <x:v>487.67123287671234</x:v>
      </x:c>
      <x:c r="E11" s="24" t="n">
        <x:f>Controls!$B$26</x:f>
        <x:v>0.25</x:v>
      </x:c>
      <x:c r="F11" s="43" t="n">
        <x:f>D11*E11</x:f>
        <x:v>121.91780821917808</x:v>
      </x:c>
      <x:c r="G11" s="17"/>
      <x:c r="H11" s="17"/>
      <x:c r="I11" s="17"/>
      <x:c r="J11" s="13" t="str">
        <x:f>IF(COUNTA(G11:I11)=3,"EVIDENCE REQUIRED","SOURCE EMPTY")</x:f>
        <x:v>SOURCE EMPTY</x:v>
      </x:c>
    </x:row>
    <x:row r="12">
      <x:c r="A12" s="13" t="str">
        <x:v>TE-CELL-2-BAY-1</x:v>
      </x:c>
      <x:c r="B12" s="13" t="str">
        <x:v>TE-CELL-2</x:v>
      </x:c>
      <x:c r="C12" s="13" t="n">
        <x:v>1</x:v>
      </x:c>
      <x:c r="D12" s="30" t="n">
        <x:f>VLOOKUP(B12,'Cell Capacity'!$A$6:$M$29,8,FALSE)</x:f>
        <x:v>405.47945205479454</x:v>
      </x:c>
      <x:c r="E12" s="24" t="n">
        <x:f>Controls!$B$26</x:f>
        <x:v>0.25</x:v>
      </x:c>
      <x:c r="F12" s="43" t="n">
        <x:f>D12*E12</x:f>
        <x:v>101.36986301369863</x:v>
      </x:c>
      <x:c r="G12" s="17"/>
      <x:c r="H12" s="17"/>
      <x:c r="I12" s="17"/>
      <x:c r="J12" s="13" t="str">
        <x:f>IF(COUNTA(G12:I12)=3,"EVIDENCE REQUIRED","SOURCE EMPTY")</x:f>
        <x:v>SOURCE EMPTY</x:v>
      </x:c>
    </x:row>
    <x:row r="13">
      <x:c r="A13" s="13" t="str">
        <x:v>TE-CELL-2-BAY-2</x:v>
      </x:c>
      <x:c r="B13" s="13" t="str">
        <x:v>TE-CELL-2</x:v>
      </x:c>
      <x:c r="C13" s="13" t="n">
        <x:v>2</x:v>
      </x:c>
      <x:c r="D13" s="30" t="n">
        <x:f>VLOOKUP(B13,'Cell Capacity'!$A$6:$M$29,8,FALSE)</x:f>
        <x:v>405.47945205479454</x:v>
      </x:c>
      <x:c r="E13" s="24" t="n">
        <x:f>Controls!$B$26</x:f>
        <x:v>0.25</x:v>
      </x:c>
      <x:c r="F13" s="43" t="n">
        <x:f>D13*E13</x:f>
        <x:v>101.36986301369863</x:v>
      </x:c>
      <x:c r="G13" s="17"/>
      <x:c r="H13" s="17"/>
      <x:c r="I13" s="17"/>
      <x:c r="J13" s="13" t="str">
        <x:f>IF(COUNTA(G13:I13)=3,"EVIDENCE REQUIRED","SOURCE EMPTY")</x:f>
        <x:v>SOURCE EMPTY</x:v>
      </x:c>
    </x:row>
    <x:row r="14">
      <x:c r="A14" s="13" t="str">
        <x:v>TE-CELL-2-BAY-3</x:v>
      </x:c>
      <x:c r="B14" s="13" t="str">
        <x:v>TE-CELL-2</x:v>
      </x:c>
      <x:c r="C14" s="13" t="n">
        <x:v>3</x:v>
      </x:c>
      <x:c r="D14" s="30" t="n">
        <x:f>VLOOKUP(B14,'Cell Capacity'!$A$6:$M$29,8,FALSE)</x:f>
        <x:v>405.47945205479454</x:v>
      </x:c>
      <x:c r="E14" s="24" t="n">
        <x:f>Controls!$B$26</x:f>
        <x:v>0.25</x:v>
      </x:c>
      <x:c r="F14" s="43" t="n">
        <x:f>D14*E14</x:f>
        <x:v>101.36986301369863</x:v>
      </x:c>
      <x:c r="G14" s="17"/>
      <x:c r="H14" s="17"/>
      <x:c r="I14" s="17"/>
      <x:c r="J14" s="13" t="str">
        <x:f>IF(COUNTA(G14:I14)=3,"EVIDENCE REQUIRED","SOURCE EMPTY")</x:f>
        <x:v>SOURCE EMPTY</x:v>
      </x:c>
    </x:row>
    <x:row r="15">
      <x:c r="A15" s="13" t="str">
        <x:v>TE-CELL-2-BAY-4</x:v>
      </x:c>
      <x:c r="B15" s="13" t="str">
        <x:v>TE-CELL-2</x:v>
      </x:c>
      <x:c r="C15" s="13" t="n">
        <x:v>4</x:v>
      </x:c>
      <x:c r="D15" s="30" t="n">
        <x:f>VLOOKUP(B15,'Cell Capacity'!$A$6:$M$29,8,FALSE)</x:f>
        <x:v>405.47945205479454</x:v>
      </x:c>
      <x:c r="E15" s="24" t="n">
        <x:f>Controls!$B$26</x:f>
        <x:v>0.25</x:v>
      </x:c>
      <x:c r="F15" s="43" t="n">
        <x:f>D15*E15</x:f>
        <x:v>101.36986301369863</x:v>
      </x:c>
      <x:c r="G15" s="17"/>
      <x:c r="H15" s="17"/>
      <x:c r="I15" s="17"/>
      <x:c r="J15" s="13" t="str">
        <x:f>IF(COUNTA(G15:I15)=3,"EVIDENCE REQUIRED","SOURCE EMPTY")</x:f>
        <x:v>SOURCE EMPTY</x:v>
      </x:c>
    </x:row>
    <x:row r="16">
      <x:c r="A16" s="13" t="str">
        <x:v>TE-CELL-2-BAY-5</x:v>
      </x:c>
      <x:c r="B16" s="13" t="str">
        <x:v>TE-CELL-2</x:v>
      </x:c>
      <x:c r="C16" s="13" t="n">
        <x:v>5</x:v>
      </x:c>
      <x:c r="D16" s="30" t="n">
        <x:f>VLOOKUP(B16,'Cell Capacity'!$A$6:$M$29,8,FALSE)</x:f>
        <x:v>405.47945205479454</x:v>
      </x:c>
      <x:c r="E16" s="24" t="n">
        <x:f>Controls!$B$26</x:f>
        <x:v>0.25</x:v>
      </x:c>
      <x:c r="F16" s="43" t="n">
        <x:f>D16*E16</x:f>
        <x:v>101.36986301369863</x:v>
      </x:c>
      <x:c r="G16" s="17"/>
      <x:c r="H16" s="17"/>
      <x:c r="I16" s="17"/>
      <x:c r="J16" s="13" t="str">
        <x:f>IF(COUNTA(G16:I16)=3,"EVIDENCE REQUIRED","SOURCE EMPTY")</x:f>
        <x:v>SOURCE EMPTY</x:v>
      </x:c>
    </x:row>
    <x:row r="17">
      <x:c r="A17" s="13" t="str">
        <x:v>TE-CELL-2-BAY-6</x:v>
      </x:c>
      <x:c r="B17" s="13" t="str">
        <x:v>TE-CELL-2</x:v>
      </x:c>
      <x:c r="C17" s="13" t="n">
        <x:v>6</x:v>
      </x:c>
      <x:c r="D17" s="30" t="n">
        <x:f>VLOOKUP(B17,'Cell Capacity'!$A$6:$M$29,8,FALSE)</x:f>
        <x:v>405.47945205479454</x:v>
      </x:c>
      <x:c r="E17" s="24" t="n">
        <x:f>Controls!$B$26</x:f>
        <x:v>0.25</x:v>
      </x:c>
      <x:c r="F17" s="43" t="n">
        <x:f>D17*E17</x:f>
        <x:v>101.36986301369863</x:v>
      </x:c>
      <x:c r="G17" s="17"/>
      <x:c r="H17" s="17"/>
      <x:c r="I17" s="17"/>
      <x:c r="J17" s="13" t="str">
        <x:f>IF(COUNTA(G17:I17)=3,"EVIDENCE REQUIRED","SOURCE EMPTY")</x:f>
        <x:v>SOURCE EMPTY</x:v>
      </x:c>
    </x:row>
    <x:row r="18">
      <x:c r="A18" s="13" t="str">
        <x:v>TE-CELL-3-BAY-1</x:v>
      </x:c>
      <x:c r="B18" s="13" t="str">
        <x:v>TE-CELL-3</x:v>
      </x:c>
      <x:c r="C18" s="13" t="n">
        <x:v>1</x:v>
      </x:c>
      <x:c r="D18" s="30" t="n">
        <x:f>VLOOKUP(B18,'Cell Capacity'!$A$6:$M$29,8,FALSE)</x:f>
        <x:v>487.67123287671234</x:v>
      </x:c>
      <x:c r="E18" s="24" t="n">
        <x:f>Controls!$B$26</x:f>
        <x:v>0.25</x:v>
      </x:c>
      <x:c r="F18" s="43" t="n">
        <x:f>D18*E18</x:f>
        <x:v>121.91780821917808</x:v>
      </x:c>
      <x:c r="G18" s="17"/>
      <x:c r="H18" s="17"/>
      <x:c r="I18" s="17"/>
      <x:c r="J18" s="13" t="str">
        <x:f>IF(COUNTA(G18:I18)=3,"EVIDENCE REQUIRED","SOURCE EMPTY")</x:f>
        <x:v>SOURCE EMPTY</x:v>
      </x:c>
    </x:row>
    <x:row r="19">
      <x:c r="A19" s="13" t="str">
        <x:v>TE-CELL-3-BAY-2</x:v>
      </x:c>
      <x:c r="B19" s="13" t="str">
        <x:v>TE-CELL-3</x:v>
      </x:c>
      <x:c r="C19" s="13" t="n">
        <x:v>2</x:v>
      </x:c>
      <x:c r="D19" s="30" t="n">
        <x:f>VLOOKUP(B19,'Cell Capacity'!$A$6:$M$29,8,FALSE)</x:f>
        <x:v>487.67123287671234</x:v>
      </x:c>
      <x:c r="E19" s="24" t="n">
        <x:f>Controls!$B$26</x:f>
        <x:v>0.25</x:v>
      </x:c>
      <x:c r="F19" s="43" t="n">
        <x:f>D19*E19</x:f>
        <x:v>121.91780821917808</x:v>
      </x:c>
      <x:c r="G19" s="17"/>
      <x:c r="H19" s="17"/>
      <x:c r="I19" s="17"/>
      <x:c r="J19" s="13" t="str">
        <x:f>IF(COUNTA(G19:I19)=3,"EVIDENCE REQUIRED","SOURCE EMPTY")</x:f>
        <x:v>SOURCE EMPTY</x:v>
      </x:c>
    </x:row>
    <x:row r="20">
      <x:c r="A20" s="13" t="str">
        <x:v>TE-CELL-3-BAY-3</x:v>
      </x:c>
      <x:c r="B20" s="13" t="str">
        <x:v>TE-CELL-3</x:v>
      </x:c>
      <x:c r="C20" s="13" t="n">
        <x:v>3</x:v>
      </x:c>
      <x:c r="D20" s="30" t="n">
        <x:f>VLOOKUP(B20,'Cell Capacity'!$A$6:$M$29,8,FALSE)</x:f>
        <x:v>487.67123287671234</x:v>
      </x:c>
      <x:c r="E20" s="24" t="n">
        <x:f>Controls!$B$26</x:f>
        <x:v>0.25</x:v>
      </x:c>
      <x:c r="F20" s="43" t="n">
        <x:f>D20*E20</x:f>
        <x:v>121.91780821917808</x:v>
      </x:c>
      <x:c r="G20" s="17"/>
      <x:c r="H20" s="17"/>
      <x:c r="I20" s="17"/>
      <x:c r="J20" s="13" t="str">
        <x:f>IF(COUNTA(G20:I20)=3,"EVIDENCE REQUIRED","SOURCE EMPTY")</x:f>
        <x:v>SOURCE EMPTY</x:v>
      </x:c>
    </x:row>
    <x:row r="21">
      <x:c r="A21" s="13" t="str">
        <x:v>TE-CELL-3-BAY-4</x:v>
      </x:c>
      <x:c r="B21" s="13" t="str">
        <x:v>TE-CELL-3</x:v>
      </x:c>
      <x:c r="C21" s="13" t="n">
        <x:v>4</x:v>
      </x:c>
      <x:c r="D21" s="30" t="n">
        <x:f>VLOOKUP(B21,'Cell Capacity'!$A$6:$M$29,8,FALSE)</x:f>
        <x:v>487.67123287671234</x:v>
      </x:c>
      <x:c r="E21" s="24" t="n">
        <x:f>Controls!$B$26</x:f>
        <x:v>0.25</x:v>
      </x:c>
      <x:c r="F21" s="43" t="n">
        <x:f>D21*E21</x:f>
        <x:v>121.91780821917808</x:v>
      </x:c>
      <x:c r="G21" s="17"/>
      <x:c r="H21" s="17"/>
      <x:c r="I21" s="17"/>
      <x:c r="J21" s="13" t="str">
        <x:f>IF(COUNTA(G21:I21)=3,"EVIDENCE REQUIRED","SOURCE EMPTY")</x:f>
        <x:v>SOURCE EMPTY</x:v>
      </x:c>
    </x:row>
    <x:row r="22">
      <x:c r="A22" s="13" t="str">
        <x:v>TE-CELL-3-BAY-5</x:v>
      </x:c>
      <x:c r="B22" s="13" t="str">
        <x:v>TE-CELL-3</x:v>
      </x:c>
      <x:c r="C22" s="13" t="n">
        <x:v>5</x:v>
      </x:c>
      <x:c r="D22" s="30" t="n">
        <x:f>VLOOKUP(B22,'Cell Capacity'!$A$6:$M$29,8,FALSE)</x:f>
        <x:v>487.67123287671234</x:v>
      </x:c>
      <x:c r="E22" s="24" t="n">
        <x:f>Controls!$B$26</x:f>
        <x:v>0.25</x:v>
      </x:c>
      <x:c r="F22" s="43" t="n">
        <x:f>D22*E22</x:f>
        <x:v>121.91780821917808</x:v>
      </x:c>
      <x:c r="G22" s="17"/>
      <x:c r="H22" s="17"/>
      <x:c r="I22" s="17"/>
      <x:c r="J22" s="13" t="str">
        <x:f>IF(COUNTA(G22:I22)=3,"EVIDENCE REQUIRED","SOURCE EMPTY")</x:f>
        <x:v>SOURCE EMPTY</x:v>
      </x:c>
    </x:row>
    <x:row r="23">
      <x:c r="A23" s="13" t="str">
        <x:v>TE-CELL-3-BAY-6</x:v>
      </x:c>
      <x:c r="B23" s="13" t="str">
        <x:v>TE-CELL-3</x:v>
      </x:c>
      <x:c r="C23" s="13" t="n">
        <x:v>6</x:v>
      </x:c>
      <x:c r="D23" s="30" t="n">
        <x:f>VLOOKUP(B23,'Cell Capacity'!$A$6:$M$29,8,FALSE)</x:f>
        <x:v>487.67123287671234</x:v>
      </x:c>
      <x:c r="E23" s="24" t="n">
        <x:f>Controls!$B$26</x:f>
        <x:v>0.25</x:v>
      </x:c>
      <x:c r="F23" s="43" t="n">
        <x:f>D23*E23</x:f>
        <x:v>121.91780821917808</x:v>
      </x:c>
      <x:c r="G23" s="17"/>
      <x:c r="H23" s="17"/>
      <x:c r="I23" s="17"/>
      <x:c r="J23" s="13" t="str">
        <x:f>IF(COUNTA(G23:I23)=3,"EVIDENCE REQUIRED","SOURCE EMPTY")</x:f>
        <x:v>SOURCE EMPTY</x:v>
      </x:c>
    </x:row>
    <x:row r="24">
      <x:c r="A24" s="13" t="str">
        <x:v>TE-CELL-4-BAY-1</x:v>
      </x:c>
      <x:c r="B24" s="13" t="str">
        <x:v>TE-CELL-4</x:v>
      </x:c>
      <x:c r="C24" s="13" t="n">
        <x:v>1</x:v>
      </x:c>
      <x:c r="D24" s="30" t="n">
        <x:f>VLOOKUP(B24,'Cell Capacity'!$A$6:$M$29,8,FALSE)</x:f>
        <x:v>317.8082191780822</x:v>
      </x:c>
      <x:c r="E24" s="24" t="n">
        <x:f>Controls!$B$26</x:f>
        <x:v>0.25</x:v>
      </x:c>
      <x:c r="F24" s="43" t="n">
        <x:f>D24*E24</x:f>
        <x:v>79.45205479452055</x:v>
      </x:c>
      <x:c r="G24" s="17"/>
      <x:c r="H24" s="17"/>
      <x:c r="I24" s="17"/>
      <x:c r="J24" s="13" t="str">
        <x:f>IF(COUNTA(G24:I24)=3,"EVIDENCE REQUIRED","SOURCE EMPTY")</x:f>
        <x:v>SOURCE EMPTY</x:v>
      </x:c>
    </x:row>
    <x:row r="25">
      <x:c r="A25" s="13" t="str">
        <x:v>TE-CELL-4-BAY-2</x:v>
      </x:c>
      <x:c r="B25" s="13" t="str">
        <x:v>TE-CELL-4</x:v>
      </x:c>
      <x:c r="C25" s="13" t="n">
        <x:v>2</x:v>
      </x:c>
      <x:c r="D25" s="30" t="n">
        <x:f>VLOOKUP(B25,'Cell Capacity'!$A$6:$M$29,8,FALSE)</x:f>
        <x:v>317.8082191780822</x:v>
      </x:c>
      <x:c r="E25" s="24" t="n">
        <x:f>Controls!$B$26</x:f>
        <x:v>0.25</x:v>
      </x:c>
      <x:c r="F25" s="43" t="n">
        <x:f>D25*E25</x:f>
        <x:v>79.45205479452055</x:v>
      </x:c>
      <x:c r="G25" s="17"/>
      <x:c r="H25" s="17"/>
      <x:c r="I25" s="17"/>
      <x:c r="J25" s="13" t="str">
        <x:f>IF(COUNTA(G25:I25)=3,"EVIDENCE REQUIRED","SOURCE EMPTY")</x:f>
        <x:v>SOURCE EMPTY</x:v>
      </x:c>
    </x:row>
    <x:row r="26">
      <x:c r="A26" s="13" t="str">
        <x:v>TE-CELL-4-BAY-3</x:v>
      </x:c>
      <x:c r="B26" s="13" t="str">
        <x:v>TE-CELL-4</x:v>
      </x:c>
      <x:c r="C26" s="13" t="n">
        <x:v>3</x:v>
      </x:c>
      <x:c r="D26" s="30" t="n">
        <x:f>VLOOKUP(B26,'Cell Capacity'!$A$6:$M$29,8,FALSE)</x:f>
        <x:v>317.8082191780822</x:v>
      </x:c>
      <x:c r="E26" s="24" t="n">
        <x:f>Controls!$B$26</x:f>
        <x:v>0.25</x:v>
      </x:c>
      <x:c r="F26" s="43" t="n">
        <x:f>D26*E26</x:f>
        <x:v>79.45205479452055</x:v>
      </x:c>
      <x:c r="G26" s="17"/>
      <x:c r="H26" s="17"/>
      <x:c r="I26" s="17"/>
      <x:c r="J26" s="13" t="str">
        <x:f>IF(COUNTA(G26:I26)=3,"EVIDENCE REQUIRED","SOURCE EMPTY")</x:f>
        <x:v>SOURCE EMPTY</x:v>
      </x:c>
    </x:row>
    <x:row r="27">
      <x:c r="A27" s="13" t="str">
        <x:v>TE-CELL-4-BAY-4</x:v>
      </x:c>
      <x:c r="B27" s="13" t="str">
        <x:v>TE-CELL-4</x:v>
      </x:c>
      <x:c r="C27" s="13" t="n">
        <x:v>4</x:v>
      </x:c>
      <x:c r="D27" s="30" t="n">
        <x:f>VLOOKUP(B27,'Cell Capacity'!$A$6:$M$29,8,FALSE)</x:f>
        <x:v>317.8082191780822</x:v>
      </x:c>
      <x:c r="E27" s="24" t="n">
        <x:f>Controls!$B$26</x:f>
        <x:v>0.25</x:v>
      </x:c>
      <x:c r="F27" s="43" t="n">
        <x:f>D27*E27</x:f>
        <x:v>79.45205479452055</x:v>
      </x:c>
      <x:c r="G27" s="17"/>
      <x:c r="H27" s="17"/>
      <x:c r="I27" s="17"/>
      <x:c r="J27" s="13" t="str">
        <x:f>IF(COUNTA(G27:I27)=3,"EVIDENCE REQUIRED","SOURCE EMPTY")</x:f>
        <x:v>SOURCE EMPTY</x:v>
      </x:c>
    </x:row>
    <x:row r="28">
      <x:c r="A28" s="13" t="str">
        <x:v>TE-CELL-4-BAY-5</x:v>
      </x:c>
      <x:c r="B28" s="13" t="str">
        <x:v>TE-CELL-4</x:v>
      </x:c>
      <x:c r="C28" s="13" t="n">
        <x:v>5</x:v>
      </x:c>
      <x:c r="D28" s="30" t="n">
        <x:f>VLOOKUP(B28,'Cell Capacity'!$A$6:$M$29,8,FALSE)</x:f>
        <x:v>317.8082191780822</x:v>
      </x:c>
      <x:c r="E28" s="24" t="n">
        <x:f>Controls!$B$26</x:f>
        <x:v>0.25</x:v>
      </x:c>
      <x:c r="F28" s="43" t="n">
        <x:f>D28*E28</x:f>
        <x:v>79.45205479452055</x:v>
      </x:c>
      <x:c r="G28" s="17"/>
      <x:c r="H28" s="17"/>
      <x:c r="I28" s="17"/>
      <x:c r="J28" s="13" t="str">
        <x:f>IF(COUNTA(G28:I28)=3,"EVIDENCE REQUIRED","SOURCE EMPTY")</x:f>
        <x:v>SOURCE EMPTY</x:v>
      </x:c>
    </x:row>
    <x:row r="29">
      <x:c r="A29" s="13" t="str">
        <x:v>TE-CELL-4-BAY-6</x:v>
      </x:c>
      <x:c r="B29" s="13" t="str">
        <x:v>TE-CELL-4</x:v>
      </x:c>
      <x:c r="C29" s="13" t="n">
        <x:v>6</x:v>
      </x:c>
      <x:c r="D29" s="30" t="n">
        <x:f>VLOOKUP(B29,'Cell Capacity'!$A$6:$M$29,8,FALSE)</x:f>
        <x:v>317.8082191780822</x:v>
      </x:c>
      <x:c r="E29" s="24" t="n">
        <x:f>Controls!$B$26</x:f>
        <x:v>0.25</x:v>
      </x:c>
      <x:c r="F29" s="43" t="n">
        <x:f>D29*E29</x:f>
        <x:v>79.45205479452055</x:v>
      </x:c>
      <x:c r="G29" s="17"/>
      <x:c r="H29" s="17"/>
      <x:c r="I29" s="17"/>
      <x:c r="J29" s="13" t="str">
        <x:f>IF(COUNTA(G29:I29)=3,"EVIDENCE REQUIRED","SOURCE EMPTY")</x:f>
        <x:v>SOURCE EMPTY</x:v>
      </x:c>
    </x:row>
    <x:row r="30">
      <x:c r="A30" s="13" t="str">
        <x:v>CT-CELL-1-BAY-1</x:v>
      </x:c>
      <x:c r="B30" s="13" t="str">
        <x:v>CT-CELL-1</x:v>
      </x:c>
      <x:c r="C30" s="13" t="n">
        <x:v>1</x:v>
      </x:c>
      <x:c r="D30" s="30" t="n">
        <x:f>VLOOKUP(B30,'Cell Capacity'!$A$6:$M$29,8,FALSE)</x:f>
        <x:v>115.06849315068493</x:v>
      </x:c>
      <x:c r="E30" s="24" t="n">
        <x:f>Controls!$B$26</x:f>
        <x:v>0.25</x:v>
      </x:c>
      <x:c r="F30" s="43" t="n">
        <x:f>D30*E30</x:f>
        <x:v>28.767123287671232</x:v>
      </x:c>
      <x:c r="G30" s="17"/>
      <x:c r="H30" s="17"/>
      <x:c r="I30" s="17"/>
      <x:c r="J30" s="13" t="str">
        <x:f>IF(COUNTA(G30:I30)=3,"EVIDENCE REQUIRED","SOURCE EMPTY")</x:f>
        <x:v>SOURCE EMPTY</x:v>
      </x:c>
    </x:row>
    <x:row r="31">
      <x:c r="A31" s="13" t="str">
        <x:v>CT-CELL-1-BAY-2</x:v>
      </x:c>
      <x:c r="B31" s="13" t="str">
        <x:v>CT-CELL-1</x:v>
      </x:c>
      <x:c r="C31" s="13" t="n">
        <x:v>2</x:v>
      </x:c>
      <x:c r="D31" s="30" t="n">
        <x:f>VLOOKUP(B31,'Cell Capacity'!$A$6:$M$29,8,FALSE)</x:f>
        <x:v>115.06849315068493</x:v>
      </x:c>
      <x:c r="E31" s="24" t="n">
        <x:f>Controls!$B$26</x:f>
        <x:v>0.25</x:v>
      </x:c>
      <x:c r="F31" s="43" t="n">
        <x:f>D31*E31</x:f>
        <x:v>28.767123287671232</x:v>
      </x:c>
      <x:c r="G31" s="17"/>
      <x:c r="H31" s="17"/>
      <x:c r="I31" s="17"/>
      <x:c r="J31" s="13" t="str">
        <x:f>IF(COUNTA(G31:I31)=3,"EVIDENCE REQUIRED","SOURCE EMPTY")</x:f>
        <x:v>SOURCE EMPTY</x:v>
      </x:c>
    </x:row>
    <x:row r="32">
      <x:c r="A32" s="13" t="str">
        <x:v>CT-CELL-1-BAY-3</x:v>
      </x:c>
      <x:c r="B32" s="13" t="str">
        <x:v>CT-CELL-1</x:v>
      </x:c>
      <x:c r="C32" s="13" t="n">
        <x:v>3</x:v>
      </x:c>
      <x:c r="D32" s="30" t="n">
        <x:f>VLOOKUP(B32,'Cell Capacity'!$A$6:$M$29,8,FALSE)</x:f>
        <x:v>115.06849315068493</x:v>
      </x:c>
      <x:c r="E32" s="24" t="n">
        <x:f>Controls!$B$26</x:f>
        <x:v>0.25</x:v>
      </x:c>
      <x:c r="F32" s="43" t="n">
        <x:f>D32*E32</x:f>
        <x:v>28.767123287671232</x:v>
      </x:c>
      <x:c r="G32" s="17"/>
      <x:c r="H32" s="17"/>
      <x:c r="I32" s="17"/>
      <x:c r="J32" s="13" t="str">
        <x:f>IF(COUNTA(G32:I32)=3,"EVIDENCE REQUIRED","SOURCE EMPTY")</x:f>
        <x:v>SOURCE EMPTY</x:v>
      </x:c>
    </x:row>
    <x:row r="33">
      <x:c r="A33" s="13" t="str">
        <x:v>CT-CELL-1-BAY-4</x:v>
      </x:c>
      <x:c r="B33" s="13" t="str">
        <x:v>CT-CELL-1</x:v>
      </x:c>
      <x:c r="C33" s="13" t="n">
        <x:v>4</x:v>
      </x:c>
      <x:c r="D33" s="30" t="n">
        <x:f>VLOOKUP(B33,'Cell Capacity'!$A$6:$M$29,8,FALSE)</x:f>
        <x:v>115.06849315068493</x:v>
      </x:c>
      <x:c r="E33" s="24" t="n">
        <x:f>Controls!$B$26</x:f>
        <x:v>0.25</x:v>
      </x:c>
      <x:c r="F33" s="43" t="n">
        <x:f>D33*E33</x:f>
        <x:v>28.767123287671232</x:v>
      </x:c>
      <x:c r="G33" s="17"/>
      <x:c r="H33" s="17"/>
      <x:c r="I33" s="17"/>
      <x:c r="J33" s="13" t="str">
        <x:f>IF(COUNTA(G33:I33)=3,"EVIDENCE REQUIRED","SOURCE EMPTY")</x:f>
        <x:v>SOURCE EMPTY</x:v>
      </x:c>
    </x:row>
    <x:row r="34">
      <x:c r="A34" s="13" t="str">
        <x:v>CT-CELL-1-BAY-5</x:v>
      </x:c>
      <x:c r="B34" s="13" t="str">
        <x:v>CT-CELL-1</x:v>
      </x:c>
      <x:c r="C34" s="13" t="n">
        <x:v>5</x:v>
      </x:c>
      <x:c r="D34" s="30" t="n">
        <x:f>VLOOKUP(B34,'Cell Capacity'!$A$6:$M$29,8,FALSE)</x:f>
        <x:v>115.06849315068493</x:v>
      </x:c>
      <x:c r="E34" s="24" t="n">
        <x:f>Controls!$B$26</x:f>
        <x:v>0.25</x:v>
      </x:c>
      <x:c r="F34" s="43" t="n">
        <x:f>D34*E34</x:f>
        <x:v>28.767123287671232</x:v>
      </x:c>
      <x:c r="G34" s="17"/>
      <x:c r="H34" s="17"/>
      <x:c r="I34" s="17"/>
      <x:c r="J34" s="13" t="str">
        <x:f>IF(COUNTA(G34:I34)=3,"EVIDENCE REQUIRED","SOURCE EMPTY")</x:f>
        <x:v>SOURCE EMPTY</x:v>
      </x:c>
    </x:row>
    <x:row r="35">
      <x:c r="A35" s="13" t="str">
        <x:v>CT-CELL-1-BAY-6</x:v>
      </x:c>
      <x:c r="B35" s="13" t="str">
        <x:v>CT-CELL-1</x:v>
      </x:c>
      <x:c r="C35" s="13" t="n">
        <x:v>6</x:v>
      </x:c>
      <x:c r="D35" s="30" t="n">
        <x:f>VLOOKUP(B35,'Cell Capacity'!$A$6:$M$29,8,FALSE)</x:f>
        <x:v>115.06849315068493</x:v>
      </x:c>
      <x:c r="E35" s="24" t="n">
        <x:f>Controls!$B$26</x:f>
        <x:v>0.25</x:v>
      </x:c>
      <x:c r="F35" s="43" t="n">
        <x:f>D35*E35</x:f>
        <x:v>28.767123287671232</x:v>
      </x:c>
      <x:c r="G35" s="17"/>
      <x:c r="H35" s="17"/>
      <x:c r="I35" s="17"/>
      <x:c r="J35" s="13" t="str">
        <x:f>IF(COUNTA(G35:I35)=3,"EVIDENCE REQUIRED","SOURCE EMPTY")</x:f>
        <x:v>SOURCE EMPTY</x:v>
      </x:c>
    </x:row>
    <x:row r="36">
      <x:c r="A36" s="13" t="str">
        <x:v>CT-CELL-2-BAY-1</x:v>
      </x:c>
      <x:c r="B36" s="13" t="str">
        <x:v>CT-CELL-2</x:v>
      </x:c>
      <x:c r="C36" s="13" t="n">
        <x:v>1</x:v>
      </x:c>
      <x:c r="D36" s="30" t="n">
        <x:f>VLOOKUP(B36,'Cell Capacity'!$A$6:$M$29,8,FALSE)</x:f>
        <x:v>147.94520547945206</x:v>
      </x:c>
      <x:c r="E36" s="24" t="n">
        <x:f>Controls!$B$26</x:f>
        <x:v>0.25</x:v>
      </x:c>
      <x:c r="F36" s="43" t="n">
        <x:f>D36*E36</x:f>
        <x:v>36.986301369863014</x:v>
      </x:c>
      <x:c r="G36" s="17"/>
      <x:c r="H36" s="17"/>
      <x:c r="I36" s="17"/>
      <x:c r="J36" s="13" t="str">
        <x:f>IF(COUNTA(G36:I36)=3,"EVIDENCE REQUIRED","SOURCE EMPTY")</x:f>
        <x:v>SOURCE EMPTY</x:v>
      </x:c>
    </x:row>
    <x:row r="37">
      <x:c r="A37" s="13" t="str">
        <x:v>CT-CELL-2-BAY-2</x:v>
      </x:c>
      <x:c r="B37" s="13" t="str">
        <x:v>CT-CELL-2</x:v>
      </x:c>
      <x:c r="C37" s="13" t="n">
        <x:v>2</x:v>
      </x:c>
      <x:c r="D37" s="30" t="n">
        <x:f>VLOOKUP(B37,'Cell Capacity'!$A$6:$M$29,8,FALSE)</x:f>
        <x:v>147.94520547945206</x:v>
      </x:c>
      <x:c r="E37" s="24" t="n">
        <x:f>Controls!$B$26</x:f>
        <x:v>0.25</x:v>
      </x:c>
      <x:c r="F37" s="43" t="n">
        <x:f>D37*E37</x:f>
        <x:v>36.986301369863014</x:v>
      </x:c>
      <x:c r="G37" s="17"/>
      <x:c r="H37" s="17"/>
      <x:c r="I37" s="17"/>
      <x:c r="J37" s="13" t="str">
        <x:f>IF(COUNTA(G37:I37)=3,"EVIDENCE REQUIRED","SOURCE EMPTY")</x:f>
        <x:v>SOURCE EMPTY</x:v>
      </x:c>
    </x:row>
    <x:row r="38">
      <x:c r="A38" s="13" t="str">
        <x:v>CT-CELL-2-BAY-3</x:v>
      </x:c>
      <x:c r="B38" s="13" t="str">
        <x:v>CT-CELL-2</x:v>
      </x:c>
      <x:c r="C38" s="13" t="n">
        <x:v>3</x:v>
      </x:c>
      <x:c r="D38" s="30" t="n">
        <x:f>VLOOKUP(B38,'Cell Capacity'!$A$6:$M$29,8,FALSE)</x:f>
        <x:v>147.94520547945206</x:v>
      </x:c>
      <x:c r="E38" s="24" t="n">
        <x:f>Controls!$B$26</x:f>
        <x:v>0.25</x:v>
      </x:c>
      <x:c r="F38" s="43" t="n">
        <x:f>D38*E38</x:f>
        <x:v>36.986301369863014</x:v>
      </x:c>
      <x:c r="G38" s="17"/>
      <x:c r="H38" s="17"/>
      <x:c r="I38" s="17"/>
      <x:c r="J38" s="13" t="str">
        <x:f>IF(COUNTA(G38:I38)=3,"EVIDENCE REQUIRED","SOURCE EMPTY")</x:f>
        <x:v>SOURCE EMPTY</x:v>
      </x:c>
    </x:row>
    <x:row r="39">
      <x:c r="A39" s="13" t="str">
        <x:v>CT-CELL-2-BAY-4</x:v>
      </x:c>
      <x:c r="B39" s="13" t="str">
        <x:v>CT-CELL-2</x:v>
      </x:c>
      <x:c r="C39" s="13" t="n">
        <x:v>4</x:v>
      </x:c>
      <x:c r="D39" s="30" t="n">
        <x:f>VLOOKUP(B39,'Cell Capacity'!$A$6:$M$29,8,FALSE)</x:f>
        <x:v>147.94520547945206</x:v>
      </x:c>
      <x:c r="E39" s="24" t="n">
        <x:f>Controls!$B$26</x:f>
        <x:v>0.25</x:v>
      </x:c>
      <x:c r="F39" s="43" t="n">
        <x:f>D39*E39</x:f>
        <x:v>36.986301369863014</x:v>
      </x:c>
      <x:c r="G39" s="17"/>
      <x:c r="H39" s="17"/>
      <x:c r="I39" s="17"/>
      <x:c r="J39" s="13" t="str">
        <x:f>IF(COUNTA(G39:I39)=3,"EVIDENCE REQUIRED","SOURCE EMPTY")</x:f>
        <x:v>SOURCE EMPTY</x:v>
      </x:c>
    </x:row>
    <x:row r="40">
      <x:c r="A40" s="13" t="str">
        <x:v>CT-CELL-2-BAY-5</x:v>
      </x:c>
      <x:c r="B40" s="13" t="str">
        <x:v>CT-CELL-2</x:v>
      </x:c>
      <x:c r="C40" s="13" t="n">
        <x:v>5</x:v>
      </x:c>
      <x:c r="D40" s="30" t="n">
        <x:f>VLOOKUP(B40,'Cell Capacity'!$A$6:$M$29,8,FALSE)</x:f>
        <x:v>147.94520547945206</x:v>
      </x:c>
      <x:c r="E40" s="24" t="n">
        <x:f>Controls!$B$26</x:f>
        <x:v>0.25</x:v>
      </x:c>
      <x:c r="F40" s="43" t="n">
        <x:f>D40*E40</x:f>
        <x:v>36.986301369863014</x:v>
      </x:c>
      <x:c r="G40" s="17"/>
      <x:c r="H40" s="17"/>
      <x:c r="I40" s="17"/>
      <x:c r="J40" s="13" t="str">
        <x:f>IF(COUNTA(G40:I40)=3,"EVIDENCE REQUIRED","SOURCE EMPTY")</x:f>
        <x:v>SOURCE EMPTY</x:v>
      </x:c>
    </x:row>
    <x:row r="41">
      <x:c r="A41" s="13" t="str">
        <x:v>CT-CELL-2-BAY-6</x:v>
      </x:c>
      <x:c r="B41" s="13" t="str">
        <x:v>CT-CELL-2</x:v>
      </x:c>
      <x:c r="C41" s="13" t="n">
        <x:v>6</x:v>
      </x:c>
      <x:c r="D41" s="30" t="n">
        <x:f>VLOOKUP(B41,'Cell Capacity'!$A$6:$M$29,8,FALSE)</x:f>
        <x:v>147.94520547945206</x:v>
      </x:c>
      <x:c r="E41" s="24" t="n">
        <x:f>Controls!$B$26</x:f>
        <x:v>0.25</x:v>
      </x:c>
      <x:c r="F41" s="43" t="n">
        <x:f>D41*E41</x:f>
        <x:v>36.986301369863014</x:v>
      </x:c>
      <x:c r="G41" s="17"/>
      <x:c r="H41" s="17"/>
      <x:c r="I41" s="17"/>
      <x:c r="J41" s="13" t="str">
        <x:f>IF(COUNTA(G41:I41)=3,"EVIDENCE REQUIRED","SOURCE EMPTY")</x:f>
        <x:v>SOURCE EMPTY</x:v>
      </x:c>
    </x:row>
    <x:row r="42">
      <x:c r="A42" s="13" t="str">
        <x:v>CT-CELL-3-BAY-1</x:v>
      </x:c>
      <x:c r="B42" s="13" t="str">
        <x:v>CT-CELL-3</x:v>
      </x:c>
      <x:c r="C42" s="13" t="n">
        <x:v>1</x:v>
      </x:c>
      <x:c r="D42" s="30" t="n">
        <x:f>VLOOKUP(B42,'Cell Capacity'!$A$6:$M$29,8,FALSE)</x:f>
        <x:v>147.94520547945206</x:v>
      </x:c>
      <x:c r="E42" s="24" t="n">
        <x:f>Controls!$B$26</x:f>
        <x:v>0.25</x:v>
      </x:c>
      <x:c r="F42" s="43" t="n">
        <x:f>D42*E42</x:f>
        <x:v>36.986301369863014</x:v>
      </x:c>
      <x:c r="G42" s="17"/>
      <x:c r="H42" s="17"/>
      <x:c r="I42" s="17"/>
      <x:c r="J42" s="13" t="str">
        <x:f>IF(COUNTA(G42:I42)=3,"EVIDENCE REQUIRED","SOURCE EMPTY")</x:f>
        <x:v>SOURCE EMPTY</x:v>
      </x:c>
    </x:row>
    <x:row r="43">
      <x:c r="A43" s="13" t="str">
        <x:v>CT-CELL-3-BAY-2</x:v>
      </x:c>
      <x:c r="B43" s="13" t="str">
        <x:v>CT-CELL-3</x:v>
      </x:c>
      <x:c r="C43" s="13" t="n">
        <x:v>2</x:v>
      </x:c>
      <x:c r="D43" s="30" t="n">
        <x:f>VLOOKUP(B43,'Cell Capacity'!$A$6:$M$29,8,FALSE)</x:f>
        <x:v>147.94520547945206</x:v>
      </x:c>
      <x:c r="E43" s="24" t="n">
        <x:f>Controls!$B$26</x:f>
        <x:v>0.25</x:v>
      </x:c>
      <x:c r="F43" s="43" t="n">
        <x:f>D43*E43</x:f>
        <x:v>36.986301369863014</x:v>
      </x:c>
      <x:c r="G43" s="17"/>
      <x:c r="H43" s="17"/>
      <x:c r="I43" s="17"/>
      <x:c r="J43" s="13" t="str">
        <x:f>IF(COUNTA(G43:I43)=3,"EVIDENCE REQUIRED","SOURCE EMPTY")</x:f>
        <x:v>SOURCE EMPTY</x:v>
      </x:c>
    </x:row>
    <x:row r="44">
      <x:c r="A44" s="13" t="str">
        <x:v>CT-CELL-3-BAY-3</x:v>
      </x:c>
      <x:c r="B44" s="13" t="str">
        <x:v>CT-CELL-3</x:v>
      </x:c>
      <x:c r="C44" s="13" t="n">
        <x:v>3</x:v>
      </x:c>
      <x:c r="D44" s="30" t="n">
        <x:f>VLOOKUP(B44,'Cell Capacity'!$A$6:$M$29,8,FALSE)</x:f>
        <x:v>147.94520547945206</x:v>
      </x:c>
      <x:c r="E44" s="24" t="n">
        <x:f>Controls!$B$26</x:f>
        <x:v>0.25</x:v>
      </x:c>
      <x:c r="F44" s="43" t="n">
        <x:f>D44*E44</x:f>
        <x:v>36.986301369863014</x:v>
      </x:c>
      <x:c r="G44" s="17"/>
      <x:c r="H44" s="17"/>
      <x:c r="I44" s="17"/>
      <x:c r="J44" s="13" t="str">
        <x:f>IF(COUNTA(G44:I44)=3,"EVIDENCE REQUIRED","SOURCE EMPTY")</x:f>
        <x:v>SOURCE EMPTY</x:v>
      </x:c>
    </x:row>
    <x:row r="45">
      <x:c r="A45" s="13" t="str">
        <x:v>CT-CELL-3-BAY-4</x:v>
      </x:c>
      <x:c r="B45" s="13" t="str">
        <x:v>CT-CELL-3</x:v>
      </x:c>
      <x:c r="C45" s="13" t="n">
        <x:v>4</x:v>
      </x:c>
      <x:c r="D45" s="30" t="n">
        <x:f>VLOOKUP(B45,'Cell Capacity'!$A$6:$M$29,8,FALSE)</x:f>
        <x:v>147.94520547945206</x:v>
      </x:c>
      <x:c r="E45" s="24" t="n">
        <x:f>Controls!$B$26</x:f>
        <x:v>0.25</x:v>
      </x:c>
      <x:c r="F45" s="43" t="n">
        <x:f>D45*E45</x:f>
        <x:v>36.986301369863014</x:v>
      </x:c>
      <x:c r="G45" s="17"/>
      <x:c r="H45" s="17"/>
      <x:c r="I45" s="17"/>
      <x:c r="J45" s="13" t="str">
        <x:f>IF(COUNTA(G45:I45)=3,"EVIDENCE REQUIRED","SOURCE EMPTY")</x:f>
        <x:v>SOURCE EMPTY</x:v>
      </x:c>
    </x:row>
    <x:row r="46">
      <x:c r="A46" s="13" t="str">
        <x:v>CT-CELL-3-BAY-5</x:v>
      </x:c>
      <x:c r="B46" s="13" t="str">
        <x:v>CT-CELL-3</x:v>
      </x:c>
      <x:c r="C46" s="13" t="n">
        <x:v>5</x:v>
      </x:c>
      <x:c r="D46" s="30" t="n">
        <x:f>VLOOKUP(B46,'Cell Capacity'!$A$6:$M$29,8,FALSE)</x:f>
        <x:v>147.94520547945206</x:v>
      </x:c>
      <x:c r="E46" s="24" t="n">
        <x:f>Controls!$B$26</x:f>
        <x:v>0.25</x:v>
      </x:c>
      <x:c r="F46" s="43" t="n">
        <x:f>D46*E46</x:f>
        <x:v>36.986301369863014</x:v>
      </x:c>
      <x:c r="G46" s="17"/>
      <x:c r="H46" s="17"/>
      <x:c r="I46" s="17"/>
      <x:c r="J46" s="13" t="str">
        <x:f>IF(COUNTA(G46:I46)=3,"EVIDENCE REQUIRED","SOURCE EMPTY")</x:f>
        <x:v>SOURCE EMPTY</x:v>
      </x:c>
    </x:row>
    <x:row r="47">
      <x:c r="A47" s="13" t="str">
        <x:v>CT-CELL-3-BAY-6</x:v>
      </x:c>
      <x:c r="B47" s="13" t="str">
        <x:v>CT-CELL-3</x:v>
      </x:c>
      <x:c r="C47" s="13" t="n">
        <x:v>6</x:v>
      </x:c>
      <x:c r="D47" s="30" t="n">
        <x:f>VLOOKUP(B47,'Cell Capacity'!$A$6:$M$29,8,FALSE)</x:f>
        <x:v>147.94520547945206</x:v>
      </x:c>
      <x:c r="E47" s="24" t="n">
        <x:f>Controls!$B$26</x:f>
        <x:v>0.25</x:v>
      </x:c>
      <x:c r="F47" s="43" t="n">
        <x:f>D47*E47</x:f>
        <x:v>36.986301369863014</x:v>
      </x:c>
      <x:c r="G47" s="17"/>
      <x:c r="H47" s="17"/>
      <x:c r="I47" s="17"/>
      <x:c r="J47" s="13" t="str">
        <x:f>IF(COUNTA(G47:I47)=3,"EVIDENCE REQUIRED","SOURCE EMPTY")</x:f>
        <x:v>SOURCE EMPTY</x:v>
      </x:c>
    </x:row>
    <x:row r="48">
      <x:c r="A48" s="13" t="str">
        <x:v>CT-CELL-4-BAY-1</x:v>
      </x:c>
      <x:c r="B48" s="13" t="str">
        <x:v>CT-CELL-4</x:v>
      </x:c>
      <x:c r="C48" s="13" t="n">
        <x:v>1</x:v>
      </x:c>
      <x:c r="D48" s="30" t="n">
        <x:f>VLOOKUP(B48,'Cell Capacity'!$A$6:$M$29,8,FALSE)</x:f>
        <x:v>115.06849315068493</x:v>
      </x:c>
      <x:c r="E48" s="24" t="n">
        <x:f>Controls!$B$26</x:f>
        <x:v>0.25</x:v>
      </x:c>
      <x:c r="F48" s="43" t="n">
        <x:f>D48*E48</x:f>
        <x:v>28.767123287671232</x:v>
      </x:c>
      <x:c r="G48" s="17"/>
      <x:c r="H48" s="17"/>
      <x:c r="I48" s="17"/>
      <x:c r="J48" s="13" t="str">
        <x:f>IF(COUNTA(G48:I48)=3,"EVIDENCE REQUIRED","SOURCE EMPTY")</x:f>
        <x:v>SOURCE EMPTY</x:v>
      </x:c>
    </x:row>
    <x:row r="49">
      <x:c r="A49" s="13" t="str">
        <x:v>CT-CELL-4-BAY-2</x:v>
      </x:c>
      <x:c r="B49" s="13" t="str">
        <x:v>CT-CELL-4</x:v>
      </x:c>
      <x:c r="C49" s="13" t="n">
        <x:v>2</x:v>
      </x:c>
      <x:c r="D49" s="30" t="n">
        <x:f>VLOOKUP(B49,'Cell Capacity'!$A$6:$M$29,8,FALSE)</x:f>
        <x:v>115.06849315068493</x:v>
      </x:c>
      <x:c r="E49" s="24" t="n">
        <x:f>Controls!$B$26</x:f>
        <x:v>0.25</x:v>
      </x:c>
      <x:c r="F49" s="43" t="n">
        <x:f>D49*E49</x:f>
        <x:v>28.767123287671232</x:v>
      </x:c>
      <x:c r="G49" s="17"/>
      <x:c r="H49" s="17"/>
      <x:c r="I49" s="17"/>
      <x:c r="J49" s="13" t="str">
        <x:f>IF(COUNTA(G49:I49)=3,"EVIDENCE REQUIRED","SOURCE EMPTY")</x:f>
        <x:v>SOURCE EMPTY</x:v>
      </x:c>
    </x:row>
    <x:row r="50">
      <x:c r="A50" s="13" t="str">
        <x:v>CT-CELL-4-BAY-3</x:v>
      </x:c>
      <x:c r="B50" s="13" t="str">
        <x:v>CT-CELL-4</x:v>
      </x:c>
      <x:c r="C50" s="13" t="n">
        <x:v>3</x:v>
      </x:c>
      <x:c r="D50" s="30" t="n">
        <x:f>VLOOKUP(B50,'Cell Capacity'!$A$6:$M$29,8,FALSE)</x:f>
        <x:v>115.06849315068493</x:v>
      </x:c>
      <x:c r="E50" s="24" t="n">
        <x:f>Controls!$B$26</x:f>
        <x:v>0.25</x:v>
      </x:c>
      <x:c r="F50" s="43" t="n">
        <x:f>D50*E50</x:f>
        <x:v>28.767123287671232</x:v>
      </x:c>
      <x:c r="G50" s="17"/>
      <x:c r="H50" s="17"/>
      <x:c r="I50" s="17"/>
      <x:c r="J50" s="13" t="str">
        <x:f>IF(COUNTA(G50:I50)=3,"EVIDENCE REQUIRED","SOURCE EMPTY")</x:f>
        <x:v>SOURCE EMPTY</x:v>
      </x:c>
    </x:row>
    <x:row r="51">
      <x:c r="A51" s="13" t="str">
        <x:v>CT-CELL-4-BAY-4</x:v>
      </x:c>
      <x:c r="B51" s="13" t="str">
        <x:v>CT-CELL-4</x:v>
      </x:c>
      <x:c r="C51" s="13" t="n">
        <x:v>4</x:v>
      </x:c>
      <x:c r="D51" s="30" t="n">
        <x:f>VLOOKUP(B51,'Cell Capacity'!$A$6:$M$29,8,FALSE)</x:f>
        <x:v>115.06849315068493</x:v>
      </x:c>
      <x:c r="E51" s="24" t="n">
        <x:f>Controls!$B$26</x:f>
        <x:v>0.25</x:v>
      </x:c>
      <x:c r="F51" s="43" t="n">
        <x:f>D51*E51</x:f>
        <x:v>28.767123287671232</x:v>
      </x:c>
      <x:c r="G51" s="17"/>
      <x:c r="H51" s="17"/>
      <x:c r="I51" s="17"/>
      <x:c r="J51" s="13" t="str">
        <x:f>IF(COUNTA(G51:I51)=3,"EVIDENCE REQUIRED","SOURCE EMPTY")</x:f>
        <x:v>SOURCE EMPTY</x:v>
      </x:c>
    </x:row>
    <x:row r="52">
      <x:c r="A52" s="13" t="str">
        <x:v>CT-CELL-4-BAY-5</x:v>
      </x:c>
      <x:c r="B52" s="13" t="str">
        <x:v>CT-CELL-4</x:v>
      </x:c>
      <x:c r="C52" s="13" t="n">
        <x:v>5</x:v>
      </x:c>
      <x:c r="D52" s="30" t="n">
        <x:f>VLOOKUP(B52,'Cell Capacity'!$A$6:$M$29,8,FALSE)</x:f>
        <x:v>115.06849315068493</x:v>
      </x:c>
      <x:c r="E52" s="24" t="n">
        <x:f>Controls!$B$26</x:f>
        <x:v>0.25</x:v>
      </x:c>
      <x:c r="F52" s="43" t="n">
        <x:f>D52*E52</x:f>
        <x:v>28.767123287671232</x:v>
      </x:c>
      <x:c r="G52" s="17"/>
      <x:c r="H52" s="17"/>
      <x:c r="I52" s="17"/>
      <x:c r="J52" s="13" t="str">
        <x:f>IF(COUNTA(G52:I52)=3,"EVIDENCE REQUIRED","SOURCE EMPTY")</x:f>
        <x:v>SOURCE EMPTY</x:v>
      </x:c>
    </x:row>
    <x:row r="53">
      <x:c r="A53" s="13" t="str">
        <x:v>CT-CELL-4-BAY-6</x:v>
      </x:c>
      <x:c r="B53" s="13" t="str">
        <x:v>CT-CELL-4</x:v>
      </x:c>
      <x:c r="C53" s="13" t="n">
        <x:v>6</x:v>
      </x:c>
      <x:c r="D53" s="30" t="n">
        <x:f>VLOOKUP(B53,'Cell Capacity'!$A$6:$M$29,8,FALSE)</x:f>
        <x:v>115.06849315068493</x:v>
      </x:c>
      <x:c r="E53" s="24" t="n">
        <x:f>Controls!$B$26</x:f>
        <x:v>0.25</x:v>
      </x:c>
      <x:c r="F53" s="43" t="n">
        <x:f>D53*E53</x:f>
        <x:v>28.767123287671232</x:v>
      </x:c>
      <x:c r="G53" s="17"/>
      <x:c r="H53" s="17"/>
      <x:c r="I53" s="17"/>
      <x:c r="J53" s="13" t="str">
        <x:f>IF(COUNTA(G53:I53)=3,"EVIDENCE REQUIRED","SOURCE EMPTY")</x:f>
        <x:v>SOURCE EMPTY</x:v>
      </x:c>
    </x:row>
    <x:row r="54">
      <x:c r="A54" s="13" t="str">
        <x:v>HC-CELL-1-BAY-1</x:v>
      </x:c>
      <x:c r="B54" s="13" t="str">
        <x:v>HC-CELL-1</x:v>
      </x:c>
      <x:c r="C54" s="13" t="n">
        <x:v>1</x:v>
      </x:c>
      <x:c r="D54" s="30" t="n">
        <x:f>VLOOKUP(B54,'Cell Capacity'!$A$6:$M$29,8,FALSE)</x:f>
        <x:v>334.24657534246575</x:v>
      </x:c>
      <x:c r="E54" s="24" t="n">
        <x:f>Controls!$B$26</x:f>
        <x:v>0.25</x:v>
      </x:c>
      <x:c r="F54" s="43" t="n">
        <x:f>D54*E54</x:f>
        <x:v>83.56164383561644</x:v>
      </x:c>
      <x:c r="G54" s="17"/>
      <x:c r="H54" s="17"/>
      <x:c r="I54" s="17"/>
      <x:c r="J54" s="13" t="str">
        <x:f>IF(COUNTA(G54:I54)=3,"EVIDENCE REQUIRED","SOURCE EMPTY")</x:f>
        <x:v>SOURCE EMPTY</x:v>
      </x:c>
    </x:row>
    <x:row r="55">
      <x:c r="A55" s="13" t="str">
        <x:v>HC-CELL-1-BAY-2</x:v>
      </x:c>
      <x:c r="B55" s="13" t="str">
        <x:v>HC-CELL-1</x:v>
      </x:c>
      <x:c r="C55" s="13" t="n">
        <x:v>2</x:v>
      </x:c>
      <x:c r="D55" s="30" t="n">
        <x:f>VLOOKUP(B55,'Cell Capacity'!$A$6:$M$29,8,FALSE)</x:f>
        <x:v>334.24657534246575</x:v>
      </x:c>
      <x:c r="E55" s="24" t="n">
        <x:f>Controls!$B$26</x:f>
        <x:v>0.25</x:v>
      </x:c>
      <x:c r="F55" s="43" t="n">
        <x:f>D55*E55</x:f>
        <x:v>83.56164383561644</x:v>
      </x:c>
      <x:c r="G55" s="17"/>
      <x:c r="H55" s="17"/>
      <x:c r="I55" s="17"/>
      <x:c r="J55" s="13" t="str">
        <x:f>IF(COUNTA(G55:I55)=3,"EVIDENCE REQUIRED","SOURCE EMPTY")</x:f>
        <x:v>SOURCE EMPTY</x:v>
      </x:c>
    </x:row>
    <x:row r="56">
      <x:c r="A56" s="13" t="str">
        <x:v>HC-CELL-1-BAY-3</x:v>
      </x:c>
      <x:c r="B56" s="13" t="str">
        <x:v>HC-CELL-1</x:v>
      </x:c>
      <x:c r="C56" s="13" t="n">
        <x:v>3</x:v>
      </x:c>
      <x:c r="D56" s="30" t="n">
        <x:f>VLOOKUP(B56,'Cell Capacity'!$A$6:$M$29,8,FALSE)</x:f>
        <x:v>334.24657534246575</x:v>
      </x:c>
      <x:c r="E56" s="24" t="n">
        <x:f>Controls!$B$26</x:f>
        <x:v>0.25</x:v>
      </x:c>
      <x:c r="F56" s="43" t="n">
        <x:f>D56*E56</x:f>
        <x:v>83.56164383561644</x:v>
      </x:c>
      <x:c r="G56" s="17"/>
      <x:c r="H56" s="17"/>
      <x:c r="I56" s="17"/>
      <x:c r="J56" s="13" t="str">
        <x:f>IF(COUNTA(G56:I56)=3,"EVIDENCE REQUIRED","SOURCE EMPTY")</x:f>
        <x:v>SOURCE EMPTY</x:v>
      </x:c>
    </x:row>
    <x:row r="57">
      <x:c r="A57" s="13" t="str">
        <x:v>HC-CELL-1-BAY-4</x:v>
      </x:c>
      <x:c r="B57" s="13" t="str">
        <x:v>HC-CELL-1</x:v>
      </x:c>
      <x:c r="C57" s="13" t="n">
        <x:v>4</x:v>
      </x:c>
      <x:c r="D57" s="30" t="n">
        <x:f>VLOOKUP(B57,'Cell Capacity'!$A$6:$M$29,8,FALSE)</x:f>
        <x:v>334.24657534246575</x:v>
      </x:c>
      <x:c r="E57" s="24" t="n">
        <x:f>Controls!$B$26</x:f>
        <x:v>0.25</x:v>
      </x:c>
      <x:c r="F57" s="43" t="n">
        <x:f>D57*E57</x:f>
        <x:v>83.56164383561644</x:v>
      </x:c>
      <x:c r="G57" s="17"/>
      <x:c r="H57" s="17"/>
      <x:c r="I57" s="17"/>
      <x:c r="J57" s="13" t="str">
        <x:f>IF(COUNTA(G57:I57)=3,"EVIDENCE REQUIRED","SOURCE EMPTY")</x:f>
        <x:v>SOURCE EMPTY</x:v>
      </x:c>
    </x:row>
    <x:row r="58">
      <x:c r="A58" s="13" t="str">
        <x:v>HC-CELL-1-BAY-5</x:v>
      </x:c>
      <x:c r="B58" s="13" t="str">
        <x:v>HC-CELL-1</x:v>
      </x:c>
      <x:c r="C58" s="13" t="n">
        <x:v>5</x:v>
      </x:c>
      <x:c r="D58" s="30" t="n">
        <x:f>VLOOKUP(B58,'Cell Capacity'!$A$6:$M$29,8,FALSE)</x:f>
        <x:v>334.24657534246575</x:v>
      </x:c>
      <x:c r="E58" s="24" t="n">
        <x:f>Controls!$B$26</x:f>
        <x:v>0.25</x:v>
      </x:c>
      <x:c r="F58" s="43" t="n">
        <x:f>D58*E58</x:f>
        <x:v>83.56164383561644</x:v>
      </x:c>
      <x:c r="G58" s="17"/>
      <x:c r="H58" s="17"/>
      <x:c r="I58" s="17"/>
      <x:c r="J58" s="13" t="str">
        <x:f>IF(COUNTA(G58:I58)=3,"EVIDENCE REQUIRED","SOURCE EMPTY")</x:f>
        <x:v>SOURCE EMPTY</x:v>
      </x:c>
    </x:row>
    <x:row r="59">
      <x:c r="A59" s="13" t="str">
        <x:v>HC-CELL-1-BAY-6</x:v>
      </x:c>
      <x:c r="B59" s="13" t="str">
        <x:v>HC-CELL-1</x:v>
      </x:c>
      <x:c r="C59" s="13" t="n">
        <x:v>6</x:v>
      </x:c>
      <x:c r="D59" s="30" t="n">
        <x:f>VLOOKUP(B59,'Cell Capacity'!$A$6:$M$29,8,FALSE)</x:f>
        <x:v>334.24657534246575</x:v>
      </x:c>
      <x:c r="E59" s="24" t="n">
        <x:f>Controls!$B$26</x:f>
        <x:v>0.25</x:v>
      </x:c>
      <x:c r="F59" s="43" t="n">
        <x:f>D59*E59</x:f>
        <x:v>83.56164383561644</x:v>
      </x:c>
      <x:c r="G59" s="17"/>
      <x:c r="H59" s="17"/>
      <x:c r="I59" s="17"/>
      <x:c r="J59" s="13" t="str">
        <x:f>IF(COUNTA(G59:I59)=3,"EVIDENCE REQUIRED","SOURCE EMPTY")</x:f>
        <x:v>SOURCE EMPTY</x:v>
      </x:c>
    </x:row>
    <x:row r="60">
      <x:c r="A60" s="13" t="str">
        <x:v>HC-CELL-2-BAY-1</x:v>
      </x:c>
      <x:c r="B60" s="13" t="str">
        <x:v>HC-CELL-2</x:v>
      </x:c>
      <x:c r="C60" s="13" t="n">
        <x:v>1</x:v>
      </x:c>
      <x:c r="D60" s="30" t="n">
        <x:f>VLOOKUP(B60,'Cell Capacity'!$A$6:$M$29,8,FALSE)</x:f>
        <x:v>284.93150684931504</x:v>
      </x:c>
      <x:c r="E60" s="24" t="n">
        <x:f>Controls!$B$26</x:f>
        <x:v>0.25</x:v>
      </x:c>
      <x:c r="F60" s="43" t="n">
        <x:f>D60*E60</x:f>
        <x:v>71.23287671232876</x:v>
      </x:c>
      <x:c r="G60" s="17"/>
      <x:c r="H60" s="17"/>
      <x:c r="I60" s="17"/>
      <x:c r="J60" s="13" t="str">
        <x:f>IF(COUNTA(G60:I60)=3,"EVIDENCE REQUIRED","SOURCE EMPTY")</x:f>
        <x:v>SOURCE EMPTY</x:v>
      </x:c>
    </x:row>
    <x:row r="61">
      <x:c r="A61" s="13" t="str">
        <x:v>HC-CELL-2-BAY-2</x:v>
      </x:c>
      <x:c r="B61" s="13" t="str">
        <x:v>HC-CELL-2</x:v>
      </x:c>
      <x:c r="C61" s="13" t="n">
        <x:v>2</x:v>
      </x:c>
      <x:c r="D61" s="30" t="n">
        <x:f>VLOOKUP(B61,'Cell Capacity'!$A$6:$M$29,8,FALSE)</x:f>
        <x:v>284.93150684931504</x:v>
      </x:c>
      <x:c r="E61" s="24" t="n">
        <x:f>Controls!$B$26</x:f>
        <x:v>0.25</x:v>
      </x:c>
      <x:c r="F61" s="43" t="n">
        <x:f>D61*E61</x:f>
        <x:v>71.23287671232876</x:v>
      </x:c>
      <x:c r="G61" s="17"/>
      <x:c r="H61" s="17"/>
      <x:c r="I61" s="17"/>
      <x:c r="J61" s="13" t="str">
        <x:f>IF(COUNTA(G61:I61)=3,"EVIDENCE REQUIRED","SOURCE EMPTY")</x:f>
        <x:v>SOURCE EMPTY</x:v>
      </x:c>
    </x:row>
    <x:row r="62">
      <x:c r="A62" s="13" t="str">
        <x:v>HC-CELL-2-BAY-3</x:v>
      </x:c>
      <x:c r="B62" s="13" t="str">
        <x:v>HC-CELL-2</x:v>
      </x:c>
      <x:c r="C62" s="13" t="n">
        <x:v>3</x:v>
      </x:c>
      <x:c r="D62" s="30" t="n">
        <x:f>VLOOKUP(B62,'Cell Capacity'!$A$6:$M$29,8,FALSE)</x:f>
        <x:v>284.93150684931504</x:v>
      </x:c>
      <x:c r="E62" s="24" t="n">
        <x:f>Controls!$B$26</x:f>
        <x:v>0.25</x:v>
      </x:c>
      <x:c r="F62" s="43" t="n">
        <x:f>D62*E62</x:f>
        <x:v>71.23287671232876</x:v>
      </x:c>
      <x:c r="G62" s="17"/>
      <x:c r="H62" s="17"/>
      <x:c r="I62" s="17"/>
      <x:c r="J62" s="13" t="str">
        <x:f>IF(COUNTA(G62:I62)=3,"EVIDENCE REQUIRED","SOURCE EMPTY")</x:f>
        <x:v>SOURCE EMPTY</x:v>
      </x:c>
    </x:row>
    <x:row r="63">
      <x:c r="A63" s="13" t="str">
        <x:v>HC-CELL-2-BAY-4</x:v>
      </x:c>
      <x:c r="B63" s="13" t="str">
        <x:v>HC-CELL-2</x:v>
      </x:c>
      <x:c r="C63" s="13" t="n">
        <x:v>4</x:v>
      </x:c>
      <x:c r="D63" s="30" t="n">
        <x:f>VLOOKUP(B63,'Cell Capacity'!$A$6:$M$29,8,FALSE)</x:f>
        <x:v>284.93150684931504</x:v>
      </x:c>
      <x:c r="E63" s="24" t="n">
        <x:f>Controls!$B$26</x:f>
        <x:v>0.25</x:v>
      </x:c>
      <x:c r="F63" s="43" t="n">
        <x:f>D63*E63</x:f>
        <x:v>71.23287671232876</x:v>
      </x:c>
      <x:c r="G63" s="17"/>
      <x:c r="H63" s="17"/>
      <x:c r="I63" s="17"/>
      <x:c r="J63" s="13" t="str">
        <x:f>IF(COUNTA(G63:I63)=3,"EVIDENCE REQUIRED","SOURCE EMPTY")</x:f>
        <x:v>SOURCE EMPTY</x:v>
      </x:c>
    </x:row>
    <x:row r="64">
      <x:c r="A64" s="13" t="str">
        <x:v>HC-CELL-2-BAY-5</x:v>
      </x:c>
      <x:c r="B64" s="13" t="str">
        <x:v>HC-CELL-2</x:v>
      </x:c>
      <x:c r="C64" s="13" t="n">
        <x:v>5</x:v>
      </x:c>
      <x:c r="D64" s="30" t="n">
        <x:f>VLOOKUP(B64,'Cell Capacity'!$A$6:$M$29,8,FALSE)</x:f>
        <x:v>284.93150684931504</x:v>
      </x:c>
      <x:c r="E64" s="24" t="n">
        <x:f>Controls!$B$26</x:f>
        <x:v>0.25</x:v>
      </x:c>
      <x:c r="F64" s="43" t="n">
        <x:f>D64*E64</x:f>
        <x:v>71.23287671232876</x:v>
      </x:c>
      <x:c r="G64" s="17"/>
      <x:c r="H64" s="17"/>
      <x:c r="I64" s="17"/>
      <x:c r="J64" s="13" t="str">
        <x:f>IF(COUNTA(G64:I64)=3,"EVIDENCE REQUIRED","SOURCE EMPTY")</x:f>
        <x:v>SOURCE EMPTY</x:v>
      </x:c>
    </x:row>
    <x:row r="65">
      <x:c r="A65" s="13" t="str">
        <x:v>HC-CELL-2-BAY-6</x:v>
      </x:c>
      <x:c r="B65" s="13" t="str">
        <x:v>HC-CELL-2</x:v>
      </x:c>
      <x:c r="C65" s="13" t="n">
        <x:v>6</x:v>
      </x:c>
      <x:c r="D65" s="30" t="n">
        <x:f>VLOOKUP(B65,'Cell Capacity'!$A$6:$M$29,8,FALSE)</x:f>
        <x:v>284.93150684931504</x:v>
      </x:c>
      <x:c r="E65" s="24" t="n">
        <x:f>Controls!$B$26</x:f>
        <x:v>0.25</x:v>
      </x:c>
      <x:c r="F65" s="43" t="n">
        <x:f>D65*E65</x:f>
        <x:v>71.23287671232876</x:v>
      </x:c>
      <x:c r="G65" s="17"/>
      <x:c r="H65" s="17"/>
      <x:c r="I65" s="17"/>
      <x:c r="J65" s="13" t="str">
        <x:f>IF(COUNTA(G65:I65)=3,"EVIDENCE REQUIRED","SOURCE EMPTY")</x:f>
        <x:v>SOURCE EMPTY</x:v>
      </x:c>
    </x:row>
    <x:row r="66">
      <x:c r="A66" s="13" t="str">
        <x:v>HC-CELL-3-BAY-1</x:v>
      </x:c>
      <x:c r="B66" s="13" t="str">
        <x:v>HC-CELL-3</x:v>
      </x:c>
      <x:c r="C66" s="13" t="n">
        <x:v>1</x:v>
      </x:c>
      <x:c r="D66" s="30" t="n">
        <x:f>VLOOKUP(B66,'Cell Capacity'!$A$6:$M$29,8,FALSE)</x:f>
        <x:v>284.93150684931504</x:v>
      </x:c>
      <x:c r="E66" s="24" t="n">
        <x:f>Controls!$B$26</x:f>
        <x:v>0.25</x:v>
      </x:c>
      <x:c r="F66" s="43" t="n">
        <x:f>D66*E66</x:f>
        <x:v>71.23287671232876</x:v>
      </x:c>
      <x:c r="G66" s="17"/>
      <x:c r="H66" s="17"/>
      <x:c r="I66" s="17"/>
      <x:c r="J66" s="13" t="str">
        <x:f>IF(COUNTA(G66:I66)=3,"EVIDENCE REQUIRED","SOURCE EMPTY")</x:f>
        <x:v>SOURCE EMPTY</x:v>
      </x:c>
    </x:row>
    <x:row r="67">
      <x:c r="A67" s="13" t="str">
        <x:v>HC-CELL-3-BAY-2</x:v>
      </x:c>
      <x:c r="B67" s="13" t="str">
        <x:v>HC-CELL-3</x:v>
      </x:c>
      <x:c r="C67" s="13" t="n">
        <x:v>2</x:v>
      </x:c>
      <x:c r="D67" s="30" t="n">
        <x:f>VLOOKUP(B67,'Cell Capacity'!$A$6:$M$29,8,FALSE)</x:f>
        <x:v>284.93150684931504</x:v>
      </x:c>
      <x:c r="E67" s="24" t="n">
        <x:f>Controls!$B$26</x:f>
        <x:v>0.25</x:v>
      </x:c>
      <x:c r="F67" s="43" t="n">
        <x:f>D67*E67</x:f>
        <x:v>71.23287671232876</x:v>
      </x:c>
      <x:c r="G67" s="17"/>
      <x:c r="H67" s="17"/>
      <x:c r="I67" s="17"/>
      <x:c r="J67" s="13" t="str">
        <x:f>IF(COUNTA(G67:I67)=3,"EVIDENCE REQUIRED","SOURCE EMPTY")</x:f>
        <x:v>SOURCE EMPTY</x:v>
      </x:c>
    </x:row>
    <x:row r="68">
      <x:c r="A68" s="13" t="str">
        <x:v>HC-CELL-3-BAY-3</x:v>
      </x:c>
      <x:c r="B68" s="13" t="str">
        <x:v>HC-CELL-3</x:v>
      </x:c>
      <x:c r="C68" s="13" t="n">
        <x:v>3</x:v>
      </x:c>
      <x:c r="D68" s="30" t="n">
        <x:f>VLOOKUP(B68,'Cell Capacity'!$A$6:$M$29,8,FALSE)</x:f>
        <x:v>284.93150684931504</x:v>
      </x:c>
      <x:c r="E68" s="24" t="n">
        <x:f>Controls!$B$26</x:f>
        <x:v>0.25</x:v>
      </x:c>
      <x:c r="F68" s="43" t="n">
        <x:f>D68*E68</x:f>
        <x:v>71.23287671232876</x:v>
      </x:c>
      <x:c r="G68" s="17"/>
      <x:c r="H68" s="17"/>
      <x:c r="I68" s="17"/>
      <x:c r="J68" s="13" t="str">
        <x:f>IF(COUNTA(G68:I68)=3,"EVIDENCE REQUIRED","SOURCE EMPTY")</x:f>
        <x:v>SOURCE EMPTY</x:v>
      </x:c>
    </x:row>
    <x:row r="69">
      <x:c r="A69" s="13" t="str">
        <x:v>HC-CELL-3-BAY-4</x:v>
      </x:c>
      <x:c r="B69" s="13" t="str">
        <x:v>HC-CELL-3</x:v>
      </x:c>
      <x:c r="C69" s="13" t="n">
        <x:v>4</x:v>
      </x:c>
      <x:c r="D69" s="30" t="n">
        <x:f>VLOOKUP(B69,'Cell Capacity'!$A$6:$M$29,8,FALSE)</x:f>
        <x:v>284.93150684931504</x:v>
      </x:c>
      <x:c r="E69" s="24" t="n">
        <x:f>Controls!$B$26</x:f>
        <x:v>0.25</x:v>
      </x:c>
      <x:c r="F69" s="43" t="n">
        <x:f>D69*E69</x:f>
        <x:v>71.23287671232876</x:v>
      </x:c>
      <x:c r="G69" s="17"/>
      <x:c r="H69" s="17"/>
      <x:c r="I69" s="17"/>
      <x:c r="J69" s="13" t="str">
        <x:f>IF(COUNTA(G69:I69)=3,"EVIDENCE REQUIRED","SOURCE EMPTY")</x:f>
        <x:v>SOURCE EMPTY</x:v>
      </x:c>
    </x:row>
    <x:row r="70">
      <x:c r="A70" s="13" t="str">
        <x:v>HC-CELL-3-BAY-5</x:v>
      </x:c>
      <x:c r="B70" s="13" t="str">
        <x:v>HC-CELL-3</x:v>
      </x:c>
      <x:c r="C70" s="13" t="n">
        <x:v>5</x:v>
      </x:c>
      <x:c r="D70" s="30" t="n">
        <x:f>VLOOKUP(B70,'Cell Capacity'!$A$6:$M$29,8,FALSE)</x:f>
        <x:v>284.93150684931504</x:v>
      </x:c>
      <x:c r="E70" s="24" t="n">
        <x:f>Controls!$B$26</x:f>
        <x:v>0.25</x:v>
      </x:c>
      <x:c r="F70" s="43" t="n">
        <x:f>D70*E70</x:f>
        <x:v>71.23287671232876</x:v>
      </x:c>
      <x:c r="G70" s="17"/>
      <x:c r="H70" s="17"/>
      <x:c r="I70" s="17"/>
      <x:c r="J70" s="13" t="str">
        <x:f>IF(COUNTA(G70:I70)=3,"EVIDENCE REQUIRED","SOURCE EMPTY")</x:f>
        <x:v>SOURCE EMPTY</x:v>
      </x:c>
    </x:row>
    <x:row r="71">
      <x:c r="A71" s="13" t="str">
        <x:v>HC-CELL-3-BAY-6</x:v>
      </x:c>
      <x:c r="B71" s="13" t="str">
        <x:v>HC-CELL-3</x:v>
      </x:c>
      <x:c r="C71" s="13" t="n">
        <x:v>6</x:v>
      </x:c>
      <x:c r="D71" s="30" t="n">
        <x:f>VLOOKUP(B71,'Cell Capacity'!$A$6:$M$29,8,FALSE)</x:f>
        <x:v>284.93150684931504</x:v>
      </x:c>
      <x:c r="E71" s="24" t="n">
        <x:f>Controls!$B$26</x:f>
        <x:v>0.25</x:v>
      </x:c>
      <x:c r="F71" s="43" t="n">
        <x:f>D71*E71</x:f>
        <x:v>71.23287671232876</x:v>
      </x:c>
      <x:c r="G71" s="17"/>
      <x:c r="H71" s="17"/>
      <x:c r="I71" s="17"/>
      <x:c r="J71" s="13" t="str">
        <x:f>IF(COUNTA(G71:I71)=3,"EVIDENCE REQUIRED","SOURCE EMPTY")</x:f>
        <x:v>SOURCE EMPTY</x:v>
      </x:c>
    </x:row>
    <x:row r="72">
      <x:c r="A72" s="13" t="str">
        <x:v>HC-CELL-4-BAY-1</x:v>
      </x:c>
      <x:c r="B72" s="13" t="str">
        <x:v>HC-CELL-4</x:v>
      </x:c>
      <x:c r="C72" s="13" t="n">
        <x:v>1</x:v>
      </x:c>
      <x:c r="D72" s="30" t="n">
        <x:f>VLOOKUP(B72,'Cell Capacity'!$A$6:$M$29,8,FALSE)</x:f>
        <x:v>334.24657534246575</x:v>
      </x:c>
      <x:c r="E72" s="24" t="n">
        <x:f>Controls!$B$26</x:f>
        <x:v>0.25</x:v>
      </x:c>
      <x:c r="F72" s="43" t="n">
        <x:f>D72*E72</x:f>
        <x:v>83.56164383561644</x:v>
      </x:c>
      <x:c r="G72" s="17"/>
      <x:c r="H72" s="17"/>
      <x:c r="I72" s="17"/>
      <x:c r="J72" s="13" t="str">
        <x:f>IF(COUNTA(G72:I72)=3,"EVIDENCE REQUIRED","SOURCE EMPTY")</x:f>
        <x:v>SOURCE EMPTY</x:v>
      </x:c>
    </x:row>
    <x:row r="73">
      <x:c r="A73" s="13" t="str">
        <x:v>HC-CELL-4-BAY-2</x:v>
      </x:c>
      <x:c r="B73" s="13" t="str">
        <x:v>HC-CELL-4</x:v>
      </x:c>
      <x:c r="C73" s="13" t="n">
        <x:v>2</x:v>
      </x:c>
      <x:c r="D73" s="30" t="n">
        <x:f>VLOOKUP(B73,'Cell Capacity'!$A$6:$M$29,8,FALSE)</x:f>
        <x:v>334.24657534246575</x:v>
      </x:c>
      <x:c r="E73" s="24" t="n">
        <x:f>Controls!$B$26</x:f>
        <x:v>0.25</x:v>
      </x:c>
      <x:c r="F73" s="43" t="n">
        <x:f>D73*E73</x:f>
        <x:v>83.56164383561644</x:v>
      </x:c>
      <x:c r="G73" s="17"/>
      <x:c r="H73" s="17"/>
      <x:c r="I73" s="17"/>
      <x:c r="J73" s="13" t="str">
        <x:f>IF(COUNTA(G73:I73)=3,"EVIDENCE REQUIRED","SOURCE EMPTY")</x:f>
        <x:v>SOURCE EMPTY</x:v>
      </x:c>
    </x:row>
    <x:row r="74">
      <x:c r="A74" s="13" t="str">
        <x:v>HC-CELL-4-BAY-3</x:v>
      </x:c>
      <x:c r="B74" s="13" t="str">
        <x:v>HC-CELL-4</x:v>
      </x:c>
      <x:c r="C74" s="13" t="n">
        <x:v>3</x:v>
      </x:c>
      <x:c r="D74" s="30" t="n">
        <x:f>VLOOKUP(B74,'Cell Capacity'!$A$6:$M$29,8,FALSE)</x:f>
        <x:v>334.24657534246575</x:v>
      </x:c>
      <x:c r="E74" s="24" t="n">
        <x:f>Controls!$B$26</x:f>
        <x:v>0.25</x:v>
      </x:c>
      <x:c r="F74" s="43" t="n">
        <x:f>D74*E74</x:f>
        <x:v>83.56164383561644</x:v>
      </x:c>
      <x:c r="G74" s="17"/>
      <x:c r="H74" s="17"/>
      <x:c r="I74" s="17"/>
      <x:c r="J74" s="13" t="str">
        <x:f>IF(COUNTA(G74:I74)=3,"EVIDENCE REQUIRED","SOURCE EMPTY")</x:f>
        <x:v>SOURCE EMPTY</x:v>
      </x:c>
    </x:row>
    <x:row r="75">
      <x:c r="A75" s="13" t="str">
        <x:v>HC-CELL-4-BAY-4</x:v>
      </x:c>
      <x:c r="B75" s="13" t="str">
        <x:v>HC-CELL-4</x:v>
      </x:c>
      <x:c r="C75" s="13" t="n">
        <x:v>4</x:v>
      </x:c>
      <x:c r="D75" s="30" t="n">
        <x:f>VLOOKUP(B75,'Cell Capacity'!$A$6:$M$29,8,FALSE)</x:f>
        <x:v>334.24657534246575</x:v>
      </x:c>
      <x:c r="E75" s="24" t="n">
        <x:f>Controls!$B$26</x:f>
        <x:v>0.25</x:v>
      </x:c>
      <x:c r="F75" s="43" t="n">
        <x:f>D75*E75</x:f>
        <x:v>83.56164383561644</x:v>
      </x:c>
      <x:c r="G75" s="17"/>
      <x:c r="H75" s="17"/>
      <x:c r="I75" s="17"/>
      <x:c r="J75" s="13" t="str">
        <x:f>IF(COUNTA(G75:I75)=3,"EVIDENCE REQUIRED","SOURCE EMPTY")</x:f>
        <x:v>SOURCE EMPTY</x:v>
      </x:c>
    </x:row>
    <x:row r="76">
      <x:c r="A76" s="13" t="str">
        <x:v>HC-CELL-4-BAY-5</x:v>
      </x:c>
      <x:c r="B76" s="13" t="str">
        <x:v>HC-CELL-4</x:v>
      </x:c>
      <x:c r="C76" s="13" t="n">
        <x:v>5</x:v>
      </x:c>
      <x:c r="D76" s="30" t="n">
        <x:f>VLOOKUP(B76,'Cell Capacity'!$A$6:$M$29,8,FALSE)</x:f>
        <x:v>334.24657534246575</x:v>
      </x:c>
      <x:c r="E76" s="24" t="n">
        <x:f>Controls!$B$26</x:f>
        <x:v>0.25</x:v>
      </x:c>
      <x:c r="F76" s="43" t="n">
        <x:f>D76*E76</x:f>
        <x:v>83.56164383561644</x:v>
      </x:c>
      <x:c r="G76" s="17"/>
      <x:c r="H76" s="17"/>
      <x:c r="I76" s="17"/>
      <x:c r="J76" s="13" t="str">
        <x:f>IF(COUNTA(G76:I76)=3,"EVIDENCE REQUIRED","SOURCE EMPTY")</x:f>
        <x:v>SOURCE EMPTY</x:v>
      </x:c>
    </x:row>
    <x:row r="77">
      <x:c r="A77" s="13" t="str">
        <x:v>HC-CELL-4-BAY-6</x:v>
      </x:c>
      <x:c r="B77" s="13" t="str">
        <x:v>HC-CELL-4</x:v>
      </x:c>
      <x:c r="C77" s="13" t="n">
        <x:v>6</x:v>
      </x:c>
      <x:c r="D77" s="30" t="n">
        <x:f>VLOOKUP(B77,'Cell Capacity'!$A$6:$M$29,8,FALSE)</x:f>
        <x:v>334.24657534246575</x:v>
      </x:c>
      <x:c r="E77" s="24" t="n">
        <x:f>Controls!$B$26</x:f>
        <x:v>0.25</x:v>
      </x:c>
      <x:c r="F77" s="43" t="n">
        <x:f>D77*E77</x:f>
        <x:v>83.56164383561644</x:v>
      </x:c>
      <x:c r="G77" s="17"/>
      <x:c r="H77" s="17"/>
      <x:c r="I77" s="17"/>
      <x:c r="J77" s="13" t="str">
        <x:f>IF(COUNTA(G77:I77)=3,"EVIDENCE REQUIRED","SOURCE EMPTY")</x:f>
        <x:v>SOURCE EMPTY</x:v>
      </x:c>
    </x:row>
    <x:row r="78">
      <x:c r="A78" s="13" t="str">
        <x:v>LF-CELL-1-BAY-1</x:v>
      </x:c>
      <x:c r="B78" s="13" t="str">
        <x:v>LF-CELL-1</x:v>
      </x:c>
      <x:c r="C78" s="13" t="n">
        <x:v>1</x:v>
      </x:c>
      <x:c r="D78" s="30" t="n">
        <x:f>VLOOKUP(B78,'Cell Capacity'!$A$6:$M$29,8,FALSE)</x:f>
        <x:v>234.65753424657535</x:v>
      </x:c>
      <x:c r="E78" s="24" t="n">
        <x:f>Controls!$B$26</x:f>
        <x:v>0.25</x:v>
      </x:c>
      <x:c r="F78" s="43" t="n">
        <x:f>D78*E78</x:f>
        <x:v>58.66438356164384</x:v>
      </x:c>
      <x:c r="G78" s="17"/>
      <x:c r="H78" s="17"/>
      <x:c r="I78" s="17"/>
      <x:c r="J78" s="13" t="str">
        <x:f>IF(COUNTA(G78:I78)=3,"EVIDENCE REQUIRED","SOURCE EMPTY")</x:f>
        <x:v>SOURCE EMPTY</x:v>
      </x:c>
    </x:row>
    <x:row r="79">
      <x:c r="A79" s="13" t="str">
        <x:v>LF-CELL-1-BAY-2</x:v>
      </x:c>
      <x:c r="B79" s="13" t="str">
        <x:v>LF-CELL-1</x:v>
      </x:c>
      <x:c r="C79" s="13" t="n">
        <x:v>2</x:v>
      </x:c>
      <x:c r="D79" s="30" t="n">
        <x:f>VLOOKUP(B79,'Cell Capacity'!$A$6:$M$29,8,FALSE)</x:f>
        <x:v>234.65753424657535</x:v>
      </x:c>
      <x:c r="E79" s="24" t="n">
        <x:f>Controls!$B$26</x:f>
        <x:v>0.25</x:v>
      </x:c>
      <x:c r="F79" s="43" t="n">
        <x:f>D79*E79</x:f>
        <x:v>58.66438356164384</x:v>
      </x:c>
      <x:c r="G79" s="17"/>
      <x:c r="H79" s="17"/>
      <x:c r="I79" s="17"/>
      <x:c r="J79" s="13" t="str">
        <x:f>IF(COUNTA(G79:I79)=3,"EVIDENCE REQUIRED","SOURCE EMPTY")</x:f>
        <x:v>SOURCE EMPTY</x:v>
      </x:c>
    </x:row>
    <x:row r="80">
      <x:c r="A80" s="13" t="str">
        <x:v>LF-CELL-1-BAY-3</x:v>
      </x:c>
      <x:c r="B80" s="13" t="str">
        <x:v>LF-CELL-1</x:v>
      </x:c>
      <x:c r="C80" s="13" t="n">
        <x:v>3</x:v>
      </x:c>
      <x:c r="D80" s="30" t="n">
        <x:f>VLOOKUP(B80,'Cell Capacity'!$A$6:$M$29,8,FALSE)</x:f>
        <x:v>234.65753424657535</x:v>
      </x:c>
      <x:c r="E80" s="24" t="n">
        <x:f>Controls!$B$26</x:f>
        <x:v>0.25</x:v>
      </x:c>
      <x:c r="F80" s="43" t="n">
        <x:f>D80*E80</x:f>
        <x:v>58.66438356164384</x:v>
      </x:c>
      <x:c r="G80" s="17"/>
      <x:c r="H80" s="17"/>
      <x:c r="I80" s="17"/>
      <x:c r="J80" s="13" t="str">
        <x:f>IF(COUNTA(G80:I80)=3,"EVIDENCE REQUIRED","SOURCE EMPTY")</x:f>
        <x:v>SOURCE EMPTY</x:v>
      </x:c>
    </x:row>
    <x:row r="81">
      <x:c r="A81" s="13" t="str">
        <x:v>LF-CELL-1-BAY-4</x:v>
      </x:c>
      <x:c r="B81" s="13" t="str">
        <x:v>LF-CELL-1</x:v>
      </x:c>
      <x:c r="C81" s="13" t="n">
        <x:v>4</x:v>
      </x:c>
      <x:c r="D81" s="30" t="n">
        <x:f>VLOOKUP(B81,'Cell Capacity'!$A$6:$M$29,8,FALSE)</x:f>
        <x:v>234.65753424657535</x:v>
      </x:c>
      <x:c r="E81" s="24" t="n">
        <x:f>Controls!$B$26</x:f>
        <x:v>0.25</x:v>
      </x:c>
      <x:c r="F81" s="43" t="n">
        <x:f>D81*E81</x:f>
        <x:v>58.66438356164384</x:v>
      </x:c>
      <x:c r="G81" s="17"/>
      <x:c r="H81" s="17"/>
      <x:c r="I81" s="17"/>
      <x:c r="J81" s="13" t="str">
        <x:f>IF(COUNTA(G81:I81)=3,"EVIDENCE REQUIRED","SOURCE EMPTY")</x:f>
        <x:v>SOURCE EMPTY</x:v>
      </x:c>
    </x:row>
    <x:row r="82">
      <x:c r="A82" s="13" t="str">
        <x:v>LF-CELL-1-BAY-5</x:v>
      </x:c>
      <x:c r="B82" s="13" t="str">
        <x:v>LF-CELL-1</x:v>
      </x:c>
      <x:c r="C82" s="13" t="n">
        <x:v>5</x:v>
      </x:c>
      <x:c r="D82" s="30" t="n">
        <x:f>VLOOKUP(B82,'Cell Capacity'!$A$6:$M$29,8,FALSE)</x:f>
        <x:v>234.65753424657535</x:v>
      </x:c>
      <x:c r="E82" s="24" t="n">
        <x:f>Controls!$B$26</x:f>
        <x:v>0.25</x:v>
      </x:c>
      <x:c r="F82" s="43" t="n">
        <x:f>D82*E82</x:f>
        <x:v>58.66438356164384</x:v>
      </x:c>
      <x:c r="G82" s="17"/>
      <x:c r="H82" s="17"/>
      <x:c r="I82" s="17"/>
      <x:c r="J82" s="13" t="str">
        <x:f>IF(COUNTA(G82:I82)=3,"EVIDENCE REQUIRED","SOURCE EMPTY")</x:f>
        <x:v>SOURCE EMPTY</x:v>
      </x:c>
    </x:row>
    <x:row r="83">
      <x:c r="A83" s="13" t="str">
        <x:v>LF-CELL-1-BAY-6</x:v>
      </x:c>
      <x:c r="B83" s="13" t="str">
        <x:v>LF-CELL-1</x:v>
      </x:c>
      <x:c r="C83" s="13" t="n">
        <x:v>6</x:v>
      </x:c>
      <x:c r="D83" s="30" t="n">
        <x:f>VLOOKUP(B83,'Cell Capacity'!$A$6:$M$29,8,FALSE)</x:f>
        <x:v>234.65753424657535</x:v>
      </x:c>
      <x:c r="E83" s="24" t="n">
        <x:f>Controls!$B$26</x:f>
        <x:v>0.25</x:v>
      </x:c>
      <x:c r="F83" s="43" t="n">
        <x:f>D83*E83</x:f>
        <x:v>58.66438356164384</x:v>
      </x:c>
      <x:c r="G83" s="17"/>
      <x:c r="H83" s="17"/>
      <x:c r="I83" s="17"/>
      <x:c r="J83" s="13" t="str">
        <x:f>IF(COUNTA(G83:I83)=3,"EVIDENCE REQUIRED","SOURCE EMPTY")</x:f>
        <x:v>SOURCE EMPTY</x:v>
      </x:c>
    </x:row>
    <x:row r="84">
      <x:c r="A84" s="13" t="str">
        <x:v>LF-CELL-2-BAY-1</x:v>
      </x:c>
      <x:c r="B84" s="13" t="str">
        <x:v>LF-CELL-2</x:v>
      </x:c>
      <x:c r="C84" s="13" t="n">
        <x:v>1</x:v>
      </x:c>
      <x:c r="D84" s="30" t="n">
        <x:f>VLOOKUP(B84,'Cell Capacity'!$A$6:$M$29,8,FALSE)</x:f>
        <x:v>189.86301369863014</x:v>
      </x:c>
      <x:c r="E84" s="24" t="n">
        <x:f>Controls!$B$26</x:f>
        <x:v>0.25</x:v>
      </x:c>
      <x:c r="F84" s="43" t="n">
        <x:f>D84*E84</x:f>
        <x:v>47.465753424657535</x:v>
      </x:c>
      <x:c r="G84" s="17"/>
      <x:c r="H84" s="17"/>
      <x:c r="I84" s="17"/>
      <x:c r="J84" s="13" t="str">
        <x:f>IF(COUNTA(G84:I84)=3,"EVIDENCE REQUIRED","SOURCE EMPTY")</x:f>
        <x:v>SOURCE EMPTY</x:v>
      </x:c>
    </x:row>
    <x:row r="85">
      <x:c r="A85" s="13" t="str">
        <x:v>LF-CELL-2-BAY-2</x:v>
      </x:c>
      <x:c r="B85" s="13" t="str">
        <x:v>LF-CELL-2</x:v>
      </x:c>
      <x:c r="C85" s="13" t="n">
        <x:v>2</x:v>
      </x:c>
      <x:c r="D85" s="30" t="n">
        <x:f>VLOOKUP(B85,'Cell Capacity'!$A$6:$M$29,8,FALSE)</x:f>
        <x:v>189.86301369863014</x:v>
      </x:c>
      <x:c r="E85" s="24" t="n">
        <x:f>Controls!$B$26</x:f>
        <x:v>0.25</x:v>
      </x:c>
      <x:c r="F85" s="43" t="n">
        <x:f>D85*E85</x:f>
        <x:v>47.465753424657535</x:v>
      </x:c>
      <x:c r="G85" s="17"/>
      <x:c r="H85" s="17"/>
      <x:c r="I85" s="17"/>
      <x:c r="J85" s="13" t="str">
        <x:f>IF(COUNTA(G85:I85)=3,"EVIDENCE REQUIRED","SOURCE EMPTY")</x:f>
        <x:v>SOURCE EMPTY</x:v>
      </x:c>
    </x:row>
    <x:row r="86">
      <x:c r="A86" s="13" t="str">
        <x:v>LF-CELL-2-BAY-3</x:v>
      </x:c>
      <x:c r="B86" s="13" t="str">
        <x:v>LF-CELL-2</x:v>
      </x:c>
      <x:c r="C86" s="13" t="n">
        <x:v>3</x:v>
      </x:c>
      <x:c r="D86" s="30" t="n">
        <x:f>VLOOKUP(B86,'Cell Capacity'!$A$6:$M$29,8,FALSE)</x:f>
        <x:v>189.86301369863014</x:v>
      </x:c>
      <x:c r="E86" s="24" t="n">
        <x:f>Controls!$B$26</x:f>
        <x:v>0.25</x:v>
      </x:c>
      <x:c r="F86" s="43" t="n">
        <x:f>D86*E86</x:f>
        <x:v>47.465753424657535</x:v>
      </x:c>
      <x:c r="G86" s="17"/>
      <x:c r="H86" s="17"/>
      <x:c r="I86" s="17"/>
      <x:c r="J86" s="13" t="str">
        <x:f>IF(COUNTA(G86:I86)=3,"EVIDENCE REQUIRED","SOURCE EMPTY")</x:f>
        <x:v>SOURCE EMPTY</x:v>
      </x:c>
    </x:row>
    <x:row r="87">
      <x:c r="A87" s="13" t="str">
        <x:v>LF-CELL-2-BAY-4</x:v>
      </x:c>
      <x:c r="B87" s="13" t="str">
        <x:v>LF-CELL-2</x:v>
      </x:c>
      <x:c r="C87" s="13" t="n">
        <x:v>4</x:v>
      </x:c>
      <x:c r="D87" s="30" t="n">
        <x:f>VLOOKUP(B87,'Cell Capacity'!$A$6:$M$29,8,FALSE)</x:f>
        <x:v>189.86301369863014</x:v>
      </x:c>
      <x:c r="E87" s="24" t="n">
        <x:f>Controls!$B$26</x:f>
        <x:v>0.25</x:v>
      </x:c>
      <x:c r="F87" s="43" t="n">
        <x:f>D87*E87</x:f>
        <x:v>47.465753424657535</x:v>
      </x:c>
      <x:c r="G87" s="17"/>
      <x:c r="H87" s="17"/>
      <x:c r="I87" s="17"/>
      <x:c r="J87" s="13" t="str">
        <x:f>IF(COUNTA(G87:I87)=3,"EVIDENCE REQUIRED","SOURCE EMPTY")</x:f>
        <x:v>SOURCE EMPTY</x:v>
      </x:c>
    </x:row>
    <x:row r="88">
      <x:c r="A88" s="13" t="str">
        <x:v>LF-CELL-2-BAY-5</x:v>
      </x:c>
      <x:c r="B88" s="13" t="str">
        <x:v>LF-CELL-2</x:v>
      </x:c>
      <x:c r="C88" s="13" t="n">
        <x:v>5</x:v>
      </x:c>
      <x:c r="D88" s="30" t="n">
        <x:f>VLOOKUP(B88,'Cell Capacity'!$A$6:$M$29,8,FALSE)</x:f>
        <x:v>189.86301369863014</x:v>
      </x:c>
      <x:c r="E88" s="24" t="n">
        <x:f>Controls!$B$26</x:f>
        <x:v>0.25</x:v>
      </x:c>
      <x:c r="F88" s="43" t="n">
        <x:f>D88*E88</x:f>
        <x:v>47.465753424657535</x:v>
      </x:c>
      <x:c r="G88" s="17"/>
      <x:c r="H88" s="17"/>
      <x:c r="I88" s="17"/>
      <x:c r="J88" s="13" t="str">
        <x:f>IF(COUNTA(G88:I88)=3,"EVIDENCE REQUIRED","SOURCE EMPTY")</x:f>
        <x:v>SOURCE EMPTY</x:v>
      </x:c>
    </x:row>
    <x:row r="89">
      <x:c r="A89" s="13" t="str">
        <x:v>LF-CELL-2-BAY-6</x:v>
      </x:c>
      <x:c r="B89" s="13" t="str">
        <x:v>LF-CELL-2</x:v>
      </x:c>
      <x:c r="C89" s="13" t="n">
        <x:v>6</x:v>
      </x:c>
      <x:c r="D89" s="30" t="n">
        <x:f>VLOOKUP(B89,'Cell Capacity'!$A$6:$M$29,8,FALSE)</x:f>
        <x:v>189.86301369863014</x:v>
      </x:c>
      <x:c r="E89" s="24" t="n">
        <x:f>Controls!$B$26</x:f>
        <x:v>0.25</x:v>
      </x:c>
      <x:c r="F89" s="43" t="n">
        <x:f>D89*E89</x:f>
        <x:v>47.465753424657535</x:v>
      </x:c>
      <x:c r="G89" s="17"/>
      <x:c r="H89" s="17"/>
      <x:c r="I89" s="17"/>
      <x:c r="J89" s="13" t="str">
        <x:f>IF(COUNTA(G89:I89)=3,"EVIDENCE REQUIRED","SOURCE EMPTY")</x:f>
        <x:v>SOURCE EMPTY</x:v>
      </x:c>
    </x:row>
    <x:row r="90">
      <x:c r="A90" s="13" t="str">
        <x:v>LF-CELL-3-BAY-1</x:v>
      </x:c>
      <x:c r="B90" s="13" t="str">
        <x:v>LF-CELL-3</x:v>
      </x:c>
      <x:c r="C90" s="13" t="n">
        <x:v>1</x:v>
      </x:c>
      <x:c r="D90" s="30" t="n">
        <x:f>VLOOKUP(B90,'Cell Capacity'!$A$6:$M$29,8,FALSE)</x:f>
        <x:v>234.65753424657535</x:v>
      </x:c>
      <x:c r="E90" s="24" t="n">
        <x:f>Controls!$B$26</x:f>
        <x:v>0.25</x:v>
      </x:c>
      <x:c r="F90" s="43" t="n">
        <x:f>D90*E90</x:f>
        <x:v>58.66438356164384</x:v>
      </x:c>
      <x:c r="G90" s="17"/>
      <x:c r="H90" s="17"/>
      <x:c r="I90" s="17"/>
      <x:c r="J90" s="13" t="str">
        <x:f>IF(COUNTA(G90:I90)=3,"EVIDENCE REQUIRED","SOURCE EMPTY")</x:f>
        <x:v>SOURCE EMPTY</x:v>
      </x:c>
    </x:row>
    <x:row r="91">
      <x:c r="A91" s="13" t="str">
        <x:v>LF-CELL-3-BAY-2</x:v>
      </x:c>
      <x:c r="B91" s="13" t="str">
        <x:v>LF-CELL-3</x:v>
      </x:c>
      <x:c r="C91" s="13" t="n">
        <x:v>2</x:v>
      </x:c>
      <x:c r="D91" s="30" t="n">
        <x:f>VLOOKUP(B91,'Cell Capacity'!$A$6:$M$29,8,FALSE)</x:f>
        <x:v>234.65753424657535</x:v>
      </x:c>
      <x:c r="E91" s="24" t="n">
        <x:f>Controls!$B$26</x:f>
        <x:v>0.25</x:v>
      </x:c>
      <x:c r="F91" s="43" t="n">
        <x:f>D91*E91</x:f>
        <x:v>58.66438356164384</x:v>
      </x:c>
      <x:c r="G91" s="17"/>
      <x:c r="H91" s="17"/>
      <x:c r="I91" s="17"/>
      <x:c r="J91" s="13" t="str">
        <x:f>IF(COUNTA(G91:I91)=3,"EVIDENCE REQUIRED","SOURCE EMPTY")</x:f>
        <x:v>SOURCE EMPTY</x:v>
      </x:c>
    </x:row>
    <x:row r="92">
      <x:c r="A92" s="13" t="str">
        <x:v>LF-CELL-3-BAY-3</x:v>
      </x:c>
      <x:c r="B92" s="13" t="str">
        <x:v>LF-CELL-3</x:v>
      </x:c>
      <x:c r="C92" s="13" t="n">
        <x:v>3</x:v>
      </x:c>
      <x:c r="D92" s="30" t="n">
        <x:f>VLOOKUP(B92,'Cell Capacity'!$A$6:$M$29,8,FALSE)</x:f>
        <x:v>234.65753424657535</x:v>
      </x:c>
      <x:c r="E92" s="24" t="n">
        <x:f>Controls!$B$26</x:f>
        <x:v>0.25</x:v>
      </x:c>
      <x:c r="F92" s="43" t="n">
        <x:f>D92*E92</x:f>
        <x:v>58.66438356164384</x:v>
      </x:c>
      <x:c r="G92" s="17"/>
      <x:c r="H92" s="17"/>
      <x:c r="I92" s="17"/>
      <x:c r="J92" s="13" t="str">
        <x:f>IF(COUNTA(G92:I92)=3,"EVIDENCE REQUIRED","SOURCE EMPTY")</x:f>
        <x:v>SOURCE EMPTY</x:v>
      </x:c>
    </x:row>
    <x:row r="93">
      <x:c r="A93" s="13" t="str">
        <x:v>LF-CELL-3-BAY-4</x:v>
      </x:c>
      <x:c r="B93" s="13" t="str">
        <x:v>LF-CELL-3</x:v>
      </x:c>
      <x:c r="C93" s="13" t="n">
        <x:v>4</x:v>
      </x:c>
      <x:c r="D93" s="30" t="n">
        <x:f>VLOOKUP(B93,'Cell Capacity'!$A$6:$M$29,8,FALSE)</x:f>
        <x:v>234.65753424657535</x:v>
      </x:c>
      <x:c r="E93" s="24" t="n">
        <x:f>Controls!$B$26</x:f>
        <x:v>0.25</x:v>
      </x:c>
      <x:c r="F93" s="43" t="n">
        <x:f>D93*E93</x:f>
        <x:v>58.66438356164384</x:v>
      </x:c>
      <x:c r="G93" s="17"/>
      <x:c r="H93" s="17"/>
      <x:c r="I93" s="17"/>
      <x:c r="J93" s="13" t="str">
        <x:f>IF(COUNTA(G93:I93)=3,"EVIDENCE REQUIRED","SOURCE EMPTY")</x:f>
        <x:v>SOURCE EMPTY</x:v>
      </x:c>
    </x:row>
    <x:row r="94">
      <x:c r="A94" s="13" t="str">
        <x:v>LF-CELL-3-BAY-5</x:v>
      </x:c>
      <x:c r="B94" s="13" t="str">
        <x:v>LF-CELL-3</x:v>
      </x:c>
      <x:c r="C94" s="13" t="n">
        <x:v>5</x:v>
      </x:c>
      <x:c r="D94" s="30" t="n">
        <x:f>VLOOKUP(B94,'Cell Capacity'!$A$6:$M$29,8,FALSE)</x:f>
        <x:v>234.65753424657535</x:v>
      </x:c>
      <x:c r="E94" s="24" t="n">
        <x:f>Controls!$B$26</x:f>
        <x:v>0.25</x:v>
      </x:c>
      <x:c r="F94" s="43" t="n">
        <x:f>D94*E94</x:f>
        <x:v>58.66438356164384</x:v>
      </x:c>
      <x:c r="G94" s="17"/>
      <x:c r="H94" s="17"/>
      <x:c r="I94" s="17"/>
      <x:c r="J94" s="13" t="str">
        <x:f>IF(COUNTA(G94:I94)=3,"EVIDENCE REQUIRED","SOURCE EMPTY")</x:f>
        <x:v>SOURCE EMPTY</x:v>
      </x:c>
    </x:row>
    <x:row r="95">
      <x:c r="A95" s="13" t="str">
        <x:v>LF-CELL-3-BAY-6</x:v>
      </x:c>
      <x:c r="B95" s="13" t="str">
        <x:v>LF-CELL-3</x:v>
      </x:c>
      <x:c r="C95" s="13" t="n">
        <x:v>6</x:v>
      </x:c>
      <x:c r="D95" s="30" t="n">
        <x:f>VLOOKUP(B95,'Cell Capacity'!$A$6:$M$29,8,FALSE)</x:f>
        <x:v>234.65753424657535</x:v>
      </x:c>
      <x:c r="E95" s="24" t="n">
        <x:f>Controls!$B$26</x:f>
        <x:v>0.25</x:v>
      </x:c>
      <x:c r="F95" s="43" t="n">
        <x:f>D95*E95</x:f>
        <x:v>58.66438356164384</x:v>
      </x:c>
      <x:c r="G95" s="17"/>
      <x:c r="H95" s="17"/>
      <x:c r="I95" s="17"/>
      <x:c r="J95" s="13" t="str">
        <x:f>IF(COUNTA(G95:I95)=3,"EVIDENCE REQUIRED","SOURCE EMPTY")</x:f>
        <x:v>SOURCE EMPTY</x:v>
      </x:c>
    </x:row>
    <x:row r="96">
      <x:c r="A96" s="13" t="str">
        <x:v>LF-CELL-4-BAY-1</x:v>
      </x:c>
      <x:c r="B96" s="13" t="str">
        <x:v>LF-CELL-4</x:v>
      </x:c>
      <x:c r="C96" s="13" t="n">
        <x:v>1</x:v>
      </x:c>
      <x:c r="D96" s="30" t="n">
        <x:f>VLOOKUP(B96,'Cell Capacity'!$A$6:$M$29,8,FALSE)</x:f>
        <x:v>170.27397260273972</x:v>
      </x:c>
      <x:c r="E96" s="24" t="n">
        <x:f>Controls!$B$26</x:f>
        <x:v>0.25</x:v>
      </x:c>
      <x:c r="F96" s="43" t="n">
        <x:f>D96*E96</x:f>
        <x:v>42.56849315068493</x:v>
      </x:c>
      <x:c r="G96" s="17"/>
      <x:c r="H96" s="17"/>
      <x:c r="I96" s="17"/>
      <x:c r="J96" s="13" t="str">
        <x:f>IF(COUNTA(G96:I96)=3,"EVIDENCE REQUIRED","SOURCE EMPTY")</x:f>
        <x:v>SOURCE EMPTY</x:v>
      </x:c>
    </x:row>
    <x:row r="97">
      <x:c r="A97" s="13" t="str">
        <x:v>LF-CELL-4-BAY-2</x:v>
      </x:c>
      <x:c r="B97" s="13" t="str">
        <x:v>LF-CELL-4</x:v>
      </x:c>
      <x:c r="C97" s="13" t="n">
        <x:v>2</x:v>
      </x:c>
      <x:c r="D97" s="30" t="n">
        <x:f>VLOOKUP(B97,'Cell Capacity'!$A$6:$M$29,8,FALSE)</x:f>
        <x:v>170.27397260273972</x:v>
      </x:c>
      <x:c r="E97" s="24" t="n">
        <x:f>Controls!$B$26</x:f>
        <x:v>0.25</x:v>
      </x:c>
      <x:c r="F97" s="43" t="n">
        <x:f>D97*E97</x:f>
        <x:v>42.56849315068493</x:v>
      </x:c>
      <x:c r="G97" s="17"/>
      <x:c r="H97" s="17"/>
      <x:c r="I97" s="17"/>
      <x:c r="J97" s="13" t="str">
        <x:f>IF(COUNTA(G97:I97)=3,"EVIDENCE REQUIRED","SOURCE EMPTY")</x:f>
        <x:v>SOURCE EMPTY</x:v>
      </x:c>
    </x:row>
    <x:row r="98">
      <x:c r="A98" s="13" t="str">
        <x:v>LF-CELL-4-BAY-3</x:v>
      </x:c>
      <x:c r="B98" s="13" t="str">
        <x:v>LF-CELL-4</x:v>
      </x:c>
      <x:c r="C98" s="13" t="n">
        <x:v>3</x:v>
      </x:c>
      <x:c r="D98" s="30" t="n">
        <x:f>VLOOKUP(B98,'Cell Capacity'!$A$6:$M$29,8,FALSE)</x:f>
        <x:v>170.27397260273972</x:v>
      </x:c>
      <x:c r="E98" s="24" t="n">
        <x:f>Controls!$B$26</x:f>
        <x:v>0.25</x:v>
      </x:c>
      <x:c r="F98" s="43" t="n">
        <x:f>D98*E98</x:f>
        <x:v>42.56849315068493</x:v>
      </x:c>
      <x:c r="G98" s="17"/>
      <x:c r="H98" s="17"/>
      <x:c r="I98" s="17"/>
      <x:c r="J98" s="13" t="str">
        <x:f>IF(COUNTA(G98:I98)=3,"EVIDENCE REQUIRED","SOURCE EMPTY")</x:f>
        <x:v>SOURCE EMPTY</x:v>
      </x:c>
    </x:row>
    <x:row r="99">
      <x:c r="A99" s="13" t="str">
        <x:v>LF-CELL-4-BAY-4</x:v>
      </x:c>
      <x:c r="B99" s="13" t="str">
        <x:v>LF-CELL-4</x:v>
      </x:c>
      <x:c r="C99" s="13" t="n">
        <x:v>4</x:v>
      </x:c>
      <x:c r="D99" s="30" t="n">
        <x:f>VLOOKUP(B99,'Cell Capacity'!$A$6:$M$29,8,FALSE)</x:f>
        <x:v>170.27397260273972</x:v>
      </x:c>
      <x:c r="E99" s="24" t="n">
        <x:f>Controls!$B$26</x:f>
        <x:v>0.25</x:v>
      </x:c>
      <x:c r="F99" s="43" t="n">
        <x:f>D99*E99</x:f>
        <x:v>42.56849315068493</x:v>
      </x:c>
      <x:c r="G99" s="17"/>
      <x:c r="H99" s="17"/>
      <x:c r="I99" s="17"/>
      <x:c r="J99" s="13" t="str">
        <x:f>IF(COUNTA(G99:I99)=3,"EVIDENCE REQUIRED","SOURCE EMPTY")</x:f>
        <x:v>SOURCE EMPTY</x:v>
      </x:c>
    </x:row>
    <x:row r="100">
      <x:c r="A100" s="13" t="str">
        <x:v>LF-CELL-4-BAY-5</x:v>
      </x:c>
      <x:c r="B100" s="13" t="str">
        <x:v>LF-CELL-4</x:v>
      </x:c>
      <x:c r="C100" s="13" t="n">
        <x:v>5</x:v>
      </x:c>
      <x:c r="D100" s="30" t="n">
        <x:f>VLOOKUP(B100,'Cell Capacity'!$A$6:$M$29,8,FALSE)</x:f>
        <x:v>170.27397260273972</x:v>
      </x:c>
      <x:c r="E100" s="24" t="n">
        <x:f>Controls!$B$26</x:f>
        <x:v>0.25</x:v>
      </x:c>
      <x:c r="F100" s="43" t="n">
        <x:f>D100*E100</x:f>
        <x:v>42.56849315068493</x:v>
      </x:c>
      <x:c r="G100" s="17"/>
      <x:c r="H100" s="17"/>
      <x:c r="I100" s="17"/>
      <x:c r="J100" s="13" t="str">
        <x:f>IF(COUNTA(G100:I100)=3,"EVIDENCE REQUIRED","SOURCE EMPTY")</x:f>
        <x:v>SOURCE EMPTY</x:v>
      </x:c>
    </x:row>
    <x:row r="101">
      <x:c r="A101" s="13" t="str">
        <x:v>LF-CELL-4-BAY-6</x:v>
      </x:c>
      <x:c r="B101" s="13" t="str">
        <x:v>LF-CELL-4</x:v>
      </x:c>
      <x:c r="C101" s="13" t="n">
        <x:v>6</x:v>
      </x:c>
      <x:c r="D101" s="30" t="n">
        <x:f>VLOOKUP(B101,'Cell Capacity'!$A$6:$M$29,8,FALSE)</x:f>
        <x:v>170.27397260273972</x:v>
      </x:c>
      <x:c r="E101" s="24" t="n">
        <x:f>Controls!$B$26</x:f>
        <x:v>0.25</x:v>
      </x:c>
      <x:c r="F101" s="43" t="n">
        <x:f>D101*E101</x:f>
        <x:v>42.56849315068493</x:v>
      </x:c>
      <x:c r="G101" s="17"/>
      <x:c r="H101" s="17"/>
      <x:c r="I101" s="17"/>
      <x:c r="J101" s="13" t="str">
        <x:f>IF(COUNTA(G101:I101)=3,"EVIDENCE REQUIRED","SOURCE EMPTY")</x:f>
        <x:v>SOURCE EMPTY</x:v>
      </x:c>
    </x:row>
    <x:row r="102">
      <x:c r="A102" s="13" t="str">
        <x:v>HU-CELL-1-BAY-1</x:v>
      </x:c>
      <x:c r="B102" s="13" t="str">
        <x:v>HU-CELL-1</x:v>
      </x:c>
      <x:c r="C102" s="13" t="n">
        <x:v>1</x:v>
      </x:c>
      <x:c r="D102" s="30" t="n">
        <x:f>VLOOKUP(B102,'Cell Capacity'!$A$6:$M$29,8,FALSE)</x:f>
        <x:v>230.13698630136986</x:v>
      </x:c>
      <x:c r="E102" s="24" t="n">
        <x:f>Controls!$B$26</x:f>
        <x:v>0.25</x:v>
      </x:c>
      <x:c r="F102" s="43" t="n">
        <x:f>D102*E102</x:f>
        <x:v>57.534246575342465</x:v>
      </x:c>
      <x:c r="G102" s="17"/>
      <x:c r="H102" s="17"/>
      <x:c r="I102" s="17"/>
      <x:c r="J102" s="13" t="str">
        <x:f>IF(COUNTA(G102:I102)=3,"EVIDENCE REQUIRED","SOURCE EMPTY")</x:f>
        <x:v>SOURCE EMPTY</x:v>
      </x:c>
    </x:row>
    <x:row r="103">
      <x:c r="A103" s="13" t="str">
        <x:v>HU-CELL-1-BAY-2</x:v>
      </x:c>
      <x:c r="B103" s="13" t="str">
        <x:v>HU-CELL-1</x:v>
      </x:c>
      <x:c r="C103" s="13" t="n">
        <x:v>2</x:v>
      </x:c>
      <x:c r="D103" s="30" t="n">
        <x:f>VLOOKUP(B103,'Cell Capacity'!$A$6:$M$29,8,FALSE)</x:f>
        <x:v>230.13698630136986</x:v>
      </x:c>
      <x:c r="E103" s="24" t="n">
        <x:f>Controls!$B$26</x:f>
        <x:v>0.25</x:v>
      </x:c>
      <x:c r="F103" s="43" t="n">
        <x:f>D103*E103</x:f>
        <x:v>57.534246575342465</x:v>
      </x:c>
      <x:c r="G103" s="17"/>
      <x:c r="H103" s="17"/>
      <x:c r="I103" s="17"/>
      <x:c r="J103" s="13" t="str">
        <x:f>IF(COUNTA(G103:I103)=3,"EVIDENCE REQUIRED","SOURCE EMPTY")</x:f>
        <x:v>SOURCE EMPTY</x:v>
      </x:c>
    </x:row>
    <x:row r="104">
      <x:c r="A104" s="13" t="str">
        <x:v>HU-CELL-1-BAY-3</x:v>
      </x:c>
      <x:c r="B104" s="13" t="str">
        <x:v>HU-CELL-1</x:v>
      </x:c>
      <x:c r="C104" s="13" t="n">
        <x:v>3</x:v>
      </x:c>
      <x:c r="D104" s="30" t="n">
        <x:f>VLOOKUP(B104,'Cell Capacity'!$A$6:$M$29,8,FALSE)</x:f>
        <x:v>230.13698630136986</x:v>
      </x:c>
      <x:c r="E104" s="24" t="n">
        <x:f>Controls!$B$26</x:f>
        <x:v>0.25</x:v>
      </x:c>
      <x:c r="F104" s="43" t="n">
        <x:f>D104*E104</x:f>
        <x:v>57.534246575342465</x:v>
      </x:c>
      <x:c r="G104" s="17"/>
      <x:c r="H104" s="17"/>
      <x:c r="I104" s="17"/>
      <x:c r="J104" s="13" t="str">
        <x:f>IF(COUNTA(G104:I104)=3,"EVIDENCE REQUIRED","SOURCE EMPTY")</x:f>
        <x:v>SOURCE EMPTY</x:v>
      </x:c>
    </x:row>
    <x:row r="105">
      <x:c r="A105" s="13" t="str">
        <x:v>HU-CELL-1-BAY-4</x:v>
      </x:c>
      <x:c r="B105" s="13" t="str">
        <x:v>HU-CELL-1</x:v>
      </x:c>
      <x:c r="C105" s="13" t="n">
        <x:v>4</x:v>
      </x:c>
      <x:c r="D105" s="30" t="n">
        <x:f>VLOOKUP(B105,'Cell Capacity'!$A$6:$M$29,8,FALSE)</x:f>
        <x:v>230.13698630136986</x:v>
      </x:c>
      <x:c r="E105" s="24" t="n">
        <x:f>Controls!$B$26</x:f>
        <x:v>0.25</x:v>
      </x:c>
      <x:c r="F105" s="43" t="n">
        <x:f>D105*E105</x:f>
        <x:v>57.534246575342465</x:v>
      </x:c>
      <x:c r="G105" s="17"/>
      <x:c r="H105" s="17"/>
      <x:c r="I105" s="17"/>
      <x:c r="J105" s="13" t="str">
        <x:f>IF(COUNTA(G105:I105)=3,"EVIDENCE REQUIRED","SOURCE EMPTY")</x:f>
        <x:v>SOURCE EMPTY</x:v>
      </x:c>
    </x:row>
    <x:row r="106">
      <x:c r="A106" s="13" t="str">
        <x:v>HU-CELL-1-BAY-5</x:v>
      </x:c>
      <x:c r="B106" s="13" t="str">
        <x:v>HU-CELL-1</x:v>
      </x:c>
      <x:c r="C106" s="13" t="n">
        <x:v>5</x:v>
      </x:c>
      <x:c r="D106" s="30" t="n">
        <x:f>VLOOKUP(B106,'Cell Capacity'!$A$6:$M$29,8,FALSE)</x:f>
        <x:v>230.13698630136986</x:v>
      </x:c>
      <x:c r="E106" s="24" t="n">
        <x:f>Controls!$B$26</x:f>
        <x:v>0.25</x:v>
      </x:c>
      <x:c r="F106" s="43" t="n">
        <x:f>D106*E106</x:f>
        <x:v>57.534246575342465</x:v>
      </x:c>
      <x:c r="G106" s="17"/>
      <x:c r="H106" s="17"/>
      <x:c r="I106" s="17"/>
      <x:c r="J106" s="13" t="str">
        <x:f>IF(COUNTA(G106:I106)=3,"EVIDENCE REQUIRED","SOURCE EMPTY")</x:f>
        <x:v>SOURCE EMPTY</x:v>
      </x:c>
    </x:row>
    <x:row r="107">
      <x:c r="A107" s="13" t="str">
        <x:v>HU-CELL-1-BAY-6</x:v>
      </x:c>
      <x:c r="B107" s="13" t="str">
        <x:v>HU-CELL-1</x:v>
      </x:c>
      <x:c r="C107" s="13" t="n">
        <x:v>6</x:v>
      </x:c>
      <x:c r="D107" s="30" t="n">
        <x:f>VLOOKUP(B107,'Cell Capacity'!$A$6:$M$29,8,FALSE)</x:f>
        <x:v>230.13698630136986</x:v>
      </x:c>
      <x:c r="E107" s="24" t="n">
        <x:f>Controls!$B$26</x:f>
        <x:v>0.25</x:v>
      </x:c>
      <x:c r="F107" s="43" t="n">
        <x:f>D107*E107</x:f>
        <x:v>57.534246575342465</x:v>
      </x:c>
      <x:c r="G107" s="17"/>
      <x:c r="H107" s="17"/>
      <x:c r="I107" s="17"/>
      <x:c r="J107" s="13" t="str">
        <x:f>IF(COUNTA(G107:I107)=3,"EVIDENCE REQUIRED","SOURCE EMPTY")</x:f>
        <x:v>SOURCE EMPTY</x:v>
      </x:c>
    </x:row>
    <x:row r="108">
      <x:c r="A108" s="13" t="str">
        <x:v>HU-CELL-2-BAY-1</x:v>
      </x:c>
      <x:c r="B108" s="13" t="str">
        <x:v>HU-CELL-2</x:v>
      </x:c>
      <x:c r="C108" s="13" t="n">
        <x:v>1</x:v>
      </x:c>
      <x:c r="D108" s="30" t="n">
        <x:f>VLOOKUP(B108,'Cell Capacity'!$A$6:$M$29,8,FALSE)</x:f>
        <x:v>208.21917808219177</x:v>
      </x:c>
      <x:c r="E108" s="24" t="n">
        <x:f>Controls!$B$26</x:f>
        <x:v>0.25</x:v>
      </x:c>
      <x:c r="F108" s="43" t="n">
        <x:f>D108*E108</x:f>
        <x:v>52.054794520547944</x:v>
      </x:c>
      <x:c r="G108" s="17"/>
      <x:c r="H108" s="17"/>
      <x:c r="I108" s="17"/>
      <x:c r="J108" s="13" t="str">
        <x:f>IF(COUNTA(G108:I108)=3,"EVIDENCE REQUIRED","SOURCE EMPTY")</x:f>
        <x:v>SOURCE EMPTY</x:v>
      </x:c>
    </x:row>
    <x:row r="109">
      <x:c r="A109" s="13" t="str">
        <x:v>HU-CELL-2-BAY-2</x:v>
      </x:c>
      <x:c r="B109" s="13" t="str">
        <x:v>HU-CELL-2</x:v>
      </x:c>
      <x:c r="C109" s="13" t="n">
        <x:v>2</x:v>
      </x:c>
      <x:c r="D109" s="30" t="n">
        <x:f>VLOOKUP(B109,'Cell Capacity'!$A$6:$M$29,8,FALSE)</x:f>
        <x:v>208.21917808219177</x:v>
      </x:c>
      <x:c r="E109" s="24" t="n">
        <x:f>Controls!$B$26</x:f>
        <x:v>0.25</x:v>
      </x:c>
      <x:c r="F109" s="43" t="n">
        <x:f>D109*E109</x:f>
        <x:v>52.054794520547944</x:v>
      </x:c>
      <x:c r="G109" s="17"/>
      <x:c r="H109" s="17"/>
      <x:c r="I109" s="17"/>
      <x:c r="J109" s="13" t="str">
        <x:f>IF(COUNTA(G109:I109)=3,"EVIDENCE REQUIRED","SOURCE EMPTY")</x:f>
        <x:v>SOURCE EMPTY</x:v>
      </x:c>
    </x:row>
    <x:row r="110">
      <x:c r="A110" s="13" t="str">
        <x:v>HU-CELL-2-BAY-3</x:v>
      </x:c>
      <x:c r="B110" s="13" t="str">
        <x:v>HU-CELL-2</x:v>
      </x:c>
      <x:c r="C110" s="13" t="n">
        <x:v>3</x:v>
      </x:c>
      <x:c r="D110" s="30" t="n">
        <x:f>VLOOKUP(B110,'Cell Capacity'!$A$6:$M$29,8,FALSE)</x:f>
        <x:v>208.21917808219177</x:v>
      </x:c>
      <x:c r="E110" s="24" t="n">
        <x:f>Controls!$B$26</x:f>
        <x:v>0.25</x:v>
      </x:c>
      <x:c r="F110" s="43" t="n">
        <x:f>D110*E110</x:f>
        <x:v>52.054794520547944</x:v>
      </x:c>
      <x:c r="G110" s="17"/>
      <x:c r="H110" s="17"/>
      <x:c r="I110" s="17"/>
      <x:c r="J110" s="13" t="str">
        <x:f>IF(COUNTA(G110:I110)=3,"EVIDENCE REQUIRED","SOURCE EMPTY")</x:f>
        <x:v>SOURCE EMPTY</x:v>
      </x:c>
    </x:row>
    <x:row r="111">
      <x:c r="A111" s="13" t="str">
        <x:v>HU-CELL-2-BAY-4</x:v>
      </x:c>
      <x:c r="B111" s="13" t="str">
        <x:v>HU-CELL-2</x:v>
      </x:c>
      <x:c r="C111" s="13" t="n">
        <x:v>4</x:v>
      </x:c>
      <x:c r="D111" s="30" t="n">
        <x:f>VLOOKUP(B111,'Cell Capacity'!$A$6:$M$29,8,FALSE)</x:f>
        <x:v>208.21917808219177</x:v>
      </x:c>
      <x:c r="E111" s="24" t="n">
        <x:f>Controls!$B$26</x:f>
        <x:v>0.25</x:v>
      </x:c>
      <x:c r="F111" s="43" t="n">
        <x:f>D111*E111</x:f>
        <x:v>52.054794520547944</x:v>
      </x:c>
      <x:c r="G111" s="17"/>
      <x:c r="H111" s="17"/>
      <x:c r="I111" s="17"/>
      <x:c r="J111" s="13" t="str">
        <x:f>IF(COUNTA(G111:I111)=3,"EVIDENCE REQUIRED","SOURCE EMPTY")</x:f>
        <x:v>SOURCE EMPTY</x:v>
      </x:c>
    </x:row>
    <x:row r="112">
      <x:c r="A112" s="13" t="str">
        <x:v>HU-CELL-2-BAY-5</x:v>
      </x:c>
      <x:c r="B112" s="13" t="str">
        <x:v>HU-CELL-2</x:v>
      </x:c>
      <x:c r="C112" s="13" t="n">
        <x:v>5</x:v>
      </x:c>
      <x:c r="D112" s="30" t="n">
        <x:f>VLOOKUP(B112,'Cell Capacity'!$A$6:$M$29,8,FALSE)</x:f>
        <x:v>208.21917808219177</x:v>
      </x:c>
      <x:c r="E112" s="24" t="n">
        <x:f>Controls!$B$26</x:f>
        <x:v>0.25</x:v>
      </x:c>
      <x:c r="F112" s="43" t="n">
        <x:f>D112*E112</x:f>
        <x:v>52.054794520547944</x:v>
      </x:c>
      <x:c r="G112" s="17"/>
      <x:c r="H112" s="17"/>
      <x:c r="I112" s="17"/>
      <x:c r="J112" s="13" t="str">
        <x:f>IF(COUNTA(G112:I112)=3,"EVIDENCE REQUIRED","SOURCE EMPTY")</x:f>
        <x:v>SOURCE EMPTY</x:v>
      </x:c>
    </x:row>
    <x:row r="113">
      <x:c r="A113" s="13" t="str">
        <x:v>HU-CELL-2-BAY-6</x:v>
      </x:c>
      <x:c r="B113" s="13" t="str">
        <x:v>HU-CELL-2</x:v>
      </x:c>
      <x:c r="C113" s="13" t="n">
        <x:v>6</x:v>
      </x:c>
      <x:c r="D113" s="30" t="n">
        <x:f>VLOOKUP(B113,'Cell Capacity'!$A$6:$M$29,8,FALSE)</x:f>
        <x:v>208.21917808219177</x:v>
      </x:c>
      <x:c r="E113" s="24" t="n">
        <x:f>Controls!$B$26</x:f>
        <x:v>0.25</x:v>
      </x:c>
      <x:c r="F113" s="43" t="n">
        <x:f>D113*E113</x:f>
        <x:v>52.054794520547944</x:v>
      </x:c>
      <x:c r="G113" s="17"/>
      <x:c r="H113" s="17"/>
      <x:c r="I113" s="17"/>
      <x:c r="J113" s="13" t="str">
        <x:f>IF(COUNTA(G113:I113)=3,"EVIDENCE REQUIRED","SOURCE EMPTY")</x:f>
        <x:v>SOURCE EMPTY</x:v>
      </x:c>
    </x:row>
    <x:row r="114">
      <x:c r="A114" s="13" t="str">
        <x:v>HU-CELL-3-BAY-1</x:v>
      </x:c>
      <x:c r="B114" s="13" t="str">
        <x:v>HU-CELL-3</x:v>
      </x:c>
      <x:c r="C114" s="13" t="n">
        <x:v>1</x:v>
      </x:c>
      <x:c r="D114" s="30" t="n">
        <x:f>VLOOKUP(B114,'Cell Capacity'!$A$6:$M$29,8,FALSE)</x:f>
        <x:v>230.13698630136986</x:v>
      </x:c>
      <x:c r="E114" s="24" t="n">
        <x:f>Controls!$B$26</x:f>
        <x:v>0.25</x:v>
      </x:c>
      <x:c r="F114" s="43" t="n">
        <x:f>D114*E114</x:f>
        <x:v>57.534246575342465</x:v>
      </x:c>
      <x:c r="G114" s="17"/>
      <x:c r="H114" s="17"/>
      <x:c r="I114" s="17"/>
      <x:c r="J114" s="13" t="str">
        <x:f>IF(COUNTA(G114:I114)=3,"EVIDENCE REQUIRED","SOURCE EMPTY")</x:f>
        <x:v>SOURCE EMPTY</x:v>
      </x:c>
    </x:row>
    <x:row r="115">
      <x:c r="A115" s="13" t="str">
        <x:v>HU-CELL-3-BAY-2</x:v>
      </x:c>
      <x:c r="B115" s="13" t="str">
        <x:v>HU-CELL-3</x:v>
      </x:c>
      <x:c r="C115" s="13" t="n">
        <x:v>2</x:v>
      </x:c>
      <x:c r="D115" s="30" t="n">
        <x:f>VLOOKUP(B115,'Cell Capacity'!$A$6:$M$29,8,FALSE)</x:f>
        <x:v>230.13698630136986</x:v>
      </x:c>
      <x:c r="E115" s="24" t="n">
        <x:f>Controls!$B$26</x:f>
        <x:v>0.25</x:v>
      </x:c>
      <x:c r="F115" s="43" t="n">
        <x:f>D115*E115</x:f>
        <x:v>57.534246575342465</x:v>
      </x:c>
      <x:c r="G115" s="17"/>
      <x:c r="H115" s="17"/>
      <x:c r="I115" s="17"/>
      <x:c r="J115" s="13" t="str">
        <x:f>IF(COUNTA(G115:I115)=3,"EVIDENCE REQUIRED","SOURCE EMPTY")</x:f>
        <x:v>SOURCE EMPTY</x:v>
      </x:c>
    </x:row>
    <x:row r="116">
      <x:c r="A116" s="13" t="str">
        <x:v>HU-CELL-3-BAY-3</x:v>
      </x:c>
      <x:c r="B116" s="13" t="str">
        <x:v>HU-CELL-3</x:v>
      </x:c>
      <x:c r="C116" s="13" t="n">
        <x:v>3</x:v>
      </x:c>
      <x:c r="D116" s="30" t="n">
        <x:f>VLOOKUP(B116,'Cell Capacity'!$A$6:$M$29,8,FALSE)</x:f>
        <x:v>230.13698630136986</x:v>
      </x:c>
      <x:c r="E116" s="24" t="n">
        <x:f>Controls!$B$26</x:f>
        <x:v>0.25</x:v>
      </x:c>
      <x:c r="F116" s="43" t="n">
        <x:f>D116*E116</x:f>
        <x:v>57.534246575342465</x:v>
      </x:c>
      <x:c r="G116" s="17"/>
      <x:c r="H116" s="17"/>
      <x:c r="I116" s="17"/>
      <x:c r="J116" s="13" t="str">
        <x:f>IF(COUNTA(G116:I116)=3,"EVIDENCE REQUIRED","SOURCE EMPTY")</x:f>
        <x:v>SOURCE EMPTY</x:v>
      </x:c>
    </x:row>
    <x:row r="117">
      <x:c r="A117" s="13" t="str">
        <x:v>HU-CELL-3-BAY-4</x:v>
      </x:c>
      <x:c r="B117" s="13" t="str">
        <x:v>HU-CELL-3</x:v>
      </x:c>
      <x:c r="C117" s="13" t="n">
        <x:v>4</x:v>
      </x:c>
      <x:c r="D117" s="30" t="n">
        <x:f>VLOOKUP(B117,'Cell Capacity'!$A$6:$M$29,8,FALSE)</x:f>
        <x:v>230.13698630136986</x:v>
      </x:c>
      <x:c r="E117" s="24" t="n">
        <x:f>Controls!$B$26</x:f>
        <x:v>0.25</x:v>
      </x:c>
      <x:c r="F117" s="43" t="n">
        <x:f>D117*E117</x:f>
        <x:v>57.534246575342465</x:v>
      </x:c>
      <x:c r="G117" s="17"/>
      <x:c r="H117" s="17"/>
      <x:c r="I117" s="17"/>
      <x:c r="J117" s="13" t="str">
        <x:f>IF(COUNTA(G117:I117)=3,"EVIDENCE REQUIRED","SOURCE EMPTY")</x:f>
        <x:v>SOURCE EMPTY</x:v>
      </x:c>
    </x:row>
    <x:row r="118">
      <x:c r="A118" s="13" t="str">
        <x:v>HU-CELL-3-BAY-5</x:v>
      </x:c>
      <x:c r="B118" s="13" t="str">
        <x:v>HU-CELL-3</x:v>
      </x:c>
      <x:c r="C118" s="13" t="n">
        <x:v>5</x:v>
      </x:c>
      <x:c r="D118" s="30" t="n">
        <x:f>VLOOKUP(B118,'Cell Capacity'!$A$6:$M$29,8,FALSE)</x:f>
        <x:v>230.13698630136986</x:v>
      </x:c>
      <x:c r="E118" s="24" t="n">
        <x:f>Controls!$B$26</x:f>
        <x:v>0.25</x:v>
      </x:c>
      <x:c r="F118" s="43" t="n">
        <x:f>D118*E118</x:f>
        <x:v>57.534246575342465</x:v>
      </x:c>
      <x:c r="G118" s="17"/>
      <x:c r="H118" s="17"/>
      <x:c r="I118" s="17"/>
      <x:c r="J118" s="13" t="str">
        <x:f>IF(COUNTA(G118:I118)=3,"EVIDENCE REQUIRED","SOURCE EMPTY")</x:f>
        <x:v>SOURCE EMPTY</x:v>
      </x:c>
    </x:row>
    <x:row r="119">
      <x:c r="A119" s="13" t="str">
        <x:v>HU-CELL-3-BAY-6</x:v>
      </x:c>
      <x:c r="B119" s="13" t="str">
        <x:v>HU-CELL-3</x:v>
      </x:c>
      <x:c r="C119" s="13" t="n">
        <x:v>6</x:v>
      </x:c>
      <x:c r="D119" s="30" t="n">
        <x:f>VLOOKUP(B119,'Cell Capacity'!$A$6:$M$29,8,FALSE)</x:f>
        <x:v>230.13698630136986</x:v>
      </x:c>
      <x:c r="E119" s="24" t="n">
        <x:f>Controls!$B$26</x:f>
        <x:v>0.25</x:v>
      </x:c>
      <x:c r="F119" s="43" t="n">
        <x:f>D119*E119</x:f>
        <x:v>57.534246575342465</x:v>
      </x:c>
      <x:c r="G119" s="17"/>
      <x:c r="H119" s="17"/>
      <x:c r="I119" s="17"/>
      <x:c r="J119" s="13" t="str">
        <x:f>IF(COUNTA(G119:I119)=3,"EVIDENCE REQUIRED","SOURCE EMPTY")</x:f>
        <x:v>SOURCE EMPTY</x:v>
      </x:c>
    </x:row>
    <x:row r="120">
      <x:c r="A120" s="13" t="str">
        <x:v>HU-CELL-4-BAY-1</x:v>
      </x:c>
      <x:c r="B120" s="13" t="str">
        <x:v>HU-CELL-4</x:v>
      </x:c>
      <x:c r="C120" s="13" t="n">
        <x:v>1</x:v>
      </x:c>
      <x:c r="D120" s="30" t="n">
        <x:f>VLOOKUP(B120,'Cell Capacity'!$A$6:$M$29,8,FALSE)</x:f>
        <x:v>169.86301369863014</x:v>
      </x:c>
      <x:c r="E120" s="24" t="n">
        <x:f>Controls!$B$26</x:f>
        <x:v>0.25</x:v>
      </x:c>
      <x:c r="F120" s="43" t="n">
        <x:f>D120*E120</x:f>
        <x:v>42.465753424657535</x:v>
      </x:c>
      <x:c r="G120" s="17"/>
      <x:c r="H120" s="17"/>
      <x:c r="I120" s="17"/>
      <x:c r="J120" s="13" t="str">
        <x:f>IF(COUNTA(G120:I120)=3,"EVIDENCE REQUIRED","SOURCE EMPTY")</x:f>
        <x:v>SOURCE EMPTY</x:v>
      </x:c>
    </x:row>
    <x:row r="121">
      <x:c r="A121" s="13" t="str">
        <x:v>HU-CELL-4-BAY-2</x:v>
      </x:c>
      <x:c r="B121" s="13" t="str">
        <x:v>HU-CELL-4</x:v>
      </x:c>
      <x:c r="C121" s="13" t="n">
        <x:v>2</x:v>
      </x:c>
      <x:c r="D121" s="30" t="n">
        <x:f>VLOOKUP(B121,'Cell Capacity'!$A$6:$M$29,8,FALSE)</x:f>
        <x:v>169.86301369863014</x:v>
      </x:c>
      <x:c r="E121" s="24" t="n">
        <x:f>Controls!$B$26</x:f>
        <x:v>0.25</x:v>
      </x:c>
      <x:c r="F121" s="43" t="n">
        <x:f>D121*E121</x:f>
        <x:v>42.465753424657535</x:v>
      </x:c>
      <x:c r="G121" s="17"/>
      <x:c r="H121" s="17"/>
      <x:c r="I121" s="17"/>
      <x:c r="J121" s="13" t="str">
        <x:f>IF(COUNTA(G121:I121)=3,"EVIDENCE REQUIRED","SOURCE EMPTY")</x:f>
        <x:v>SOURCE EMPTY</x:v>
      </x:c>
    </x:row>
    <x:row r="122">
      <x:c r="A122" s="13" t="str">
        <x:v>HU-CELL-4-BAY-3</x:v>
      </x:c>
      <x:c r="B122" s="13" t="str">
        <x:v>HU-CELL-4</x:v>
      </x:c>
      <x:c r="C122" s="13" t="n">
        <x:v>3</x:v>
      </x:c>
      <x:c r="D122" s="30" t="n">
        <x:f>VLOOKUP(B122,'Cell Capacity'!$A$6:$M$29,8,FALSE)</x:f>
        <x:v>169.86301369863014</x:v>
      </x:c>
      <x:c r="E122" s="24" t="n">
        <x:f>Controls!$B$26</x:f>
        <x:v>0.25</x:v>
      </x:c>
      <x:c r="F122" s="43" t="n">
        <x:f>D122*E122</x:f>
        <x:v>42.465753424657535</x:v>
      </x:c>
      <x:c r="G122" s="17"/>
      <x:c r="H122" s="17"/>
      <x:c r="I122" s="17"/>
      <x:c r="J122" s="13" t="str">
        <x:f>IF(COUNTA(G122:I122)=3,"EVIDENCE REQUIRED","SOURCE EMPTY")</x:f>
        <x:v>SOURCE EMPTY</x:v>
      </x:c>
    </x:row>
    <x:row r="123">
      <x:c r="A123" s="13" t="str">
        <x:v>HU-CELL-4-BAY-4</x:v>
      </x:c>
      <x:c r="B123" s="13" t="str">
        <x:v>HU-CELL-4</x:v>
      </x:c>
      <x:c r="C123" s="13" t="n">
        <x:v>4</x:v>
      </x:c>
      <x:c r="D123" s="30" t="n">
        <x:f>VLOOKUP(B123,'Cell Capacity'!$A$6:$M$29,8,FALSE)</x:f>
        <x:v>169.86301369863014</x:v>
      </x:c>
      <x:c r="E123" s="24" t="n">
        <x:f>Controls!$B$26</x:f>
        <x:v>0.25</x:v>
      </x:c>
      <x:c r="F123" s="43" t="n">
        <x:f>D123*E123</x:f>
        <x:v>42.465753424657535</x:v>
      </x:c>
      <x:c r="G123" s="17"/>
      <x:c r="H123" s="17"/>
      <x:c r="I123" s="17"/>
      <x:c r="J123" s="13" t="str">
        <x:f>IF(COUNTA(G123:I123)=3,"EVIDENCE REQUIRED","SOURCE EMPTY")</x:f>
        <x:v>SOURCE EMPTY</x:v>
      </x:c>
    </x:row>
    <x:row r="124">
      <x:c r="A124" s="13" t="str">
        <x:v>HU-CELL-4-BAY-5</x:v>
      </x:c>
      <x:c r="B124" s="13" t="str">
        <x:v>HU-CELL-4</x:v>
      </x:c>
      <x:c r="C124" s="13" t="n">
        <x:v>5</x:v>
      </x:c>
      <x:c r="D124" s="30" t="n">
        <x:f>VLOOKUP(B124,'Cell Capacity'!$A$6:$M$29,8,FALSE)</x:f>
        <x:v>169.86301369863014</x:v>
      </x:c>
      <x:c r="E124" s="24" t="n">
        <x:f>Controls!$B$26</x:f>
        <x:v>0.25</x:v>
      </x:c>
      <x:c r="F124" s="43" t="n">
        <x:f>D124*E124</x:f>
        <x:v>42.465753424657535</x:v>
      </x:c>
      <x:c r="G124" s="17"/>
      <x:c r="H124" s="17"/>
      <x:c r="I124" s="17"/>
      <x:c r="J124" s="13" t="str">
        <x:f>IF(COUNTA(G124:I124)=3,"EVIDENCE REQUIRED","SOURCE EMPTY")</x:f>
        <x:v>SOURCE EMPTY</x:v>
      </x:c>
    </x:row>
    <x:row r="125">
      <x:c r="A125" s="13" t="str">
        <x:v>HU-CELL-4-BAY-6</x:v>
      </x:c>
      <x:c r="B125" s="13" t="str">
        <x:v>HU-CELL-4</x:v>
      </x:c>
      <x:c r="C125" s="13" t="n">
        <x:v>6</x:v>
      </x:c>
      <x:c r="D125" s="30" t="n">
        <x:f>VLOOKUP(B125,'Cell Capacity'!$A$6:$M$29,8,FALSE)</x:f>
        <x:v>169.86301369863014</x:v>
      </x:c>
      <x:c r="E125" s="24" t="n">
        <x:f>Controls!$B$26</x:f>
        <x:v>0.25</x:v>
      </x:c>
      <x:c r="F125" s="43" t="n">
        <x:f>D125*E125</x:f>
        <x:v>42.465753424657535</x:v>
      </x:c>
      <x:c r="G125" s="17"/>
      <x:c r="H125" s="17"/>
      <x:c r="I125" s="17"/>
      <x:c r="J125" s="13" t="str">
        <x:f>IF(COUNTA(G125:I125)=3,"EVIDENCE REQUIRED","SOURCE EMPTY")</x:f>
        <x:v>SOURCE EMPTY</x:v>
      </x:c>
    </x:row>
    <x:row r="126">
      <x:c r="A126" s="13" t="str">
        <x:v>RT-CELL-1-BAY-1</x:v>
      </x:c>
      <x:c r="B126" s="13" t="str">
        <x:v>RT-CELL-1</x:v>
      </x:c>
      <x:c r="C126" s="13" t="n">
        <x:v>1</x:v>
      </x:c>
      <x:c r="D126" s="30" t="n">
        <x:f>VLOOKUP(B126,'Cell Capacity'!$A$6:$M$29,8,FALSE)</x:f>
        <x:v>526.027397260274</x:v>
      </x:c>
      <x:c r="E126" s="24" t="n">
        <x:f>Controls!$B$26</x:f>
        <x:v>0.25</x:v>
      </x:c>
      <x:c r="F126" s="43" t="n">
        <x:f>D126*E126</x:f>
        <x:v>131.5068493150685</x:v>
      </x:c>
      <x:c r="G126" s="17"/>
      <x:c r="H126" s="17"/>
      <x:c r="I126" s="17"/>
      <x:c r="J126" s="13" t="str">
        <x:f>IF(COUNTA(G126:I126)=3,"EVIDENCE REQUIRED","SOURCE EMPTY")</x:f>
        <x:v>SOURCE EMPTY</x:v>
      </x:c>
    </x:row>
    <x:row r="127">
      <x:c r="A127" s="13" t="str">
        <x:v>RT-CELL-1-BAY-2</x:v>
      </x:c>
      <x:c r="B127" s="13" t="str">
        <x:v>RT-CELL-1</x:v>
      </x:c>
      <x:c r="C127" s="13" t="n">
        <x:v>2</x:v>
      </x:c>
      <x:c r="D127" s="30" t="n">
        <x:f>VLOOKUP(B127,'Cell Capacity'!$A$6:$M$29,8,FALSE)</x:f>
        <x:v>526.027397260274</x:v>
      </x:c>
      <x:c r="E127" s="24" t="n">
        <x:f>Controls!$B$26</x:f>
        <x:v>0.25</x:v>
      </x:c>
      <x:c r="F127" s="43" t="n">
        <x:f>D127*E127</x:f>
        <x:v>131.5068493150685</x:v>
      </x:c>
      <x:c r="G127" s="17"/>
      <x:c r="H127" s="17"/>
      <x:c r="I127" s="17"/>
      <x:c r="J127" s="13" t="str">
        <x:f>IF(COUNTA(G127:I127)=3,"EVIDENCE REQUIRED","SOURCE EMPTY")</x:f>
        <x:v>SOURCE EMPTY</x:v>
      </x:c>
    </x:row>
    <x:row r="128">
      <x:c r="A128" s="13" t="str">
        <x:v>RT-CELL-1-BAY-3</x:v>
      </x:c>
      <x:c r="B128" s="13" t="str">
        <x:v>RT-CELL-1</x:v>
      </x:c>
      <x:c r="C128" s="13" t="n">
        <x:v>3</x:v>
      </x:c>
      <x:c r="D128" s="30" t="n">
        <x:f>VLOOKUP(B128,'Cell Capacity'!$A$6:$M$29,8,FALSE)</x:f>
        <x:v>526.027397260274</x:v>
      </x:c>
      <x:c r="E128" s="24" t="n">
        <x:f>Controls!$B$26</x:f>
        <x:v>0.25</x:v>
      </x:c>
      <x:c r="F128" s="43" t="n">
        <x:f>D128*E128</x:f>
        <x:v>131.5068493150685</x:v>
      </x:c>
      <x:c r="G128" s="17"/>
      <x:c r="H128" s="17"/>
      <x:c r="I128" s="17"/>
      <x:c r="J128" s="13" t="str">
        <x:f>IF(COUNTA(G128:I128)=3,"EVIDENCE REQUIRED","SOURCE EMPTY")</x:f>
        <x:v>SOURCE EMPTY</x:v>
      </x:c>
    </x:row>
    <x:row r="129">
      <x:c r="A129" s="13" t="str">
        <x:v>RT-CELL-1-BAY-4</x:v>
      </x:c>
      <x:c r="B129" s="13" t="str">
        <x:v>RT-CELL-1</x:v>
      </x:c>
      <x:c r="C129" s="13" t="n">
        <x:v>4</x:v>
      </x:c>
      <x:c r="D129" s="30" t="n">
        <x:f>VLOOKUP(B129,'Cell Capacity'!$A$6:$M$29,8,FALSE)</x:f>
        <x:v>526.027397260274</x:v>
      </x:c>
      <x:c r="E129" s="24" t="n">
        <x:f>Controls!$B$26</x:f>
        <x:v>0.25</x:v>
      </x:c>
      <x:c r="F129" s="43" t="n">
        <x:f>D129*E129</x:f>
        <x:v>131.5068493150685</x:v>
      </x:c>
      <x:c r="G129" s="17"/>
      <x:c r="H129" s="17"/>
      <x:c r="I129" s="17"/>
      <x:c r="J129" s="13" t="str">
        <x:f>IF(COUNTA(G129:I129)=3,"EVIDENCE REQUIRED","SOURCE EMPTY")</x:f>
        <x:v>SOURCE EMPTY</x:v>
      </x:c>
    </x:row>
    <x:row r="130">
      <x:c r="A130" s="13" t="str">
        <x:v>RT-CELL-1-BAY-5</x:v>
      </x:c>
      <x:c r="B130" s="13" t="str">
        <x:v>RT-CELL-1</x:v>
      </x:c>
      <x:c r="C130" s="13" t="n">
        <x:v>5</x:v>
      </x:c>
      <x:c r="D130" s="30" t="n">
        <x:f>VLOOKUP(B130,'Cell Capacity'!$A$6:$M$29,8,FALSE)</x:f>
        <x:v>526.027397260274</x:v>
      </x:c>
      <x:c r="E130" s="24" t="n">
        <x:f>Controls!$B$26</x:f>
        <x:v>0.25</x:v>
      </x:c>
      <x:c r="F130" s="43" t="n">
        <x:f>D130*E130</x:f>
        <x:v>131.5068493150685</x:v>
      </x:c>
      <x:c r="G130" s="17"/>
      <x:c r="H130" s="17"/>
      <x:c r="I130" s="17"/>
      <x:c r="J130" s="13" t="str">
        <x:f>IF(COUNTA(G130:I130)=3,"EVIDENCE REQUIRED","SOURCE EMPTY")</x:f>
        <x:v>SOURCE EMPTY</x:v>
      </x:c>
    </x:row>
    <x:row r="131">
      <x:c r="A131" s="13" t="str">
        <x:v>RT-CELL-1-BAY-6</x:v>
      </x:c>
      <x:c r="B131" s="13" t="str">
        <x:v>RT-CELL-1</x:v>
      </x:c>
      <x:c r="C131" s="13" t="n">
        <x:v>6</x:v>
      </x:c>
      <x:c r="D131" s="30" t="n">
        <x:f>VLOOKUP(B131,'Cell Capacity'!$A$6:$M$29,8,FALSE)</x:f>
        <x:v>526.027397260274</x:v>
      </x:c>
      <x:c r="E131" s="24" t="n">
        <x:f>Controls!$B$26</x:f>
        <x:v>0.25</x:v>
      </x:c>
      <x:c r="F131" s="43" t="n">
        <x:f>D131*E131</x:f>
        <x:v>131.5068493150685</x:v>
      </x:c>
      <x:c r="G131" s="17"/>
      <x:c r="H131" s="17"/>
      <x:c r="I131" s="17"/>
      <x:c r="J131" s="13" t="str">
        <x:f>IF(COUNTA(G131:I131)=3,"EVIDENCE REQUIRED","SOURCE EMPTY")</x:f>
        <x:v>SOURCE EMPTY</x:v>
      </x:c>
    </x:row>
    <x:row r="132">
      <x:c r="A132" s="13" t="str">
        <x:v>RT-CELL-2-BAY-1</x:v>
      </x:c>
      <x:c r="B132" s="13" t="str">
        <x:v>RT-CELL-2</x:v>
      </x:c>
      <x:c r="C132" s="13" t="n">
        <x:v>1</x:v>
      </x:c>
      <x:c r="D132" s="30" t="n">
        <x:f>VLOOKUP(B132,'Cell Capacity'!$A$6:$M$29,8,FALSE)</x:f>
        <x:v>460.2739726027397</x:v>
      </x:c>
      <x:c r="E132" s="24" t="n">
        <x:f>Controls!$B$26</x:f>
        <x:v>0.25</x:v>
      </x:c>
      <x:c r="F132" s="43" t="n">
        <x:f>D132*E132</x:f>
        <x:v>115.06849315068493</x:v>
      </x:c>
      <x:c r="G132" s="17"/>
      <x:c r="H132" s="17"/>
      <x:c r="I132" s="17"/>
      <x:c r="J132" s="13" t="str">
        <x:f>IF(COUNTA(G132:I132)=3,"EVIDENCE REQUIRED","SOURCE EMPTY")</x:f>
        <x:v>SOURCE EMPTY</x:v>
      </x:c>
    </x:row>
    <x:row r="133">
      <x:c r="A133" s="13" t="str">
        <x:v>RT-CELL-2-BAY-2</x:v>
      </x:c>
      <x:c r="B133" s="13" t="str">
        <x:v>RT-CELL-2</x:v>
      </x:c>
      <x:c r="C133" s="13" t="n">
        <x:v>2</x:v>
      </x:c>
      <x:c r="D133" s="30" t="n">
        <x:f>VLOOKUP(B133,'Cell Capacity'!$A$6:$M$29,8,FALSE)</x:f>
        <x:v>460.2739726027397</x:v>
      </x:c>
      <x:c r="E133" s="24" t="n">
        <x:f>Controls!$B$26</x:f>
        <x:v>0.25</x:v>
      </x:c>
      <x:c r="F133" s="43" t="n">
        <x:f>D133*E133</x:f>
        <x:v>115.06849315068493</x:v>
      </x:c>
      <x:c r="G133" s="17"/>
      <x:c r="H133" s="17"/>
      <x:c r="I133" s="17"/>
      <x:c r="J133" s="13" t="str">
        <x:f>IF(COUNTA(G133:I133)=3,"EVIDENCE REQUIRED","SOURCE EMPTY")</x:f>
        <x:v>SOURCE EMPTY</x:v>
      </x:c>
    </x:row>
    <x:row r="134">
      <x:c r="A134" s="13" t="str">
        <x:v>RT-CELL-2-BAY-3</x:v>
      </x:c>
      <x:c r="B134" s="13" t="str">
        <x:v>RT-CELL-2</x:v>
      </x:c>
      <x:c r="C134" s="13" t="n">
        <x:v>3</x:v>
      </x:c>
      <x:c r="D134" s="30" t="n">
        <x:f>VLOOKUP(B134,'Cell Capacity'!$A$6:$M$29,8,FALSE)</x:f>
        <x:v>460.2739726027397</x:v>
      </x:c>
      <x:c r="E134" s="24" t="n">
        <x:f>Controls!$B$26</x:f>
        <x:v>0.25</x:v>
      </x:c>
      <x:c r="F134" s="43" t="n">
        <x:f>D134*E134</x:f>
        <x:v>115.06849315068493</x:v>
      </x:c>
      <x:c r="G134" s="17"/>
      <x:c r="H134" s="17"/>
      <x:c r="I134" s="17"/>
      <x:c r="J134" s="13" t="str">
        <x:f>IF(COUNTA(G134:I134)=3,"EVIDENCE REQUIRED","SOURCE EMPTY")</x:f>
        <x:v>SOURCE EMPTY</x:v>
      </x:c>
    </x:row>
    <x:row r="135">
      <x:c r="A135" s="13" t="str">
        <x:v>RT-CELL-2-BAY-4</x:v>
      </x:c>
      <x:c r="B135" s="13" t="str">
        <x:v>RT-CELL-2</x:v>
      </x:c>
      <x:c r="C135" s="13" t="n">
        <x:v>4</x:v>
      </x:c>
      <x:c r="D135" s="30" t="n">
        <x:f>VLOOKUP(B135,'Cell Capacity'!$A$6:$M$29,8,FALSE)</x:f>
        <x:v>460.2739726027397</x:v>
      </x:c>
      <x:c r="E135" s="24" t="n">
        <x:f>Controls!$B$26</x:f>
        <x:v>0.25</x:v>
      </x:c>
      <x:c r="F135" s="43" t="n">
        <x:f>D135*E135</x:f>
        <x:v>115.06849315068493</x:v>
      </x:c>
      <x:c r="G135" s="17"/>
      <x:c r="H135" s="17"/>
      <x:c r="I135" s="17"/>
      <x:c r="J135" s="13" t="str">
        <x:f>IF(COUNTA(G135:I135)=3,"EVIDENCE REQUIRED","SOURCE EMPTY")</x:f>
        <x:v>SOURCE EMPTY</x:v>
      </x:c>
    </x:row>
    <x:row r="136">
      <x:c r="A136" s="13" t="str">
        <x:v>RT-CELL-2-BAY-5</x:v>
      </x:c>
      <x:c r="B136" s="13" t="str">
        <x:v>RT-CELL-2</x:v>
      </x:c>
      <x:c r="C136" s="13" t="n">
        <x:v>5</x:v>
      </x:c>
      <x:c r="D136" s="30" t="n">
        <x:f>VLOOKUP(B136,'Cell Capacity'!$A$6:$M$29,8,FALSE)</x:f>
        <x:v>460.2739726027397</x:v>
      </x:c>
      <x:c r="E136" s="24" t="n">
        <x:f>Controls!$B$26</x:f>
        <x:v>0.25</x:v>
      </x:c>
      <x:c r="F136" s="43" t="n">
        <x:f>D136*E136</x:f>
        <x:v>115.06849315068493</x:v>
      </x:c>
      <x:c r="G136" s="17"/>
      <x:c r="H136" s="17"/>
      <x:c r="I136" s="17"/>
      <x:c r="J136" s="13" t="str">
        <x:f>IF(COUNTA(G136:I136)=3,"EVIDENCE REQUIRED","SOURCE EMPTY")</x:f>
        <x:v>SOURCE EMPTY</x:v>
      </x:c>
    </x:row>
    <x:row r="137">
      <x:c r="A137" s="13" t="str">
        <x:v>RT-CELL-2-BAY-6</x:v>
      </x:c>
      <x:c r="B137" s="13" t="str">
        <x:v>RT-CELL-2</x:v>
      </x:c>
      <x:c r="C137" s="13" t="n">
        <x:v>6</x:v>
      </x:c>
      <x:c r="D137" s="30" t="n">
        <x:f>VLOOKUP(B137,'Cell Capacity'!$A$6:$M$29,8,FALSE)</x:f>
        <x:v>460.2739726027397</x:v>
      </x:c>
      <x:c r="E137" s="24" t="n">
        <x:f>Controls!$B$26</x:f>
        <x:v>0.25</x:v>
      </x:c>
      <x:c r="F137" s="43" t="n">
        <x:f>D137*E137</x:f>
        <x:v>115.06849315068493</x:v>
      </x:c>
      <x:c r="G137" s="17"/>
      <x:c r="H137" s="17"/>
      <x:c r="I137" s="17"/>
      <x:c r="J137" s="13" t="str">
        <x:f>IF(COUNTA(G137:I137)=3,"EVIDENCE REQUIRED","SOURCE EMPTY")</x:f>
        <x:v>SOURCE EMPTY</x:v>
      </x:c>
    </x:row>
    <x:row r="138">
      <x:c r="A138" s="13" t="str">
        <x:v>RT-CELL-3-BAY-1</x:v>
      </x:c>
      <x:c r="B138" s="13" t="str">
        <x:v>RT-CELL-3</x:v>
      </x:c>
      <x:c r="C138" s="13" t="n">
        <x:v>1</x:v>
      </x:c>
      <x:c r="D138" s="30" t="n">
        <x:f>VLOOKUP(B138,'Cell Capacity'!$A$6:$M$29,8,FALSE)</x:f>
        <x:v>526.027397260274</x:v>
      </x:c>
      <x:c r="E138" s="24" t="n">
        <x:f>Controls!$B$26</x:f>
        <x:v>0.25</x:v>
      </x:c>
      <x:c r="F138" s="43" t="n">
        <x:f>D138*E138</x:f>
        <x:v>131.5068493150685</x:v>
      </x:c>
      <x:c r="G138" s="17"/>
      <x:c r="H138" s="17"/>
      <x:c r="I138" s="17"/>
      <x:c r="J138" s="13" t="str">
        <x:f>IF(COUNTA(G138:I138)=3,"EVIDENCE REQUIRED","SOURCE EMPTY")</x:f>
        <x:v>SOURCE EMPTY</x:v>
      </x:c>
    </x:row>
    <x:row r="139">
      <x:c r="A139" s="13" t="str">
        <x:v>RT-CELL-3-BAY-2</x:v>
      </x:c>
      <x:c r="B139" s="13" t="str">
        <x:v>RT-CELL-3</x:v>
      </x:c>
      <x:c r="C139" s="13" t="n">
        <x:v>2</x:v>
      </x:c>
      <x:c r="D139" s="30" t="n">
        <x:f>VLOOKUP(B139,'Cell Capacity'!$A$6:$M$29,8,FALSE)</x:f>
        <x:v>526.027397260274</x:v>
      </x:c>
      <x:c r="E139" s="24" t="n">
        <x:f>Controls!$B$26</x:f>
        <x:v>0.25</x:v>
      </x:c>
      <x:c r="F139" s="43" t="n">
        <x:f>D139*E139</x:f>
        <x:v>131.5068493150685</x:v>
      </x:c>
      <x:c r="G139" s="17"/>
      <x:c r="H139" s="17"/>
      <x:c r="I139" s="17"/>
      <x:c r="J139" s="13" t="str">
        <x:f>IF(COUNTA(G139:I139)=3,"EVIDENCE REQUIRED","SOURCE EMPTY")</x:f>
        <x:v>SOURCE EMPTY</x:v>
      </x:c>
    </x:row>
    <x:row r="140">
      <x:c r="A140" s="13" t="str">
        <x:v>RT-CELL-3-BAY-3</x:v>
      </x:c>
      <x:c r="B140" s="13" t="str">
        <x:v>RT-CELL-3</x:v>
      </x:c>
      <x:c r="C140" s="13" t="n">
        <x:v>3</x:v>
      </x:c>
      <x:c r="D140" s="30" t="n">
        <x:f>VLOOKUP(B140,'Cell Capacity'!$A$6:$M$29,8,FALSE)</x:f>
        <x:v>526.027397260274</x:v>
      </x:c>
      <x:c r="E140" s="24" t="n">
        <x:f>Controls!$B$26</x:f>
        <x:v>0.25</x:v>
      </x:c>
      <x:c r="F140" s="43" t="n">
        <x:f>D140*E140</x:f>
        <x:v>131.5068493150685</x:v>
      </x:c>
      <x:c r="G140" s="17"/>
      <x:c r="H140" s="17"/>
      <x:c r="I140" s="17"/>
      <x:c r="J140" s="13" t="str">
        <x:f>IF(COUNTA(G140:I140)=3,"EVIDENCE REQUIRED","SOURCE EMPTY")</x:f>
        <x:v>SOURCE EMPTY</x:v>
      </x:c>
    </x:row>
    <x:row r="141">
      <x:c r="A141" s="13" t="str">
        <x:v>RT-CELL-3-BAY-4</x:v>
      </x:c>
      <x:c r="B141" s="13" t="str">
        <x:v>RT-CELL-3</x:v>
      </x:c>
      <x:c r="C141" s="13" t="n">
        <x:v>4</x:v>
      </x:c>
      <x:c r="D141" s="30" t="n">
        <x:f>VLOOKUP(B141,'Cell Capacity'!$A$6:$M$29,8,FALSE)</x:f>
        <x:v>526.027397260274</x:v>
      </x:c>
      <x:c r="E141" s="24" t="n">
        <x:f>Controls!$B$26</x:f>
        <x:v>0.25</x:v>
      </x:c>
      <x:c r="F141" s="43" t="n">
        <x:f>D141*E141</x:f>
        <x:v>131.5068493150685</x:v>
      </x:c>
      <x:c r="G141" s="17"/>
      <x:c r="H141" s="17"/>
      <x:c r="I141" s="17"/>
      <x:c r="J141" s="13" t="str">
        <x:f>IF(COUNTA(G141:I141)=3,"EVIDENCE REQUIRED","SOURCE EMPTY")</x:f>
        <x:v>SOURCE EMPTY</x:v>
      </x:c>
    </x:row>
    <x:row r="142">
      <x:c r="A142" s="13" t="str">
        <x:v>RT-CELL-3-BAY-5</x:v>
      </x:c>
      <x:c r="B142" s="13" t="str">
        <x:v>RT-CELL-3</x:v>
      </x:c>
      <x:c r="C142" s="13" t="n">
        <x:v>5</x:v>
      </x:c>
      <x:c r="D142" s="30" t="n">
        <x:f>VLOOKUP(B142,'Cell Capacity'!$A$6:$M$29,8,FALSE)</x:f>
        <x:v>526.027397260274</x:v>
      </x:c>
      <x:c r="E142" s="24" t="n">
        <x:f>Controls!$B$26</x:f>
        <x:v>0.25</x:v>
      </x:c>
      <x:c r="F142" s="43" t="n">
        <x:f>D142*E142</x:f>
        <x:v>131.5068493150685</x:v>
      </x:c>
      <x:c r="G142" s="17"/>
      <x:c r="H142" s="17"/>
      <x:c r="I142" s="17"/>
      <x:c r="J142" s="13" t="str">
        <x:f>IF(COUNTA(G142:I142)=3,"EVIDENCE REQUIRED","SOURCE EMPTY")</x:f>
        <x:v>SOURCE EMPTY</x:v>
      </x:c>
    </x:row>
    <x:row r="143">
      <x:c r="A143" s="13" t="str">
        <x:v>RT-CELL-3-BAY-6</x:v>
      </x:c>
      <x:c r="B143" s="13" t="str">
        <x:v>RT-CELL-3</x:v>
      </x:c>
      <x:c r="C143" s="13" t="n">
        <x:v>6</x:v>
      </x:c>
      <x:c r="D143" s="30" t="n">
        <x:f>VLOOKUP(B143,'Cell Capacity'!$A$6:$M$29,8,FALSE)</x:f>
        <x:v>526.027397260274</x:v>
      </x:c>
      <x:c r="E143" s="24" t="n">
        <x:f>Controls!$B$26</x:f>
        <x:v>0.25</x:v>
      </x:c>
      <x:c r="F143" s="43" t="n">
        <x:f>D143*E143</x:f>
        <x:v>131.5068493150685</x:v>
      </x:c>
      <x:c r="G143" s="17"/>
      <x:c r="H143" s="17"/>
      <x:c r="I143" s="17"/>
      <x:c r="J143" s="13" t="str">
        <x:f>IF(COUNTA(G143:I143)=3,"EVIDENCE REQUIRED","SOURCE EMPTY")</x:f>
        <x:v>SOURCE EMPTY</x:v>
      </x:c>
    </x:row>
    <x:row r="144">
      <x:c r="A144" s="13" t="str">
        <x:v>RT-CELL-4-BAY-1</x:v>
      </x:c>
      <x:c r="B144" s="13" t="str">
        <x:v>RT-CELL-4</x:v>
      </x:c>
      <x:c r="C144" s="13" t="n">
        <x:v>1</x:v>
      </x:c>
      <x:c r="D144" s="30" t="n">
        <x:f>VLOOKUP(B144,'Cell Capacity'!$A$6:$M$29,8,FALSE)</x:f>
        <x:v>460.2739726027397</x:v>
      </x:c>
      <x:c r="E144" s="24" t="n">
        <x:f>Controls!$B$26</x:f>
        <x:v>0.25</x:v>
      </x:c>
      <x:c r="F144" s="43" t="n">
        <x:f>D144*E144</x:f>
        <x:v>115.06849315068493</x:v>
      </x:c>
      <x:c r="G144" s="17"/>
      <x:c r="H144" s="17"/>
      <x:c r="I144" s="17"/>
      <x:c r="J144" s="13" t="str">
        <x:f>IF(COUNTA(G144:I144)=3,"EVIDENCE REQUIRED","SOURCE EMPTY")</x:f>
        <x:v>SOURCE EMPTY</x:v>
      </x:c>
    </x:row>
    <x:row r="145">
      <x:c r="A145" s="13" t="str">
        <x:v>RT-CELL-4-BAY-2</x:v>
      </x:c>
      <x:c r="B145" s="13" t="str">
        <x:v>RT-CELL-4</x:v>
      </x:c>
      <x:c r="C145" s="13" t="n">
        <x:v>2</x:v>
      </x:c>
      <x:c r="D145" s="30" t="n">
        <x:f>VLOOKUP(B145,'Cell Capacity'!$A$6:$M$29,8,FALSE)</x:f>
        <x:v>460.2739726027397</x:v>
      </x:c>
      <x:c r="E145" s="24" t="n">
        <x:f>Controls!$B$26</x:f>
        <x:v>0.25</x:v>
      </x:c>
      <x:c r="F145" s="43" t="n">
        <x:f>D145*E145</x:f>
        <x:v>115.06849315068493</x:v>
      </x:c>
      <x:c r="G145" s="17"/>
      <x:c r="H145" s="17"/>
      <x:c r="I145" s="17"/>
      <x:c r="J145" s="13" t="str">
        <x:f>IF(COUNTA(G145:I145)=3,"EVIDENCE REQUIRED","SOURCE EMPTY")</x:f>
        <x:v>SOURCE EMPTY</x:v>
      </x:c>
    </x:row>
    <x:row r="146">
      <x:c r="A146" s="13" t="str">
        <x:v>RT-CELL-4-BAY-3</x:v>
      </x:c>
      <x:c r="B146" s="13" t="str">
        <x:v>RT-CELL-4</x:v>
      </x:c>
      <x:c r="C146" s="13" t="n">
        <x:v>3</x:v>
      </x:c>
      <x:c r="D146" s="30" t="n">
        <x:f>VLOOKUP(B146,'Cell Capacity'!$A$6:$M$29,8,FALSE)</x:f>
        <x:v>460.2739726027397</x:v>
      </x:c>
      <x:c r="E146" s="24" t="n">
        <x:f>Controls!$B$26</x:f>
        <x:v>0.25</x:v>
      </x:c>
      <x:c r="F146" s="43" t="n">
        <x:f>D146*E146</x:f>
        <x:v>115.06849315068493</x:v>
      </x:c>
      <x:c r="G146" s="17"/>
      <x:c r="H146" s="17"/>
      <x:c r="I146" s="17"/>
      <x:c r="J146" s="13" t="str">
        <x:f>IF(COUNTA(G146:I146)=3,"EVIDENCE REQUIRED","SOURCE EMPTY")</x:f>
        <x:v>SOURCE EMPTY</x:v>
      </x:c>
    </x:row>
    <x:row r="147">
      <x:c r="A147" s="13" t="str">
        <x:v>RT-CELL-4-BAY-4</x:v>
      </x:c>
      <x:c r="B147" s="13" t="str">
        <x:v>RT-CELL-4</x:v>
      </x:c>
      <x:c r="C147" s="13" t="n">
        <x:v>4</x:v>
      </x:c>
      <x:c r="D147" s="30" t="n">
        <x:f>VLOOKUP(B147,'Cell Capacity'!$A$6:$M$29,8,FALSE)</x:f>
        <x:v>460.2739726027397</x:v>
      </x:c>
      <x:c r="E147" s="24" t="n">
        <x:f>Controls!$B$26</x:f>
        <x:v>0.25</x:v>
      </x:c>
      <x:c r="F147" s="43" t="n">
        <x:f>D147*E147</x:f>
        <x:v>115.06849315068493</x:v>
      </x:c>
      <x:c r="G147" s="17"/>
      <x:c r="H147" s="17"/>
      <x:c r="I147" s="17"/>
      <x:c r="J147" s="13" t="str">
        <x:f>IF(COUNTA(G147:I147)=3,"EVIDENCE REQUIRED","SOURCE EMPTY")</x:f>
        <x:v>SOURCE EMPTY</x:v>
      </x:c>
    </x:row>
    <x:row r="148">
      <x:c r="A148" s="13" t="str">
        <x:v>RT-CELL-4-BAY-5</x:v>
      </x:c>
      <x:c r="B148" s="13" t="str">
        <x:v>RT-CELL-4</x:v>
      </x:c>
      <x:c r="C148" s="13" t="n">
        <x:v>5</x:v>
      </x:c>
      <x:c r="D148" s="30" t="n">
        <x:f>VLOOKUP(B148,'Cell Capacity'!$A$6:$M$29,8,FALSE)</x:f>
        <x:v>460.2739726027397</x:v>
      </x:c>
      <x:c r="E148" s="24" t="n">
        <x:f>Controls!$B$26</x:f>
        <x:v>0.25</x:v>
      </x:c>
      <x:c r="F148" s="43" t="n">
        <x:f>D148*E148</x:f>
        <x:v>115.06849315068493</x:v>
      </x:c>
      <x:c r="G148" s="17"/>
      <x:c r="H148" s="17"/>
      <x:c r="I148" s="17"/>
      <x:c r="J148" s="13" t="str">
        <x:f>IF(COUNTA(G148:I148)=3,"EVIDENCE REQUIRED","SOURCE EMPTY")</x:f>
        <x:v>SOURCE EMPTY</x:v>
      </x:c>
    </x:row>
    <x:row r="149">
      <x:c r="A149" s="13" t="str">
        <x:v>RT-CELL-4-BAY-6</x:v>
      </x:c>
      <x:c r="B149" s="13" t="str">
        <x:v>RT-CELL-4</x:v>
      </x:c>
      <x:c r="C149" s="13" t="n">
        <x:v>6</x:v>
      </x:c>
      <x:c r="D149" s="30" t="n">
        <x:f>VLOOKUP(B149,'Cell Capacity'!$A$6:$M$29,8,FALSE)</x:f>
        <x:v>460.2739726027397</x:v>
      </x:c>
      <x:c r="E149" s="24" t="n">
        <x:f>Controls!$B$26</x:f>
        <x:v>0.25</x:v>
      </x:c>
      <x:c r="F149" s="43" t="n">
        <x:f>D149*E149</x:f>
        <x:v>115.06849315068493</x:v>
      </x:c>
      <x:c r="G149" s="17"/>
      <x:c r="H149" s="17"/>
      <x:c r="I149" s="17"/>
      <x:c r="J149" s="13" t="str">
        <x:f>IF(COUNTA(G149:I149)=3,"EVIDENCE REQUIRED","SOURCE EMPTY")</x:f>
        <x:v>SOURCE EMPTY</x:v>
      </x:c>
    </x:row>
  </x:sheetData>
  <x:conditionalFormatting sqref="J6:J149">
    <x:cfRule type="containsText" dxfId="12" priority="1" operator="containsText" text="FAIL"/>
    <x:cfRule type="containsText" dxfId="13" priority="2" operator="containsText" text="SOURCE EMPTY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9" hidden="0" customWidth="1"/>
    <x:col min="5" max="5" width="19" hidden="0" customWidth="1"/>
    <x:col min="6" max="6" width="21" hidden="0" customWidth="1"/>
    <x:col min="7" max="7" width="18" hidden="0" customWidth="1"/>
    <x:col min="8" max="8" width="16" hidden="0" customWidth="1"/>
    <x:col min="9" max="9" width="14" hidden="0" customWidth="1"/>
    <x:col min="10" max="10" width="10" hidden="0" customWidth="1"/>
    <x:col min="11" max="11" width="19" hidden="0" customWidth="1"/>
    <x:col min="12" max="12" width="18" hidden="0" customWidth="1"/>
    <x:col min="13" max="13" width="18" hidden="0" customWidth="1"/>
    <x:col min="14" max="14" width="18" hidden="0" customWidth="1"/>
    <x:col min="15" max="15" width="12" hidden="0" customWidth="1"/>
    <x:col min="16" max="16" width="26" hidden="0" customWidth="1"/>
  </x:cols>
  <x:sheetData>
    <x:row r="2">
      <x:c r="A2" s="59" t="str">
        <x:v>Public-cell recovery workforce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3">
      <x:c r="A3" s="61" t="str">
        <x:v>Each cell retains three portable credential cohorts and survives denial of twenty-five percent of its establishment.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</x:row>
    <x:row r="5" ht="30" customHeight="1">
      <x:c r="A5" s="9" t="str">
        <x:v>Cell</x:v>
      </x:c>
      <x:c r="B5" s="9" t="str">
        <x:v>Root 1</x:v>
      </x:c>
      <x:c r="C5" s="9" t="str">
        <x:v>Root 2</x:v>
      </x:c>
      <x:c r="D5" s="9" t="str">
        <x:v>Root 1 active workers</x:v>
      </x:c>
      <x:c r="E5" s="9" t="str">
        <x:v>Root 2 active workers</x:v>
      </x:c>
      <x:c r="F5" s="9" t="str">
        <x:v>Governing active workers</x:v>
      </x:c>
      <x:c r="G5" s="9" t="str">
        <x:v>Gross establishment</x:v>
      </x:c>
      <x:c r="H5" s="9" t="str">
        <x:v>After denial</x:v>
      </x:c>
      <x:c r="I5" s="9" t="str">
        <x:v>Denial margin</x:v>
      </x:c>
      <x:c r="J5" s="9" t="str">
        <x:v>Cohorts</x:v>
      </x:c>
      <x:c r="K5" s="9" t="str">
        <x:v>Maximum cohort share</x:v>
      </x:c>
      <x:c r="L5" s="9" t="str">
        <x:v>Cohort 1 ID</x:v>
      </x:c>
      <x:c r="M5" s="9" t="str">
        <x:v>Cohort 2 ID</x:v>
      </x:c>
      <x:c r="N5" s="9" t="str">
        <x:v>Cohort 3 ID</x:v>
      </x:c>
      <x:c r="O5" s="9" t="str">
        <x:v>Planning</x:v>
      </x:c>
      <x:c r="P5" s="9" t="str">
        <x:v>Evidence</x:v>
      </x:c>
    </x:row>
    <x:row r="6">
      <x:c r="A6" s="12" t="str">
        <x:v>TE-CELL-1</x:v>
      </x:c>
      <x:c r="B6" s="12" t="str">
        <x:v>TE-A</x:v>
      </x:c>
      <x:c r="C6" s="12" t="str">
        <x:v>TE-B</x:v>
      </x:c>
      <x:c r="D6" s="29" t="n">
        <x:f>VLOOKUP(B6,'Root Units'!$A$6:$K$29,11,FALSE)</x:f>
        <x:v>3657.5342465753424</x:v>
      </x:c>
      <x:c r="E6" s="29" t="n">
        <x:f>VLOOKUP(C6,'Root Units'!$A$6:$K$29,11,FALSE)</x:f>
        <x:v>3442.922374429224</x:v>
      </x:c>
      <x:c r="F6" s="29" t="n">
        <x:f>MAX(D6:E6)</x:f>
        <x:v>3657.5342465753424</x:v>
      </x:c>
      <x:c r="G6" s="29" t="n">
        <x:f>F6/(1-Controls!$B$16)</x:f>
        <x:v>4876.712328767123</x:v>
      </x:c>
      <x:c r="H6" s="29" t="n">
        <x:f>G6*(1-Controls!$B$16)</x:f>
        <x:v>3657.534246575342</x:v>
      </x:c>
      <x:c r="I6" s="29" t="n">
        <x:f>H6/F6</x:f>
        <x:v>0.9999999999999999</x:v>
      </x:c>
      <x:c r="J6" s="12" t="n">
        <x:v>3</x:v>
      </x:c>
      <x:c r="K6" s="39" t="n">
        <x:v>0.4</x:v>
      </x:c>
      <x:c r="L6" s="16"/>
      <x:c r="M6" s="16"/>
      <x:c r="N6" s="16"/>
      <x:c r="O6" s="12" t="str">
        <x:f>IF(AND(H6&gt;=F6,I6&gt;=1,J6&gt;=3,K6&lt;=0.4),"PASS","FAIL")</x:f>
        <x:v>PASS</x:v>
      </x:c>
      <x:c r="P6" s="12" t="str">
        <x:f>IF(COUNTA(L6:N6)=3,"IDENTIFIED; EVIDENCE REQUIRED","SOURCE EMPTY")</x:f>
        <x:v>SOURCE EMPTY</x:v>
      </x:c>
    </x:row>
    <x:row r="7">
      <x:c r="A7" s="13" t="str">
        <x:v>TE-CELL-2</x:v>
      </x:c>
      <x:c r="B7" s="13" t="str">
        <x:v>TE-C</x:v>
      </x:c>
      <x:c r="C7" s="13" t="str">
        <x:v>TE-D</x:v>
      </x:c>
      <x:c r="D7" s="30" t="n">
        <x:f>VLOOKUP(B7,'Root Units'!$A$6:$K$29,11,FALSE)</x:f>
        <x:v>2703.1963470319633</x:v>
      </x:c>
      <x:c r="E7" s="30" t="n">
        <x:f>VLOOKUP(C7,'Root Units'!$A$6:$K$29,11,FALSE)</x:f>
        <x:v>2374.4292237442924</x:v>
      </x:c>
      <x:c r="F7" s="30" t="n">
        <x:f>MAX(D7:E7)</x:f>
        <x:v>2703.1963470319633</x:v>
      </x:c>
      <x:c r="G7" s="30" t="n">
        <x:f>F7/(1-Controls!$B$16)</x:f>
        <x:v>3604.261796042618</x:v>
      </x:c>
      <x:c r="H7" s="30" t="n">
        <x:f>G7*(1-Controls!$B$16)</x:f>
        <x:v>2703.1963470319633</x:v>
      </x:c>
      <x:c r="I7" s="30" t="n">
        <x:f>H7/F7</x:f>
        <x:v>1</x:v>
      </x:c>
      <x:c r="J7" s="13" t="n">
        <x:v>3</x:v>
      </x:c>
      <x:c r="K7" s="24" t="n">
        <x:v>0.4</x:v>
      </x:c>
      <x:c r="L7" s="17"/>
      <x:c r="M7" s="17"/>
      <x:c r="N7" s="17"/>
      <x:c r="O7" s="13" t="str">
        <x:f>IF(AND(H7&gt;=F7,I7&gt;=1,J7&gt;=3,K7&lt;=0.4),"PASS","FAIL")</x:f>
        <x:v>PASS</x:v>
      </x:c>
      <x:c r="P7" s="13" t="str">
        <x:f>IF(COUNTA(L7:N7)=3,"IDENTIFIED; EVIDENCE REQUIRED","SOURCE EMPTY")</x:f>
        <x:v>SOURCE EMPTY</x:v>
      </x:c>
    </x:row>
    <x:row r="8">
      <x:c r="A8" s="13" t="str">
        <x:v>TE-CELL-3</x:v>
      </x:c>
      <x:c r="B8" s="13" t="str">
        <x:v>TE-A</x:v>
      </x:c>
      <x:c r="C8" s="13" t="str">
        <x:v>TE-C</x:v>
      </x:c>
      <x:c r="D8" s="30" t="n">
        <x:f>VLOOKUP(B8,'Root Units'!$A$6:$K$29,11,FALSE)</x:f>
        <x:v>3657.5342465753424</x:v>
      </x:c>
      <x:c r="E8" s="30" t="n">
        <x:f>VLOOKUP(C8,'Root Units'!$A$6:$K$29,11,FALSE)</x:f>
        <x:v>2703.1963470319633</x:v>
      </x:c>
      <x:c r="F8" s="30" t="n">
        <x:f>MAX(D8:E8)</x:f>
        <x:v>3657.5342465753424</x:v>
      </x:c>
      <x:c r="G8" s="30" t="n">
        <x:f>F8/(1-Controls!$B$16)</x:f>
        <x:v>4876.712328767123</x:v>
      </x:c>
      <x:c r="H8" s="30" t="n">
        <x:f>G8*(1-Controls!$B$16)</x:f>
        <x:v>3657.534246575342</x:v>
      </x:c>
      <x:c r="I8" s="30" t="n">
        <x:f>H8/F8</x:f>
        <x:v>0.9999999999999999</x:v>
      </x:c>
      <x:c r="J8" s="13" t="n">
        <x:v>3</x:v>
      </x:c>
      <x:c r="K8" s="24" t="n">
        <x:v>0.4</x:v>
      </x:c>
      <x:c r="L8" s="17"/>
      <x:c r="M8" s="17"/>
      <x:c r="N8" s="17"/>
      <x:c r="O8" s="13" t="str">
        <x:f>IF(AND(H8&gt;=F8,I8&gt;=1,J8&gt;=3,K8&lt;=0.4),"PASS","FAIL")</x:f>
        <x:v>PASS</x:v>
      </x:c>
      <x:c r="P8" s="13" t="str">
        <x:f>IF(COUNTA(L8:N8)=3,"IDENTIFIED; EVIDENCE REQUIRED","SOURCE EMPTY")</x:f>
        <x:v>SOURCE EMPTY</x:v>
      </x:c>
    </x:row>
    <x:row r="9">
      <x:c r="A9" s="13" t="str">
        <x:v>TE-CELL-4</x:v>
      </x:c>
      <x:c r="B9" s="13" t="str">
        <x:v>TE-B</x:v>
      </x:c>
      <x:c r="C9" s="13" t="str">
        <x:v>TE-D</x:v>
      </x:c>
      <x:c r="D9" s="30" t="n">
        <x:f>VLOOKUP(B9,'Root Units'!$A$6:$K$29,11,FALSE)</x:f>
        <x:v>3442.922374429224</x:v>
      </x:c>
      <x:c r="E9" s="30" t="n">
        <x:f>VLOOKUP(C9,'Root Units'!$A$6:$K$29,11,FALSE)</x:f>
        <x:v>2374.4292237442924</x:v>
      </x:c>
      <x:c r="F9" s="30" t="n">
        <x:f>MAX(D9:E9)</x:f>
        <x:v>3442.922374429224</x:v>
      </x:c>
      <x:c r="G9" s="30" t="n">
        <x:f>F9/(1-Controls!$B$16)</x:f>
        <x:v>4590.563165905632</x:v>
      </x:c>
      <x:c r="H9" s="30" t="n">
        <x:f>G9*(1-Controls!$B$16)</x:f>
        <x:v>3442.922374429224</x:v>
      </x:c>
      <x:c r="I9" s="30" t="n">
        <x:f>H9/F9</x:f>
        <x:v>1</x:v>
      </x:c>
      <x:c r="J9" s="13" t="n">
        <x:v>3</x:v>
      </x:c>
      <x:c r="K9" s="24" t="n">
        <x:v>0.4</x:v>
      </x:c>
      <x:c r="L9" s="17"/>
      <x:c r="M9" s="17"/>
      <x:c r="N9" s="17"/>
      <x:c r="O9" s="13" t="str">
        <x:f>IF(AND(H9&gt;=F9,I9&gt;=1,J9&gt;=3,K9&lt;=0.4),"PASS","FAIL")</x:f>
        <x:v>PASS</x:v>
      </x:c>
      <x:c r="P9" s="13" t="str">
        <x:f>IF(COUNTA(L9:N9)=3,"IDENTIFIED; EVIDENCE REQUIRED","SOURCE EMPTY")</x:f>
        <x:v>SOURCE EMPTY</x:v>
      </x:c>
    </x:row>
    <x:row r="10">
      <x:c r="A10" s="13" t="str">
        <x:v>CT-CELL-1</x:v>
      </x:c>
      <x:c r="B10" s="13" t="str">
        <x:v>CT-A</x:v>
      </x:c>
      <x:c r="C10" s="13" t="str">
        <x:v>CT-B</x:v>
      </x:c>
      <x:c r="D10" s="30" t="n">
        <x:f>VLOOKUP(B10,'Root Units'!$A$6:$K$29,11,FALSE)</x:f>
        <x:v>803.6529680365297</x:v>
      </x:c>
      <x:c r="E10" s="30" t="n">
        <x:f>VLOOKUP(C10,'Root Units'!$A$6:$K$29,11,FALSE)</x:f>
        <x:v>1342.4657534246576</x:v>
      </x:c>
      <x:c r="F10" s="30" t="n">
        <x:f>MAX(D10:E10)</x:f>
        <x:v>1342.4657534246576</x:v>
      </x:c>
      <x:c r="G10" s="30" t="n">
        <x:f>F10/(1-Controls!$B$16)</x:f>
        <x:v>1789.9543378995434</x:v>
      </x:c>
      <x:c r="H10" s="30" t="n">
        <x:f>G10*(1-Controls!$B$16)</x:f>
        <x:v>1342.4657534246576</x:v>
      </x:c>
      <x:c r="I10" s="30" t="n">
        <x:f>H10/F10</x:f>
        <x:v>1</x:v>
      </x:c>
      <x:c r="J10" s="13" t="n">
        <x:v>3</x:v>
      </x:c>
      <x:c r="K10" s="24" t="n">
        <x:v>0.4</x:v>
      </x:c>
      <x:c r="L10" s="17"/>
      <x:c r="M10" s="17"/>
      <x:c r="N10" s="17"/>
      <x:c r="O10" s="13" t="str">
        <x:f>IF(AND(H10&gt;=F10,I10&gt;=1,J10&gt;=3,K10&lt;=0.4),"PASS","FAIL")</x:f>
        <x:v>PASS</x:v>
      </x:c>
      <x:c r="P10" s="13" t="str">
        <x:f>IF(COUNTA(L10:N10)=3,"IDENTIFIED; EVIDENCE REQUIRED","SOURCE EMPTY")</x:f>
        <x:v>SOURCE EMPTY</x:v>
      </x:c>
    </x:row>
    <x:row r="11">
      <x:c r="A11" s="13" t="str">
        <x:v>CT-CELL-2</x:v>
      </x:c>
      <x:c r="B11" s="13" t="str">
        <x:v>CT-C</x:v>
      </x:c>
      <x:c r="C11" s="13" t="str">
        <x:v>CT-D</x:v>
      </x:c>
      <x:c r="D11" s="30" t="n">
        <x:f>VLOOKUP(B11,'Root Units'!$A$6:$K$29,11,FALSE)</x:f>
        <x:v>1479.4520547945206</x:v>
      </x:c>
      <x:c r="E11" s="30" t="n">
        <x:f>VLOOKUP(C11,'Root Units'!$A$6:$K$29,11,FALSE)</x:f>
        <x:v>867.5799086757991</x:v>
      </x:c>
      <x:c r="F11" s="30" t="n">
        <x:f>MAX(D11:E11)</x:f>
        <x:v>1479.4520547945206</x:v>
      </x:c>
      <x:c r="G11" s="30" t="n">
        <x:f>F11/(1-Controls!$B$16)</x:f>
        <x:v>1972.6027397260275</x:v>
      </x:c>
      <x:c r="H11" s="30" t="n">
        <x:f>G11*(1-Controls!$B$16)</x:f>
        <x:v>1479.4520547945206</x:v>
      </x:c>
      <x:c r="I11" s="30" t="n">
        <x:f>H11/F11</x:f>
        <x:v>1</x:v>
      </x:c>
      <x:c r="J11" s="13" t="n">
        <x:v>3</x:v>
      </x:c>
      <x:c r="K11" s="24" t="n">
        <x:v>0.4</x:v>
      </x:c>
      <x:c r="L11" s="17"/>
      <x:c r="M11" s="17"/>
      <x:c r="N11" s="17"/>
      <x:c r="O11" s="13" t="str">
        <x:f>IF(AND(H11&gt;=F11,I11&gt;=1,J11&gt;=3,K11&lt;=0.4),"PASS","FAIL")</x:f>
        <x:v>PASS</x:v>
      </x:c>
      <x:c r="P11" s="13" t="str">
        <x:f>IF(COUNTA(L11:N11)=3,"IDENTIFIED; EVIDENCE REQUIRED","SOURCE EMPTY")</x:f>
        <x:v>SOURCE EMPTY</x:v>
      </x:c>
    </x:row>
    <x:row r="12">
      <x:c r="A12" s="13" t="str">
        <x:v>CT-CELL-3</x:v>
      </x:c>
      <x:c r="B12" s="13" t="str">
        <x:v>CT-A</x:v>
      </x:c>
      <x:c r="C12" s="13" t="str">
        <x:v>CT-C</x:v>
      </x:c>
      <x:c r="D12" s="30" t="n">
        <x:f>VLOOKUP(B12,'Root Units'!$A$6:$K$29,11,FALSE)</x:f>
        <x:v>803.6529680365297</x:v>
      </x:c>
      <x:c r="E12" s="30" t="n">
        <x:f>VLOOKUP(C12,'Root Units'!$A$6:$K$29,11,FALSE)</x:f>
        <x:v>1479.4520547945206</x:v>
      </x:c>
      <x:c r="F12" s="30" t="n">
        <x:f>MAX(D12:E12)</x:f>
        <x:v>1479.4520547945206</x:v>
      </x:c>
      <x:c r="G12" s="30" t="n">
        <x:f>F12/(1-Controls!$B$16)</x:f>
        <x:v>1972.6027397260275</x:v>
      </x:c>
      <x:c r="H12" s="30" t="n">
        <x:f>G12*(1-Controls!$B$16)</x:f>
        <x:v>1479.4520547945206</x:v>
      </x:c>
      <x:c r="I12" s="30" t="n">
        <x:f>H12/F12</x:f>
        <x:v>1</x:v>
      </x:c>
      <x:c r="J12" s="13" t="n">
        <x:v>3</x:v>
      </x:c>
      <x:c r="K12" s="24" t="n">
        <x:v>0.4</x:v>
      </x:c>
      <x:c r="L12" s="17"/>
      <x:c r="M12" s="17"/>
      <x:c r="N12" s="17"/>
      <x:c r="O12" s="13" t="str">
        <x:f>IF(AND(H12&gt;=F12,I12&gt;=1,J12&gt;=3,K12&lt;=0.4),"PASS","FAIL")</x:f>
        <x:v>PASS</x:v>
      </x:c>
      <x:c r="P12" s="13" t="str">
        <x:f>IF(COUNTA(L12:N12)=3,"IDENTIFIED; EVIDENCE REQUIRED","SOURCE EMPTY")</x:f>
        <x:v>SOURCE EMPTY</x:v>
      </x:c>
    </x:row>
    <x:row r="13">
      <x:c r="A13" s="13" t="str">
        <x:v>CT-CELL-4</x:v>
      </x:c>
      <x:c r="B13" s="13" t="str">
        <x:v>CT-B</x:v>
      </x:c>
      <x:c r="C13" s="13" t="str">
        <x:v>CT-D</x:v>
      </x:c>
      <x:c r="D13" s="30" t="n">
        <x:f>VLOOKUP(B13,'Root Units'!$A$6:$K$29,11,FALSE)</x:f>
        <x:v>1342.4657534246576</x:v>
      </x:c>
      <x:c r="E13" s="30" t="n">
        <x:f>VLOOKUP(C13,'Root Units'!$A$6:$K$29,11,FALSE)</x:f>
        <x:v>867.5799086757991</x:v>
      </x:c>
      <x:c r="F13" s="30" t="n">
        <x:f>MAX(D13:E13)</x:f>
        <x:v>1342.4657534246576</x:v>
      </x:c>
      <x:c r="G13" s="30" t="n">
        <x:f>F13/(1-Controls!$B$16)</x:f>
        <x:v>1789.9543378995434</x:v>
      </x:c>
      <x:c r="H13" s="30" t="n">
        <x:f>G13*(1-Controls!$B$16)</x:f>
        <x:v>1342.4657534246576</x:v>
      </x:c>
      <x:c r="I13" s="30" t="n">
        <x:f>H13/F13</x:f>
        <x:v>1</x:v>
      </x:c>
      <x:c r="J13" s="13" t="n">
        <x:v>3</x:v>
      </x:c>
      <x:c r="K13" s="24" t="n">
        <x:v>0.4</x:v>
      </x:c>
      <x:c r="L13" s="17"/>
      <x:c r="M13" s="17"/>
      <x:c r="N13" s="17"/>
      <x:c r="O13" s="13" t="str">
        <x:f>IF(AND(H13&gt;=F13,I13&gt;=1,J13&gt;=3,K13&lt;=0.4),"PASS","FAIL")</x:f>
        <x:v>PASS</x:v>
      </x:c>
      <x:c r="P13" s="13" t="str">
        <x:f>IF(COUNTA(L13:N13)=3,"IDENTIFIED; EVIDENCE REQUIRED","SOURCE EMPTY")</x:f>
        <x:v>SOURCE EMPTY</x:v>
      </x:c>
    </x:row>
    <x:row r="14">
      <x:c r="A14" s="13" t="str">
        <x:v>HC-CELL-1</x:v>
      </x:c>
      <x:c r="B14" s="13" t="str">
        <x:v>HC-A</x:v>
      </x:c>
      <x:c r="C14" s="13" t="str">
        <x:v>HC-B</x:v>
      </x:c>
      <x:c r="D14" s="30" t="n">
        <x:f>VLOOKUP(B14,'Root Units'!$A$6:$K$29,11,FALSE)</x:f>
        <x:v>2812.785388127854</x:v>
      </x:c>
      <x:c r="E14" s="30" t="n">
        <x:f>VLOOKUP(C14,'Root Units'!$A$6:$K$29,11,FALSE)</x:f>
        <x:v>2506.849315068493</x:v>
      </x:c>
      <x:c r="F14" s="30" t="n">
        <x:f>MAX(D14:E14)</x:f>
        <x:v>2812.785388127854</x:v>
      </x:c>
      <x:c r="G14" s="30" t="n">
        <x:f>F14/(1-Controls!$B$16)</x:f>
        <x:v>3750.380517503805</x:v>
      </x:c>
      <x:c r="H14" s="30" t="n">
        <x:f>G14*(1-Controls!$B$16)</x:f>
        <x:v>2812.785388127854</x:v>
      </x:c>
      <x:c r="I14" s="30" t="n">
        <x:f>H14/F14</x:f>
        <x:v>1</x:v>
      </x:c>
      <x:c r="J14" s="13" t="n">
        <x:v>3</x:v>
      </x:c>
      <x:c r="K14" s="24" t="n">
        <x:v>0.4</x:v>
      </x:c>
      <x:c r="L14" s="17"/>
      <x:c r="M14" s="17"/>
      <x:c r="N14" s="17"/>
      <x:c r="O14" s="13" t="str">
        <x:f>IF(AND(H14&gt;=F14,I14&gt;=1,J14&gt;=3,K14&lt;=0.4),"PASS","FAIL")</x:f>
        <x:v>PASS</x:v>
      </x:c>
      <x:c r="P14" s="13" t="str">
        <x:f>IF(COUNTA(L14:N14)=3,"IDENTIFIED; EVIDENCE REQUIRED","SOURCE EMPTY")</x:f>
        <x:v>SOURCE EMPTY</x:v>
      </x:c>
    </x:row>
    <x:row r="15">
      <x:c r="A15" s="13" t="str">
        <x:v>HC-CELL-2</x:v>
      </x:c>
      <x:c r="B15" s="13" t="str">
        <x:v>HC-C</x:v>
      </x:c>
      <x:c r="C15" s="13" t="str">
        <x:v>HC-D</x:v>
      </x:c>
      <x:c r="D15" s="30" t="n">
        <x:f>VLOOKUP(B15,'Root Units'!$A$6:$K$29,11,FALSE)</x:f>
        <x:v>2374.4292237442924</x:v>
      </x:c>
      <x:c r="E15" s="30" t="n">
        <x:f>VLOOKUP(C15,'Root Units'!$A$6:$K$29,11,FALSE)</x:f>
        <x:v>1657.5342465753424</x:v>
      </x:c>
      <x:c r="F15" s="30" t="n">
        <x:f>MAX(D15:E15)</x:f>
        <x:v>2374.4292237442924</x:v>
      </x:c>
      <x:c r="G15" s="30" t="n">
        <x:f>F15/(1-Controls!$B$16)</x:f>
        <x:v>3165.9056316590563</x:v>
      </x:c>
      <x:c r="H15" s="30" t="n">
        <x:f>G15*(1-Controls!$B$16)</x:f>
        <x:v>2374.4292237442924</x:v>
      </x:c>
      <x:c r="I15" s="30" t="n">
        <x:f>H15/F15</x:f>
        <x:v>1</x:v>
      </x:c>
      <x:c r="J15" s="13" t="n">
        <x:v>3</x:v>
      </x:c>
      <x:c r="K15" s="24" t="n">
        <x:v>0.4</x:v>
      </x:c>
      <x:c r="L15" s="17"/>
      <x:c r="M15" s="17"/>
      <x:c r="N15" s="17"/>
      <x:c r="O15" s="13" t="str">
        <x:f>IF(AND(H15&gt;=F15,I15&gt;=1,J15&gt;=3,K15&lt;=0.4),"PASS","FAIL")</x:f>
        <x:v>PASS</x:v>
      </x:c>
      <x:c r="P15" s="13" t="str">
        <x:f>IF(COUNTA(L15:N15)=3,"IDENTIFIED; EVIDENCE REQUIRED","SOURCE EMPTY")</x:f>
        <x:v>SOURCE EMPTY</x:v>
      </x:c>
    </x:row>
    <x:row r="16">
      <x:c r="A16" s="13" t="str">
        <x:v>HC-CELL-3</x:v>
      </x:c>
      <x:c r="B16" s="13" t="str">
        <x:v>HC-A</x:v>
      </x:c>
      <x:c r="C16" s="13" t="str">
        <x:v>HC-C</x:v>
      </x:c>
      <x:c r="D16" s="30" t="n">
        <x:f>VLOOKUP(B16,'Root Units'!$A$6:$K$29,11,FALSE)</x:f>
        <x:v>2812.785388127854</x:v>
      </x:c>
      <x:c r="E16" s="30" t="n">
        <x:f>VLOOKUP(C16,'Root Units'!$A$6:$K$29,11,FALSE)</x:f>
        <x:v>2374.4292237442924</x:v>
      </x:c>
      <x:c r="F16" s="30" t="n">
        <x:f>MAX(D16:E16)</x:f>
        <x:v>2812.785388127854</x:v>
      </x:c>
      <x:c r="G16" s="30" t="n">
        <x:f>F16/(1-Controls!$B$16)</x:f>
        <x:v>3750.380517503805</x:v>
      </x:c>
      <x:c r="H16" s="30" t="n">
        <x:f>G16*(1-Controls!$B$16)</x:f>
        <x:v>2812.785388127854</x:v>
      </x:c>
      <x:c r="I16" s="30" t="n">
        <x:f>H16/F16</x:f>
        <x:v>1</x:v>
      </x:c>
      <x:c r="J16" s="13" t="n">
        <x:v>3</x:v>
      </x:c>
      <x:c r="K16" s="24" t="n">
        <x:v>0.4</x:v>
      </x:c>
      <x:c r="L16" s="17"/>
      <x:c r="M16" s="17"/>
      <x:c r="N16" s="17"/>
      <x:c r="O16" s="13" t="str">
        <x:f>IF(AND(H16&gt;=F16,I16&gt;=1,J16&gt;=3,K16&lt;=0.4),"PASS","FAIL")</x:f>
        <x:v>PASS</x:v>
      </x:c>
      <x:c r="P16" s="13" t="str">
        <x:f>IF(COUNTA(L16:N16)=3,"IDENTIFIED; EVIDENCE REQUIRED","SOURCE EMPTY")</x:f>
        <x:v>SOURCE EMPTY</x:v>
      </x:c>
    </x:row>
    <x:row r="17">
      <x:c r="A17" s="13" t="str">
        <x:v>HC-CELL-4</x:v>
      </x:c>
      <x:c r="B17" s="13" t="str">
        <x:v>HC-B</x:v>
      </x:c>
      <x:c r="C17" s="13" t="str">
        <x:v>HC-D</x:v>
      </x:c>
      <x:c r="D17" s="30" t="n">
        <x:f>VLOOKUP(B17,'Root Units'!$A$6:$K$29,11,FALSE)</x:f>
        <x:v>2506.849315068493</x:v>
      </x:c>
      <x:c r="E17" s="30" t="n">
        <x:f>VLOOKUP(C17,'Root Units'!$A$6:$K$29,11,FALSE)</x:f>
        <x:v>1657.5342465753424</x:v>
      </x:c>
      <x:c r="F17" s="30" t="n">
        <x:f>MAX(D17:E17)</x:f>
        <x:v>2506.849315068493</x:v>
      </x:c>
      <x:c r="G17" s="30" t="n">
        <x:f>F17/(1-Controls!$B$16)</x:f>
        <x:v>3342.4657534246576</x:v>
      </x:c>
      <x:c r="H17" s="30" t="n">
        <x:f>G17*(1-Controls!$B$16)</x:f>
        <x:v>2506.849315068493</x:v>
      </x:c>
      <x:c r="I17" s="30" t="n">
        <x:f>H17/F17</x:f>
        <x:v>1</x:v>
      </x:c>
      <x:c r="J17" s="13" t="n">
        <x:v>3</x:v>
      </x:c>
      <x:c r="K17" s="24" t="n">
        <x:v>0.4</x:v>
      </x:c>
      <x:c r="L17" s="17"/>
      <x:c r="M17" s="17"/>
      <x:c r="N17" s="17"/>
      <x:c r="O17" s="13" t="str">
        <x:f>IF(AND(H17&gt;=F17,I17&gt;=1,J17&gt;=3,K17&lt;=0.4),"PASS","FAIL")</x:f>
        <x:v>PASS</x:v>
      </x:c>
      <x:c r="P17" s="13" t="str">
        <x:f>IF(COUNTA(L17:N17)=3,"IDENTIFIED; EVIDENCE REQUIRED","SOURCE EMPTY")</x:f>
        <x:v>SOURCE EMPTY</x:v>
      </x:c>
    </x:row>
    <x:row r="18">
      <x:c r="A18" s="13" t="str">
        <x:v>LF-CELL-1</x:v>
      </x:c>
      <x:c r="B18" s="13" t="str">
        <x:v>LF-A</x:v>
      </x:c>
      <x:c r="C18" s="13" t="str">
        <x:v>LF-B</x:v>
      </x:c>
      <x:c r="D18" s="30" t="n">
        <x:f>VLOOKUP(B18,'Root Units'!$A$6:$K$29,11,FALSE)</x:f>
        <x:v>3128.7671232876714</x:v>
      </x:c>
      <x:c r="E18" s="30" t="n">
        <x:f>VLOOKUP(C18,'Root Units'!$A$6:$K$29,11,FALSE)</x:f>
        <x:v>2128.4246575342468</x:v>
      </x:c>
      <x:c r="F18" s="30" t="n">
        <x:f>MAX(D18:E18)</x:f>
        <x:v>3128.7671232876714</x:v>
      </x:c>
      <x:c r="G18" s="30" t="n">
        <x:f>F18/(1-Controls!$B$16)</x:f>
        <x:v>4171.689497716895</x:v>
      </x:c>
      <x:c r="H18" s="30" t="n">
        <x:f>G18*(1-Controls!$B$16)</x:f>
        <x:v>3128.767123287671</x:v>
      </x:c>
      <x:c r="I18" s="30" t="n">
        <x:f>H18/F18</x:f>
        <x:v>0.9999999999999999</x:v>
      </x:c>
      <x:c r="J18" s="13" t="n">
        <x:v>3</x:v>
      </x:c>
      <x:c r="K18" s="24" t="n">
        <x:v>0.4</x:v>
      </x:c>
      <x:c r="L18" s="17"/>
      <x:c r="M18" s="17"/>
      <x:c r="N18" s="17"/>
      <x:c r="O18" s="13" t="str">
        <x:f>IF(AND(H18&gt;=F18,I18&gt;=1,J18&gt;=3,K18&lt;=0.4),"PASS","FAIL")</x:f>
        <x:v>PASS</x:v>
      </x:c>
      <x:c r="P18" s="13" t="str">
        <x:f>IF(COUNTA(L18:N18)=3,"IDENTIFIED; EVIDENCE REQUIRED","SOURCE EMPTY")</x:f>
        <x:v>SOURCE EMPTY</x:v>
      </x:c>
    </x:row>
    <x:row r="19">
      <x:c r="A19" s="13" t="str">
        <x:v>LF-CELL-2</x:v>
      </x:c>
      <x:c r="B19" s="13" t="str">
        <x:v>LF-C</x:v>
      </x:c>
      <x:c r="C19" s="13" t="str">
        <x:v>LF-D</x:v>
      </x:c>
      <x:c r="D19" s="30" t="n">
        <x:f>VLOOKUP(B19,'Root Units'!$A$6:$K$29,11,FALSE)</x:f>
        <x:v>1898.6301369863013</x:v>
      </x:c>
      <x:c r="E19" s="30" t="n">
        <x:f>VLOOKUP(C19,'Root Units'!$A$6:$K$29,11,FALSE)</x:f>
        <x:v>754.1095890410959</x:v>
      </x:c>
      <x:c r="F19" s="30" t="n">
        <x:f>MAX(D19:E19)</x:f>
        <x:v>1898.6301369863013</x:v>
      </x:c>
      <x:c r="G19" s="30" t="n">
        <x:f>F19/(1-Controls!$B$16)</x:f>
        <x:v>2531.5068493150684</x:v>
      </x:c>
      <x:c r="H19" s="30" t="n">
        <x:f>G19*(1-Controls!$B$16)</x:f>
        <x:v>1898.6301369863013</x:v>
      </x:c>
      <x:c r="I19" s="30" t="n">
        <x:f>H19/F19</x:f>
        <x:v>1</x:v>
      </x:c>
      <x:c r="J19" s="13" t="n">
        <x:v>3</x:v>
      </x:c>
      <x:c r="K19" s="24" t="n">
        <x:v>0.4</x:v>
      </x:c>
      <x:c r="L19" s="17"/>
      <x:c r="M19" s="17"/>
      <x:c r="N19" s="17"/>
      <x:c r="O19" s="13" t="str">
        <x:f>IF(AND(H19&gt;=F19,I19&gt;=1,J19&gt;=3,K19&lt;=0.4),"PASS","FAIL")</x:f>
        <x:v>PASS</x:v>
      </x:c>
      <x:c r="P19" s="13" t="str">
        <x:f>IF(COUNTA(L19:N19)=3,"IDENTIFIED; EVIDENCE REQUIRED","SOURCE EMPTY")</x:f>
        <x:v>SOURCE EMPTY</x:v>
      </x:c>
    </x:row>
    <x:row r="20">
      <x:c r="A20" s="13" t="str">
        <x:v>LF-CELL-3</x:v>
      </x:c>
      <x:c r="B20" s="13" t="str">
        <x:v>LF-A</x:v>
      </x:c>
      <x:c r="C20" s="13" t="str">
        <x:v>LF-C</x:v>
      </x:c>
      <x:c r="D20" s="30" t="n">
        <x:f>VLOOKUP(B20,'Root Units'!$A$6:$K$29,11,FALSE)</x:f>
        <x:v>3128.7671232876714</x:v>
      </x:c>
      <x:c r="E20" s="30" t="n">
        <x:f>VLOOKUP(C20,'Root Units'!$A$6:$K$29,11,FALSE)</x:f>
        <x:v>1898.6301369863013</x:v>
      </x:c>
      <x:c r="F20" s="30" t="n">
        <x:f>MAX(D20:E20)</x:f>
        <x:v>3128.7671232876714</x:v>
      </x:c>
      <x:c r="G20" s="30" t="n">
        <x:f>F20/(1-Controls!$B$16)</x:f>
        <x:v>4171.689497716895</x:v>
      </x:c>
      <x:c r="H20" s="30" t="n">
        <x:f>G20*(1-Controls!$B$16)</x:f>
        <x:v>3128.767123287671</x:v>
      </x:c>
      <x:c r="I20" s="30" t="n">
        <x:f>H20/F20</x:f>
        <x:v>0.9999999999999999</x:v>
      </x:c>
      <x:c r="J20" s="13" t="n">
        <x:v>3</x:v>
      </x:c>
      <x:c r="K20" s="24" t="n">
        <x:v>0.4</x:v>
      </x:c>
      <x:c r="L20" s="17"/>
      <x:c r="M20" s="17"/>
      <x:c r="N20" s="17"/>
      <x:c r="O20" s="13" t="str">
        <x:f>IF(AND(H20&gt;=F20,I20&gt;=1,J20&gt;=3,K20&lt;=0.4),"PASS","FAIL")</x:f>
        <x:v>PASS</x:v>
      </x:c>
      <x:c r="P20" s="13" t="str">
        <x:f>IF(COUNTA(L20:N20)=3,"IDENTIFIED; EVIDENCE REQUIRED","SOURCE EMPTY")</x:f>
        <x:v>SOURCE EMPTY</x:v>
      </x:c>
    </x:row>
    <x:row r="21">
      <x:c r="A21" s="13" t="str">
        <x:v>LF-CELL-4</x:v>
      </x:c>
      <x:c r="B21" s="13" t="str">
        <x:v>LF-B</x:v>
      </x:c>
      <x:c r="C21" s="13" t="str">
        <x:v>LF-D</x:v>
      </x:c>
      <x:c r="D21" s="30" t="n">
        <x:f>VLOOKUP(B21,'Root Units'!$A$6:$K$29,11,FALSE)</x:f>
        <x:v>2128.4246575342468</x:v>
      </x:c>
      <x:c r="E21" s="30" t="n">
        <x:f>VLOOKUP(C21,'Root Units'!$A$6:$K$29,11,FALSE)</x:f>
        <x:v>754.1095890410959</x:v>
      </x:c>
      <x:c r="F21" s="30" t="n">
        <x:f>MAX(D21:E21)</x:f>
        <x:v>2128.4246575342468</x:v>
      </x:c>
      <x:c r="G21" s="30" t="n">
        <x:f>F21/(1-Controls!$B$16)</x:f>
        <x:v>2837.8995433789955</x:v>
      </x:c>
      <x:c r="H21" s="30" t="n">
        <x:f>G21*(1-Controls!$B$16)</x:f>
        <x:v>2128.4246575342468</x:v>
      </x:c>
      <x:c r="I21" s="30" t="n">
        <x:f>H21/F21</x:f>
        <x:v>1</x:v>
      </x:c>
      <x:c r="J21" s="13" t="n">
        <x:v>3</x:v>
      </x:c>
      <x:c r="K21" s="24" t="n">
        <x:v>0.4</x:v>
      </x:c>
      <x:c r="L21" s="17"/>
      <x:c r="M21" s="17"/>
      <x:c r="N21" s="17"/>
      <x:c r="O21" s="13" t="str">
        <x:f>IF(AND(H21&gt;=F21,I21&gt;=1,J21&gt;=3,K21&lt;=0.4),"PASS","FAIL")</x:f>
        <x:v>PASS</x:v>
      </x:c>
      <x:c r="P21" s="13" t="str">
        <x:f>IF(COUNTA(L21:N21)=3,"IDENTIFIED; EVIDENCE REQUIRED","SOURCE EMPTY")</x:f>
        <x:v>SOURCE EMPTY</x:v>
      </x:c>
    </x:row>
    <x:row r="22">
      <x:c r="A22" s="13" t="str">
        <x:v>HU-CELL-1</x:v>
      </x:c>
      <x:c r="B22" s="13" t="str">
        <x:v>HU-A</x:v>
      </x:c>
      <x:c r="C22" s="13" t="str">
        <x:v>HU-B</x:v>
      </x:c>
      <x:c r="D22" s="30" t="n">
        <x:f>VLOOKUP(B22,'Root Units'!$A$6:$K$29,11,FALSE)</x:f>
        <x:v>3452.054794520548</x:v>
      </x:c>
      <x:c r="E22" s="30" t="n">
        <x:f>VLOOKUP(C22,'Root Units'!$A$6:$K$29,11,FALSE)</x:f>
        <x:v>2123.2876712328766</x:v>
      </x:c>
      <x:c r="F22" s="30" t="n">
        <x:f>MAX(D22:E22)</x:f>
        <x:v>3452.054794520548</x:v>
      </x:c>
      <x:c r="G22" s="30" t="n">
        <x:f>F22/(1-Controls!$B$16)</x:f>
        <x:v>4602.739726027397</x:v>
      </x:c>
      <x:c r="H22" s="30" t="n">
        <x:f>G22*(1-Controls!$B$16)</x:f>
        <x:v>3452.054794520548</x:v>
      </x:c>
      <x:c r="I22" s="30" t="n">
        <x:f>H22/F22</x:f>
        <x:v>1</x:v>
      </x:c>
      <x:c r="J22" s="13" t="n">
        <x:v>3</x:v>
      </x:c>
      <x:c r="K22" s="24" t="n">
        <x:v>0.4</x:v>
      </x:c>
      <x:c r="L22" s="17"/>
      <x:c r="M22" s="17"/>
      <x:c r="N22" s="17"/>
      <x:c r="O22" s="13" t="str">
        <x:f>IF(AND(H22&gt;=F22,I22&gt;=1,J22&gt;=3,K22&lt;=0.4),"PASS","FAIL")</x:f>
        <x:v>PASS</x:v>
      </x:c>
      <x:c r="P22" s="13" t="str">
        <x:f>IF(COUNTA(L22:N22)=3,"IDENTIFIED; EVIDENCE REQUIRED","SOURCE EMPTY")</x:f>
        <x:v>SOURCE EMPTY</x:v>
      </x:c>
    </x:row>
    <x:row r="23">
      <x:c r="A23" s="13" t="str">
        <x:v>HU-CELL-2</x:v>
      </x:c>
      <x:c r="B23" s="13" t="str">
        <x:v>HU-C</x:v>
      </x:c>
      <x:c r="C23" s="13" t="str">
        <x:v>HU-D</x:v>
      </x:c>
      <x:c r="D23" s="30" t="n">
        <x:f>VLOOKUP(B23,'Root Units'!$A$6:$K$29,11,FALSE)</x:f>
        <x:v>2949.771689497717</x:v>
      </x:c>
      <x:c r="E23" s="30" t="n">
        <x:f>VLOOKUP(C23,'Root Units'!$A$6:$K$29,11,FALSE)</x:f>
        <x:v>1424.6575342465753</x:v>
      </x:c>
      <x:c r="F23" s="30" t="n">
        <x:f>MAX(D23:E23)</x:f>
        <x:v>2949.771689497717</x:v>
      </x:c>
      <x:c r="G23" s="30" t="n">
        <x:f>F23/(1-Controls!$B$16)</x:f>
        <x:v>3933.028919330289</x:v>
      </x:c>
      <x:c r="H23" s="30" t="n">
        <x:f>G23*(1-Controls!$B$16)</x:f>
        <x:v>2949.771689497717</x:v>
      </x:c>
      <x:c r="I23" s="30" t="n">
        <x:f>H23/F23</x:f>
        <x:v>1</x:v>
      </x:c>
      <x:c r="J23" s="13" t="n">
        <x:v>3</x:v>
      </x:c>
      <x:c r="K23" s="24" t="n">
        <x:v>0.4</x:v>
      </x:c>
      <x:c r="L23" s="17"/>
      <x:c r="M23" s="17"/>
      <x:c r="N23" s="17"/>
      <x:c r="O23" s="13" t="str">
        <x:f>IF(AND(H23&gt;=F23,I23&gt;=1,J23&gt;=3,K23&lt;=0.4),"PASS","FAIL")</x:f>
        <x:v>PASS</x:v>
      </x:c>
      <x:c r="P23" s="13" t="str">
        <x:f>IF(COUNTA(L23:N23)=3,"IDENTIFIED; EVIDENCE REQUIRED","SOURCE EMPTY")</x:f>
        <x:v>SOURCE EMPTY</x:v>
      </x:c>
    </x:row>
    <x:row r="24">
      <x:c r="A24" s="13" t="str">
        <x:v>HU-CELL-3</x:v>
      </x:c>
      <x:c r="B24" s="13" t="str">
        <x:v>HU-A</x:v>
      </x:c>
      <x:c r="C24" s="13" t="str">
        <x:v>HU-C</x:v>
      </x:c>
      <x:c r="D24" s="30" t="n">
        <x:f>VLOOKUP(B24,'Root Units'!$A$6:$K$29,11,FALSE)</x:f>
        <x:v>3452.054794520548</x:v>
      </x:c>
      <x:c r="E24" s="30" t="n">
        <x:f>VLOOKUP(C24,'Root Units'!$A$6:$K$29,11,FALSE)</x:f>
        <x:v>2949.771689497717</x:v>
      </x:c>
      <x:c r="F24" s="30" t="n">
        <x:f>MAX(D24:E24)</x:f>
        <x:v>3452.054794520548</x:v>
      </x:c>
      <x:c r="G24" s="30" t="n">
        <x:f>F24/(1-Controls!$B$16)</x:f>
        <x:v>4602.739726027397</x:v>
      </x:c>
      <x:c r="H24" s="30" t="n">
        <x:f>G24*(1-Controls!$B$16)</x:f>
        <x:v>3452.054794520548</x:v>
      </x:c>
      <x:c r="I24" s="30" t="n">
        <x:f>H24/F24</x:f>
        <x:v>1</x:v>
      </x:c>
      <x:c r="J24" s="13" t="n">
        <x:v>3</x:v>
      </x:c>
      <x:c r="K24" s="24" t="n">
        <x:v>0.4</x:v>
      </x:c>
      <x:c r="L24" s="17"/>
      <x:c r="M24" s="17"/>
      <x:c r="N24" s="17"/>
      <x:c r="O24" s="13" t="str">
        <x:f>IF(AND(H24&gt;=F24,I24&gt;=1,J24&gt;=3,K24&lt;=0.4),"PASS","FAIL")</x:f>
        <x:v>PASS</x:v>
      </x:c>
      <x:c r="P24" s="13" t="str">
        <x:f>IF(COUNTA(L24:N24)=3,"IDENTIFIED; EVIDENCE REQUIRED","SOURCE EMPTY")</x:f>
        <x:v>SOURCE EMPTY</x:v>
      </x:c>
    </x:row>
    <x:row r="25">
      <x:c r="A25" s="13" t="str">
        <x:v>HU-CELL-4</x:v>
      </x:c>
      <x:c r="B25" s="13" t="str">
        <x:v>HU-B</x:v>
      </x:c>
      <x:c r="C25" s="13" t="str">
        <x:v>HU-D</x:v>
      </x:c>
      <x:c r="D25" s="30" t="n">
        <x:f>VLOOKUP(B25,'Root Units'!$A$6:$K$29,11,FALSE)</x:f>
        <x:v>2123.2876712328766</x:v>
      </x:c>
      <x:c r="E25" s="30" t="n">
        <x:f>VLOOKUP(C25,'Root Units'!$A$6:$K$29,11,FALSE)</x:f>
        <x:v>1424.6575342465753</x:v>
      </x:c>
      <x:c r="F25" s="30" t="n">
        <x:f>MAX(D25:E25)</x:f>
        <x:v>2123.2876712328766</x:v>
      </x:c>
      <x:c r="G25" s="30" t="n">
        <x:f>F25/(1-Controls!$B$16)</x:f>
        <x:v>2831.050228310502</x:v>
      </x:c>
      <x:c r="H25" s="30" t="n">
        <x:f>G25*(1-Controls!$B$16)</x:f>
        <x:v>2123.2876712328766</x:v>
      </x:c>
      <x:c r="I25" s="30" t="n">
        <x:f>H25/F25</x:f>
        <x:v>1</x:v>
      </x:c>
      <x:c r="J25" s="13" t="n">
        <x:v>3</x:v>
      </x:c>
      <x:c r="K25" s="24" t="n">
        <x:v>0.4</x:v>
      </x:c>
      <x:c r="L25" s="17"/>
      <x:c r="M25" s="17"/>
      <x:c r="N25" s="17"/>
      <x:c r="O25" s="13" t="str">
        <x:f>IF(AND(H25&gt;=F25,I25&gt;=1,J25&gt;=3,K25&lt;=0.4),"PASS","FAIL")</x:f>
        <x:v>PASS</x:v>
      </x:c>
      <x:c r="P25" s="13" t="str">
        <x:f>IF(COUNTA(L25:N25)=3,"IDENTIFIED; EVIDENCE REQUIRED","SOURCE EMPTY")</x:f>
        <x:v>SOURCE EMPTY</x:v>
      </x:c>
    </x:row>
    <x:row r="26">
      <x:c r="A26" s="13" t="str">
        <x:v>RT-CELL-1</x:v>
      </x:c>
      <x:c r="B26" s="13" t="str">
        <x:v>RT-A</x:v>
      </x:c>
      <x:c r="C26" s="13" t="str">
        <x:v>RT-B</x:v>
      </x:c>
      <x:c r="D26" s="30" t="n">
        <x:f>VLOOKUP(B26,'Root Units'!$A$6:$K$29,11,FALSE)</x:f>
        <x:v>3506.849315068493</x:v>
      </x:c>
      <x:c r="E26" s="30" t="n">
        <x:f>VLOOKUP(C26,'Root Units'!$A$6:$K$29,11,FALSE)</x:f>
        <x:v>2913.24200913242</x:v>
      </x:c>
      <x:c r="F26" s="30" t="n">
        <x:f>MAX(D26:E26)</x:f>
        <x:v>3506.849315068493</x:v>
      </x:c>
      <x:c r="G26" s="30" t="n">
        <x:f>F26/(1-Controls!$B$16)</x:f>
        <x:v>4675.799086757991</x:v>
      </x:c>
      <x:c r="H26" s="30" t="n">
        <x:f>G26*(1-Controls!$B$16)</x:f>
        <x:v>3506.8493150684935</x:v>
      </x:c>
      <x:c r="I26" s="30" t="n">
        <x:f>H26/F26</x:f>
        <x:v>1.0000000000000002</x:v>
      </x:c>
      <x:c r="J26" s="13" t="n">
        <x:v>3</x:v>
      </x:c>
      <x:c r="K26" s="24" t="n">
        <x:v>0.4</x:v>
      </x:c>
      <x:c r="L26" s="17"/>
      <x:c r="M26" s="17"/>
      <x:c r="N26" s="17"/>
      <x:c r="O26" s="13" t="str">
        <x:f>IF(AND(H26&gt;=F26,I26&gt;=1,J26&gt;=3,K26&lt;=0.4),"PASS","FAIL")</x:f>
        <x:v>PASS</x:v>
      </x:c>
      <x:c r="P26" s="13" t="str">
        <x:f>IF(COUNTA(L26:N26)=3,"IDENTIFIED; EVIDENCE REQUIRED","SOURCE EMPTY")</x:f>
        <x:v>SOURCE EMPTY</x:v>
      </x:c>
    </x:row>
    <x:row r="27">
      <x:c r="A27" s="13" t="str">
        <x:v>RT-CELL-2</x:v>
      </x:c>
      <x:c r="B27" s="13" t="str">
        <x:v>RT-C</x:v>
      </x:c>
      <x:c r="C27" s="13" t="str">
        <x:v>RT-D</x:v>
      </x:c>
      <x:c r="D27" s="30" t="n">
        <x:f>VLOOKUP(B27,'Root Units'!$A$6:$K$29,11,FALSE)</x:f>
        <x:v>2301.3698630136987</x:v>
      </x:c>
      <x:c r="E27" s="30" t="n">
        <x:f>VLOOKUP(C27,'Root Units'!$A$6:$K$29,11,FALSE)</x:f>
        <x:v>3452.054794520548</x:v>
      </x:c>
      <x:c r="F27" s="30" t="n">
        <x:f>MAX(D27:E27)</x:f>
        <x:v>3452.054794520548</x:v>
      </x:c>
      <x:c r="G27" s="30" t="n">
        <x:f>F27/(1-Controls!$B$16)</x:f>
        <x:v>4602.739726027397</x:v>
      </x:c>
      <x:c r="H27" s="30" t="n">
        <x:f>G27*(1-Controls!$B$16)</x:f>
        <x:v>3452.054794520548</x:v>
      </x:c>
      <x:c r="I27" s="30" t="n">
        <x:f>H27/F27</x:f>
        <x:v>1</x:v>
      </x:c>
      <x:c r="J27" s="13" t="n">
        <x:v>3</x:v>
      </x:c>
      <x:c r="K27" s="24" t="n">
        <x:v>0.4</x:v>
      </x:c>
      <x:c r="L27" s="17"/>
      <x:c r="M27" s="17"/>
      <x:c r="N27" s="17"/>
      <x:c r="O27" s="13" t="str">
        <x:f>IF(AND(H27&gt;=F27,I27&gt;=1,J27&gt;=3,K27&lt;=0.4),"PASS","FAIL")</x:f>
        <x:v>PASS</x:v>
      </x:c>
      <x:c r="P27" s="13" t="str">
        <x:f>IF(COUNTA(L27:N27)=3,"IDENTIFIED; EVIDENCE REQUIRED","SOURCE EMPTY")</x:f>
        <x:v>SOURCE EMPTY</x:v>
      </x:c>
    </x:row>
    <x:row r="28">
      <x:c r="A28" s="13" t="str">
        <x:v>RT-CELL-3</x:v>
      </x:c>
      <x:c r="B28" s="13" t="str">
        <x:v>RT-A</x:v>
      </x:c>
      <x:c r="C28" s="13" t="str">
        <x:v>RT-C</x:v>
      </x:c>
      <x:c r="D28" s="30" t="n">
        <x:f>VLOOKUP(B28,'Root Units'!$A$6:$K$29,11,FALSE)</x:f>
        <x:v>3506.849315068493</x:v>
      </x:c>
      <x:c r="E28" s="30" t="n">
        <x:f>VLOOKUP(C28,'Root Units'!$A$6:$K$29,11,FALSE)</x:f>
        <x:v>2301.3698630136987</x:v>
      </x:c>
      <x:c r="F28" s="30" t="n">
        <x:f>MAX(D28:E28)</x:f>
        <x:v>3506.849315068493</x:v>
      </x:c>
      <x:c r="G28" s="30" t="n">
        <x:f>F28/(1-Controls!$B$16)</x:f>
        <x:v>4675.799086757991</x:v>
      </x:c>
      <x:c r="H28" s="30" t="n">
        <x:f>G28*(1-Controls!$B$16)</x:f>
        <x:v>3506.8493150684935</x:v>
      </x:c>
      <x:c r="I28" s="30" t="n">
        <x:f>H28/F28</x:f>
        <x:v>1.0000000000000002</x:v>
      </x:c>
      <x:c r="J28" s="13" t="n">
        <x:v>3</x:v>
      </x:c>
      <x:c r="K28" s="24" t="n">
        <x:v>0.4</x:v>
      </x:c>
      <x:c r="L28" s="17"/>
      <x:c r="M28" s="17"/>
      <x:c r="N28" s="17"/>
      <x:c r="O28" s="13" t="str">
        <x:f>IF(AND(H28&gt;=F28,I28&gt;=1,J28&gt;=3,K28&lt;=0.4),"PASS","FAIL")</x:f>
        <x:v>PASS</x:v>
      </x:c>
      <x:c r="P28" s="13" t="str">
        <x:f>IF(COUNTA(L28:N28)=3,"IDENTIFIED; EVIDENCE REQUIRED","SOURCE EMPTY")</x:f>
        <x:v>SOURCE EMPTY</x:v>
      </x:c>
    </x:row>
    <x:row r="29">
      <x:c r="A29" s="13" t="str">
        <x:v>RT-CELL-4</x:v>
      </x:c>
      <x:c r="B29" s="13" t="str">
        <x:v>RT-B</x:v>
      </x:c>
      <x:c r="C29" s="13" t="str">
        <x:v>RT-D</x:v>
      </x:c>
      <x:c r="D29" s="30" t="n">
        <x:f>VLOOKUP(B29,'Root Units'!$A$6:$K$29,11,FALSE)</x:f>
        <x:v>2913.24200913242</x:v>
      </x:c>
      <x:c r="E29" s="30" t="n">
        <x:f>VLOOKUP(C29,'Root Units'!$A$6:$K$29,11,FALSE)</x:f>
        <x:v>3452.054794520548</x:v>
      </x:c>
      <x:c r="F29" s="30" t="n">
        <x:f>MAX(D29:E29)</x:f>
        <x:v>3452.054794520548</x:v>
      </x:c>
      <x:c r="G29" s="30" t="n">
        <x:f>F29/(1-Controls!$B$16)</x:f>
        <x:v>4602.739726027397</x:v>
      </x:c>
      <x:c r="H29" s="30" t="n">
        <x:f>G29*(1-Controls!$B$16)</x:f>
        <x:v>3452.054794520548</x:v>
      </x:c>
      <x:c r="I29" s="30" t="n">
        <x:f>H29/F29</x:f>
        <x:v>1</x:v>
      </x:c>
      <x:c r="J29" s="13" t="n">
        <x:v>3</x:v>
      </x:c>
      <x:c r="K29" s="24" t="n">
        <x:v>0.4</x:v>
      </x:c>
      <x:c r="L29" s="17"/>
      <x:c r="M29" s="17"/>
      <x:c r="N29" s="17"/>
      <x:c r="O29" s="13" t="str">
        <x:f>IF(AND(H29&gt;=F29,I29&gt;=1,J29&gt;=3,K29&lt;=0.4),"PASS","FAIL")</x:f>
        <x:v>PASS</x:v>
      </x:c>
      <x:c r="P29" s="13" t="str">
        <x:f>IF(COUNTA(L29:N29)=3,"IDENTIFIED; EVIDENCE REQUIRED","SOURCE EMPTY")</x:f>
        <x:v>SOURCE EMPTY</x:v>
      </x:c>
    </x:row>
  </x:sheetData>
  <x:conditionalFormatting sqref="O6:P29">
    <x:cfRule type="containsText" dxfId="14" priority="1" operator="containsText" text="FAIL"/>
    <x:cfRule type="containsText" dxfId="15" priority="2" operator="containsText" text="SOURCE EMPTY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9" hidden="0" customWidth="1"/>
    <x:col min="9" max="9" width="19" hidden="0" customWidth="1"/>
    <x:col min="10" max="10" width="22" hidden="0" customWidth="1"/>
    <x:col min="11" max="11" width="18" hidden="0" customWidth="1"/>
    <x:col min="12" max="12" width="22" hidden="0" customWidth="1"/>
    <x:col min="13" max="13" width="12" hidden="0" customWidth="1"/>
    <x:col min="14" max="14" width="26" hidden="0" customWidth="1"/>
  </x:cols>
  <x:sheetData>
    <x:row r="2">
      <x:c r="A2" s="59" t="str">
        <x:v>Public-cell material inventory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>
      <x:c r="A3" s="61" t="str">
        <x:v>Each path duplicates its root-specific long-cycle set. Common feedstock is shared only inside the two-root cell.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 ht="30" customHeight="1">
      <x:c r="A5" s="9" t="str">
        <x:v>Cell</x:v>
      </x:c>
      <x:c r="B5" s="9" t="str">
        <x:v>Root 1</x:v>
      </x:c>
      <x:c r="C5" s="9" t="str">
        <x:v>Root 2</x:v>
      </x:c>
      <x:c r="D5" s="9" t="str">
        <x:v>Root 1 keystone (t)</x:v>
      </x:c>
      <x:c r="E5" s="9" t="str">
        <x:v>Root 2 keystone (t)</x:v>
      </x:c>
      <x:c r="F5" s="9" t="str">
        <x:v>Common feedstock (t)</x:v>
      </x:c>
      <x:c r="G5" s="9" t="str">
        <x:v>Controlled inventory (t)</x:v>
      </x:c>
      <x:c r="H5" s="9" t="str">
        <x:v>Root 1 custody ID</x:v>
      </x:c>
      <x:c r="I5" s="9" t="str">
        <x:v>Root 2 custody ID</x:v>
      </x:c>
      <x:c r="J5" s="9" t="str">
        <x:v>Feedstock custody ID</x:v>
      </x:c>
      <x:c r="K5" s="9" t="str">
        <x:v>Rotation event</x:v>
      </x:c>
      <x:c r="L5" s="9" t="str">
        <x:v>Alternate material event</x:v>
      </x:c>
      <x:c r="M5" s="9" t="str">
        <x:v>Planning</x:v>
      </x:c>
      <x:c r="N5" s="9" t="str">
        <x:v>Evidence</x:v>
      </x:c>
    </x:row>
    <x:row r="6">
      <x:c r="A6" s="12" t="str">
        <x:v>TE-CELL-1</x:v>
      </x:c>
      <x:c r="B6" s="12" t="str">
        <x:v>TE-A</x:v>
      </x:c>
      <x:c r="C6" s="12" t="str">
        <x:v>TE-B</x:v>
      </x:c>
      <x:c r="D6" s="29" t="n">
        <x:f>VLOOKUP(B6,'Root Units'!$A$6:$K$29,5,FALSE)*Controls!$B$28</x:f>
        <x:v>13350</x:v>
      </x:c>
      <x:c r="E6" s="29" t="n">
        <x:f>VLOOKUP(C6,'Root Units'!$A$6:$K$29,5,FALSE)*Controls!$B$28</x:f>
        <x:v>8700</x:v>
      </x:c>
      <x:c r="F6" s="29" t="n">
        <x:f>MAX(VLOOKUP(B6,'Root Units'!$A$6:$K$29,5,FALSE),VLOOKUP(C6,'Root Units'!$A$6:$K$29,5,FALSE))*Controls!$B$29</x:f>
        <x:v>8900</x:v>
      </x:c>
      <x:c r="G6" s="29" t="n">
        <x:f>SUM(D6:F6)</x:f>
        <x:v>30950</x:v>
      </x:c>
      <x:c r="H6" s="16"/>
      <x:c r="I6" s="16"/>
      <x:c r="J6" s="16"/>
      <x:c r="K6" s="16"/>
      <x:c r="L6" s="16"/>
      <x:c r="M6" s="12" t="str">
        <x:f>IF(AND(D6&gt;0,E6&gt;0,F6&gt;0,G6=SUM(D6:F6)),"PASS","FAIL")</x:f>
        <x:v>PASS</x:v>
      </x:c>
      <x:c r="N6" s="12" t="str">
        <x:f>IF(COUNTA(H6:L6)=5,"IDENTIFIED; EVIDENCE REQUIRED","SOURCE EMPTY")</x:f>
        <x:v>SOURCE EMPTY</x:v>
      </x:c>
    </x:row>
    <x:row r="7">
      <x:c r="A7" s="13" t="str">
        <x:v>TE-CELL-2</x:v>
      </x:c>
      <x:c r="B7" s="13" t="str">
        <x:v>TE-C</x:v>
      </x:c>
      <x:c r="C7" s="13" t="str">
        <x:v>TE-D</x:v>
      </x:c>
      <x:c r="D7" s="30" t="n">
        <x:f>VLOOKUP(B7,'Root Units'!$A$6:$K$29,5,FALSE)*Controls!$B$28</x:f>
        <x:v>11100</x:v>
      </x:c>
      <x:c r="E7" s="30" t="n">
        <x:f>VLOOKUP(C7,'Root Units'!$A$6:$K$29,5,FALSE)*Controls!$B$28</x:f>
        <x:v>7800</x:v>
      </x:c>
      <x:c r="F7" s="30" t="n">
        <x:f>MAX(VLOOKUP(B7,'Root Units'!$A$6:$K$29,5,FALSE),VLOOKUP(C7,'Root Units'!$A$6:$K$29,5,FALSE))*Controls!$B$29</x:f>
        <x:v>7400</x:v>
      </x:c>
      <x:c r="G7" s="30" t="n">
        <x:f>SUM(D7:F7)</x:f>
        <x:v>26300</x:v>
      </x:c>
      <x:c r="H7" s="17"/>
      <x:c r="I7" s="17"/>
      <x:c r="J7" s="17"/>
      <x:c r="K7" s="17"/>
      <x:c r="L7" s="17"/>
      <x:c r="M7" s="13" t="str">
        <x:f>IF(AND(D7&gt;0,E7&gt;0,F7&gt;0,G7=SUM(D7:F7)),"PASS","FAIL")</x:f>
        <x:v>PASS</x:v>
      </x:c>
      <x:c r="N7" s="13" t="str">
        <x:f>IF(COUNTA(H7:L7)=5,"IDENTIFIED; EVIDENCE REQUIRED","SOURCE EMPTY")</x:f>
        <x:v>SOURCE EMPTY</x:v>
      </x:c>
    </x:row>
    <x:row r="8">
      <x:c r="A8" s="13" t="str">
        <x:v>TE-CELL-3</x:v>
      </x:c>
      <x:c r="B8" s="13" t="str">
        <x:v>TE-A</x:v>
      </x:c>
      <x:c r="C8" s="13" t="str">
        <x:v>TE-C</x:v>
      </x:c>
      <x:c r="D8" s="30" t="n">
        <x:f>VLOOKUP(B8,'Root Units'!$A$6:$K$29,5,FALSE)*Controls!$B$28</x:f>
        <x:v>13350</x:v>
      </x:c>
      <x:c r="E8" s="30" t="n">
        <x:f>VLOOKUP(C8,'Root Units'!$A$6:$K$29,5,FALSE)*Controls!$B$28</x:f>
        <x:v>11100</x:v>
      </x:c>
      <x:c r="F8" s="30" t="n">
        <x:f>MAX(VLOOKUP(B8,'Root Units'!$A$6:$K$29,5,FALSE),VLOOKUP(C8,'Root Units'!$A$6:$K$29,5,FALSE))*Controls!$B$29</x:f>
        <x:v>8900</x:v>
      </x:c>
      <x:c r="G8" s="30" t="n">
        <x:f>SUM(D8:F8)</x:f>
        <x:v>33350</x:v>
      </x:c>
      <x:c r="H8" s="17"/>
      <x:c r="I8" s="17"/>
      <x:c r="J8" s="17"/>
      <x:c r="K8" s="17"/>
      <x:c r="L8" s="17"/>
      <x:c r="M8" s="13" t="str">
        <x:f>IF(AND(D8&gt;0,E8&gt;0,F8&gt;0,G8=SUM(D8:F8)),"PASS","FAIL")</x:f>
        <x:v>PASS</x:v>
      </x:c>
      <x:c r="N8" s="13" t="str">
        <x:f>IF(COUNTA(H8:L8)=5,"IDENTIFIED; EVIDENCE REQUIRED","SOURCE EMPTY")</x:f>
        <x:v>SOURCE EMPTY</x:v>
      </x:c>
    </x:row>
    <x:row r="9">
      <x:c r="A9" s="13" t="str">
        <x:v>TE-CELL-4</x:v>
      </x:c>
      <x:c r="B9" s="13" t="str">
        <x:v>TE-B</x:v>
      </x:c>
      <x:c r="C9" s="13" t="str">
        <x:v>TE-D</x:v>
      </x:c>
      <x:c r="D9" s="30" t="n">
        <x:f>VLOOKUP(B9,'Root Units'!$A$6:$K$29,5,FALSE)*Controls!$B$28</x:f>
        <x:v>8700</x:v>
      </x:c>
      <x:c r="E9" s="30" t="n">
        <x:f>VLOOKUP(C9,'Root Units'!$A$6:$K$29,5,FALSE)*Controls!$B$28</x:f>
        <x:v>7800</x:v>
      </x:c>
      <x:c r="F9" s="30" t="n">
        <x:f>MAX(VLOOKUP(B9,'Root Units'!$A$6:$K$29,5,FALSE),VLOOKUP(C9,'Root Units'!$A$6:$K$29,5,FALSE))*Controls!$B$29</x:f>
        <x:v>5800</x:v>
      </x:c>
      <x:c r="G9" s="30" t="n">
        <x:f>SUM(D9:F9)</x:f>
        <x:v>22300</x:v>
      </x:c>
      <x:c r="H9" s="17"/>
      <x:c r="I9" s="17"/>
      <x:c r="J9" s="17"/>
      <x:c r="K9" s="17"/>
      <x:c r="L9" s="17"/>
      <x:c r="M9" s="13" t="str">
        <x:f>IF(AND(D9&gt;0,E9&gt;0,F9&gt;0,G9=SUM(D9:F9)),"PASS","FAIL")</x:f>
        <x:v>PASS</x:v>
      </x:c>
      <x:c r="N9" s="13" t="str">
        <x:f>IF(COUNTA(H9:L9)=5,"IDENTIFIED; EVIDENCE REQUIRED","SOURCE EMPTY")</x:f>
        <x:v>SOURCE EMPTY</x:v>
      </x:c>
    </x:row>
    <x:row r="10">
      <x:c r="A10" s="13" t="str">
        <x:v>CT-CELL-1</x:v>
      </x:c>
      <x:c r="B10" s="13" t="str">
        <x:v>CT-A</x:v>
      </x:c>
      <x:c r="C10" s="13" t="str">
        <x:v>CT-B</x:v>
      </x:c>
      <x:c r="D10" s="30" t="n">
        <x:f>VLOOKUP(B10,'Root Units'!$A$6:$K$29,5,FALSE)*Controls!$B$28</x:f>
        <x:v>2400</x:v>
      </x:c>
      <x:c r="E10" s="30" t="n">
        <x:f>VLOOKUP(C10,'Root Units'!$A$6:$K$29,5,FALSE)*Controls!$B$28</x:f>
        <x:v>3150</x:v>
      </x:c>
      <x:c r="F10" s="30" t="n">
        <x:f>MAX(VLOOKUP(B10,'Root Units'!$A$6:$K$29,5,FALSE),VLOOKUP(C10,'Root Units'!$A$6:$K$29,5,FALSE))*Controls!$B$29</x:f>
        <x:v>2100</x:v>
      </x:c>
      <x:c r="G10" s="30" t="n">
        <x:f>SUM(D10:F10)</x:f>
        <x:v>7650</x:v>
      </x:c>
      <x:c r="H10" s="17"/>
      <x:c r="I10" s="17"/>
      <x:c r="J10" s="17"/>
      <x:c r="K10" s="17"/>
      <x:c r="L10" s="17"/>
      <x:c r="M10" s="13" t="str">
        <x:f>IF(AND(D10&gt;0,E10&gt;0,F10&gt;0,G10=SUM(D10:F10)),"PASS","FAIL")</x:f>
        <x:v>PASS</x:v>
      </x:c>
      <x:c r="N10" s="13" t="str">
        <x:f>IF(COUNTA(H10:L10)=5,"IDENTIFIED; EVIDENCE REQUIRED","SOURCE EMPTY")</x:f>
        <x:v>SOURCE EMPTY</x:v>
      </x:c>
    </x:row>
    <x:row r="11">
      <x:c r="A11" s="13" t="str">
        <x:v>CT-CELL-2</x:v>
      </x:c>
      <x:c r="B11" s="13" t="str">
        <x:v>CT-C</x:v>
      </x:c>
      <x:c r="C11" s="13" t="str">
        <x:v>CT-D</x:v>
      </x:c>
      <x:c r="D11" s="30" t="n">
        <x:f>VLOOKUP(B11,'Root Units'!$A$6:$K$29,5,FALSE)*Controls!$B$28</x:f>
        <x:v>4050</x:v>
      </x:c>
      <x:c r="E11" s="30" t="n">
        <x:f>VLOOKUP(C11,'Root Units'!$A$6:$K$29,5,FALSE)*Controls!$B$28</x:f>
        <x:v>2850</x:v>
      </x:c>
      <x:c r="F11" s="30" t="n">
        <x:f>MAX(VLOOKUP(B11,'Root Units'!$A$6:$K$29,5,FALSE),VLOOKUP(C11,'Root Units'!$A$6:$K$29,5,FALSE))*Controls!$B$29</x:f>
        <x:v>2700</x:v>
      </x:c>
      <x:c r="G11" s="30" t="n">
        <x:f>SUM(D11:F11)</x:f>
        <x:v>9600</x:v>
      </x:c>
      <x:c r="H11" s="17"/>
      <x:c r="I11" s="17"/>
      <x:c r="J11" s="17"/>
      <x:c r="K11" s="17"/>
      <x:c r="L11" s="17"/>
      <x:c r="M11" s="13" t="str">
        <x:f>IF(AND(D11&gt;0,E11&gt;0,F11&gt;0,G11=SUM(D11:F11)),"PASS","FAIL")</x:f>
        <x:v>PASS</x:v>
      </x:c>
      <x:c r="N11" s="13" t="str">
        <x:f>IF(COUNTA(H11:L11)=5,"IDENTIFIED; EVIDENCE REQUIRED","SOURCE EMPTY")</x:f>
        <x:v>SOURCE EMPTY</x:v>
      </x:c>
    </x:row>
    <x:row r="12">
      <x:c r="A12" s="13" t="str">
        <x:v>CT-CELL-3</x:v>
      </x:c>
      <x:c r="B12" s="13" t="str">
        <x:v>CT-A</x:v>
      </x:c>
      <x:c r="C12" s="13" t="str">
        <x:v>CT-C</x:v>
      </x:c>
      <x:c r="D12" s="30" t="n">
        <x:f>VLOOKUP(B12,'Root Units'!$A$6:$K$29,5,FALSE)*Controls!$B$28</x:f>
        <x:v>2400</x:v>
      </x:c>
      <x:c r="E12" s="30" t="n">
        <x:f>VLOOKUP(C12,'Root Units'!$A$6:$K$29,5,FALSE)*Controls!$B$28</x:f>
        <x:v>4050</x:v>
      </x:c>
      <x:c r="F12" s="30" t="n">
        <x:f>MAX(VLOOKUP(B12,'Root Units'!$A$6:$K$29,5,FALSE),VLOOKUP(C12,'Root Units'!$A$6:$K$29,5,FALSE))*Controls!$B$29</x:f>
        <x:v>2700</x:v>
      </x:c>
      <x:c r="G12" s="30" t="n">
        <x:f>SUM(D12:F12)</x:f>
        <x:v>9150</x:v>
      </x:c>
      <x:c r="H12" s="17"/>
      <x:c r="I12" s="17"/>
      <x:c r="J12" s="17"/>
      <x:c r="K12" s="17"/>
      <x:c r="L12" s="17"/>
      <x:c r="M12" s="13" t="str">
        <x:f>IF(AND(D12&gt;0,E12&gt;0,F12&gt;0,G12=SUM(D12:F12)),"PASS","FAIL")</x:f>
        <x:v>PASS</x:v>
      </x:c>
      <x:c r="N12" s="13" t="str">
        <x:f>IF(COUNTA(H12:L12)=5,"IDENTIFIED; EVIDENCE REQUIRED","SOURCE EMPTY")</x:f>
        <x:v>SOURCE EMPTY</x:v>
      </x:c>
    </x:row>
    <x:row r="13">
      <x:c r="A13" s="13" t="str">
        <x:v>CT-CELL-4</x:v>
      </x:c>
      <x:c r="B13" s="13" t="str">
        <x:v>CT-B</x:v>
      </x:c>
      <x:c r="C13" s="13" t="str">
        <x:v>CT-D</x:v>
      </x:c>
      <x:c r="D13" s="30" t="n">
        <x:f>VLOOKUP(B13,'Root Units'!$A$6:$K$29,5,FALSE)*Controls!$B$28</x:f>
        <x:v>3150</x:v>
      </x:c>
      <x:c r="E13" s="30" t="n">
        <x:f>VLOOKUP(C13,'Root Units'!$A$6:$K$29,5,FALSE)*Controls!$B$28</x:f>
        <x:v>2850</x:v>
      </x:c>
      <x:c r="F13" s="30" t="n">
        <x:f>MAX(VLOOKUP(B13,'Root Units'!$A$6:$K$29,5,FALSE),VLOOKUP(C13,'Root Units'!$A$6:$K$29,5,FALSE))*Controls!$B$29</x:f>
        <x:v>2100</x:v>
      </x:c>
      <x:c r="G13" s="30" t="n">
        <x:f>SUM(D13:F13)</x:f>
        <x:v>8100</x:v>
      </x:c>
      <x:c r="H13" s="17"/>
      <x:c r="I13" s="17"/>
      <x:c r="J13" s="17"/>
      <x:c r="K13" s="17"/>
      <x:c r="L13" s="17"/>
      <x:c r="M13" s="13" t="str">
        <x:f>IF(AND(D13&gt;0,E13&gt;0,F13&gt;0,G13=SUM(D13:F13)),"PASS","FAIL")</x:f>
        <x:v>PASS</x:v>
      </x:c>
      <x:c r="N13" s="13" t="str">
        <x:f>IF(COUNTA(H13:L13)=5,"IDENTIFIED; EVIDENCE REQUIRED","SOURCE EMPTY")</x:f>
        <x:v>SOURCE EMPTY</x:v>
      </x:c>
    </x:row>
    <x:row r="14">
      <x:c r="A14" s="13" t="str">
        <x:v>HC-CELL-1</x:v>
      </x:c>
      <x:c r="B14" s="13" t="str">
        <x:v>HC-A</x:v>
      </x:c>
      <x:c r="C14" s="13" t="str">
        <x:v>HC-B</x:v>
      </x:c>
      <x:c r="D14" s="30" t="n">
        <x:f>VLOOKUP(B14,'Root Units'!$A$6:$K$29,5,FALSE)*Controls!$B$28</x:f>
        <x:v>6600</x:v>
      </x:c>
      <x:c r="E14" s="30" t="n">
        <x:f>VLOOKUP(C14,'Root Units'!$A$6:$K$29,5,FALSE)*Controls!$B$28</x:f>
        <x:v>9150</x:v>
      </x:c>
      <x:c r="F14" s="30" t="n">
        <x:f>MAX(VLOOKUP(B14,'Root Units'!$A$6:$K$29,5,FALSE),VLOOKUP(C14,'Root Units'!$A$6:$K$29,5,FALSE))*Controls!$B$29</x:f>
        <x:v>6100</x:v>
      </x:c>
      <x:c r="G14" s="30" t="n">
        <x:f>SUM(D14:F14)</x:f>
        <x:v>21850</x:v>
      </x:c>
      <x:c r="H14" s="17"/>
      <x:c r="I14" s="17"/>
      <x:c r="J14" s="17"/>
      <x:c r="K14" s="17"/>
      <x:c r="L14" s="17"/>
      <x:c r="M14" s="13" t="str">
        <x:f>IF(AND(D14&gt;0,E14&gt;0,F14&gt;0,G14=SUM(D14:F14)),"PASS","FAIL")</x:f>
        <x:v>PASS</x:v>
      </x:c>
      <x:c r="N14" s="13" t="str">
        <x:f>IF(COUNTA(H14:L14)=5,"IDENTIFIED; EVIDENCE REQUIRED","SOURCE EMPTY")</x:f>
        <x:v>SOURCE EMPTY</x:v>
      </x:c>
    </x:row>
    <x:row r="15">
      <x:c r="A15" s="13" t="str">
        <x:v>HC-CELL-2</x:v>
      </x:c>
      <x:c r="B15" s="13" t="str">
        <x:v>HC-C</x:v>
      </x:c>
      <x:c r="C15" s="13" t="str">
        <x:v>HC-D</x:v>
      </x:c>
      <x:c r="D15" s="30" t="n">
        <x:f>VLOOKUP(B15,'Root Units'!$A$6:$K$29,5,FALSE)*Controls!$B$28</x:f>
        <x:v>7800</x:v>
      </x:c>
      <x:c r="E15" s="30" t="n">
        <x:f>VLOOKUP(C15,'Root Units'!$A$6:$K$29,5,FALSE)*Controls!$B$28</x:f>
        <x:v>4950</x:v>
      </x:c>
      <x:c r="F15" s="30" t="n">
        <x:f>MAX(VLOOKUP(B15,'Root Units'!$A$6:$K$29,5,FALSE),VLOOKUP(C15,'Root Units'!$A$6:$K$29,5,FALSE))*Controls!$B$29</x:f>
        <x:v>5200</x:v>
      </x:c>
      <x:c r="G15" s="30" t="n">
        <x:f>SUM(D15:F15)</x:f>
        <x:v>17950</x:v>
      </x:c>
      <x:c r="H15" s="17"/>
      <x:c r="I15" s="17"/>
      <x:c r="J15" s="17"/>
      <x:c r="K15" s="17"/>
      <x:c r="L15" s="17"/>
      <x:c r="M15" s="13" t="str">
        <x:f>IF(AND(D15&gt;0,E15&gt;0,F15&gt;0,G15=SUM(D15:F15)),"PASS","FAIL")</x:f>
        <x:v>PASS</x:v>
      </x:c>
      <x:c r="N15" s="13" t="str">
        <x:f>IF(COUNTA(H15:L15)=5,"IDENTIFIED; EVIDENCE REQUIRED","SOURCE EMPTY")</x:f>
        <x:v>SOURCE EMPTY</x:v>
      </x:c>
    </x:row>
    <x:row r="16">
      <x:c r="A16" s="13" t="str">
        <x:v>HC-CELL-3</x:v>
      </x:c>
      <x:c r="B16" s="13" t="str">
        <x:v>HC-A</x:v>
      </x:c>
      <x:c r="C16" s="13" t="str">
        <x:v>HC-C</x:v>
      </x:c>
      <x:c r="D16" s="30" t="n">
        <x:f>VLOOKUP(B16,'Root Units'!$A$6:$K$29,5,FALSE)*Controls!$B$28</x:f>
        <x:v>6600</x:v>
      </x:c>
      <x:c r="E16" s="30" t="n">
        <x:f>VLOOKUP(C16,'Root Units'!$A$6:$K$29,5,FALSE)*Controls!$B$28</x:f>
        <x:v>7800</x:v>
      </x:c>
      <x:c r="F16" s="30" t="n">
        <x:f>MAX(VLOOKUP(B16,'Root Units'!$A$6:$K$29,5,FALSE),VLOOKUP(C16,'Root Units'!$A$6:$K$29,5,FALSE))*Controls!$B$29</x:f>
        <x:v>5200</x:v>
      </x:c>
      <x:c r="G16" s="30" t="n">
        <x:f>SUM(D16:F16)</x:f>
        <x:v>19600</x:v>
      </x:c>
      <x:c r="H16" s="17"/>
      <x:c r="I16" s="17"/>
      <x:c r="J16" s="17"/>
      <x:c r="K16" s="17"/>
      <x:c r="L16" s="17"/>
      <x:c r="M16" s="13" t="str">
        <x:f>IF(AND(D16&gt;0,E16&gt;0,F16&gt;0,G16=SUM(D16:F16)),"PASS","FAIL")</x:f>
        <x:v>PASS</x:v>
      </x:c>
      <x:c r="N16" s="13" t="str">
        <x:f>IF(COUNTA(H16:L16)=5,"IDENTIFIED; EVIDENCE REQUIRED","SOURCE EMPTY")</x:f>
        <x:v>SOURCE EMPTY</x:v>
      </x:c>
    </x:row>
    <x:row r="17">
      <x:c r="A17" s="13" t="str">
        <x:v>HC-CELL-4</x:v>
      </x:c>
      <x:c r="B17" s="13" t="str">
        <x:v>HC-B</x:v>
      </x:c>
      <x:c r="C17" s="13" t="str">
        <x:v>HC-D</x:v>
      </x:c>
      <x:c r="D17" s="30" t="n">
        <x:f>VLOOKUP(B17,'Root Units'!$A$6:$K$29,5,FALSE)*Controls!$B$28</x:f>
        <x:v>9150</x:v>
      </x:c>
      <x:c r="E17" s="30" t="n">
        <x:f>VLOOKUP(C17,'Root Units'!$A$6:$K$29,5,FALSE)*Controls!$B$28</x:f>
        <x:v>4950</x:v>
      </x:c>
      <x:c r="F17" s="30" t="n">
        <x:f>MAX(VLOOKUP(B17,'Root Units'!$A$6:$K$29,5,FALSE),VLOOKUP(C17,'Root Units'!$A$6:$K$29,5,FALSE))*Controls!$B$29</x:f>
        <x:v>6100</x:v>
      </x:c>
      <x:c r="G17" s="30" t="n">
        <x:f>SUM(D17:F17)</x:f>
        <x:v>20200</x:v>
      </x:c>
      <x:c r="H17" s="17"/>
      <x:c r="I17" s="17"/>
      <x:c r="J17" s="17"/>
      <x:c r="K17" s="17"/>
      <x:c r="L17" s="17"/>
      <x:c r="M17" s="13" t="str">
        <x:f>IF(AND(D17&gt;0,E17&gt;0,F17&gt;0,G17=SUM(D17:F17)),"PASS","FAIL")</x:f>
        <x:v>PASS</x:v>
      </x:c>
      <x:c r="N17" s="13" t="str">
        <x:f>IF(COUNTA(H17:L17)=5,"IDENTIFIED; EVIDENCE REQUIRED","SOURCE EMPTY")</x:f>
        <x:v>SOURCE EMPTY</x:v>
      </x:c>
    </x:row>
    <x:row r="18">
      <x:c r="A18" s="13" t="str">
        <x:v>LF-CELL-1</x:v>
      </x:c>
      <x:c r="B18" s="13" t="str">
        <x:v>LF-A</x:v>
      </x:c>
      <x:c r="C18" s="13" t="str">
        <x:v>LF-B</x:v>
      </x:c>
      <x:c r="D18" s="30" t="n">
        <x:f>VLOOKUP(B18,'Root Units'!$A$6:$K$29,5,FALSE)*Controls!$B$28</x:f>
        <x:v>6423.75</x:v>
      </x:c>
      <x:c r="E18" s="30" t="n">
        <x:f>VLOOKUP(C18,'Root Units'!$A$6:$K$29,5,FALSE)*Controls!$B$28</x:f>
        <x:v>4661.25</x:v>
      </x:c>
      <x:c r="F18" s="30" t="n">
        <x:f>MAX(VLOOKUP(B18,'Root Units'!$A$6:$K$29,5,FALSE),VLOOKUP(C18,'Root Units'!$A$6:$K$29,5,FALSE))*Controls!$B$29</x:f>
        <x:v>4282.5</x:v>
      </x:c>
      <x:c r="G18" s="30" t="n">
        <x:f>SUM(D18:F18)</x:f>
        <x:v>15367.5</x:v>
      </x:c>
      <x:c r="H18" s="17"/>
      <x:c r="I18" s="17"/>
      <x:c r="J18" s="17"/>
      <x:c r="K18" s="17"/>
      <x:c r="L18" s="17"/>
      <x:c r="M18" s="13" t="str">
        <x:f>IF(AND(D18&gt;0,E18&gt;0,F18&gt;0,G18=SUM(D18:F18)),"PASS","FAIL")</x:f>
        <x:v>PASS</x:v>
      </x:c>
      <x:c r="N18" s="13" t="str">
        <x:f>IF(COUNTA(H18:L18)=5,"IDENTIFIED; EVIDENCE REQUIRED","SOURCE EMPTY")</x:f>
        <x:v>SOURCE EMPTY</x:v>
      </x:c>
    </x:row>
    <x:row r="19">
      <x:c r="A19" s="13" t="str">
        <x:v>LF-CELL-2</x:v>
      </x:c>
      <x:c r="B19" s="13" t="str">
        <x:v>LF-C</x:v>
      </x:c>
      <x:c r="C19" s="13" t="str">
        <x:v>LF-D</x:v>
      </x:c>
      <x:c r="D19" s="30" t="n">
        <x:f>VLOOKUP(B19,'Root Units'!$A$6:$K$29,5,FALSE)*Controls!$B$28</x:f>
        <x:v>5197.5</x:v>
      </x:c>
      <x:c r="E19" s="30" t="n">
        <x:f>VLOOKUP(C19,'Root Units'!$A$6:$K$29,5,FALSE)*Controls!$B$28</x:f>
        <x:v>2752.5</x:v>
      </x:c>
      <x:c r="F19" s="30" t="n">
        <x:f>MAX(VLOOKUP(B19,'Root Units'!$A$6:$K$29,5,FALSE),VLOOKUP(C19,'Root Units'!$A$6:$K$29,5,FALSE))*Controls!$B$29</x:f>
        <x:v>3465</x:v>
      </x:c>
      <x:c r="G19" s="30" t="n">
        <x:f>SUM(D19:F19)</x:f>
        <x:v>11415</x:v>
      </x:c>
      <x:c r="H19" s="17"/>
      <x:c r="I19" s="17"/>
      <x:c r="J19" s="17"/>
      <x:c r="K19" s="17"/>
      <x:c r="L19" s="17"/>
      <x:c r="M19" s="13" t="str">
        <x:f>IF(AND(D19&gt;0,E19&gt;0,F19&gt;0,G19=SUM(D19:F19)),"PASS","FAIL")</x:f>
        <x:v>PASS</x:v>
      </x:c>
      <x:c r="N19" s="13" t="str">
        <x:f>IF(COUNTA(H19:L19)=5,"IDENTIFIED; EVIDENCE REQUIRED","SOURCE EMPTY")</x:f>
        <x:v>SOURCE EMPTY</x:v>
      </x:c>
    </x:row>
    <x:row r="20">
      <x:c r="A20" s="13" t="str">
        <x:v>LF-CELL-3</x:v>
      </x:c>
      <x:c r="B20" s="13" t="str">
        <x:v>LF-A</x:v>
      </x:c>
      <x:c r="C20" s="13" t="str">
        <x:v>LF-C</x:v>
      </x:c>
      <x:c r="D20" s="30" t="n">
        <x:f>VLOOKUP(B20,'Root Units'!$A$6:$K$29,5,FALSE)*Controls!$B$28</x:f>
        <x:v>6423.75</x:v>
      </x:c>
      <x:c r="E20" s="30" t="n">
        <x:f>VLOOKUP(C20,'Root Units'!$A$6:$K$29,5,FALSE)*Controls!$B$28</x:f>
        <x:v>5197.5</x:v>
      </x:c>
      <x:c r="F20" s="30" t="n">
        <x:f>MAX(VLOOKUP(B20,'Root Units'!$A$6:$K$29,5,FALSE),VLOOKUP(C20,'Root Units'!$A$6:$K$29,5,FALSE))*Controls!$B$29</x:f>
        <x:v>4282.5</x:v>
      </x:c>
      <x:c r="G20" s="30" t="n">
        <x:f>SUM(D20:F20)</x:f>
        <x:v>15903.75</x:v>
      </x:c>
      <x:c r="H20" s="17"/>
      <x:c r="I20" s="17"/>
      <x:c r="J20" s="17"/>
      <x:c r="K20" s="17"/>
      <x:c r="L20" s="17"/>
      <x:c r="M20" s="13" t="str">
        <x:f>IF(AND(D20&gt;0,E20&gt;0,F20&gt;0,G20=SUM(D20:F20)),"PASS","FAIL")</x:f>
        <x:v>PASS</x:v>
      </x:c>
      <x:c r="N20" s="13" t="str">
        <x:f>IF(COUNTA(H20:L20)=5,"IDENTIFIED; EVIDENCE REQUIRED","SOURCE EMPTY")</x:f>
        <x:v>SOURCE EMPTY</x:v>
      </x:c>
    </x:row>
    <x:row r="21">
      <x:c r="A21" s="13" t="str">
        <x:v>LF-CELL-4</x:v>
      </x:c>
      <x:c r="B21" s="13" t="str">
        <x:v>LF-B</x:v>
      </x:c>
      <x:c r="C21" s="13" t="str">
        <x:v>LF-D</x:v>
      </x:c>
      <x:c r="D21" s="30" t="n">
        <x:f>VLOOKUP(B21,'Root Units'!$A$6:$K$29,5,FALSE)*Controls!$B$28</x:f>
        <x:v>4661.25</x:v>
      </x:c>
      <x:c r="E21" s="30" t="n">
        <x:f>VLOOKUP(C21,'Root Units'!$A$6:$K$29,5,FALSE)*Controls!$B$28</x:f>
        <x:v>2752.5</x:v>
      </x:c>
      <x:c r="F21" s="30" t="n">
        <x:f>MAX(VLOOKUP(B21,'Root Units'!$A$6:$K$29,5,FALSE),VLOOKUP(C21,'Root Units'!$A$6:$K$29,5,FALSE))*Controls!$B$29</x:f>
        <x:v>3107.5</x:v>
      </x:c>
      <x:c r="G21" s="30" t="n">
        <x:f>SUM(D21:F21)</x:f>
        <x:v>10521.25</x:v>
      </x:c>
      <x:c r="H21" s="17"/>
      <x:c r="I21" s="17"/>
      <x:c r="J21" s="17"/>
      <x:c r="K21" s="17"/>
      <x:c r="L21" s="17"/>
      <x:c r="M21" s="13" t="str">
        <x:f>IF(AND(D21&gt;0,E21&gt;0,F21&gt;0,G21=SUM(D21:F21)),"PASS","FAIL")</x:f>
        <x:v>PASS</x:v>
      </x:c>
      <x:c r="N21" s="13" t="str">
        <x:f>IF(COUNTA(H21:L21)=5,"IDENTIFIED; EVIDENCE REQUIRED","SOURCE EMPTY")</x:f>
        <x:v>SOURCE EMPTY</x:v>
      </x:c>
    </x:row>
    <x:row r="22">
      <x:c r="A22" s="13" t="str">
        <x:v>HU-CELL-1</x:v>
      </x:c>
      <x:c r="B22" s="13" t="str">
        <x:v>HU-A</x:v>
      </x:c>
      <x:c r="C22" s="13" t="str">
        <x:v>HU-B</x:v>
      </x:c>
      <x:c r="D22" s="30" t="n">
        <x:f>VLOOKUP(B22,'Root Units'!$A$6:$K$29,5,FALSE)*Controls!$B$28</x:f>
        <x:v>6300</x:v>
      </x:c>
      <x:c r="E22" s="30" t="n">
        <x:f>VLOOKUP(C22,'Root Units'!$A$6:$K$29,5,FALSE)*Controls!$B$28</x:f>
        <x:v>4650</x:v>
      </x:c>
      <x:c r="F22" s="30" t="n">
        <x:f>MAX(VLOOKUP(B22,'Root Units'!$A$6:$K$29,5,FALSE),VLOOKUP(C22,'Root Units'!$A$6:$K$29,5,FALSE))*Controls!$B$29</x:f>
        <x:v>4200</x:v>
      </x:c>
      <x:c r="G22" s="30" t="n">
        <x:f>SUM(D22:F22)</x:f>
        <x:v>15150</x:v>
      </x:c>
      <x:c r="H22" s="17"/>
      <x:c r="I22" s="17"/>
      <x:c r="J22" s="17"/>
      <x:c r="K22" s="17"/>
      <x:c r="L22" s="17"/>
      <x:c r="M22" s="13" t="str">
        <x:f>IF(AND(D22&gt;0,E22&gt;0,F22&gt;0,G22=SUM(D22:F22)),"PASS","FAIL")</x:f>
        <x:v>PASS</x:v>
      </x:c>
      <x:c r="N22" s="13" t="str">
        <x:f>IF(COUNTA(H22:L22)=5,"IDENTIFIED; EVIDENCE REQUIRED","SOURCE EMPTY")</x:f>
        <x:v>SOURCE EMPTY</x:v>
      </x:c>
    </x:row>
    <x:row r="23">
      <x:c r="A23" s="13" t="str">
        <x:v>HU-CELL-2</x:v>
      </x:c>
      <x:c r="B23" s="13" t="str">
        <x:v>HU-C</x:v>
      </x:c>
      <x:c r="C23" s="13" t="str">
        <x:v>HU-D</x:v>
      </x:c>
      <x:c r="D23" s="30" t="n">
        <x:f>VLOOKUP(B23,'Root Units'!$A$6:$K$29,5,FALSE)*Controls!$B$28</x:f>
        <x:v>5700</x:v>
      </x:c>
      <x:c r="E23" s="30" t="n">
        <x:f>VLOOKUP(C23,'Root Units'!$A$6:$K$29,5,FALSE)*Controls!$B$28</x:f>
        <x:v>3600</x:v>
      </x:c>
      <x:c r="F23" s="30" t="n">
        <x:f>MAX(VLOOKUP(B23,'Root Units'!$A$6:$K$29,5,FALSE),VLOOKUP(C23,'Root Units'!$A$6:$K$29,5,FALSE))*Controls!$B$29</x:f>
        <x:v>3800</x:v>
      </x:c>
      <x:c r="G23" s="30" t="n">
        <x:f>SUM(D23:F23)</x:f>
        <x:v>13100</x:v>
      </x:c>
      <x:c r="H23" s="17"/>
      <x:c r="I23" s="17"/>
      <x:c r="J23" s="17"/>
      <x:c r="K23" s="17"/>
      <x:c r="L23" s="17"/>
      <x:c r="M23" s="13" t="str">
        <x:f>IF(AND(D23&gt;0,E23&gt;0,F23&gt;0,G23=SUM(D23:F23)),"PASS","FAIL")</x:f>
        <x:v>PASS</x:v>
      </x:c>
      <x:c r="N23" s="13" t="str">
        <x:f>IF(COUNTA(H23:L23)=5,"IDENTIFIED; EVIDENCE REQUIRED","SOURCE EMPTY")</x:f>
        <x:v>SOURCE EMPTY</x:v>
      </x:c>
    </x:row>
    <x:row r="24">
      <x:c r="A24" s="13" t="str">
        <x:v>HU-CELL-3</x:v>
      </x:c>
      <x:c r="B24" s="13" t="str">
        <x:v>HU-A</x:v>
      </x:c>
      <x:c r="C24" s="13" t="str">
        <x:v>HU-C</x:v>
      </x:c>
      <x:c r="D24" s="30" t="n">
        <x:f>VLOOKUP(B24,'Root Units'!$A$6:$K$29,5,FALSE)*Controls!$B$28</x:f>
        <x:v>6300</x:v>
      </x:c>
      <x:c r="E24" s="30" t="n">
        <x:f>VLOOKUP(C24,'Root Units'!$A$6:$K$29,5,FALSE)*Controls!$B$28</x:f>
        <x:v>5700</x:v>
      </x:c>
      <x:c r="F24" s="30" t="n">
        <x:f>MAX(VLOOKUP(B24,'Root Units'!$A$6:$K$29,5,FALSE),VLOOKUP(C24,'Root Units'!$A$6:$K$29,5,FALSE))*Controls!$B$29</x:f>
        <x:v>4200</x:v>
      </x:c>
      <x:c r="G24" s="30" t="n">
        <x:f>SUM(D24:F24)</x:f>
        <x:v>16200</x:v>
      </x:c>
      <x:c r="H24" s="17"/>
      <x:c r="I24" s="17"/>
      <x:c r="J24" s="17"/>
      <x:c r="K24" s="17"/>
      <x:c r="L24" s="17"/>
      <x:c r="M24" s="13" t="str">
        <x:f>IF(AND(D24&gt;0,E24&gt;0,F24&gt;0,G24=SUM(D24:F24)),"PASS","FAIL")</x:f>
        <x:v>PASS</x:v>
      </x:c>
      <x:c r="N24" s="13" t="str">
        <x:f>IF(COUNTA(H24:L24)=5,"IDENTIFIED; EVIDENCE REQUIRED","SOURCE EMPTY")</x:f>
        <x:v>SOURCE EMPTY</x:v>
      </x:c>
    </x:row>
    <x:row r="25">
      <x:c r="A25" s="13" t="str">
        <x:v>HU-CELL-4</x:v>
      </x:c>
      <x:c r="B25" s="13" t="str">
        <x:v>HU-B</x:v>
      </x:c>
      <x:c r="C25" s="13" t="str">
        <x:v>HU-D</x:v>
      </x:c>
      <x:c r="D25" s="30" t="n">
        <x:f>VLOOKUP(B25,'Root Units'!$A$6:$K$29,5,FALSE)*Controls!$B$28</x:f>
        <x:v>4650</x:v>
      </x:c>
      <x:c r="E25" s="30" t="n">
        <x:f>VLOOKUP(C25,'Root Units'!$A$6:$K$29,5,FALSE)*Controls!$B$28</x:f>
        <x:v>3600</x:v>
      </x:c>
      <x:c r="F25" s="30" t="n">
        <x:f>MAX(VLOOKUP(B25,'Root Units'!$A$6:$K$29,5,FALSE),VLOOKUP(C25,'Root Units'!$A$6:$K$29,5,FALSE))*Controls!$B$29</x:f>
        <x:v>3100</x:v>
      </x:c>
      <x:c r="G25" s="30" t="n">
        <x:f>SUM(D25:F25)</x:f>
        <x:v>11350</x:v>
      </x:c>
      <x:c r="H25" s="17"/>
      <x:c r="I25" s="17"/>
      <x:c r="J25" s="17"/>
      <x:c r="K25" s="17"/>
      <x:c r="L25" s="17"/>
      <x:c r="M25" s="13" t="str">
        <x:f>IF(AND(D25&gt;0,E25&gt;0,F25&gt;0,G25=SUM(D25:F25)),"PASS","FAIL")</x:f>
        <x:v>PASS</x:v>
      </x:c>
      <x:c r="N25" s="13" t="str">
        <x:f>IF(COUNTA(H25:L25)=5,"IDENTIFIED; EVIDENCE REQUIRED","SOURCE EMPTY")</x:f>
        <x:v>SOURCE EMPTY</x:v>
      </x:c>
    </x:row>
    <x:row r="26">
      <x:c r="A26" s="13" t="str">
        <x:v>RT-CELL-1</x:v>
      </x:c>
      <x:c r="B26" s="13" t="str">
        <x:v>RT-A</x:v>
      </x:c>
      <x:c r="C26" s="13" t="str">
        <x:v>RT-B</x:v>
      </x:c>
      <x:c r="D26" s="30" t="n">
        <x:f>VLOOKUP(B26,'Root Units'!$A$6:$K$29,5,FALSE)*Controls!$B$28</x:f>
        <x:v>14400</x:v>
      </x:c>
      <x:c r="E26" s="30" t="n">
        <x:f>VLOOKUP(C26,'Root Units'!$A$6:$K$29,5,FALSE)*Controls!$B$28</x:f>
        <x:v>8700</x:v>
      </x:c>
      <x:c r="F26" s="30" t="n">
        <x:f>MAX(VLOOKUP(B26,'Root Units'!$A$6:$K$29,5,FALSE),VLOOKUP(C26,'Root Units'!$A$6:$K$29,5,FALSE))*Controls!$B$29</x:f>
        <x:v>9600</x:v>
      </x:c>
      <x:c r="G26" s="30" t="n">
        <x:f>SUM(D26:F26)</x:f>
        <x:v>32700</x:v>
      </x:c>
      <x:c r="H26" s="17"/>
      <x:c r="I26" s="17"/>
      <x:c r="J26" s="17"/>
      <x:c r="K26" s="17"/>
      <x:c r="L26" s="17"/>
      <x:c r="M26" s="13" t="str">
        <x:f>IF(AND(D26&gt;0,E26&gt;0,F26&gt;0,G26=SUM(D26:F26)),"PASS","FAIL")</x:f>
        <x:v>PASS</x:v>
      </x:c>
      <x:c r="N26" s="13" t="str">
        <x:f>IF(COUNTA(H26:L26)=5,"IDENTIFIED; EVIDENCE REQUIRED","SOURCE EMPTY")</x:f>
        <x:v>SOURCE EMPTY</x:v>
      </x:c>
    </x:row>
    <x:row r="27">
      <x:c r="A27" s="13" t="str">
        <x:v>RT-CELL-2</x:v>
      </x:c>
      <x:c r="B27" s="13" t="str">
        <x:v>RT-C</x:v>
      </x:c>
      <x:c r="C27" s="13" t="str">
        <x:v>RT-D</x:v>
      </x:c>
      <x:c r="D27" s="30" t="n">
        <x:f>VLOOKUP(B27,'Root Units'!$A$6:$K$29,5,FALSE)*Controls!$B$28</x:f>
        <x:v>10800</x:v>
      </x:c>
      <x:c r="E27" s="30" t="n">
        <x:f>VLOOKUP(C27,'Root Units'!$A$6:$K$29,5,FALSE)*Controls!$B$28</x:f>
        <x:v>12600</x:v>
      </x:c>
      <x:c r="F27" s="30" t="n">
        <x:f>MAX(VLOOKUP(B27,'Root Units'!$A$6:$K$29,5,FALSE),VLOOKUP(C27,'Root Units'!$A$6:$K$29,5,FALSE))*Controls!$B$29</x:f>
        <x:v>8400</x:v>
      </x:c>
      <x:c r="G27" s="30" t="n">
        <x:f>SUM(D27:F27)</x:f>
        <x:v>31800</x:v>
      </x:c>
      <x:c r="H27" s="17"/>
      <x:c r="I27" s="17"/>
      <x:c r="J27" s="17"/>
      <x:c r="K27" s="17"/>
      <x:c r="L27" s="17"/>
      <x:c r="M27" s="13" t="str">
        <x:f>IF(AND(D27&gt;0,E27&gt;0,F27&gt;0,G27=SUM(D27:F27)),"PASS","FAIL")</x:f>
        <x:v>PASS</x:v>
      </x:c>
      <x:c r="N27" s="13" t="str">
        <x:f>IF(COUNTA(H27:L27)=5,"IDENTIFIED; EVIDENCE REQUIRED","SOURCE EMPTY")</x:f>
        <x:v>SOURCE EMPTY</x:v>
      </x:c>
    </x:row>
    <x:row r="28">
      <x:c r="A28" s="13" t="str">
        <x:v>RT-CELL-3</x:v>
      </x:c>
      <x:c r="B28" s="13" t="str">
        <x:v>RT-A</x:v>
      </x:c>
      <x:c r="C28" s="13" t="str">
        <x:v>RT-C</x:v>
      </x:c>
      <x:c r="D28" s="30" t="n">
        <x:f>VLOOKUP(B28,'Root Units'!$A$6:$K$29,5,FALSE)*Controls!$B$28</x:f>
        <x:v>14400</x:v>
      </x:c>
      <x:c r="E28" s="30" t="n">
        <x:f>VLOOKUP(C28,'Root Units'!$A$6:$K$29,5,FALSE)*Controls!$B$28</x:f>
        <x:v>10800</x:v>
      </x:c>
      <x:c r="F28" s="30" t="n">
        <x:f>MAX(VLOOKUP(B28,'Root Units'!$A$6:$K$29,5,FALSE),VLOOKUP(C28,'Root Units'!$A$6:$K$29,5,FALSE))*Controls!$B$29</x:f>
        <x:v>9600</x:v>
      </x:c>
      <x:c r="G28" s="30" t="n">
        <x:f>SUM(D28:F28)</x:f>
        <x:v>34800</x:v>
      </x:c>
      <x:c r="H28" s="17"/>
      <x:c r="I28" s="17"/>
      <x:c r="J28" s="17"/>
      <x:c r="K28" s="17"/>
      <x:c r="L28" s="17"/>
      <x:c r="M28" s="13" t="str">
        <x:f>IF(AND(D28&gt;0,E28&gt;0,F28&gt;0,G28=SUM(D28:F28)),"PASS","FAIL")</x:f>
        <x:v>PASS</x:v>
      </x:c>
      <x:c r="N28" s="13" t="str">
        <x:f>IF(COUNTA(H28:L28)=5,"IDENTIFIED; EVIDENCE REQUIRED","SOURCE EMPTY")</x:f>
        <x:v>SOURCE EMPTY</x:v>
      </x:c>
    </x:row>
    <x:row r="29">
      <x:c r="A29" s="13" t="str">
        <x:v>RT-CELL-4</x:v>
      </x:c>
      <x:c r="B29" s="13" t="str">
        <x:v>RT-B</x:v>
      </x:c>
      <x:c r="C29" s="13" t="str">
        <x:v>RT-D</x:v>
      </x:c>
      <x:c r="D29" s="30" t="n">
        <x:f>VLOOKUP(B29,'Root Units'!$A$6:$K$29,5,FALSE)*Controls!$B$28</x:f>
        <x:v>8700</x:v>
      </x:c>
      <x:c r="E29" s="30" t="n">
        <x:f>VLOOKUP(C29,'Root Units'!$A$6:$K$29,5,FALSE)*Controls!$B$28</x:f>
        <x:v>12600</x:v>
      </x:c>
      <x:c r="F29" s="30" t="n">
        <x:f>MAX(VLOOKUP(B29,'Root Units'!$A$6:$K$29,5,FALSE),VLOOKUP(C29,'Root Units'!$A$6:$K$29,5,FALSE))*Controls!$B$29</x:f>
        <x:v>8400</x:v>
      </x:c>
      <x:c r="G29" s="30" t="n">
        <x:f>SUM(D29:F29)</x:f>
        <x:v>29700</x:v>
      </x:c>
      <x:c r="H29" s="17"/>
      <x:c r="I29" s="17"/>
      <x:c r="J29" s="17"/>
      <x:c r="K29" s="17"/>
      <x:c r="L29" s="17"/>
      <x:c r="M29" s="13" t="str">
        <x:f>IF(AND(D29&gt;0,E29&gt;0,F29&gt;0,G29=SUM(D29:F29)),"PASS","FAIL")</x:f>
        <x:v>PASS</x:v>
      </x:c>
      <x:c r="N29" s="13" t="str">
        <x:f>IF(COUNTA(H29:L29)=5,"IDENTIFIED; EVIDENCE REQUIRED","SOURCE EMPTY")</x:f>
        <x:v>SOURCE EMPTY</x:v>
      </x:c>
    </x:row>
  </x:sheetData>
  <x:conditionalFormatting sqref="M6:N29">
    <x:cfRule type="containsText" dxfId="16" priority="1" operator="containsText" text="FAIL"/>
    <x:cfRule type="containsText" dxfId="17" priority="2" operator="containsText" text="SOURCE EMPTY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9" hidden="0" customWidth="1"/>
    <x:col min="5" max="5" width="19" hidden="0" customWidth="1"/>
    <x:col min="6" max="6" width="21" hidden="0" customWidth="1"/>
    <x:col min="7" max="7" width="15" hidden="0" customWidth="1"/>
    <x:col min="8" max="8" width="19" hidden="0" customWidth="1"/>
    <x:col min="9" max="9" width="11" hidden="0" customWidth="1"/>
    <x:col min="10" max="10" width="16" hidden="0" customWidth="1"/>
    <x:col min="11" max="11" width="21" hidden="0" customWidth="1"/>
    <x:col min="12" max="12" width="13" hidden="0" customWidth="1"/>
    <x:col min="13" max="13" width="18" hidden="0" customWidth="1"/>
    <x:col min="14" max="14" width="20" hidden="0" customWidth="1"/>
    <x:col min="15" max="15" width="20" hidden="0" customWidth="1"/>
    <x:col min="16" max="16" width="12" hidden="0" customWidth="1"/>
    <x:col min="17" max="17" width="26" hidden="0" customWidth="1"/>
  </x:cols>
  <x:sheetData>
    <x:row r="2">
      <x:c r="A2" s="59" t="str">
        <x:v>Black-start utility islands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61" t="str">
        <x:v>Six utility modules mirror the production-bay loss law. Installed power retains 125% of governing process demand after one module loss.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</x:row>
    <x:row r="5" ht="30" customHeight="1">
      <x:c r="A5" s="9" t="str">
        <x:v>Cell</x:v>
      </x:c>
      <x:c r="B5" s="9" t="str">
        <x:v>Root 1</x:v>
      </x:c>
      <x:c r="C5" s="9" t="str">
        <x:v>Root 2</x:v>
      </x:c>
      <x:c r="D5" s="9" t="str">
        <x:v>Root 1 process MW</x:v>
      </x:c>
      <x:c r="E5" s="9" t="str">
        <x:v>Root 2 process MW</x:v>
      </x:c>
      <x:c r="F5" s="9" t="str">
        <x:v>Governing process MW</x:v>
      </x:c>
      <x:c r="G5" s="9" t="str">
        <x:v>Reserve factor</x:v>
      </x:c>
      <x:c r="H5" s="9" t="str">
        <x:v>Installed island MW</x:v>
      </x:c>
      <x:c r="I5" s="9" t="str">
        <x:v>Modules</x:v>
      </x:c>
      <x:c r="J5" s="9" t="str">
        <x:v>Share per module</x:v>
      </x:c>
      <x:c r="K5" s="9" t="str">
        <x:v>After module loss MW</x:v>
      </x:c>
      <x:c r="L5" s="9" t="str">
        <x:v>Loss margin</x:v>
      </x:c>
      <x:c r="M5" s="9" t="str">
        <x:v>Island ID</x:v>
      </x:c>
      <x:c r="N5" s="9" t="str">
        <x:v>Alternate source ID</x:v>
      </x:c>
      <x:c r="O5" s="9" t="str">
        <x:v>Black-start event</x:v>
      </x:c>
      <x:c r="P5" s="9" t="str">
        <x:v>Planning</x:v>
      </x:c>
      <x:c r="Q5" s="9" t="str">
        <x:v>Evidence</x:v>
      </x:c>
    </x:row>
    <x:row r="6">
      <x:c r="A6" s="12" t="str">
        <x:v>TE-CELL-1</x:v>
      </x:c>
      <x:c r="B6" s="12" t="str">
        <x:v>TE-A</x:v>
      </x:c>
      <x:c r="C6" s="12" t="str">
        <x:v>TE-B</x:v>
      </x:c>
      <x:c r="D6" s="29" t="n">
        <x:f>VLOOKUP(B6,'Root Units'!$A$6:$K$29,10,FALSE)</x:f>
        <x:v>24.383561643835616</x:v>
      </x:c>
      <x:c r="E6" s="29" t="n">
        <x:f>VLOOKUP(C6,'Root Units'!$A$6:$K$29,10,FALSE)</x:f>
        <x:v>23.835616438356166</x:v>
      </x:c>
      <x:c r="F6" s="29" t="n">
        <x:f>MAX(D6:E6)</x:f>
        <x:v>24.383561643835616</x:v>
      </x:c>
      <x:c r="G6" s="44" t="n">
        <x:f>Controls!$B$27</x:f>
        <x:v>1.25</x:v>
      </x:c>
      <x:c r="H6" s="29" t="n">
        <x:f>F6*I6*J6</x:f>
        <x:v>36.57534246575342</x:v>
      </x:c>
      <x:c r="I6" s="12" t="n">
        <x:v>6</x:v>
      </x:c>
      <x:c r="J6" s="39" t="n">
        <x:v>0.25</x:v>
      </x:c>
      <x:c r="K6" s="42" t="n">
        <x:f>F6*(I6-Controls!$B$34)*J6</x:f>
        <x:v>30.47945205479452</x:v>
      </x:c>
      <x:c r="L6" s="42" t="n">
        <x:f>K6/F6</x:f>
        <x:v>1.25</x:v>
      </x:c>
      <x:c r="M6" s="16"/>
      <x:c r="N6" s="16"/>
      <x:c r="O6" s="16"/>
      <x:c r="P6" s="12" t="str">
        <x:f>IF(AND(G6&gt;=1.25,I6=6,J6=0.25,K6&gt;=F6*G6),"PASS","FAIL")</x:f>
        <x:v>PASS</x:v>
      </x:c>
      <x:c r="Q6" s="12" t="str">
        <x:f>IF(COUNTA(M6:O6)=3,"IDENTIFIED; EVIDENCE REQUIRED","SOURCE EMPTY")</x:f>
        <x:v>SOURCE EMPTY</x:v>
      </x:c>
    </x:row>
    <x:row r="7">
      <x:c r="A7" s="13" t="str">
        <x:v>TE-CELL-2</x:v>
      </x:c>
      <x:c r="B7" s="13" t="str">
        <x:v>TE-C</x:v>
      </x:c>
      <x:c r="C7" s="13" t="str">
        <x:v>TE-D</x:v>
      </x:c>
      <x:c r="D7" s="30" t="n">
        <x:f>VLOOKUP(B7,'Root Units'!$A$6:$K$29,10,FALSE)</x:f>
        <x:v>15.205479452054796</x:v>
      </x:c>
      <x:c r="E7" s="30" t="n">
        <x:f>VLOOKUP(C7,'Root Units'!$A$6:$K$29,10,FALSE)</x:f>
        <x:v>13.059360730593609</x:v>
      </x:c>
      <x:c r="F7" s="30" t="n">
        <x:f>MAX(D7:E7)</x:f>
        <x:v>15.205479452054796</x:v>
      </x:c>
      <x:c r="G7" s="45" t="n">
        <x:f>Controls!$B$27</x:f>
        <x:v>1.25</x:v>
      </x:c>
      <x:c r="H7" s="30" t="n">
        <x:f>F7*I7*J7</x:f>
        <x:v>22.808219178082194</x:v>
      </x:c>
      <x:c r="I7" s="13" t="n">
        <x:v>6</x:v>
      </x:c>
      <x:c r="J7" s="24" t="n">
        <x:v>0.25</x:v>
      </x:c>
      <x:c r="K7" s="43" t="n">
        <x:f>F7*(I7-Controls!$B$34)*J7</x:f>
        <x:v>19.006849315068493</x:v>
      </x:c>
      <x:c r="L7" s="43" t="n">
        <x:f>K7/F7</x:f>
        <x:v>1.2499999999999998</x:v>
      </x:c>
      <x:c r="M7" s="17"/>
      <x:c r="N7" s="17"/>
      <x:c r="O7" s="17"/>
      <x:c r="P7" s="13" t="str">
        <x:f>IF(AND(G7&gt;=1.25,I7=6,J7=0.25,K7&gt;=F7*G7),"PASS","FAIL")</x:f>
        <x:v>PASS</x:v>
      </x:c>
      <x:c r="Q7" s="13" t="str">
        <x:f>IF(COUNTA(M7:O7)=3,"IDENTIFIED; EVIDENCE REQUIRED","SOURCE EMPTY")</x:f>
        <x:v>SOURCE EMPTY</x:v>
      </x:c>
    </x:row>
    <x:row r="8">
      <x:c r="A8" s="13" t="str">
        <x:v>TE-CELL-3</x:v>
      </x:c>
      <x:c r="B8" s="13" t="str">
        <x:v>TE-A</x:v>
      </x:c>
      <x:c r="C8" s="13" t="str">
        <x:v>TE-C</x:v>
      </x:c>
      <x:c r="D8" s="30" t="n">
        <x:f>VLOOKUP(B8,'Root Units'!$A$6:$K$29,10,FALSE)</x:f>
        <x:v>24.383561643835616</x:v>
      </x:c>
      <x:c r="E8" s="30" t="n">
        <x:f>VLOOKUP(C8,'Root Units'!$A$6:$K$29,10,FALSE)</x:f>
        <x:v>15.205479452054796</x:v>
      </x:c>
      <x:c r="F8" s="30" t="n">
        <x:f>MAX(D8:E8)</x:f>
        <x:v>24.383561643835616</x:v>
      </x:c>
      <x:c r="G8" s="45" t="n">
        <x:f>Controls!$B$27</x:f>
        <x:v>1.25</x:v>
      </x:c>
      <x:c r="H8" s="30" t="n">
        <x:f>F8*I8*J8</x:f>
        <x:v>36.57534246575342</x:v>
      </x:c>
      <x:c r="I8" s="13" t="n">
        <x:v>6</x:v>
      </x:c>
      <x:c r="J8" s="24" t="n">
        <x:v>0.25</x:v>
      </x:c>
      <x:c r="K8" s="43" t="n">
        <x:f>F8*(I8-Controls!$B$34)*J8</x:f>
        <x:v>30.47945205479452</x:v>
      </x:c>
      <x:c r="L8" s="43" t="n">
        <x:f>K8/F8</x:f>
        <x:v>1.25</x:v>
      </x:c>
      <x:c r="M8" s="17"/>
      <x:c r="N8" s="17"/>
      <x:c r="O8" s="17"/>
      <x:c r="P8" s="13" t="str">
        <x:f>IF(AND(G8&gt;=1.25,I8=6,J8=0.25,K8&gt;=F8*G8),"PASS","FAIL")</x:f>
        <x:v>PASS</x:v>
      </x:c>
      <x:c r="Q8" s="13" t="str">
        <x:f>IF(COUNTA(M8:O8)=3,"IDENTIFIED; EVIDENCE REQUIRED","SOURCE EMPTY")</x:f>
        <x:v>SOURCE EMPTY</x:v>
      </x:c>
    </x:row>
    <x:row r="9">
      <x:c r="A9" s="13" t="str">
        <x:v>TE-CELL-4</x:v>
      </x:c>
      <x:c r="B9" s="13" t="str">
        <x:v>TE-B</x:v>
      </x:c>
      <x:c r="C9" s="13" t="str">
        <x:v>TE-D</x:v>
      </x:c>
      <x:c r="D9" s="30" t="n">
        <x:f>VLOOKUP(B9,'Root Units'!$A$6:$K$29,10,FALSE)</x:f>
        <x:v>23.835616438356166</x:v>
      </x:c>
      <x:c r="E9" s="30" t="n">
        <x:f>VLOOKUP(C9,'Root Units'!$A$6:$K$29,10,FALSE)</x:f>
        <x:v>13.059360730593609</x:v>
      </x:c>
      <x:c r="F9" s="30" t="n">
        <x:f>MAX(D9:E9)</x:f>
        <x:v>23.835616438356166</x:v>
      </x:c>
      <x:c r="G9" s="45" t="n">
        <x:f>Controls!$B$27</x:f>
        <x:v>1.25</x:v>
      </x:c>
      <x:c r="H9" s="30" t="n">
        <x:f>F9*I9*J9</x:f>
        <x:v>35.75342465753425</x:v>
      </x:c>
      <x:c r="I9" s="13" t="n">
        <x:v>6</x:v>
      </x:c>
      <x:c r="J9" s="24" t="n">
        <x:v>0.25</x:v>
      </x:c>
      <x:c r="K9" s="43" t="n">
        <x:f>F9*(I9-Controls!$B$34)*J9</x:f>
        <x:v>29.794520547945208</x:v>
      </x:c>
      <x:c r="L9" s="43" t="n">
        <x:f>K9/F9</x:f>
        <x:v>1.25</x:v>
      </x:c>
      <x:c r="M9" s="17"/>
      <x:c r="N9" s="17"/>
      <x:c r="O9" s="17"/>
      <x:c r="P9" s="13" t="str">
        <x:f>IF(AND(G9&gt;=1.25,I9=6,J9=0.25,K9&gt;=F9*G9),"PASS","FAIL")</x:f>
        <x:v>PASS</x:v>
      </x:c>
      <x:c r="Q9" s="13" t="str">
        <x:f>IF(COUNTA(M9:O9)=3,"IDENTIFIED; EVIDENCE REQUIRED","SOURCE EMPTY")</x:f>
        <x:v>SOURCE EMPTY</x:v>
      </x:c>
    </x:row>
    <x:row r="10">
      <x:c r="A10" s="13" t="str">
        <x:v>CT-CELL-1</x:v>
      </x:c>
      <x:c r="B10" s="13" t="str">
        <x:v>CT-A</x:v>
      </x:c>
      <x:c r="C10" s="13" t="str">
        <x:v>CT-B</x:v>
      </x:c>
      <x:c r="D10" s="30" t="n">
        <x:f>VLOOKUP(B10,'Root Units'!$A$6:$K$29,10,FALSE)</x:f>
        <x:v>5.47945205479452</x:v>
      </x:c>
      <x:c r="E10" s="30" t="n">
        <x:f>VLOOKUP(C10,'Root Units'!$A$6:$K$29,10,FALSE)</x:f>
        <x:v>9.58904109589041</x:v>
      </x:c>
      <x:c r="F10" s="30" t="n">
        <x:f>MAX(D10:E10)</x:f>
        <x:v>9.58904109589041</x:v>
      </x:c>
      <x:c r="G10" s="45" t="n">
        <x:f>Controls!$B$27</x:f>
        <x:v>1.25</x:v>
      </x:c>
      <x:c r="H10" s="30" t="n">
        <x:f>F10*I10*J10</x:f>
        <x:v>14.383561643835616</x:v>
      </x:c>
      <x:c r="I10" s="13" t="n">
        <x:v>6</x:v>
      </x:c>
      <x:c r="J10" s="24" t="n">
        <x:v>0.25</x:v>
      </x:c>
      <x:c r="K10" s="43" t="n">
        <x:f>F10*(I10-Controls!$B$34)*J10</x:f>
        <x:v>11.986301369863012</x:v>
      </x:c>
      <x:c r="L10" s="43" t="n">
        <x:f>K10/F10</x:f>
        <x:v>1.25</x:v>
      </x:c>
      <x:c r="M10" s="17"/>
      <x:c r="N10" s="17"/>
      <x:c r="O10" s="17"/>
      <x:c r="P10" s="13" t="str">
        <x:f>IF(AND(G10&gt;=1.25,I10=6,J10=0.25,K10&gt;=F10*G10),"PASS","FAIL")</x:f>
        <x:v>PASS</x:v>
      </x:c>
      <x:c r="Q10" s="13" t="str">
        <x:f>IF(COUNTA(M10:O10)=3,"IDENTIFIED; EVIDENCE REQUIRED","SOURCE EMPTY")</x:f>
        <x:v>SOURCE EMPTY</x:v>
      </x:c>
    </x:row>
    <x:row r="11">
      <x:c r="A11" s="13" t="str">
        <x:v>CT-CELL-2</x:v>
      </x:c>
      <x:c r="B11" s="13" t="str">
        <x:v>CT-C</x:v>
      </x:c>
      <x:c r="C11" s="13" t="str">
        <x:v>CT-D</x:v>
      </x:c>
      <x:c r="D11" s="30" t="n">
        <x:f>VLOOKUP(B11,'Root Units'!$A$6:$K$29,10,FALSE)</x:f>
        <x:v>8.013698630136988</x:v>
      </x:c>
      <x:c r="E11" s="30" t="n">
        <x:f>VLOOKUP(C11,'Root Units'!$A$6:$K$29,10,FALSE)</x:f>
        <x:v>6.940639269406393</x:v>
      </x:c>
      <x:c r="F11" s="30" t="n">
        <x:f>MAX(D11:E11)</x:f>
        <x:v>8.013698630136988</x:v>
      </x:c>
      <x:c r="G11" s="45" t="n">
        <x:f>Controls!$B$27</x:f>
        <x:v>1.25</x:v>
      </x:c>
      <x:c r="H11" s="30" t="n">
        <x:f>F11*I11*J11</x:f>
        <x:v>12.020547945205482</x:v>
      </x:c>
      <x:c r="I11" s="13" t="n">
        <x:v>6</x:v>
      </x:c>
      <x:c r="J11" s="24" t="n">
        <x:v>0.25</x:v>
      </x:c>
      <x:c r="K11" s="43" t="n">
        <x:f>F11*(I11-Controls!$B$34)*J11</x:f>
        <x:v>10.017123287671234</x:v>
      </x:c>
      <x:c r="L11" s="43" t="n">
        <x:f>K11/F11</x:f>
        <x:v>1.25</x:v>
      </x:c>
      <x:c r="M11" s="17"/>
      <x:c r="N11" s="17"/>
      <x:c r="O11" s="17"/>
      <x:c r="P11" s="13" t="str">
        <x:f>IF(AND(G11&gt;=1.25,I11=6,J11=0.25,K11&gt;=F11*G11),"PASS","FAIL")</x:f>
        <x:v>PASS</x:v>
      </x:c>
      <x:c r="Q11" s="13" t="str">
        <x:f>IF(COUNTA(M11:O11)=3,"IDENTIFIED; EVIDENCE REQUIRED","SOURCE EMPTY")</x:f>
        <x:v>SOURCE EMPTY</x:v>
      </x:c>
    </x:row>
    <x:row r="12">
      <x:c r="A12" s="13" t="str">
        <x:v>CT-CELL-3</x:v>
      </x:c>
      <x:c r="B12" s="13" t="str">
        <x:v>CT-A</x:v>
      </x:c>
      <x:c r="C12" s="13" t="str">
        <x:v>CT-C</x:v>
      </x:c>
      <x:c r="D12" s="30" t="n">
        <x:f>VLOOKUP(B12,'Root Units'!$A$6:$K$29,10,FALSE)</x:f>
        <x:v>5.47945205479452</x:v>
      </x:c>
      <x:c r="E12" s="30" t="n">
        <x:f>VLOOKUP(C12,'Root Units'!$A$6:$K$29,10,FALSE)</x:f>
        <x:v>8.013698630136988</x:v>
      </x:c>
      <x:c r="F12" s="30" t="n">
        <x:f>MAX(D12:E12)</x:f>
        <x:v>8.013698630136988</x:v>
      </x:c>
      <x:c r="G12" s="45" t="n">
        <x:f>Controls!$B$27</x:f>
        <x:v>1.25</x:v>
      </x:c>
      <x:c r="H12" s="30" t="n">
        <x:f>F12*I12*J12</x:f>
        <x:v>12.020547945205482</x:v>
      </x:c>
      <x:c r="I12" s="13" t="n">
        <x:v>6</x:v>
      </x:c>
      <x:c r="J12" s="24" t="n">
        <x:v>0.25</x:v>
      </x:c>
      <x:c r="K12" s="43" t="n">
        <x:f>F12*(I12-Controls!$B$34)*J12</x:f>
        <x:v>10.017123287671234</x:v>
      </x:c>
      <x:c r="L12" s="43" t="n">
        <x:f>K12/F12</x:f>
        <x:v>1.25</x:v>
      </x:c>
      <x:c r="M12" s="17"/>
      <x:c r="N12" s="17"/>
      <x:c r="O12" s="17"/>
      <x:c r="P12" s="13" t="str">
        <x:f>IF(AND(G12&gt;=1.25,I12=6,J12=0.25,K12&gt;=F12*G12),"PASS","FAIL")</x:f>
        <x:v>PASS</x:v>
      </x:c>
      <x:c r="Q12" s="13" t="str">
        <x:f>IF(COUNTA(M12:O12)=3,"IDENTIFIED; EVIDENCE REQUIRED","SOURCE EMPTY")</x:f>
        <x:v>SOURCE EMPTY</x:v>
      </x:c>
    </x:row>
    <x:row r="13">
      <x:c r="A13" s="13" t="str">
        <x:v>CT-CELL-4</x:v>
      </x:c>
      <x:c r="B13" s="13" t="str">
        <x:v>CT-B</x:v>
      </x:c>
      <x:c r="C13" s="13" t="str">
        <x:v>CT-D</x:v>
      </x:c>
      <x:c r="D13" s="30" t="n">
        <x:f>VLOOKUP(B13,'Root Units'!$A$6:$K$29,10,FALSE)</x:f>
        <x:v>9.58904109589041</x:v>
      </x:c>
      <x:c r="E13" s="30" t="n">
        <x:f>VLOOKUP(C13,'Root Units'!$A$6:$K$29,10,FALSE)</x:f>
        <x:v>6.940639269406393</x:v>
      </x:c>
      <x:c r="F13" s="30" t="n">
        <x:f>MAX(D13:E13)</x:f>
        <x:v>9.58904109589041</x:v>
      </x:c>
      <x:c r="G13" s="45" t="n">
        <x:f>Controls!$B$27</x:f>
        <x:v>1.25</x:v>
      </x:c>
      <x:c r="H13" s="30" t="n">
        <x:f>F13*I13*J13</x:f>
        <x:v>14.383561643835616</x:v>
      </x:c>
      <x:c r="I13" s="13" t="n">
        <x:v>6</x:v>
      </x:c>
      <x:c r="J13" s="24" t="n">
        <x:v>0.25</x:v>
      </x:c>
      <x:c r="K13" s="43" t="n">
        <x:f>F13*(I13-Controls!$B$34)*J13</x:f>
        <x:v>11.986301369863012</x:v>
      </x:c>
      <x:c r="L13" s="43" t="n">
        <x:f>K13/F13</x:f>
        <x:v>1.25</x:v>
      </x:c>
      <x:c r="M13" s="17"/>
      <x:c r="N13" s="17"/>
      <x:c r="O13" s="17"/>
      <x:c r="P13" s="13" t="str">
        <x:f>IF(AND(G13&gt;=1.25,I13=6,J13=0.25,K13&gt;=F13*G13),"PASS","FAIL")</x:f>
        <x:v>PASS</x:v>
      </x:c>
      <x:c r="Q13" s="13" t="str">
        <x:f>IF(COUNTA(M13:O13)=3,"IDENTIFIED; EVIDENCE REQUIRED","SOURCE EMPTY")</x:f>
        <x:v>SOURCE EMPTY</x:v>
      </x:c>
    </x:row>
    <x:row r="14">
      <x:c r="A14" s="13" t="str">
        <x:v>HC-CELL-1</x:v>
      </x:c>
      <x:c r="B14" s="13" t="str">
        <x:v>HC-A</x:v>
      </x:c>
      <x:c r="C14" s="13" t="str">
        <x:v>HC-B</x:v>
      </x:c>
      <x:c r="D14" s="30" t="n">
        <x:f>VLOOKUP(B14,'Root Units'!$A$6:$K$29,10,FALSE)</x:f>
        <x:v>22.100456621004568</x:v>
      </x:c>
      <x:c r="E14" s="30" t="n">
        <x:f>VLOOKUP(C14,'Root Units'!$A$6:$K$29,10,FALSE)</x:f>
        <x:v>16.712328767123285</x:v>
      </x:c>
      <x:c r="F14" s="30" t="n">
        <x:f>MAX(D14:E14)</x:f>
        <x:v>22.100456621004568</x:v>
      </x:c>
      <x:c r="G14" s="45" t="n">
        <x:f>Controls!$B$27</x:f>
        <x:v>1.25</x:v>
      </x:c>
      <x:c r="H14" s="30" t="n">
        <x:f>F14*I14*J14</x:f>
        <x:v>33.15068493150685</x:v>
      </x:c>
      <x:c r="I14" s="13" t="n">
        <x:v>6</x:v>
      </x:c>
      <x:c r="J14" s="24" t="n">
        <x:v>0.25</x:v>
      </x:c>
      <x:c r="K14" s="43" t="n">
        <x:f>F14*(I14-Controls!$B$34)*J14</x:f>
        <x:v>27.62557077625571</x:v>
      </x:c>
      <x:c r="L14" s="43" t="n">
        <x:f>K14/F14</x:f>
        <x:v>1.25</x:v>
      </x:c>
      <x:c r="M14" s="17"/>
      <x:c r="N14" s="17"/>
      <x:c r="O14" s="17"/>
      <x:c r="P14" s="13" t="str">
        <x:f>IF(AND(G14&gt;=1.25,I14=6,J14=0.25,K14&gt;=F14*G14),"PASS","FAIL")</x:f>
        <x:v>PASS</x:v>
      </x:c>
      <x:c r="Q14" s="13" t="str">
        <x:f>IF(COUNTA(M14:O14)=3,"IDENTIFIED; EVIDENCE REQUIRED","SOURCE EMPTY")</x:f>
        <x:v>SOURCE EMPTY</x:v>
      </x:c>
    </x:row>
    <x:row r="15">
      <x:c r="A15" s="13" t="str">
        <x:v>HC-CELL-2</x:v>
      </x:c>
      <x:c r="B15" s="13" t="str">
        <x:v>HC-C</x:v>
      </x:c>
      <x:c r="C15" s="13" t="str">
        <x:v>HC-D</x:v>
      </x:c>
      <x:c r="D15" s="30" t="n">
        <x:f>VLOOKUP(B15,'Root Units'!$A$6:$K$29,10,FALSE)</x:f>
        <x:v>13.059360730593609</x:v>
      </x:c>
      <x:c r="E15" s="30" t="n">
        <x:f>VLOOKUP(C15,'Root Units'!$A$6:$K$29,10,FALSE)</x:f>
        <x:v>10.547945205479452</x:v>
      </x:c>
      <x:c r="F15" s="30" t="n">
        <x:f>MAX(D15:E15)</x:f>
        <x:v>13.059360730593609</x:v>
      </x:c>
      <x:c r="G15" s="45" t="n">
        <x:f>Controls!$B$27</x:f>
        <x:v>1.25</x:v>
      </x:c>
      <x:c r="H15" s="30" t="n">
        <x:f>F15*I15*J15</x:f>
        <x:v>19.589041095890412</x:v>
      </x:c>
      <x:c r="I15" s="13" t="n">
        <x:v>6</x:v>
      </x:c>
      <x:c r="J15" s="24" t="n">
        <x:v>0.25</x:v>
      </x:c>
      <x:c r="K15" s="43" t="n">
        <x:f>F15*(I15-Controls!$B$34)*J15</x:f>
        <x:v>16.32420091324201</x:v>
      </x:c>
      <x:c r="L15" s="43" t="n">
        <x:f>K15/F15</x:f>
        <x:v>1.25</x:v>
      </x:c>
      <x:c r="M15" s="17"/>
      <x:c r="N15" s="17"/>
      <x:c r="O15" s="17"/>
      <x:c r="P15" s="13" t="str">
        <x:f>IF(AND(G15&gt;=1.25,I15=6,J15=0.25,K15&gt;=F15*G15),"PASS","FAIL")</x:f>
        <x:v>PASS</x:v>
      </x:c>
      <x:c r="Q15" s="13" t="str">
        <x:f>IF(COUNTA(M15:O15)=3,"IDENTIFIED; EVIDENCE REQUIRED","SOURCE EMPTY")</x:f>
        <x:v>SOURCE EMPTY</x:v>
      </x:c>
    </x:row>
    <x:row r="16">
      <x:c r="A16" s="13" t="str">
        <x:v>HC-CELL-3</x:v>
      </x:c>
      <x:c r="B16" s="13" t="str">
        <x:v>HC-A</x:v>
      </x:c>
      <x:c r="C16" s="13" t="str">
        <x:v>HC-C</x:v>
      </x:c>
      <x:c r="D16" s="30" t="n">
        <x:f>VLOOKUP(B16,'Root Units'!$A$6:$K$29,10,FALSE)</x:f>
        <x:v>22.100456621004568</x:v>
      </x:c>
      <x:c r="E16" s="30" t="n">
        <x:f>VLOOKUP(C16,'Root Units'!$A$6:$K$29,10,FALSE)</x:f>
        <x:v>13.059360730593609</x:v>
      </x:c>
      <x:c r="F16" s="30" t="n">
        <x:f>MAX(D16:E16)</x:f>
        <x:v>22.100456621004568</x:v>
      </x:c>
      <x:c r="G16" s="45" t="n">
        <x:f>Controls!$B$27</x:f>
        <x:v>1.25</x:v>
      </x:c>
      <x:c r="H16" s="30" t="n">
        <x:f>F16*I16*J16</x:f>
        <x:v>33.15068493150685</x:v>
      </x:c>
      <x:c r="I16" s="13" t="n">
        <x:v>6</x:v>
      </x:c>
      <x:c r="J16" s="24" t="n">
        <x:v>0.25</x:v>
      </x:c>
      <x:c r="K16" s="43" t="n">
        <x:f>F16*(I16-Controls!$B$34)*J16</x:f>
        <x:v>27.62557077625571</x:v>
      </x:c>
      <x:c r="L16" s="43" t="n">
        <x:f>K16/F16</x:f>
        <x:v>1.25</x:v>
      </x:c>
      <x:c r="M16" s="17"/>
      <x:c r="N16" s="17"/>
      <x:c r="O16" s="17"/>
      <x:c r="P16" s="13" t="str">
        <x:f>IF(AND(G16&gt;=1.25,I16=6,J16=0.25,K16&gt;=F16*G16),"PASS","FAIL")</x:f>
        <x:v>PASS</x:v>
      </x:c>
      <x:c r="Q16" s="13" t="str">
        <x:f>IF(COUNTA(M16:O16)=3,"IDENTIFIED; EVIDENCE REQUIRED","SOURCE EMPTY")</x:f>
        <x:v>SOURCE EMPTY</x:v>
      </x:c>
    </x:row>
    <x:row r="17">
      <x:c r="A17" s="13" t="str">
        <x:v>HC-CELL-4</x:v>
      </x:c>
      <x:c r="B17" s="13" t="str">
        <x:v>HC-B</x:v>
      </x:c>
      <x:c r="C17" s="13" t="str">
        <x:v>HC-D</x:v>
      </x:c>
      <x:c r="D17" s="30" t="n">
        <x:f>VLOOKUP(B17,'Root Units'!$A$6:$K$29,10,FALSE)</x:f>
        <x:v>16.712328767123285</x:v>
      </x:c>
      <x:c r="E17" s="30" t="n">
        <x:f>VLOOKUP(C17,'Root Units'!$A$6:$K$29,10,FALSE)</x:f>
        <x:v>10.547945205479452</x:v>
      </x:c>
      <x:c r="F17" s="30" t="n">
        <x:f>MAX(D17:E17)</x:f>
        <x:v>16.712328767123285</x:v>
      </x:c>
      <x:c r="G17" s="45" t="n">
        <x:f>Controls!$B$27</x:f>
        <x:v>1.25</x:v>
      </x:c>
      <x:c r="H17" s="30" t="n">
        <x:f>F17*I17*J17</x:f>
        <x:v>25.06849315068493</x:v>
      </x:c>
      <x:c r="I17" s="13" t="n">
        <x:v>6</x:v>
      </x:c>
      <x:c r="J17" s="24" t="n">
        <x:v>0.25</x:v>
      </x:c>
      <x:c r="K17" s="43" t="n">
        <x:f>F17*(I17-Controls!$B$34)*J17</x:f>
        <x:v>20.890410958904106</x:v>
      </x:c>
      <x:c r="L17" s="43" t="n">
        <x:f>K17/F17</x:f>
        <x:v>1.25</x:v>
      </x:c>
      <x:c r="M17" s="17"/>
      <x:c r="N17" s="17"/>
      <x:c r="O17" s="17"/>
      <x:c r="P17" s="13" t="str">
        <x:f>IF(AND(G17&gt;=1.25,I17=6,J17=0.25,K17&gt;=F17*G17),"PASS","FAIL")</x:f>
        <x:v>PASS</x:v>
      </x:c>
      <x:c r="Q17" s="13" t="str">
        <x:f>IF(COUNTA(M17:O17)=3,"IDENTIFIED; EVIDENCE REQUIRED","SOURCE EMPTY")</x:f>
        <x:v>SOURCE EMPTY</x:v>
      </x:c>
    </x:row>
    <x:row r="18">
      <x:c r="A18" s="13" t="str">
        <x:v>LF-CELL-1</x:v>
      </x:c>
      <x:c r="B18" s="13" t="str">
        <x:v>LF-A</x:v>
      </x:c>
      <x:c r="C18" s="13" t="str">
        <x:v>LF-B</x:v>
      </x:c>
      <x:c r="D18" s="30" t="n">
        <x:f>VLOOKUP(B18,'Root Units'!$A$6:$K$29,10,FALSE)</x:f>
        <x:v>24.443493150684933</x:v>
      </x:c>
      <x:c r="E18" s="30" t="n">
        <x:f>VLOOKUP(C18,'Root Units'!$A$6:$K$29,10,FALSE)</x:f>
        <x:v>16.31792237442922</x:v>
      </x:c>
      <x:c r="F18" s="30" t="n">
        <x:f>MAX(D18:E18)</x:f>
        <x:v>24.443493150684933</x:v>
      </x:c>
      <x:c r="G18" s="45" t="n">
        <x:f>Controls!$B$27</x:f>
        <x:v>1.25</x:v>
      </x:c>
      <x:c r="H18" s="30" t="n">
        <x:f>F18*I18*J18</x:f>
        <x:v>36.6652397260274</x:v>
      </x:c>
      <x:c r="I18" s="13" t="n">
        <x:v>6</x:v>
      </x:c>
      <x:c r="J18" s="24" t="n">
        <x:v>0.25</x:v>
      </x:c>
      <x:c r="K18" s="43" t="n">
        <x:f>F18*(I18-Controls!$B$34)*J18</x:f>
        <x:v>30.554366438356166</x:v>
      </x:c>
      <x:c r="L18" s="43" t="n">
        <x:f>K18/F18</x:f>
        <x:v>1.25</x:v>
      </x:c>
      <x:c r="M18" s="17"/>
      <x:c r="N18" s="17"/>
      <x:c r="O18" s="17"/>
      <x:c r="P18" s="13" t="str">
        <x:f>IF(AND(G18&gt;=1.25,I18=6,J18=0.25,K18&gt;=F18*G18),"PASS","FAIL")</x:f>
        <x:v>PASS</x:v>
      </x:c>
      <x:c r="Q18" s="13" t="str">
        <x:f>IF(COUNTA(M18:O18)=3,"IDENTIFIED; EVIDENCE REQUIRED","SOURCE EMPTY")</x:f>
        <x:v>SOURCE EMPTY</x:v>
      </x:c>
    </x:row>
    <x:row r="19">
      <x:c r="A19" s="13" t="str">
        <x:v>LF-CELL-2</x:v>
      </x:c>
      <x:c r="B19" s="13" t="str">
        <x:v>LF-C</x:v>
      </x:c>
      <x:c r="C19" s="13" t="str">
        <x:v>LF-D</x:v>
      </x:c>
      <x:c r="D19" s="30" t="n">
        <x:f>VLOOKUP(B19,'Root Units'!$A$6:$K$29,10,FALSE)</x:f>
        <x:v>14.23972602739726</x:v>
      </x:c>
      <x:c r="E19" s="30" t="n">
        <x:f>VLOOKUP(C19,'Root Units'!$A$6:$K$29,10,FALSE)</x:f>
        <x:v>5.027397260273973</x:v>
      </x:c>
      <x:c r="F19" s="30" t="n">
        <x:f>MAX(D19:E19)</x:f>
        <x:v>14.23972602739726</x:v>
      </x:c>
      <x:c r="G19" s="45" t="n">
        <x:f>Controls!$B$27</x:f>
        <x:v>1.25</x:v>
      </x:c>
      <x:c r="H19" s="30" t="n">
        <x:f>F19*I19*J19</x:f>
        <x:v>21.35958904109589</x:v>
      </x:c>
      <x:c r="I19" s="13" t="n">
        <x:v>6</x:v>
      </x:c>
      <x:c r="J19" s="24" t="n">
        <x:v>0.25</x:v>
      </x:c>
      <x:c r="K19" s="43" t="n">
        <x:f>F19*(I19-Controls!$B$34)*J19</x:f>
        <x:v>17.799657534246577</x:v>
      </x:c>
      <x:c r="L19" s="43" t="n">
        <x:f>K19/F19</x:f>
        <x:v>1.2500000000000002</x:v>
      </x:c>
      <x:c r="M19" s="17"/>
      <x:c r="N19" s="17"/>
      <x:c r="O19" s="17"/>
      <x:c r="P19" s="13" t="str">
        <x:f>IF(AND(G19&gt;=1.25,I19=6,J19=0.25,K19&gt;=F19*G19),"PASS","FAIL")</x:f>
        <x:v>PASS</x:v>
      </x:c>
      <x:c r="Q19" s="13" t="str">
        <x:f>IF(COUNTA(M19:O19)=3,"IDENTIFIED; EVIDENCE REQUIRED","SOURCE EMPTY")</x:f>
        <x:v>SOURCE EMPTY</x:v>
      </x:c>
    </x:row>
    <x:row r="20">
      <x:c r="A20" s="13" t="str">
        <x:v>LF-CELL-3</x:v>
      </x:c>
      <x:c r="B20" s="13" t="str">
        <x:v>LF-A</x:v>
      </x:c>
      <x:c r="C20" s="13" t="str">
        <x:v>LF-C</x:v>
      </x:c>
      <x:c r="D20" s="30" t="n">
        <x:f>VLOOKUP(B20,'Root Units'!$A$6:$K$29,10,FALSE)</x:f>
        <x:v>24.443493150684933</x:v>
      </x:c>
      <x:c r="E20" s="30" t="n">
        <x:f>VLOOKUP(C20,'Root Units'!$A$6:$K$29,10,FALSE)</x:f>
        <x:v>14.23972602739726</x:v>
      </x:c>
      <x:c r="F20" s="30" t="n">
        <x:f>MAX(D20:E20)</x:f>
        <x:v>24.443493150684933</x:v>
      </x:c>
      <x:c r="G20" s="45" t="n">
        <x:f>Controls!$B$27</x:f>
        <x:v>1.25</x:v>
      </x:c>
      <x:c r="H20" s="30" t="n">
        <x:f>F20*I20*J20</x:f>
        <x:v>36.6652397260274</x:v>
      </x:c>
      <x:c r="I20" s="13" t="n">
        <x:v>6</x:v>
      </x:c>
      <x:c r="J20" s="24" t="n">
        <x:v>0.25</x:v>
      </x:c>
      <x:c r="K20" s="43" t="n">
        <x:f>F20*(I20-Controls!$B$34)*J20</x:f>
        <x:v>30.554366438356166</x:v>
      </x:c>
      <x:c r="L20" s="43" t="n">
        <x:f>K20/F20</x:f>
        <x:v>1.25</x:v>
      </x:c>
      <x:c r="M20" s="17"/>
      <x:c r="N20" s="17"/>
      <x:c r="O20" s="17"/>
      <x:c r="P20" s="13" t="str">
        <x:f>IF(AND(G20&gt;=1.25,I20=6,J20=0.25,K20&gt;=F20*G20),"PASS","FAIL")</x:f>
        <x:v>PASS</x:v>
      </x:c>
      <x:c r="Q20" s="13" t="str">
        <x:f>IF(COUNTA(M20:O20)=3,"IDENTIFIED; EVIDENCE REQUIRED","SOURCE EMPTY")</x:f>
        <x:v>SOURCE EMPTY</x:v>
      </x:c>
    </x:row>
    <x:row r="21">
      <x:c r="A21" s="13" t="str">
        <x:v>LF-CELL-4</x:v>
      </x:c>
      <x:c r="B21" s="13" t="str">
        <x:v>LF-B</x:v>
      </x:c>
      <x:c r="C21" s="13" t="str">
        <x:v>LF-D</x:v>
      </x:c>
      <x:c r="D21" s="30" t="n">
        <x:f>VLOOKUP(B21,'Root Units'!$A$6:$K$29,10,FALSE)</x:f>
        <x:v>16.31792237442922</x:v>
      </x:c>
      <x:c r="E21" s="30" t="n">
        <x:f>VLOOKUP(C21,'Root Units'!$A$6:$K$29,10,FALSE)</x:f>
        <x:v>5.027397260273973</x:v>
      </x:c>
      <x:c r="F21" s="30" t="n">
        <x:f>MAX(D21:E21)</x:f>
        <x:v>16.31792237442922</x:v>
      </x:c>
      <x:c r="G21" s="45" t="n">
        <x:f>Controls!$B$27</x:f>
        <x:v>1.25</x:v>
      </x:c>
      <x:c r="H21" s="30" t="n">
        <x:f>F21*I21*J21</x:f>
        <x:v>24.47688356164383</x:v>
      </x:c>
      <x:c r="I21" s="13" t="n">
        <x:v>6</x:v>
      </x:c>
      <x:c r="J21" s="24" t="n">
        <x:v>0.25</x:v>
      </x:c>
      <x:c r="K21" s="43" t="n">
        <x:f>F21*(I21-Controls!$B$34)*J21</x:f>
        <x:v>20.397402968036523</x:v>
      </x:c>
      <x:c r="L21" s="43" t="n">
        <x:f>K21/F21</x:f>
        <x:v>1.25</x:v>
      </x:c>
      <x:c r="M21" s="17"/>
      <x:c r="N21" s="17"/>
      <x:c r="O21" s="17"/>
      <x:c r="P21" s="13" t="str">
        <x:f>IF(AND(G21&gt;=1.25,I21=6,J21=0.25,K21&gt;=F21*G21),"PASS","FAIL")</x:f>
        <x:v>PASS</x:v>
      </x:c>
      <x:c r="Q21" s="13" t="str">
        <x:f>IF(COUNTA(M21:O21)=3,"IDENTIFIED; EVIDENCE REQUIRED","SOURCE EMPTY")</x:f>
        <x:v>SOURCE EMPTY</x:v>
      </x:c>
    </x:row>
    <x:row r="22">
      <x:c r="A22" s="13" t="str">
        <x:v>HU-CELL-1</x:v>
      </x:c>
      <x:c r="B22" s="13" t="str">
        <x:v>HU-A</x:v>
      </x:c>
      <x:c r="C22" s="13" t="str">
        <x:v>HU-B</x:v>
      </x:c>
      <x:c r="D22" s="30" t="n">
        <x:f>VLOOKUP(B22,'Root Units'!$A$6:$K$29,10,FALSE)</x:f>
        <x:v>23.013698630136986</x:v>
      </x:c>
      <x:c r="E22" s="30" t="n">
        <x:f>VLOOKUP(C22,'Root Units'!$A$6:$K$29,10,FALSE)</x:f>
        <x:v>14.155251141552512</x:v>
      </x:c>
      <x:c r="F22" s="30" t="n">
        <x:f>MAX(D22:E22)</x:f>
        <x:v>23.013698630136986</x:v>
      </x:c>
      <x:c r="G22" s="45" t="n">
        <x:f>Controls!$B$27</x:f>
        <x:v>1.25</x:v>
      </x:c>
      <x:c r="H22" s="30" t="n">
        <x:f>F22*I22*J22</x:f>
        <x:v>34.52054794520548</x:v>
      </x:c>
      <x:c r="I22" s="13" t="n">
        <x:v>6</x:v>
      </x:c>
      <x:c r="J22" s="24" t="n">
        <x:v>0.25</x:v>
      </x:c>
      <x:c r="K22" s="43" t="n">
        <x:f>F22*(I22-Controls!$B$34)*J22</x:f>
        <x:v>28.767123287671232</x:v>
      </x:c>
      <x:c r="L22" s="43" t="n">
        <x:f>K22/F22</x:f>
        <x:v>1.25</x:v>
      </x:c>
      <x:c r="M22" s="17"/>
      <x:c r="N22" s="17"/>
      <x:c r="O22" s="17"/>
      <x:c r="P22" s="13" t="str">
        <x:f>IF(AND(G22&gt;=1.25,I22=6,J22=0.25,K22&gt;=F22*G22),"PASS","FAIL")</x:f>
        <x:v>PASS</x:v>
      </x:c>
      <x:c r="Q22" s="13" t="str">
        <x:f>IF(COUNTA(M22:O22)=3,"IDENTIFIED; EVIDENCE REQUIRED","SOURCE EMPTY")</x:f>
        <x:v>SOURCE EMPTY</x:v>
      </x:c>
    </x:row>
    <x:row r="23">
      <x:c r="A23" s="13" t="str">
        <x:v>HU-CELL-2</x:v>
      </x:c>
      <x:c r="B23" s="13" t="str">
        <x:v>HU-C</x:v>
      </x:c>
      <x:c r="C23" s="13" t="str">
        <x:v>HU-D</x:v>
      </x:c>
      <x:c r="D23" s="30" t="n">
        <x:f>VLOOKUP(B23,'Root Units'!$A$6:$K$29,10,FALSE)</x:f>
        <x:v>22.557077625570773</x:v>
      </x:c>
      <x:c r="E23" s="30" t="n">
        <x:f>VLOOKUP(C23,'Root Units'!$A$6:$K$29,10,FALSE)</x:f>
        <x:v>9.315068493150685</x:v>
      </x:c>
      <x:c r="F23" s="30" t="n">
        <x:f>MAX(D23:E23)</x:f>
        <x:v>22.557077625570773</x:v>
      </x:c>
      <x:c r="G23" s="45" t="n">
        <x:f>Controls!$B$27</x:f>
        <x:v>1.25</x:v>
      </x:c>
      <x:c r="H23" s="30" t="n">
        <x:f>F23*I23*J23</x:f>
        <x:v>33.83561643835616</x:v>
      </x:c>
      <x:c r="I23" s="13" t="n">
        <x:v>6</x:v>
      </x:c>
      <x:c r="J23" s="24" t="n">
        <x:v>0.25</x:v>
      </x:c>
      <x:c r="K23" s="43" t="n">
        <x:f>F23*(I23-Controls!$B$34)*J23</x:f>
        <x:v>28.196347031963466</x:v>
      </x:c>
      <x:c r="L23" s="43" t="n">
        <x:f>K23/F23</x:f>
        <x:v>1.25</x:v>
      </x:c>
      <x:c r="M23" s="17"/>
      <x:c r="N23" s="17"/>
      <x:c r="O23" s="17"/>
      <x:c r="P23" s="13" t="str">
        <x:f>IF(AND(G23&gt;=1.25,I23=6,J23=0.25,K23&gt;=F23*G23),"PASS","FAIL")</x:f>
        <x:v>PASS</x:v>
      </x:c>
      <x:c r="Q23" s="13" t="str">
        <x:f>IF(COUNTA(M23:O23)=3,"IDENTIFIED; EVIDENCE REQUIRED","SOURCE EMPTY")</x:f>
        <x:v>SOURCE EMPTY</x:v>
      </x:c>
    </x:row>
    <x:row r="24">
      <x:c r="A24" s="13" t="str">
        <x:v>HU-CELL-3</x:v>
      </x:c>
      <x:c r="B24" s="13" t="str">
        <x:v>HU-A</x:v>
      </x:c>
      <x:c r="C24" s="13" t="str">
        <x:v>HU-C</x:v>
      </x:c>
      <x:c r="D24" s="30" t="n">
        <x:f>VLOOKUP(B24,'Root Units'!$A$6:$K$29,10,FALSE)</x:f>
        <x:v>23.013698630136986</x:v>
      </x:c>
      <x:c r="E24" s="30" t="n">
        <x:f>VLOOKUP(C24,'Root Units'!$A$6:$K$29,10,FALSE)</x:f>
        <x:v>22.557077625570773</x:v>
      </x:c>
      <x:c r="F24" s="30" t="n">
        <x:f>MAX(D24:E24)</x:f>
        <x:v>23.013698630136986</x:v>
      </x:c>
      <x:c r="G24" s="45" t="n">
        <x:f>Controls!$B$27</x:f>
        <x:v>1.25</x:v>
      </x:c>
      <x:c r="H24" s="30" t="n">
        <x:f>F24*I24*J24</x:f>
        <x:v>34.52054794520548</x:v>
      </x:c>
      <x:c r="I24" s="13" t="n">
        <x:v>6</x:v>
      </x:c>
      <x:c r="J24" s="24" t="n">
        <x:v>0.25</x:v>
      </x:c>
      <x:c r="K24" s="43" t="n">
        <x:f>F24*(I24-Controls!$B$34)*J24</x:f>
        <x:v>28.767123287671232</x:v>
      </x:c>
      <x:c r="L24" s="43" t="n">
        <x:f>K24/F24</x:f>
        <x:v>1.25</x:v>
      </x:c>
      <x:c r="M24" s="17"/>
      <x:c r="N24" s="17"/>
      <x:c r="O24" s="17"/>
      <x:c r="P24" s="13" t="str">
        <x:f>IF(AND(G24&gt;=1.25,I24=6,J24=0.25,K24&gt;=F24*G24),"PASS","FAIL")</x:f>
        <x:v>PASS</x:v>
      </x:c>
      <x:c r="Q24" s="13" t="str">
        <x:f>IF(COUNTA(M24:O24)=3,"IDENTIFIED; EVIDENCE REQUIRED","SOURCE EMPTY")</x:f>
        <x:v>SOURCE EMPTY</x:v>
      </x:c>
    </x:row>
    <x:row r="25">
      <x:c r="A25" s="13" t="str">
        <x:v>HU-CELL-4</x:v>
      </x:c>
      <x:c r="B25" s="13" t="str">
        <x:v>HU-B</x:v>
      </x:c>
      <x:c r="C25" s="13" t="str">
        <x:v>HU-D</x:v>
      </x:c>
      <x:c r="D25" s="30" t="n">
        <x:f>VLOOKUP(B25,'Root Units'!$A$6:$K$29,10,FALSE)</x:f>
        <x:v>14.155251141552512</x:v>
      </x:c>
      <x:c r="E25" s="30" t="n">
        <x:f>VLOOKUP(C25,'Root Units'!$A$6:$K$29,10,FALSE)</x:f>
        <x:v>9.315068493150685</x:v>
      </x:c>
      <x:c r="F25" s="30" t="n">
        <x:f>MAX(D25:E25)</x:f>
        <x:v>14.155251141552512</x:v>
      </x:c>
      <x:c r="G25" s="45" t="n">
        <x:f>Controls!$B$27</x:f>
        <x:v>1.25</x:v>
      </x:c>
      <x:c r="H25" s="30" t="n">
        <x:f>F25*I25*J25</x:f>
        <x:v>21.232876712328768</x:v>
      </x:c>
      <x:c r="I25" s="13" t="n">
        <x:v>6</x:v>
      </x:c>
      <x:c r="J25" s="24" t="n">
        <x:v>0.25</x:v>
      </x:c>
      <x:c r="K25" s="43" t="n">
        <x:f>F25*(I25-Controls!$B$34)*J25</x:f>
        <x:v>17.69406392694064</x:v>
      </x:c>
      <x:c r="L25" s="43" t="n">
        <x:f>K25/F25</x:f>
        <x:v>1.25</x:v>
      </x:c>
      <x:c r="M25" s="17"/>
      <x:c r="N25" s="17"/>
      <x:c r="O25" s="17"/>
      <x:c r="P25" s="13" t="str">
        <x:f>IF(AND(G25&gt;=1.25,I25=6,J25=0.25,K25&gt;=F25*G25),"PASS","FAIL")</x:f>
        <x:v>PASS</x:v>
      </x:c>
      <x:c r="Q25" s="13" t="str">
        <x:f>IF(COUNTA(M25:O25)=3,"IDENTIFIED; EVIDENCE REQUIRED","SOURCE EMPTY")</x:f>
        <x:v>SOURCE EMPTY</x:v>
      </x:c>
    </x:row>
    <x:row r="26">
      <x:c r="A26" s="13" t="str">
        <x:v>RT-CELL-1</x:v>
      </x:c>
      <x:c r="B26" s="13" t="str">
        <x:v>RT-A</x:v>
      </x:c>
      <x:c r="C26" s="13" t="str">
        <x:v>RT-B</x:v>
      </x:c>
      <x:c r="D26" s="30" t="n">
        <x:f>VLOOKUP(B26,'Root Units'!$A$6:$K$29,10,FALSE)</x:f>
        <x:v>17.53424657534247</x:v>
      </x:c>
      <x:c r="E26" s="30" t="n">
        <x:f>VLOOKUP(C26,'Root Units'!$A$6:$K$29,10,FALSE)</x:f>
        <x:v>18.538812785388128</x:v>
      </x:c>
      <x:c r="F26" s="30" t="n">
        <x:f>MAX(D26:E26)</x:f>
        <x:v>18.538812785388128</x:v>
      </x:c>
      <x:c r="G26" s="45" t="n">
        <x:f>Controls!$B$27</x:f>
        <x:v>1.25</x:v>
      </x:c>
      <x:c r="H26" s="30" t="n">
        <x:f>F26*I26*J26</x:f>
        <x:v>27.80821917808219</x:v>
      </x:c>
      <x:c r="I26" s="13" t="n">
        <x:v>6</x:v>
      </x:c>
      <x:c r="J26" s="24" t="n">
        <x:v>0.25</x:v>
      </x:c>
      <x:c r="K26" s="43" t="n">
        <x:f>F26*(I26-Controls!$B$34)*J26</x:f>
        <x:v>23.17351598173516</x:v>
      </x:c>
      <x:c r="L26" s="43" t="n">
        <x:f>K26/F26</x:f>
        <x:v>1.25</x:v>
      </x:c>
      <x:c r="M26" s="17"/>
      <x:c r="N26" s="17"/>
      <x:c r="O26" s="17"/>
      <x:c r="P26" s="13" t="str">
        <x:f>IF(AND(G26&gt;=1.25,I26=6,J26=0.25,K26&gt;=F26*G26),"PASS","FAIL")</x:f>
        <x:v>PASS</x:v>
      </x:c>
      <x:c r="Q26" s="13" t="str">
        <x:f>IF(COUNTA(M26:O26)=3,"IDENTIFIED; EVIDENCE REQUIRED","SOURCE EMPTY")</x:f>
        <x:v>SOURCE EMPTY</x:v>
      </x:c>
    </x:row>
    <x:row r="27">
      <x:c r="A27" s="13" t="str">
        <x:v>RT-CELL-2</x:v>
      </x:c>
      <x:c r="B27" s="13" t="str">
        <x:v>RT-C</x:v>
      </x:c>
      <x:c r="C27" s="13" t="str">
        <x:v>RT-D</x:v>
      </x:c>
      <x:c r="D27" s="30" t="n">
        <x:f>VLOOKUP(B27,'Root Units'!$A$6:$K$29,10,FALSE)</x:f>
        <x:v>11.506849315068493</x:v>
      </x:c>
      <x:c r="E27" s="30" t="n">
        <x:f>VLOOKUP(C27,'Root Units'!$A$6:$K$29,10,FALSE)</x:f>
        <x:v>19.17808219178082</x:v>
      </x:c>
      <x:c r="F27" s="30" t="n">
        <x:f>MAX(D27:E27)</x:f>
        <x:v>19.17808219178082</x:v>
      </x:c>
      <x:c r="G27" s="45" t="n">
        <x:f>Controls!$B$27</x:f>
        <x:v>1.25</x:v>
      </x:c>
      <x:c r="H27" s="30" t="n">
        <x:f>F27*I27*J27</x:f>
        <x:v>28.767123287671232</x:v>
      </x:c>
      <x:c r="I27" s="13" t="n">
        <x:v>6</x:v>
      </x:c>
      <x:c r="J27" s="24" t="n">
        <x:v>0.25</x:v>
      </x:c>
      <x:c r="K27" s="43" t="n">
        <x:f>F27*(I27-Controls!$B$34)*J27</x:f>
        <x:v>23.972602739726025</x:v>
      </x:c>
      <x:c r="L27" s="43" t="n">
        <x:f>K27/F27</x:f>
        <x:v>1.25</x:v>
      </x:c>
      <x:c r="M27" s="17"/>
      <x:c r="N27" s="17"/>
      <x:c r="O27" s="17"/>
      <x:c r="P27" s="13" t="str">
        <x:f>IF(AND(G27&gt;=1.25,I27=6,J27=0.25,K27&gt;=F27*G27),"PASS","FAIL")</x:f>
        <x:v>PASS</x:v>
      </x:c>
      <x:c r="Q27" s="13" t="str">
        <x:f>IF(COUNTA(M27:O27)=3,"IDENTIFIED; EVIDENCE REQUIRED","SOURCE EMPTY")</x:f>
        <x:v>SOURCE EMPTY</x:v>
      </x:c>
    </x:row>
    <x:row r="28">
      <x:c r="A28" s="13" t="str">
        <x:v>RT-CELL-3</x:v>
      </x:c>
      <x:c r="B28" s="13" t="str">
        <x:v>RT-A</x:v>
      </x:c>
      <x:c r="C28" s="13" t="str">
        <x:v>RT-C</x:v>
      </x:c>
      <x:c r="D28" s="30" t="n">
        <x:f>VLOOKUP(B28,'Root Units'!$A$6:$K$29,10,FALSE)</x:f>
        <x:v>17.53424657534247</x:v>
      </x:c>
      <x:c r="E28" s="30" t="n">
        <x:f>VLOOKUP(C28,'Root Units'!$A$6:$K$29,10,FALSE)</x:f>
        <x:v>11.506849315068493</x:v>
      </x:c>
      <x:c r="F28" s="30" t="n">
        <x:f>MAX(D28:E28)</x:f>
        <x:v>17.53424657534247</x:v>
      </x:c>
      <x:c r="G28" s="45" t="n">
        <x:f>Controls!$B$27</x:f>
        <x:v>1.25</x:v>
      </x:c>
      <x:c r="H28" s="30" t="n">
        <x:f>F28*I28*J28</x:f>
        <x:v>26.301369863013704</x:v>
      </x:c>
      <x:c r="I28" s="13" t="n">
        <x:v>6</x:v>
      </x:c>
      <x:c r="J28" s="24" t="n">
        <x:v>0.25</x:v>
      </x:c>
      <x:c r="K28" s="43" t="n">
        <x:f>F28*(I28-Controls!$B$34)*J28</x:f>
        <x:v>21.917808219178085</x:v>
      </x:c>
      <x:c r="L28" s="43" t="n">
        <x:f>K28/F28</x:f>
        <x:v>1.25</x:v>
      </x:c>
      <x:c r="M28" s="17"/>
      <x:c r="N28" s="17"/>
      <x:c r="O28" s="17"/>
      <x:c r="P28" s="13" t="str">
        <x:f>IF(AND(G28&gt;=1.25,I28=6,J28=0.25,K28&gt;=F28*G28),"PASS","FAIL")</x:f>
        <x:v>PASS</x:v>
      </x:c>
      <x:c r="Q28" s="13" t="str">
        <x:f>IF(COUNTA(M28:O28)=3,"IDENTIFIED; EVIDENCE REQUIRED","SOURCE EMPTY")</x:f>
        <x:v>SOURCE EMPTY</x:v>
      </x:c>
    </x:row>
    <x:row r="29">
      <x:c r="A29" s="13" t="str">
        <x:v>RT-CELL-4</x:v>
      </x:c>
      <x:c r="B29" s="13" t="str">
        <x:v>RT-B</x:v>
      </x:c>
      <x:c r="C29" s="13" t="str">
        <x:v>RT-D</x:v>
      </x:c>
      <x:c r="D29" s="30" t="n">
        <x:f>VLOOKUP(B29,'Root Units'!$A$6:$K$29,10,FALSE)</x:f>
        <x:v>18.538812785388128</x:v>
      </x:c>
      <x:c r="E29" s="30" t="n">
        <x:f>VLOOKUP(C29,'Root Units'!$A$6:$K$29,10,FALSE)</x:f>
        <x:v>19.17808219178082</x:v>
      </x:c>
      <x:c r="F29" s="30" t="n">
        <x:f>MAX(D29:E29)</x:f>
        <x:v>19.17808219178082</x:v>
      </x:c>
      <x:c r="G29" s="45" t="n">
        <x:f>Controls!$B$27</x:f>
        <x:v>1.25</x:v>
      </x:c>
      <x:c r="H29" s="30" t="n">
        <x:f>F29*I29*J29</x:f>
        <x:v>28.767123287671232</x:v>
      </x:c>
      <x:c r="I29" s="13" t="n">
        <x:v>6</x:v>
      </x:c>
      <x:c r="J29" s="24" t="n">
        <x:v>0.25</x:v>
      </x:c>
      <x:c r="K29" s="43" t="n">
        <x:f>F29*(I29-Controls!$B$34)*J29</x:f>
        <x:v>23.972602739726025</x:v>
      </x:c>
      <x:c r="L29" s="43" t="n">
        <x:f>K29/F29</x:f>
        <x:v>1.25</x:v>
      </x:c>
      <x:c r="M29" s="17"/>
      <x:c r="N29" s="17"/>
      <x:c r="O29" s="17"/>
      <x:c r="P29" s="13" t="str">
        <x:f>IF(AND(G29&gt;=1.25,I29=6,J29=0.25,K29&gt;=F29*G29),"PASS","FAIL")</x:f>
        <x:v>PASS</x:v>
      </x:c>
      <x:c r="Q29" s="13" t="str">
        <x:f>IF(COUNTA(M29:O29)=3,"IDENTIFIED; EVIDENCE REQUIRED","SOURCE EMPTY")</x:f>
        <x:v>SOURCE EMPTY</x:v>
      </x:c>
    </x:row>
  </x:sheetData>
  <x:conditionalFormatting sqref="P6:Q29">
    <x:cfRule type="containsText" dxfId="18" priority="1" operator="containsText" text="FAIL"/>
    <x:cfRule type="containsText" dxfId="19" priority="2" operator="containsText" text="SOURCE EMPTY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19" hidden="0" customWidth="1"/>
    <x:col min="10" max="10" width="14" hidden="0" customWidth="1"/>
    <x:col min="11" max="11" width="16" hidden="0" customWidth="1"/>
  </x:cols>
  <x:sheetData>
    <x:row r="2">
      <x:c r="A2" s="59" t="str">
        <x:v>Six-root simultaneous recovery envelope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61" t="str">
        <x:v>Any one root per mission system may fail concurrently. Independent system cells make the 4^6 cohort space compositional.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</x:row>
    <x:row r="5" ht="30" customHeight="1">
      <x:c r="A5" s="9" t="str">
        <x:v>System</x:v>
      </x:c>
      <x:c r="B5" s="9" t="str">
        <x:v>Minimum unit mass (t)</x:v>
      </x:c>
      <x:c r="C5" s="9" t="str">
        <x:v>Average unit mass (t)</x:v>
      </x:c>
      <x:c r="D5" s="9" t="str">
        <x:v>Maximum unit mass (t)</x:v>
      </x:c>
      <x:c r="E5" s="9" t="str">
        <x:v>Minimum public rate</x:v>
      </x:c>
      <x:c r="F5" s="9" t="str">
        <x:v>Average public rate</x:v>
      </x:c>
      <x:c r="G5" s="9" t="str">
        <x:v>Maximum public rate</x:v>
      </x:c>
      <x:c r="H5" s="9" t="str">
        <x:v>Maximum active workers</x:v>
      </x:c>
      <x:c r="I5" s="9" t="str">
        <x:v>Maximum process MW</x:v>
      </x:c>
      <x:c r="J5" s="9" t="str">
        <x:v>Root choices</x:v>
      </x:c>
      <x:c r="K5" s="9" t="str">
        <x:v>System choices</x:v>
      </x:c>
    </x:row>
    <x:row r="6">
      <x:c r="A6" s="12" t="str">
        <x:v>MS-ET</x:v>
      </x:c>
      <x:c r="B6" s="29" t="n">
        <x:f>MIN('Root Units'!$E$6:$E$9)</x:f>
        <x:v>52000</x:v>
      </x:c>
      <x:c r="C6" s="29" t="n">
        <x:f>AVERAGE('Root Units'!$E$6:$E$9)</x:f>
        <x:v>68250</x:v>
      </x:c>
      <x:c r="D6" s="29" t="n">
        <x:f>MAX('Root Units'!$E$6:$E$9)</x:f>
        <x:v>89000</x:v>
      </x:c>
      <x:c r="E6" s="29" t="n">
        <x:f>MIN('Root Units'!$H$6:$H$9)</x:f>
        <x:v>284.93150684931504</x:v>
      </x:c>
      <x:c r="F6" s="29" t="n">
        <x:f>AVERAGE('Root Units'!$H$6:$H$9)</x:f>
        <x:v>373.9726027397261</x:v>
      </x:c>
      <x:c r="G6" s="29" t="n">
        <x:f>MAX('Root Units'!$H$6:$H$9)</x:f>
        <x:v>487.67123287671234</x:v>
      </x:c>
      <x:c r="H6" s="29" t="n">
        <x:f>MAX('Root Units'!$K$6:$K$9)</x:f>
        <x:v>3657.5342465753424</x:v>
      </x:c>
      <x:c r="I6" s="29" t="n">
        <x:f>MAX('Root Units'!$J$6:$J$9)</x:f>
        <x:v>24.383561643835616</x:v>
      </x:c>
      <x:c r="J6" s="12" t="n">
        <x:v>4</x:v>
      </x:c>
      <x:c r="K6" s="12" t="n">
        <x:f>POWER(J6,1)</x:f>
        <x:v>4</x:v>
      </x:c>
    </x:row>
    <x:row r="7">
      <x:c r="A7" s="13" t="str">
        <x:v>MS-CT</x:v>
      </x:c>
      <x:c r="B7" s="30" t="n">
        <x:f>MIN('Root Units'!$E$10:$E$13)</x:f>
        <x:v>16000</x:v>
      </x:c>
      <x:c r="C7" s="30" t="n">
        <x:f>AVERAGE('Root Units'!$E$10:$E$13)</x:f>
        <x:v>20750</x:v>
      </x:c>
      <x:c r="D7" s="30" t="n">
        <x:f>MAX('Root Units'!$E$10:$E$13)</x:f>
        <x:v>27000</x:v>
      </x:c>
      <x:c r="E7" s="30" t="n">
        <x:f>MIN('Root Units'!$H$10:$H$13)</x:f>
        <x:v>87.67123287671232</x:v>
      </x:c>
      <x:c r="F7" s="30" t="n">
        <x:f>AVERAGE('Root Units'!$H$10:$H$13)</x:f>
        <x:v>113.6986301369863</x:v>
      </x:c>
      <x:c r="G7" s="30" t="n">
        <x:f>MAX('Root Units'!$H$10:$H$13)</x:f>
        <x:v>147.94520547945206</x:v>
      </x:c>
      <x:c r="H7" s="30" t="n">
        <x:f>MAX('Root Units'!$K$10:$K$13)</x:f>
        <x:v>1479.4520547945206</x:v>
      </x:c>
      <x:c r="I7" s="30" t="n">
        <x:f>MAX('Root Units'!$J$10:$J$13)</x:f>
        <x:v>9.58904109589041</x:v>
      </x:c>
      <x:c r="J7" s="13" t="n">
        <x:v>4</x:v>
      </x:c>
      <x:c r="K7" s="13" t="n">
        <x:f>POWER(J7,1)</x:f>
        <x:v>4</x:v>
      </x:c>
    </x:row>
    <x:row r="8">
      <x:c r="A8" s="13" t="str">
        <x:v>MS-HC</x:v>
      </x:c>
      <x:c r="B8" s="30" t="n">
        <x:f>MIN('Root Units'!$E$14:$E$17)</x:f>
        <x:v>33000</x:v>
      </x:c>
      <x:c r="C8" s="30" t="n">
        <x:f>AVERAGE('Root Units'!$E$14:$E$17)</x:f>
        <x:v>47500</x:v>
      </x:c>
      <x:c r="D8" s="30" t="n">
        <x:f>MAX('Root Units'!$E$14:$E$17)</x:f>
        <x:v>61000</x:v>
      </x:c>
      <x:c r="E8" s="30" t="n">
        <x:f>MIN('Root Units'!$H$14:$H$17)</x:f>
        <x:v>180.82191780821918</x:v>
      </x:c>
      <x:c r="F8" s="30" t="n">
        <x:f>AVERAGE('Root Units'!$H$14:$H$17)</x:f>
        <x:v>260.2739726027397</x:v>
      </x:c>
      <x:c r="G8" s="30" t="n">
        <x:f>MAX('Root Units'!$H$14:$H$17)</x:f>
        <x:v>334.24657534246575</x:v>
      </x:c>
      <x:c r="H8" s="30" t="n">
        <x:f>MAX('Root Units'!$K$14:$K$17)</x:f>
        <x:v>2812.785388127854</x:v>
      </x:c>
      <x:c r="I8" s="30" t="n">
        <x:f>MAX('Root Units'!$J$14:$J$17)</x:f>
        <x:v>22.100456621004568</x:v>
      </x:c>
      <x:c r="J8" s="13" t="n">
        <x:v>4</x:v>
      </x:c>
      <x:c r="K8" s="13" t="n">
        <x:f>POWER(J8,1)</x:f>
        <x:v>4</x:v>
      </x:c>
    </x:row>
    <x:row r="9">
      <x:c r="A9" s="13" t="str">
        <x:v>MS-LF</x:v>
      </x:c>
      <x:c r="B9" s="30" t="n">
        <x:f>MIN('Root Units'!$E$18:$E$21)</x:f>
        <x:v>18350</x:v>
      </x:c>
      <x:c r="C9" s="30" t="n">
        <x:f>AVERAGE('Root Units'!$E$18:$E$21)</x:f>
        <x:v>31725</x:v>
      </x:c>
      <x:c r="D9" s="30" t="n">
        <x:f>MAX('Root Units'!$E$18:$E$21)</x:f>
        <x:v>42825</x:v>
      </x:c>
      <x:c r="E9" s="30" t="n">
        <x:f>MIN('Root Units'!$H$18:$H$21)</x:f>
        <x:v>100.54794520547945</x:v>
      </x:c>
      <x:c r="F9" s="30" t="n">
        <x:f>AVERAGE('Root Units'!$H$18:$H$21)</x:f>
        <x:v>173.83561643835617</x:v>
      </x:c>
      <x:c r="G9" s="30" t="n">
        <x:f>MAX('Root Units'!$H$18:$H$21)</x:f>
        <x:v>234.65753424657535</x:v>
      </x:c>
      <x:c r="H9" s="30" t="n">
        <x:f>MAX('Root Units'!$K$18:$K$21)</x:f>
        <x:v>3128.7671232876714</x:v>
      </x:c>
      <x:c r="I9" s="30" t="n">
        <x:f>MAX('Root Units'!$J$18:$J$21)</x:f>
        <x:v>24.443493150684933</x:v>
      </x:c>
      <x:c r="J9" s="13" t="n">
        <x:v>4</x:v>
      </x:c>
      <x:c r="K9" s="13" t="n">
        <x:f>POWER(J9,1)</x:f>
        <x:v>4</x:v>
      </x:c>
    </x:row>
    <x:row r="10">
      <x:c r="A10" s="13" t="str">
        <x:v>MS-HU</x:v>
      </x:c>
      <x:c r="B10" s="30" t="n">
        <x:f>MIN('Root Units'!$E$22:$E$25)</x:f>
        <x:v>24000</x:v>
      </x:c>
      <x:c r="C10" s="30" t="n">
        <x:f>AVERAGE('Root Units'!$E$22:$E$25)</x:f>
        <x:v>33750</x:v>
      </x:c>
      <x:c r="D10" s="30" t="n">
        <x:f>MAX('Root Units'!$E$22:$E$25)</x:f>
        <x:v>42000</x:v>
      </x:c>
      <x:c r="E10" s="30" t="n">
        <x:f>MIN('Root Units'!$H$22:$H$25)</x:f>
        <x:v>131.5068493150685</x:v>
      </x:c>
      <x:c r="F10" s="30" t="n">
        <x:f>AVERAGE('Root Units'!$H$22:$H$25)</x:f>
        <x:v>184.93150684931507</x:v>
      </x:c>
      <x:c r="G10" s="30" t="n">
        <x:f>MAX('Root Units'!$H$22:$H$25)</x:f>
        <x:v>230.13698630136986</x:v>
      </x:c>
      <x:c r="H10" s="30" t="n">
        <x:f>MAX('Root Units'!$K$22:$K$25)</x:f>
        <x:v>3452.054794520548</x:v>
      </x:c>
      <x:c r="I10" s="30" t="n">
        <x:f>MAX('Root Units'!$J$22:$J$25)</x:f>
        <x:v>23.013698630136986</x:v>
      </x:c>
      <x:c r="J10" s="13" t="n">
        <x:v>4</x:v>
      </x:c>
      <x:c r="K10" s="13" t="n">
        <x:f>POWER(J10,1)</x:f>
        <x:v>4</x:v>
      </x:c>
    </x:row>
    <x:row r="11">
      <x:c r="A11" s="13" t="str">
        <x:v>MS-RT</x:v>
      </x:c>
      <x:c r="B11" s="30" t="n">
        <x:f>MIN('Root Units'!$E$26:$E$29)</x:f>
        <x:v>58000</x:v>
      </x:c>
      <x:c r="C11" s="30" t="n">
        <x:f>AVERAGE('Root Units'!$E$26:$E$29)</x:f>
        <x:v>77500</x:v>
      </x:c>
      <x:c r="D11" s="30" t="n">
        <x:f>MAX('Root Units'!$E$26:$E$29)</x:f>
        <x:v>96000</x:v>
      </x:c>
      <x:c r="E11" s="30" t="n">
        <x:f>MIN('Root Units'!$H$26:$H$29)</x:f>
        <x:v>317.8082191780822</x:v>
      </x:c>
      <x:c r="F11" s="30" t="n">
        <x:f>AVERAGE('Root Units'!$H$26:$H$29)</x:f>
        <x:v>424.6575342465753</x:v>
      </x:c>
      <x:c r="G11" s="30" t="n">
        <x:f>MAX('Root Units'!$H$26:$H$29)</x:f>
        <x:v>526.027397260274</x:v>
      </x:c>
      <x:c r="H11" s="30" t="n">
        <x:f>MAX('Root Units'!$K$26:$K$29)</x:f>
        <x:v>3506.849315068493</x:v>
      </x:c>
      <x:c r="I11" s="30" t="n">
        <x:f>MAX('Root Units'!$J$26:$J$29)</x:f>
        <x:v>19.17808219178082</x:v>
      </x:c>
      <x:c r="J11" s="13" t="n">
        <x:v>4</x:v>
      </x:c>
      <x:c r="K11" s="13" t="n">
        <x:f>POWER(J11,1)</x:f>
        <x:v>4</x:v>
      </x:c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</x:row>
    <x:row r="14" ht="30" customHeight="1">
      <x:c r="A14" s="9" t="str">
        <x:v>Cohort metric</x:v>
      </x:c>
      <x:c r="B14" s="9" t="str">
        <x:v>Value</x:v>
      </x:c>
      <x:c r="C14" s="9" t="str">
        <x:v>Unit</x:v>
      </x:c>
      <x:c r="D14" s="9" t="str">
        <x:v>Meaning</x:v>
      </x:c>
      <x:c r="E14" s="62"/>
      <x:c r="F14" s="62"/>
      <x:c r="G14" s="62"/>
      <x:c r="H14" s="62"/>
      <x:c r="I14" s="62"/>
      <x:c r="J14" s="62"/>
      <x:c r="K14" s="62"/>
    </x:row>
    <x:row r="15">
      <x:c r="A15" s="12" t="str">
        <x:v>Possible six-root cohorts</x:v>
      </x:c>
      <x:c r="B15" s="29" t="n">
        <x:f>POWER(4,6)</x:f>
        <x:v>4096</x:v>
      </x:c>
      <x:c r="C15" s="12" t="str">
        <x:v>exact combinations</x:v>
      </x:c>
      <x:c r="D15" s="12" t="str">
        <x:v>One root from each of six systems</x:v>
      </x:c>
      <x:c r="E15" s="62"/>
      <x:c r="F15" s="62"/>
      <x:c r="G15" s="62"/>
      <x:c r="H15" s="62"/>
      <x:c r="I15" s="62"/>
      <x:c r="J15" s="62"/>
      <x:c r="K15" s="62"/>
    </x:row>
    <x:row r="16">
      <x:c r="A16" s="13" t="str">
        <x:v>Minimum cohort unit mass</x:v>
      </x:c>
      <x:c r="B16" s="30" t="n">
        <x:f>SUM(B6:B11)</x:f>
        <x:v>201350</x:v>
      </x:c>
      <x:c r="C16" s="13" t="str">
        <x:v>t</x:v>
      </x:c>
      <x:c r="D16" s="13" t="str">
        <x:v>Lightest root in every system</x:v>
      </x:c>
      <x:c r="E16" s="62"/>
      <x:c r="F16" s="62"/>
      <x:c r="G16" s="62"/>
      <x:c r="H16" s="62"/>
      <x:c r="I16" s="62"/>
      <x:c r="J16" s="62"/>
      <x:c r="K16" s="62"/>
    </x:row>
    <x:row r="17">
      <x:c r="A17" s="13" t="str">
        <x:v>Average cohort unit mass</x:v>
      </x:c>
      <x:c r="B17" s="30" t="n">
        <x:f>SUM(C6:C11)</x:f>
        <x:v>279475</x:v>
      </x:c>
      <x:c r="C17" s="13" t="str">
        <x:v>t</x:v>
      </x:c>
      <x:c r="D17" s="13" t="str">
        <x:v>Mean across the full compositional space</x:v>
      </x:c>
      <x:c r="E17" s="62"/>
      <x:c r="F17" s="62"/>
      <x:c r="G17" s="62"/>
      <x:c r="H17" s="62"/>
      <x:c r="I17" s="62"/>
      <x:c r="J17" s="62"/>
      <x:c r="K17" s="62"/>
    </x:row>
    <x:row r="18">
      <x:c r="A18" s="13" t="str">
        <x:v>Maximum cohort unit mass</x:v>
      </x:c>
      <x:c r="B18" s="30" t="n">
        <x:f>SUM(D6:D11)</x:f>
        <x:v>357825</x:v>
      </x:c>
      <x:c r="C18" s="13" t="str">
        <x:v>t</x:v>
      </x:c>
      <x:c r="D18" s="13" t="str">
        <x:v>Heaviest root in every system</x:v>
      </x:c>
      <x:c r="E18" s="62"/>
      <x:c r="F18" s="62"/>
      <x:c r="G18" s="62"/>
      <x:c r="H18" s="62"/>
      <x:c r="I18" s="62"/>
      <x:c r="J18" s="62"/>
      <x:c r="K18" s="62"/>
    </x:row>
    <x:row r="19">
      <x:c r="A19" s="13" t="str">
        <x:v>Maximum cohort first-unit rate</x:v>
      </x:c>
      <x:c r="B19" s="30" t="n">
        <x:f>B18/Controls!$B$23</x:f>
        <x:v>1490.9375</x:v>
      </x:c>
      <x:c r="C19" s="13" t="str">
        <x:v>t/day</x:v>
      </x:c>
      <x:c r="D19" s="13" t="str">
        <x:v>One complete unit per system by day 240</x:v>
      </x:c>
      <x:c r="E19" s="62"/>
      <x:c r="F19" s="62"/>
      <x:c r="G19" s="62"/>
      <x:c r="H19" s="62"/>
      <x:c r="I19" s="62"/>
      <x:c r="J19" s="62"/>
      <x:c r="K19" s="62"/>
    </x:row>
    <x:row r="20">
      <x:c r="A20" s="13" t="str">
        <x:v>Maximum cohort year-one rate</x:v>
      </x:c>
      <x:c r="B20" s="30" t="n">
        <x:f>B18*Controls!$B$24/365</x:f>
        <x:v>1960.6849315068494</x:v>
      </x:c>
      <x:c r="C20" s="13" t="str">
        <x:v>t/day</x:v>
      </x:c>
      <x:c r="D20" s="13" t="str">
        <x:v>Two complete units per system by day 365</x:v>
      </x:c>
      <x:c r="E20" s="62"/>
      <x:c r="F20" s="62"/>
      <x:c r="G20" s="62"/>
      <x:c r="H20" s="62"/>
      <x:c r="I20" s="62"/>
      <x:c r="J20" s="62"/>
      <x:c r="K20" s="62"/>
    </x:row>
    <x:row r="21">
      <x:c r="A21" s="13" t="str">
        <x:v>Installed six-cell bay rate</x:v>
      </x:c>
      <x:c r="B21" s="30" t="n">
        <x:f>B20*Controls!$B$25*Controls!$B$26</x:f>
        <x:v>2941.027397260274</x:v>
      </x:c>
      <x:c r="C21" s="13" t="str">
        <x:v>t/day</x:v>
      </x:c>
      <x:c r="D21" s="13" t="str">
        <x:v>Six bays at one-quarter rate per active cell</x:v>
      </x:c>
      <x:c r="E21" s="62"/>
      <x:c r="F21" s="62"/>
      <x:c r="G21" s="62"/>
      <x:c r="H21" s="62"/>
      <x:c r="I21" s="62"/>
      <x:c r="J21" s="62"/>
      <x:c r="K21" s="62"/>
    </x:row>
    <x:row r="22">
      <x:c r="A22" s="13" t="str">
        <x:v>Maximum cohort active workers</x:v>
      </x:c>
      <x:c r="B22" s="30" t="n">
        <x:f>SUM(H6:H11)</x:f>
        <x:v>18037.442922374426</x:v>
      </x:c>
      <x:c r="C22" s="13" t="str">
        <x:v>workers</x:v>
      </x:c>
      <x:c r="D22" s="13" t="str">
        <x:v>Before gross-up for denial</x:v>
      </x:c>
      <x:c r="E22" s="62"/>
      <x:c r="F22" s="62"/>
      <x:c r="G22" s="62"/>
      <x:c r="H22" s="62"/>
      <x:c r="I22" s="62"/>
      <x:c r="J22" s="62"/>
      <x:c r="K22" s="62"/>
    </x:row>
    <x:row r="23">
      <x:c r="A23" s="13" t="str">
        <x:v>Maximum cohort process power</x:v>
      </x:c>
      <x:c r="B23" s="30" t="n">
        <x:f>SUM(I6:I11)</x:f>
        <x:v>122.70833333333333</x:v>
      </x:c>
      <x:c r="C23" s="13" t="str">
        <x:v>MW</x:v>
      </x:c>
      <x:c r="D23" s="13" t="str">
        <x:v>Before utility reserve</x:v>
      </x:c>
      <x:c r="E23" s="62"/>
      <x:c r="F23" s="62"/>
      <x:c r="G23" s="62"/>
      <x:c r="H23" s="62"/>
      <x:c r="I23" s="62"/>
      <x:c r="J23" s="62"/>
      <x:c r="K23" s="6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23" hidden="0" customWidth="1"/>
    <x:col min="4" max="4" width="18" hidden="0" customWidth="1"/>
    <x:col min="5" max="5" width="19" hidden="0" customWidth="1"/>
    <x:col min="6" max="6" width="17" hidden="0" customWidth="1"/>
    <x:col min="7" max="7" width="14" hidden="0" customWidth="1"/>
    <x:col min="8" max="8" width="60" hidden="0" customWidth="1"/>
  </x:cols>
  <x:sheetData>
    <x:row r="2">
      <x:c r="A2" s="59" t="str">
        <x:v>USD 250B public productive-estate allocation</x:v>
      </x:c>
      <x:c r="B2" s="60"/>
      <x:c r="C2" s="60"/>
      <x:c r="D2" s="60"/>
      <x:c r="E2" s="60"/>
      <x:c r="F2" s="60"/>
      <x:c r="G2" s="60"/>
      <x:c r="H2" s="60"/>
    </x:row>
    <x:row r="3">
      <x:c r="A3" s="61" t="str">
        <x:v>This is a cross-classification of existing authority, not additional program cost or expenditure.</x:v>
      </x:c>
      <x:c r="B3" s="61"/>
      <x:c r="C3" s="61"/>
      <x:c r="D3" s="61"/>
      <x:c r="E3" s="61"/>
      <x:c r="F3" s="61"/>
      <x:c r="G3" s="61"/>
      <x:c r="H3" s="61"/>
    </x:row>
    <x:row r="4">
      <x:c r="A4" s="62"/>
      <x:c r="B4" s="62"/>
      <x:c r="C4" s="62"/>
      <x:c r="D4" s="62"/>
      <x:c r="E4" s="62"/>
      <x:c r="F4" s="62"/>
      <x:c r="G4" s="62"/>
      <x:c r="H4" s="62"/>
    </x:row>
    <x:row r="5" ht="30" customHeight="1">
      <x:c r="A5" s="9" t="str">
        <x:v>Capital object</x:v>
      </x:c>
      <x:c r="B5" s="9" t="str">
        <x:v>Quantity</x:v>
      </x:c>
      <x:c r="C5" s="9" t="str">
        <x:v>Unit allocation (USD B)</x:v>
      </x:c>
      <x:c r="D5" s="9" t="str">
        <x:v>Unit</x:v>
      </x:c>
      <x:c r="E5" s="9" t="str">
        <x:v>Calculated USD B</x:v>
      </x:c>
      <x:c r="F5" s="9" t="str">
        <x:v>Planned USD B</x:v>
      </x:c>
      <x:c r="G5" s="9" t="str">
        <x:v>Difference</x:v>
      </x:c>
      <x:c r="H5" s="9" t="str">
        <x:v>Physical content</x:v>
      </x:c>
    </x:row>
    <x:row r="6">
      <x:c r="A6" s="12" t="str">
        <x:v>Cell sites and utility islands</x:v>
      </x:c>
      <x:c r="B6" s="25" t="n">
        <x:v>24</x:v>
      </x:c>
      <x:c r="C6" s="50" t="n">
        <x:v>2</x:v>
      </x:c>
      <x:c r="D6" s="46" t="str">
        <x:v>cell packages</x:v>
      </x:c>
      <x:c r="E6" s="46" t="n">
        <x:f>B6*C6</x:f>
        <x:v>48</x:v>
      </x:c>
      <x:c r="F6" s="46" t="n">
        <x:v>48</x:v>
      </x:c>
      <x:c r="G6" s="46" t="n">
        <x:f>E6-F6</x:f>
        <x:v>0</x:v>
      </x:c>
      <x:c r="H6" s="12" t="str">
        <x:v>Site, energy, water and black-start civil works</x:v>
      </x:c>
    </x:row>
    <x:row r="7">
      <x:c r="A7" s="13" t="str">
        <x:v>Adaptive production bays</x:v>
      </x:c>
      <x:c r="B7" s="26" t="n">
        <x:v>144</x:v>
      </x:c>
      <x:c r="C7" s="51" t="n">
        <x:f>42/144</x:f>
        <x:v>0.2916666666666667</x:v>
      </x:c>
      <x:c r="D7" s="47" t="str">
        <x:v>bays</x:v>
      </x:c>
      <x:c r="E7" s="47" t="n">
        <x:f>B7*C7</x:f>
        <x:v>42</x:v>
      </x:c>
      <x:c r="F7" s="47" t="n">
        <x:v>42</x:v>
      </x:c>
      <x:c r="G7" s="47" t="n">
        <x:f>E7-F7</x:f>
        <x:v>0</x:v>
      </x:c>
      <x:c r="H7" s="13" t="str">
        <x:v>Six loss-tolerant bays per cell</x:v>
      </x:c>
    </x:row>
    <x:row r="8">
      <x:c r="A8" s="13" t="str">
        <x:v>Root-specific tooling capsules</x:v>
      </x:c>
      <x:c r="B8" s="26" t="n">
        <x:v>48</x:v>
      </x:c>
      <x:c r="C8" s="51" t="n">
        <x:v>1</x:v>
      </x:c>
      <x:c r="D8" s="47" t="str">
        <x:v>capsules</x:v>
      </x:c>
      <x:c r="E8" s="47" t="n">
        <x:f>B8*C8</x:f>
        <x:v>48</x:v>
      </x:c>
      <x:c r="F8" s="47" t="n">
        <x:v>48</x:v>
      </x:c>
      <x:c r="G8" s="47" t="n">
        <x:f>E8-F8</x:f>
        <x:v>0</x:v>
      </x:c>
      <x:c r="H8" s="13" t="str">
        <x:v>Two sealed public tooling paths per root</x:v>
      </x:c>
    </x:row>
    <x:row r="9">
      <x:c r="A9" s="13" t="str">
        <x:v>Material and keystone banks</x:v>
      </x:c>
      <x:c r="B9" s="26" t="n">
        <x:v>24</x:v>
      </x:c>
      <x:c r="C9" s="51" t="n">
        <x:f>32/24</x:f>
        <x:v>1.3333333333333333</x:v>
      </x:c>
      <x:c r="D9" s="47" t="str">
        <x:v>cell inventories</x:v>
      </x:c>
      <x:c r="E9" s="47" t="n">
        <x:f>B9*C9</x:f>
        <x:v>32</x:v>
      </x:c>
      <x:c r="F9" s="47" t="n">
        <x:v>32</x:v>
      </x:c>
      <x:c r="G9" s="47" t="n">
        <x:f>E9-F9</x:f>
        <x:v>0</x:v>
      </x:c>
      <x:c r="H9" s="13" t="str">
        <x:v>Rotating long-cycle and convertible stocks</x:v>
      </x:c>
    </x:row>
    <x:row r="10">
      <x:c r="A10" s="13" t="str">
        <x:v>Reference and qualification articles</x:v>
      </x:c>
      <x:c r="B10" s="26" t="n">
        <x:v>24</x:v>
      </x:c>
      <x:c r="C10" s="51" t="n">
        <x:f>26/24</x:f>
        <x:v>1.0833333333333333</x:v>
      </x:c>
      <x:c r="D10" s="47" t="str">
        <x:v>root banks</x:v>
      </x:c>
      <x:c r="E10" s="47" t="n">
        <x:f>B10*C10</x:f>
        <x:v>26</x:v>
      </x:c>
      <x:c r="F10" s="47" t="n">
        <x:v>26</x:v>
      </x:c>
      <x:c r="G10" s="47" t="n">
        <x:f>E10-F10</x:f>
        <x:v>0</x:v>
      </x:c>
      <x:c r="H10" s="13" t="str">
        <x:v>Configuration truth and destructive qualification</x:v>
      </x:c>
    </x:row>
    <x:row r="11">
      <x:c r="A11" s="13" t="str">
        <x:v>Workforce schools and credential twins</x:v>
      </x:c>
      <x:c r="B11" s="26" t="n">
        <x:v>24</x:v>
      </x:c>
      <x:c r="C11" s="51" t="n">
        <x:v>0.75</x:v>
      </x:c>
      <x:c r="D11" s="47" t="str">
        <x:v>cell systems</x:v>
      </x:c>
      <x:c r="E11" s="47" t="n">
        <x:f>B11*C11</x:f>
        <x:v>18</x:v>
      </x:c>
      <x:c r="F11" s="47" t="n">
        <x:v>18</x:v>
      </x:c>
      <x:c r="G11" s="47" t="n">
        <x:f>E11-F11</x:f>
        <x:v>0</x:v>
      </x:c>
      <x:c r="H11" s="13" t="str">
        <x:v>Portable workforce and cold-team qualification</x:v>
      </x:c>
    </x:row>
    <x:row r="12">
      <x:c r="A12" s="13" t="str">
        <x:v>Metrology and configuration custody</x:v>
      </x:c>
      <x:c r="B12" s="26" t="n">
        <x:v>24</x:v>
      </x:c>
      <x:c r="C12" s="51" t="n">
        <x:f>14/24</x:f>
        <x:v>0.5833333333333334</x:v>
      </x:c>
      <x:c r="D12" s="47" t="str">
        <x:v>cell systems</x:v>
      </x:c>
      <x:c r="E12" s="47" t="n">
        <x:f>B12*C12</x:f>
        <x:v>14</x:v>
      </x:c>
      <x:c r="F12" s="47" t="n">
        <x:v>14</x:v>
      </x:c>
      <x:c r="G12" s="47" t="n">
        <x:f>E12-F12</x:f>
        <x:v>0</x:v>
      </x:c>
      <x:c r="H12" s="13" t="str">
        <x:v>Signing roots, genealogy and portable instruments</x:v>
      </x:c>
    </x:row>
    <x:row r="13">
      <x:c r="A13" s="13" t="str">
        <x:v>Transport and receiver bridges</x:v>
      </x:c>
      <x:c r="B13" s="26" t="n">
        <x:v>24</x:v>
      </x:c>
      <x:c r="C13" s="51" t="n">
        <x:f>10/24</x:f>
        <x:v>0.4166666666666667</x:v>
      </x:c>
      <x:c r="D13" s="47" t="str">
        <x:v>cell systems</x:v>
      </x:c>
      <x:c r="E13" s="47" t="n">
        <x:f>B13*C13</x:f>
        <x:v>10</x:v>
      </x:c>
      <x:c r="F13" s="47" t="n">
        <x:v>10</x:v>
      </x:c>
      <x:c r="G13" s="47" t="n">
        <x:f>E13-F13</x:f>
        <x:v>0</x:v>
      </x:c>
      <x:c r="H13" s="13" t="str">
        <x:v>Move lots, tooling, workforce and accepted units</x:v>
      </x:c>
    </x:row>
    <x:row r="14">
      <x:c r="A14" s="13" t="str">
        <x:v>Renewal and reconfiguration reserve</x:v>
      </x:c>
      <x:c r="B14" s="26" t="n">
        <x:v>1</x:v>
      </x:c>
      <x:c r="C14" s="51" t="n">
        <x:v>12</x:v>
      </x:c>
      <x:c r="D14" s="47" t="str">
        <x:v>program reserve</x:v>
      </x:c>
      <x:c r="E14" s="47" t="n">
        <x:f>B14*C14</x:f>
        <x:v>12</x:v>
      </x:c>
      <x:c r="F14" s="47" t="n">
        <x:v>12</x:v>
      </x:c>
      <x:c r="G14" s="47" t="n">
        <x:f>E14-F14</x:f>
        <x:v>0</x:v>
      </x:c>
      <x:c r="H14" s="13" t="str">
        <x:v>Obsolescence, killed roots and cell reconfiguration</x:v>
      </x:c>
    </x:row>
    <x:row r="15">
      <x:c r="A15" s="52" t="str">
        <x:v>Total</x:v>
      </x:c>
      <x:c r="B15" s="52"/>
      <x:c r="C15" s="53"/>
      <x:c r="D15" s="53"/>
      <x:c r="E15" s="53" t="n">
        <x:f>SUM(E6:E14)</x:f>
        <x:v>250</x:v>
      </x:c>
      <x:c r="F15" s="53" t="n">
        <x:f>SUM(F6:F14)</x:f>
        <x:v>250</x:v>
      </x:c>
      <x:c r="G15" s="53" t="n">
        <x:f>E15-F15</x:f>
        <x:v>0</x:v>
      </x:c>
      <x:c r="H15" s="52" t="str">
        <x:v>Conserved public productive estate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5" hidden="0" customWidth="1"/>
    <x:col min="4" max="4" width="18" hidden="0" customWidth="1"/>
    <x:col min="5" max="5" width="18" hidden="0" customWidth="1"/>
    <x:col min="6" max="6" width="14" hidden="0" customWidth="1"/>
    <x:col min="7" max="7" width="15" hidden="0" customWidth="1"/>
    <x:col min="8" max="8" width="15" hidden="0" customWidth="1"/>
    <x:col min="9" max="9" width="14" hidden="0" customWidth="1"/>
  </x:cols>
  <x:sheetData>
    <x:row r="2">
      <x:c r="A2" s="59" t="str">
        <x:v>Public productive-estate wave schedule</x:v>
      </x:c>
      <x:c r="B2" s="60"/>
      <x:c r="C2" s="60"/>
      <x:c r="D2" s="60"/>
      <x:c r="E2" s="60"/>
      <x:c r="F2" s="60"/>
      <x:c r="G2" s="60"/>
      <x:c r="H2" s="60"/>
      <x:c r="I2" s="60"/>
    </x:row>
    <x:row r="3">
      <x:c r="A3" s="61" t="str">
        <x:v>Wave values are a timing view of the same USD 250B capital plan and cannot be added to it.</x:v>
      </x:c>
      <x:c r="B3" s="61"/>
      <x:c r="C3" s="61"/>
      <x:c r="D3" s="61"/>
      <x:c r="E3" s="61"/>
      <x:c r="F3" s="61"/>
      <x:c r="G3" s="61"/>
      <x:c r="H3" s="61"/>
      <x:c r="I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</x:row>
    <x:row r="5" ht="30" customHeight="1">
      <x:c r="A5" s="9" t="str">
        <x:v>Capital object</x:v>
      </x:c>
      <x:c r="B5" s="9" t="str">
        <x:v>W0 constitution</x:v>
      </x:c>
      <x:c r="C5" s="9" t="str">
        <x:v>W1 estate</x:v>
      </x:c>
      <x:c r="D5" s="9" t="str">
        <x:v>W2 installation</x:v>
      </x:c>
      <x:c r="E5" s="9" t="str">
        <x:v>W3 qualification</x:v>
      </x:c>
      <x:c r="F5" s="9" t="str">
        <x:v>W4 renewal</x:v>
      </x:c>
      <x:c r="G5" s="9" t="str">
        <x:v>Wave total</x:v>
      </x:c>
      <x:c r="H5" s="9" t="str">
        <x:v>Capital plan</x:v>
      </x:c>
      <x:c r="I5" s="9" t="str">
        <x:v>Difference</x:v>
      </x:c>
    </x:row>
    <x:row r="6">
      <x:c r="A6" s="12" t="str">
        <x:v>Cell sites and utility islands</x:v>
      </x:c>
      <x:c r="B6" s="46" t="n">
        <x:v>0</x:v>
      </x:c>
      <x:c r="C6" s="46" t="n">
        <x:v>24</x:v>
      </x:c>
      <x:c r="D6" s="46" t="n">
        <x:v>20</x:v>
      </x:c>
      <x:c r="E6" s="46" t="n">
        <x:v>4</x:v>
      </x:c>
      <x:c r="F6" s="46" t="n">
        <x:v>0</x:v>
      </x:c>
      <x:c r="G6" s="46" t="n">
        <x:f>SUM(B6:F6)</x:f>
        <x:v>48</x:v>
      </x:c>
      <x:c r="H6" s="46" t="n">
        <x:f>VLOOKUP(A6,'Capital Plan'!$A$6:$F$14,6,FALSE)</x:f>
        <x:v>48</x:v>
      </x:c>
      <x:c r="I6" s="46" t="n">
        <x:f>G6-H6</x:f>
        <x:v>0</x:v>
      </x:c>
    </x:row>
    <x:row r="7">
      <x:c r="A7" s="13" t="str">
        <x:v>Adaptive production bays</x:v>
      </x:c>
      <x:c r="B7" s="47" t="n">
        <x:v>0</x:v>
      </x:c>
      <x:c r="C7" s="47" t="n">
        <x:v>6</x:v>
      </x:c>
      <x:c r="D7" s="47" t="n">
        <x:v>22</x:v>
      </x:c>
      <x:c r="E7" s="47" t="n">
        <x:v>10</x:v>
      </x:c>
      <x:c r="F7" s="47" t="n">
        <x:v>4</x:v>
      </x:c>
      <x:c r="G7" s="47" t="n">
        <x:f>SUM(B7:F7)</x:f>
        <x:v>42</x:v>
      </x:c>
      <x:c r="H7" s="47" t="n">
        <x:f>VLOOKUP(A7,'Capital Plan'!$A$6:$F$14,6,FALSE)</x:f>
        <x:v>42</x:v>
      </x:c>
      <x:c r="I7" s="47" t="n">
        <x:f>G7-H7</x:f>
        <x:v>0</x:v>
      </x:c>
    </x:row>
    <x:row r="8">
      <x:c r="A8" s="13" t="str">
        <x:v>Root-specific tooling capsules</x:v>
      </x:c>
      <x:c r="B8" s="47" t="n">
        <x:v>4</x:v>
      </x:c>
      <x:c r="C8" s="47" t="n">
        <x:v>5</x:v>
      </x:c>
      <x:c r="D8" s="47" t="n">
        <x:v>20</x:v>
      </x:c>
      <x:c r="E8" s="47" t="n">
        <x:v>14</x:v>
      </x:c>
      <x:c r="F8" s="47" t="n">
        <x:v>5</x:v>
      </x:c>
      <x:c r="G8" s="47" t="n">
        <x:f>SUM(B8:F8)</x:f>
        <x:v>48</x:v>
      </x:c>
      <x:c r="H8" s="47" t="n">
        <x:f>VLOOKUP(A8,'Capital Plan'!$A$6:$F$14,6,FALSE)</x:f>
        <x:v>48</x:v>
      </x:c>
      <x:c r="I8" s="47" t="n">
        <x:f>G8-H8</x:f>
        <x:v>0</x:v>
      </x:c>
    </x:row>
    <x:row r="9">
      <x:c r="A9" s="13" t="str">
        <x:v>Material and keystone banks</x:v>
      </x:c>
      <x:c r="B9" s="47" t="n">
        <x:v>0</x:v>
      </x:c>
      <x:c r="C9" s="47" t="n">
        <x:v>2</x:v>
      </x:c>
      <x:c r="D9" s="47" t="n">
        <x:v>10</x:v>
      </x:c>
      <x:c r="E9" s="47" t="n">
        <x:v>10</x:v>
      </x:c>
      <x:c r="F9" s="47" t="n">
        <x:v>10</x:v>
      </x:c>
      <x:c r="G9" s="47" t="n">
        <x:f>SUM(B9:F9)</x:f>
        <x:v>32</x:v>
      </x:c>
      <x:c r="H9" s="47" t="n">
        <x:f>VLOOKUP(A9,'Capital Plan'!$A$6:$F$14,6,FALSE)</x:f>
        <x:v>32</x:v>
      </x:c>
      <x:c r="I9" s="47" t="n">
        <x:f>G9-H9</x:f>
        <x:v>0</x:v>
      </x:c>
    </x:row>
    <x:row r="10">
      <x:c r="A10" s="13" t="str">
        <x:v>Reference and qualification articles</x:v>
      </x:c>
      <x:c r="B10" s="47" t="n">
        <x:v>2</x:v>
      </x:c>
      <x:c r="C10" s="47" t="n">
        <x:v>2</x:v>
      </x:c>
      <x:c r="D10" s="47" t="n">
        <x:v>8</x:v>
      </x:c>
      <x:c r="E10" s="47" t="n">
        <x:v>10</x:v>
      </x:c>
      <x:c r="F10" s="47" t="n">
        <x:v>4</x:v>
      </x:c>
      <x:c r="G10" s="47" t="n">
        <x:f>SUM(B10:F10)</x:f>
        <x:v>26</x:v>
      </x:c>
      <x:c r="H10" s="47" t="n">
        <x:f>VLOOKUP(A10,'Capital Plan'!$A$6:$F$14,6,FALSE)</x:f>
        <x:v>26</x:v>
      </x:c>
      <x:c r="I10" s="47" t="n">
        <x:f>G10-H10</x:f>
        <x:v>0</x:v>
      </x:c>
    </x:row>
    <x:row r="11">
      <x:c r="A11" s="13" t="str">
        <x:v>Workforce schools and credential twins</x:v>
      </x:c>
      <x:c r="B11" s="47" t="n">
        <x:v>2</x:v>
      </x:c>
      <x:c r="C11" s="47" t="n">
        <x:v>4</x:v>
      </x:c>
      <x:c r="D11" s="47" t="n">
        <x:v>6</x:v>
      </x:c>
      <x:c r="E11" s="47" t="n">
        <x:v>4</x:v>
      </x:c>
      <x:c r="F11" s="47" t="n">
        <x:v>2</x:v>
      </x:c>
      <x:c r="G11" s="47" t="n">
        <x:f>SUM(B11:F11)</x:f>
        <x:v>18</x:v>
      </x:c>
      <x:c r="H11" s="47" t="n">
        <x:f>VLOOKUP(A11,'Capital Plan'!$A$6:$F$14,6,FALSE)</x:f>
        <x:v>18</x:v>
      </x:c>
      <x:c r="I11" s="47" t="n">
        <x:f>G11-H11</x:f>
        <x:v>0</x:v>
      </x:c>
    </x:row>
    <x:row r="12">
      <x:c r="A12" s="13" t="str">
        <x:v>Metrology and configuration custody</x:v>
      </x:c>
      <x:c r="B12" s="47" t="n">
        <x:v>6</x:v>
      </x:c>
      <x:c r="C12" s="47" t="n">
        <x:v>4</x:v>
      </x:c>
      <x:c r="D12" s="47" t="n">
        <x:v>2</x:v>
      </x:c>
      <x:c r="E12" s="47" t="n">
        <x:v>1</x:v>
      </x:c>
      <x:c r="F12" s="47" t="n">
        <x:v>1</x:v>
      </x:c>
      <x:c r="G12" s="47" t="n">
        <x:f>SUM(B12:F12)</x:f>
        <x:v>14</x:v>
      </x:c>
      <x:c r="H12" s="47" t="n">
        <x:f>VLOOKUP(A12,'Capital Plan'!$A$6:$F$14,6,FALSE)</x:f>
        <x:v>14</x:v>
      </x:c>
      <x:c r="I12" s="47" t="n">
        <x:f>G12-H12</x:f>
        <x:v>0</x:v>
      </x:c>
    </x:row>
    <x:row r="13">
      <x:c r="A13" s="13" t="str">
        <x:v>Transport and receiver bridges</x:v>
      </x:c>
      <x:c r="B13" s="47" t="n">
        <x:v>0</x:v>
      </x:c>
      <x:c r="C13" s="47" t="n">
        <x:v>3</x:v>
      </x:c>
      <x:c r="D13" s="47" t="n">
        <x:v>5</x:v>
      </x:c>
      <x:c r="E13" s="47" t="n">
        <x:v>1</x:v>
      </x:c>
      <x:c r="F13" s="47" t="n">
        <x:v>1</x:v>
      </x:c>
      <x:c r="G13" s="47" t="n">
        <x:f>SUM(B13:F13)</x:f>
        <x:v>10</x:v>
      </x:c>
      <x:c r="H13" s="47" t="n">
        <x:f>VLOOKUP(A13,'Capital Plan'!$A$6:$F$14,6,FALSE)</x:f>
        <x:v>10</x:v>
      </x:c>
      <x:c r="I13" s="47" t="n">
        <x:f>G13-H13</x:f>
        <x:v>0</x:v>
      </x:c>
    </x:row>
    <x:row r="14">
      <x:c r="A14" s="13" t="str">
        <x:v>Renewal and reconfiguration reserve</x:v>
      </x:c>
      <x:c r="B14" s="47" t="n">
        <x:v>6</x:v>
      </x:c>
      <x:c r="C14" s="47" t="n">
        <x:v>5</x:v>
      </x:c>
      <x:c r="D14" s="47" t="n">
        <x:v>0</x:v>
      </x:c>
      <x:c r="E14" s="47" t="n">
        <x:v>1</x:v>
      </x:c>
      <x:c r="F14" s="47" t="n">
        <x:v>0</x:v>
      </x:c>
      <x:c r="G14" s="47" t="n">
        <x:f>SUM(B14:F14)</x:f>
        <x:v>12</x:v>
      </x:c>
      <x:c r="H14" s="47" t="n">
        <x:f>VLOOKUP(A14,'Capital Plan'!$A$6:$F$14,6,FALSE)</x:f>
        <x:v>12</x:v>
      </x:c>
      <x:c r="I14" s="47" t="n">
        <x:f>G14-H14</x:f>
        <x:v>0</x:v>
      </x:c>
    </x:row>
    <x:row r="15">
      <x:c r="A15" s="52" t="str">
        <x:v>Total</x:v>
      </x:c>
      <x:c r="B15" s="53" t="n">
        <x:f>SUM(B6:B14)</x:f>
        <x:v>20</x:v>
      </x:c>
      <x:c r="C15" s="53" t="n">
        <x:f>SUM(C6:C14)</x:f>
        <x:v>55</x:v>
      </x:c>
      <x:c r="D15" s="53" t="n">
        <x:f>SUM(D6:D14)</x:f>
        <x:v>93</x:v>
      </x:c>
      <x:c r="E15" s="53" t="n">
        <x:f>SUM(E6:E14)</x:f>
        <x:v>55</x:v>
      </x:c>
      <x:c r="F15" s="53" t="n">
        <x:f>SUM(F6:F14)</x:f>
        <x:v>27</x:v>
      </x:c>
      <x:c r="G15" s="53" t="n">
        <x:f>SUM(G6:G14)</x:f>
        <x:v>250</x:v>
      </x:c>
      <x:c r="H15" s="53" t="n">
        <x:f>SUM(H6:H14)</x:f>
        <x:v>250</x:v>
      </x:c>
      <x:c r="I15" s="53" t="n">
        <x:f>G15-H15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32" hidden="0" customWidth="1"/>
    <x:col min="4" max="4" width="52" hidden="0" customWidth="1"/>
    <x:col min="5" max="5" width="54" hidden="0" customWidth="1"/>
  </x:cols>
  <x:sheetData>
    <x:row r="2">
      <x:c r="A2" s="59" t="str">
        <x:v>Production-recovery failure transitions</x:v>
      </x:c>
      <x:c r="B2" s="60"/>
      <x:c r="C2" s="60"/>
      <x:c r="D2" s="60"/>
      <x:c r="E2" s="60"/>
    </x:row>
    <x:row r="3">
      <x:c r="A3" s="61" t="str">
        <x:v>Every loss moves authority and evidence; no failure is waived by emergency demand.</x:v>
      </x:c>
      <x:c r="B3" s="61"/>
      <x:c r="C3" s="61"/>
      <x:c r="D3" s="61"/>
      <x:c r="E3" s="61"/>
    </x:row>
    <x:row r="4">
      <x:c r="A4" s="62"/>
      <x:c r="B4" s="62"/>
      <x:c r="C4" s="62"/>
      <x:c r="D4" s="62"/>
      <x:c r="E4" s="62"/>
    </x:row>
    <x:row r="5" ht="30" customHeight="1">
      <x:c r="A5" s="9" t="str">
        <x:v>Rule</x:v>
      </x:c>
      <x:c r="B5" s="9" t="str">
        <x:v>Trigger</x:v>
      </x:c>
      <x:c r="C5" s="9" t="str">
        <x:v>Successor authority</x:v>
      </x:c>
      <x:c r="D5" s="9" t="str">
        <x:v>Required action</x:v>
      </x:c>
      <x:c r="E5" s="9" t="str">
        <x:v>Conserved consequence</x:v>
      </x:c>
    </x:row>
    <x:row r="6">
      <x:c r="A6" s="12" t="str">
        <x:v>FR-01</x:v>
      </x:c>
      <x:c r="B6" s="12" t="str">
        <x:v>Largest private site lost</x:v>
      </x:c>
      <x:c r="C6" s="12" t="str">
        <x:v>Private survivor network</x:v>
      </x:c>
      <x:c r="D6" s="12" t="str">
        <x:v>Meet seventy-two-hour, thirty-day and 120-day clocks</x:v>
      </x:c>
      <x:c r="E6" s="12" t="str">
        <x:v>Missing clock removes private production warrant</x:v>
      </x:c>
    </x:row>
    <x:row r="7">
      <x:c r="A7" s="13" t="str">
        <x:v>FR-02</x:v>
      </x:c>
      <x:c r="B7" s="13" t="str">
        <x:v>Entire Root House unavailable</x:v>
      </x:c>
      <x:c r="C7" s="13" t="str">
        <x:v>Industrial Mobilization Administration</x:v>
      </x:c>
      <x:c r="D7" s="13" t="str">
        <x:v>Open public package and designate surviving cell</x:v>
      </x:c>
      <x:c r="E7" s="13" t="str">
        <x:v>No successor receives readiness credit</x:v>
      </x:c>
    </x:row>
    <x:row r="8">
      <x:c r="A8" s="13" t="str">
        <x:v>FR-03</x:v>
      </x:c>
      <x:c r="B8" s="13" t="str">
        <x:v>One public cell unavailable</x:v>
      </x:c>
      <x:c r="C8" s="13" t="str">
        <x:v>Second qualified cell</x:v>
      </x:c>
      <x:c r="D8" s="13" t="str">
        <x:v>Activate independently under different site and operator</x:v>
      </x:c>
      <x:c r="E8" s="13" t="str">
        <x:v>One remaining path must meet full public contract</x:v>
      </x:c>
    </x:row>
    <x:row r="9">
      <x:c r="A9" s="13" t="str">
        <x:v>FR-04</x:v>
      </x:c>
      <x:c r="B9" s="13" t="str">
        <x:v>Largest public bay unavailable</x:v>
      </x:c>
      <x:c r="C9" s="13" t="str">
        <x:v>Five surviving bays</x:v>
      </x:c>
      <x:c r="D9" s="13" t="str">
        <x:v>Retain at least full governing daily rate</x:v>
      </x:c>
      <x:c r="E9" s="13" t="str">
        <x:v>Partial output earns zero unit credit</x:v>
      </x:c>
    </x:row>
    <x:row r="10">
      <x:c r="A10" s="13" t="str">
        <x:v>FR-05</x:v>
      </x:c>
      <x:c r="B10" s="13" t="str">
        <x:v>Decisive supplier unavailable</x:v>
      </x:c>
      <x:c r="C10" s="13" t="str">
        <x:v>Keystone bank and unrelated alternate</x:v>
      </x:c>
      <x:c r="D10" s="13" t="str">
        <x:v>Protect first lot and full-unit clock</x:v>
      </x:c>
      <x:c r="E10" s="13" t="str">
        <x:v>Unqualified substitution stops conformity</x:v>
      </x:c>
    </x:row>
    <x:row r="11">
      <x:c r="A11" s="13" t="str">
        <x:v>FR-06</x:v>
      </x:c>
      <x:c r="B11" s="13" t="str">
        <x:v>Twenty-five percent workforce denied</x:v>
      </x:c>
      <x:c r="C11" s="13" t="str">
        <x:v>Portable credential cohorts</x:v>
      </x:c>
      <x:c r="D11" s="13" t="str">
        <x:v>Retain governing productive hours</x:v>
      </x:c>
      <x:c r="E11" s="13" t="str">
        <x:v>Borrowed unqualified labor cannot close the clock</x:v>
      </x:c>
    </x:row>
    <x:row r="12">
      <x:c r="A12" s="13" t="str">
        <x:v>FR-07</x:v>
      </x:c>
      <x:c r="B12" s="13" t="str">
        <x:v>Configuration or genealogy drift</x:v>
      </x:c>
      <x:c r="C12" s="13" t="str">
        <x:v>Public configuration custodian</x:v>
      </x:c>
      <x:c r="D12" s="13" t="str">
        <x:v>Stop line and reconcile signing root</x:v>
      </x:c>
      <x:c r="E12" s="13" t="str">
        <x:v>Prior lot remains quarantined</x:v>
      </x:c>
    </x:row>
    <x:row r="13">
      <x:c r="A13" s="13" t="str">
        <x:v>FR-08</x:v>
      </x:c>
      <x:c r="B13" s="13" t="str">
        <x:v>Private first-lot clock missed</x:v>
      </x:c>
      <x:c r="C13" s="13" t="str">
        <x:v>Joint Capacity Authority</x:v>
      </x:c>
      <x:c r="D13" s="13" t="str">
        <x:v>Remove private production credit</x:v>
      </x:c>
      <x:c r="E13" s="13" t="str">
        <x:v>Public activation does not erase miss</x:v>
      </x:c>
    </x:row>
    <x:row r="14">
      <x:c r="A14" s="13" t="str">
        <x:v>FR-09</x:v>
      </x:c>
      <x:c r="B14" s="13" t="str">
        <x:v>Public first-lot clock missed</x:v>
      </x:c>
      <x:c r="C14" s="13" t="str">
        <x:v>Resilience Proving Service</x:v>
      </x:c>
      <x:c r="D14" s="13" t="str">
        <x:v>Remove path qualification</x:v>
      </x:c>
      <x:c r="E14" s="13" t="str">
        <x:v>Other path must re-earn cold production</x:v>
      </x:c>
    </x:row>
    <x:row r="15">
      <x:c r="A15" s="13" t="str">
        <x:v>FR-10</x:v>
      </x:c>
      <x:c r="B15" s="13" t="str">
        <x:v>First complete-unit clock missed</x:v>
      </x:c>
      <x:c r="C15" s="13" t="str">
        <x:v>Capital Board and proving authority</x:v>
      </x:c>
      <x:c r="D15" s="13" t="str">
        <x:v>Suspend scale capital and order causal disposition</x:v>
      </x:c>
      <x:c r="E15" s="13" t="str">
        <x:v>Inventory cannot substitute for a unit</x:v>
      </x:c>
    </x:row>
    <x:row r="16">
      <x:c r="A16" s="13" t="str">
        <x:v>FR-11</x:v>
      </x:c>
      <x:c r="B16" s="13" t="str">
        <x:v>Second public unit absent by day 365</x:v>
      </x:c>
      <x:c r="C16" s="13" t="str">
        <x:v>Joint Capacity Authority</x:v>
      </x:c>
      <x:c r="D16" s="13" t="str">
        <x:v>Set sustained capacity credit to zero</x:v>
      </x:c>
      <x:c r="E16" s="13" t="str">
        <x:v>One successful unit is not a production service</x:v>
      </x:c>
    </x:row>
    <x:row r="17">
      <x:c r="A17" s="13" t="str">
        <x:v>FR-12</x:v>
      </x:c>
      <x:c r="B17" s="13" t="str">
        <x:v>Valid safety or causal failure</x:v>
      </x:c>
      <x:c r="C17" s="13" t="str">
        <x:v>Resilience Proving Service</x:v>
      </x:c>
      <x:c r="D17" s="13" t="str">
        <x:v>Retain evidence and order RESIZE or KILL</x:v>
      </x:c>
      <x:c r="E17" s="13" t="str">
        <x:v>Recharter cannot erase the failed lineage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66" hidden="0" customWidth="1"/>
    <x:col min="4" max="4" width="18" hidden="0" customWidth="1"/>
    <x:col min="5" max="5" width="32" hidden="0" customWidth="1"/>
  </x:cols>
  <x:sheetData>
    <x:row r="2">
      <x:c r="A2" s="59" t="str">
        <x:v>Sovereign production-recovery technology program</x:v>
      </x:c>
      <x:c r="B2" s="60"/>
      <x:c r="C2" s="60"/>
      <x:c r="D2" s="60"/>
      <x:c r="E2" s="60"/>
    </x:row>
    <x:row r="3">
      <x:c r="A3" s="61" t="str">
        <x:v>Applications cross-classify the existing USD 100B sovereign technical account; they add no authority.</x:v>
      </x:c>
      <x:c r="B3" s="61"/>
      <x:c r="C3" s="61"/>
      <x:c r="D3" s="61"/>
      <x:c r="E3" s="61"/>
    </x:row>
    <x:row r="4">
      <x:c r="A4" s="62"/>
      <x:c r="B4" s="62"/>
      <x:c r="C4" s="62"/>
      <x:c r="D4" s="62"/>
      <x:c r="E4" s="62"/>
    </x:row>
    <x:row r="5" ht="30" customHeight="1">
      <x:c r="A5" s="9" t="str">
        <x:v>Pass 185 program</x:v>
      </x:c>
      <x:c r="B5" s="9" t="str">
        <x:v>Recovery application</x:v>
      </x:c>
      <x:c r="C5" s="9" t="str">
        <x:v>Required first-principles advance</x:v>
      </x:c>
      <x:c r="D5" s="9" t="str">
        <x:v>Authority (USD B)</x:v>
      </x:c>
      <x:c r="E5" s="9" t="str">
        <x:v>Fiscal treatment</x:v>
      </x:c>
    </x:row>
    <x:row r="6">
      <x:c r="A6" s="12" t="str">
        <x:v>Programmable denial worlds</x:v>
      </x:c>
      <x:c r="B6" s="12" t="str">
        <x:v>Compound factory-recovery denial worlds</x:v>
      </x:c>
      <x:c r="C6" s="12" t="str">
        <x:v>Fail power, data, material, site and labor while preserving safe state</x:v>
      </x:c>
      <x:c r="D6" s="27" t="n">
        <x:v>10</x:v>
      </x:c>
      <x:c r="E6" s="12" t="str">
        <x:v>Existing sovereign technical account</x:v>
      </x:c>
    </x:row>
    <x:row r="7">
      <x:c r="A7" s="13" t="str">
        <x:v>Matched counterfactual environments</x:v>
      </x:c>
      <x:c r="B7" s="13" t="str">
        <x:v>Paired recovery-route trials</x:v>
      </x:c>
      <x:c r="C7" s="13" t="str">
        <x:v>Run identical lots through unlike sites, operators and process chains</x:v>
      </x:c>
      <x:c r="D7" s="28" t="n">
        <x:v>8</x:v>
      </x:c>
      <x:c r="E7" s="13" t="str">
        <x:v>Existing sovereign technical account</x:v>
      </x:c>
    </x:row>
    <x:row r="8">
      <x:c r="A8" s="13" t="str">
        <x:v>Cold reconstruction factories</x:v>
      </x:c>
      <x:c r="B8" s="13" t="str">
        <x:v>Adaptive heavy-production bays</x:v>
      </x:c>
      <x:c r="C8" s="13" t="str">
        <x:v>Reconfigure six loss-tolerant bays from a sealed root package</x:v>
      </x:c>
      <x:c r="D8" s="28" t="n">
        <x:v>8</x:v>
      </x:c>
      <x:c r="E8" s="13" t="str">
        <x:v>Existing sovereign technical account</x:v>
      </x:c>
    </x:row>
    <x:row r="9">
      <x:c r="A9" s="13" t="str">
        <x:v>Public metrology and custody</x:v>
      </x:c>
      <x:c r="B9" s="13" t="str">
        <x:v>Self-restoring portable metrology</x:v>
      </x:c>
      <x:c r="C9" s="13" t="str">
        <x:v>Recreate calibration, signing and evidence after site loss</x:v>
      </x:c>
      <x:c r="D9" s="28" t="n">
        <x:v>7</x:v>
      </x:c>
      <x:c r="E9" s="13" t="str">
        <x:v>Existing sovereign technical account</x:v>
      </x:c>
    </x:row>
    <x:row r="10">
      <x:c r="A10" s="13" t="str">
        <x:v>Industrial-ancestry observation</x:v>
      </x:c>
      <x:c r="B10" s="13" t="str">
        <x:v>Live process and material genealogy</x:v>
      </x:c>
      <x:c r="C10" s="13" t="str">
        <x:v>Trace feedstock, tool, firmware, operator and lot through recharter</x:v>
      </x:c>
      <x:c r="D10" s="28" t="n">
        <x:v>7</x:v>
      </x:c>
      <x:c r="E10" s="13" t="str">
        <x:v>Existing sovereign technical account</x:v>
      </x:c>
    </x:row>
    <x:row r="11">
      <x:c r="A11" s="13" t="str">
        <x:v>Authority provenance</x:v>
      </x:c>
      <x:c r="B11" s="13" t="str">
        <x:v>Machine-enforced step-in authority</x:v>
      </x:c>
      <x:c r="C11" s="13" t="str">
        <x:v>Release only the rights and serials authorized for the failed root</x:v>
      </x:c>
      <x:c r="D11" s="28" t="n">
        <x:v>7</x:v>
      </x:c>
      <x:c r="E11" s="13" t="str">
        <x:v>Existing sovereign technical account</x:v>
      </x:c>
    </x:row>
    <x:row r="12">
      <x:c r="A12" s="13" t="str">
        <x:v>Machine-readable service contracts</x:v>
      </x:c>
      <x:c r="B12" s="13" t="str">
        <x:v>Deficit-to-production compiler</x:v>
      </x:c>
      <x:c r="C12" s="13" t="str">
        <x:v>Translate missing public service into complete root lots and receiver work</x:v>
      </x:c>
      <x:c r="D12" s="28" t="n">
        <x:v>7</x:v>
      </x:c>
      <x:c r="E12" s="13" t="str">
        <x:v>Existing sovereign technical account</x:v>
      </x:c>
    </x:row>
    <x:row r="13">
      <x:c r="A13" s="13" t="str">
        <x:v>Dynamic serial reservation</x:v>
      </x:c>
      <x:c r="B13" s="13" t="str">
        <x:v>Recovery-capacity reservation exchange</x:v>
      </x:c>
      <x:c r="C13" s="13" t="str">
        <x:v>Prevent domestic, export and civil demand from claiming the same bay</x:v>
      </x:c>
      <x:c r="D13" s="28" t="n">
        <x:v>6</x:v>
      </x:c>
      <x:c r="E13" s="13" t="str">
        <x:v>Existing sovereign technical account</x:v>
      </x:c>
    </x:row>
    <x:row r="14">
      <x:c r="A14" s="13" t="str">
        <x:v>Open-interface verification</x:v>
      </x:c>
      <x:c r="B14" s="13" t="str">
        <x:v>Universal qualification fixtures</x:v>
      </x:c>
      <x:c r="C14" s="13" t="str">
        <x:v>Test unlike root interfaces without embedding a candidate answer</x:v>
      </x:c>
      <x:c r="D14" s="28" t="n">
        <x:v>6</x:v>
      </x:c>
      <x:c r="E14" s="13" t="str">
        <x:v>Existing sovereign technical account</x:v>
      </x:c>
    </x:row>
    <x:row r="15">
      <x:c r="A15" s="13" t="str">
        <x:v>Synthetic civil populations</x:v>
      </x:c>
      <x:c r="B15" s="13" t="str">
        <x:v>Workforce and receiver twins</x:v>
      </x:c>
      <x:c r="C15" s="13" t="str">
        <x:v>Exercise labor denial and acceptance worlds before physical activation</x:v>
      </x:c>
      <x:c r="D15" s="28" t="n">
        <x:v>6</x:v>
      </x:c>
      <x:c r="E15" s="13" t="str">
        <x:v>Existing sovereign technical account</x:v>
      </x:c>
    </x:row>
    <x:row r="16">
      <x:c r="A16" s="13" t="str">
        <x:v>Relationship-state instruments</x:v>
      </x:c>
      <x:c r="B16" s="13" t="str">
        <x:v>Cell and supplier dependence graph</x:v>
      </x:c>
      <x:c r="C16" s="13" t="str">
        <x:v>Expose common operators, sites, utilities, debt and critical tools</x:v>
      </x:c>
      <x:c r="D16" s="28" t="n">
        <x:v>6</x:v>
      </x:c>
      <x:c r="E16" s="13" t="str">
        <x:v>Existing sovereign technical account</x:v>
      </x:c>
    </x:row>
    <x:row r="17">
      <x:c r="A17" s="13" t="str">
        <x:v>Causal service telemetry</x:v>
      </x:c>
      <x:c r="B17" s="13" t="str">
        <x:v>Factory-to-service causal trace</x:v>
      </x:c>
      <x:c r="C17" s="13" t="str">
        <x:v>Link process state to accepted field service without output substitution</x:v>
      </x:c>
      <x:c r="D17" s="28" t="n">
        <x:v>5</x:v>
      </x:c>
      <x:c r="E17" s="13" t="str">
        <x:v>Existing sovereign technical account</x:v>
      </x:c>
    </x:row>
    <x:row r="18">
      <x:c r="A18" s="13" t="str">
        <x:v>Self-forming standards</x:v>
      </x:c>
      <x:c r="B18" s="13" t="str">
        <x:v>Evidence-driven reconfiguration standards</x:v>
      </x:c>
      <x:c r="C18" s="13" t="str">
        <x:v>Update public seams while preserving root-specific mechanism freedom</x:v>
      </x:c>
      <x:c r="D18" s="28" t="n">
        <x:v>5</x:v>
      </x:c>
      <x:c r="E18" s="13" t="str">
        <x:v>Existing sovereign technical account</x:v>
      </x:c>
    </x:row>
    <x:row r="19">
      <x:c r="A19" s="13" t="str">
        <x:v>Adverse-evidence incentives</x:v>
      </x:c>
      <x:c r="B19" s="13" t="str">
        <x:v>Paid destructive recovery trials</x:v>
      </x:c>
      <x:c r="C19" s="13" t="str">
        <x:v>Reward valid negative evidence and return unused scale capital</x:v>
      </x:c>
      <x:c r="D19" s="28" t="n">
        <x:v>5</x:v>
      </x:c>
      <x:c r="E19" s="13" t="str">
        <x:v>Existing sovereign technical account</x:v>
      </x:c>
    </x:row>
    <x:row r="20">
      <x:c r="A20" s="13" t="str">
        <x:v>Rapid recertification</x:v>
      </x:c>
      <x:c r="B20" s="13" t="str">
        <x:v>Continuity-receivership production twin</x:v>
      </x:c>
      <x:c r="C20" s="13" t="str">
        <x:v>Move configuration, tooling and credentials without losing failed history</x:v>
      </x:c>
      <x:c r="D20" s="28" t="n">
        <x:v>4</x:v>
      </x:c>
      <x:c r="E20" s="13" t="str">
        <x:v>Existing sovereign technical account</x:v>
      </x:c>
    </x:row>
    <x:row r="21">
      <x:c r="A21" s="13" t="str">
        <x:v>Regenerative calibration roots</x:v>
      </x:c>
      <x:c r="B21" s="13" t="str">
        <x:v>Reference-factory regeneration</x:v>
      </x:c>
      <x:c r="C21" s="13" t="str">
        <x:v>Rebuild instruments, fixtures and signing roots after compound loss</x:v>
      </x:c>
      <x:c r="D21" s="28" t="n">
        <x:v>3</x:v>
      </x:c>
      <x:c r="E21" s="13" t="str">
        <x:v>Existing sovereign technical account</x:v>
      </x:c>
    </x:row>
    <x:row r="22">
      <x:c r="A22" s="52" t="str">
        <x:v>Total</x:v>
      </x:c>
      <x:c r="B22" s="52"/>
      <x:c r="C22" s="52"/>
      <x:c r="D22" s="54" t="n">
        <x:f>SUM(D6:D21)</x:f>
        <x:v>100</x:v>
      </x:c>
      <x:c r="E22" s="52" t="str">
        <x:v>Conserved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E7E6E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62" hidden="0" customWidth="1"/>
    <x:col min="4" max="4" width="18" hidden="0" customWidth="1"/>
    <x:col min="5" max="5" width="18" hidden="0" customWidth="1"/>
    <x:col min="6" max="6" width="12" hidden="0" customWidth="1"/>
  </x:cols>
  <x:sheetData>
    <x:row r="2">
      <x:c r="A2" s="59" t="str">
        <x:v>Terminal audit register</x:v>
      </x:c>
      <x:c r="B2" s="60"/>
      <x:c r="C2" s="60"/>
      <x:c r="D2" s="60"/>
      <x:c r="E2" s="60"/>
      <x:c r="F2" s="60"/>
    </x:row>
    <x:row r="3">
      <x:c r="A3" s="61" t="str">
        <x:v>Every audit must pass. Deliberate mutations are executed and restored before export.</x:v>
      </x:c>
      <x:c r="B3" s="61"/>
      <x:c r="C3" s="61"/>
      <x:c r="D3" s="61"/>
      <x:c r="E3" s="61"/>
      <x:c r="F3" s="61"/>
    </x:row>
    <x:row r="4">
      <x:c r="A4" s="62"/>
      <x:c r="B4" s="62"/>
      <x:c r="C4" s="62"/>
      <x:c r="D4" s="62"/>
      <x:c r="E4" s="62"/>
      <x:c r="F4" s="62"/>
    </x:row>
    <x:row r="5" ht="30" customHeight="1">
      <x:c r="A5" s="9" t="str">
        <x:v>Audit</x:v>
      </x:c>
      <x:c r="B5" s="9" t="str">
        <x:v>Category</x:v>
      </x:c>
      <x:c r="C5" s="9" t="str">
        <x:v>Check</x:v>
      </x:c>
      <x:c r="D5" s="9" t="str">
        <x:v>Observed</x:v>
      </x:c>
      <x:c r="E5" s="9" t="str">
        <x:v>Expected</x:v>
      </x:c>
      <x:c r="F5" s="9" t="str">
        <x:v>Status</x:v>
      </x:c>
    </x:row>
    <x:row r="6">
      <x:c r="A6" s="12" t="str">
        <x:v>G-001</x:v>
      </x:c>
      <x:c r="B6" s="12" t="str">
        <x:v>Structure</x:v>
      </x:c>
      <x:c r="C6" s="12" t="str">
        <x:v>Root count</x:v>
      </x:c>
      <x:c r="D6" s="12" t="n">
        <x:f>COUNTA('Root Units'!$A$6:$A$29)</x:f>
        <x:v>24</x:v>
      </x:c>
      <x:c r="E6" s="12" t="n">
        <x:v>24</x:v>
      </x:c>
      <x:c r="F6" s="12" t="str">
        <x:f>IF(D6=E6,"PASS","FAIL")</x:f>
        <x:v>PASS</x:v>
      </x:c>
    </x:row>
    <x:row r="7">
      <x:c r="A7" s="13" t="str">
        <x:v>G-002</x:v>
      </x:c>
      <x:c r="B7" s="13" t="str">
        <x:v>Structure</x:v>
      </x:c>
      <x:c r="C7" s="13" t="str">
        <x:v>Public cell count</x:v>
      </x:c>
      <x:c r="D7" s="13" t="n">
        <x:f>COUNTA('Cell Capacity'!$A$6:$A$29)</x:f>
        <x:v>24</x:v>
      </x:c>
      <x:c r="E7" s="13" t="n">
        <x:v>24</x:v>
      </x:c>
      <x:c r="F7" s="13" t="str">
        <x:f>IF(D7=E7,"PASS","FAIL")</x:f>
        <x:v>PASS</x:v>
      </x:c>
    </x:row>
    <x:row r="8">
      <x:c r="A8" s="13" t="str">
        <x:v>G-003</x:v>
      </x:c>
      <x:c r="B8" s="13" t="str">
        <x:v>Structure</x:v>
      </x:c>
      <x:c r="C8" s="13" t="str">
        <x:v>Public path count</x:v>
      </x:c>
      <x:c r="D8" s="13" t="n">
        <x:f>COUNTA('Public Paths'!$A$6:$A$53)</x:f>
        <x:v>48</x:v>
      </x:c>
      <x:c r="E8" s="13" t="n">
        <x:v>48</x:v>
      </x:c>
      <x:c r="F8" s="13" t="str">
        <x:f>IF(D8=E8,"PASS","FAIL")</x:f>
        <x:v>PASS</x:v>
      </x:c>
    </x:row>
    <x:row r="9">
      <x:c r="A9" s="13" t="str">
        <x:v>G-004</x:v>
      </x:c>
      <x:c r="B9" s="13" t="str">
        <x:v>Structure</x:v>
      </x:c>
      <x:c r="C9" s="13" t="str">
        <x:v>Bay count</x:v>
      </x:c>
      <x:c r="D9" s="13" t="n">
        <x:f>COUNTA('Bay Register'!$A$6:$A$149)</x:f>
        <x:v>144</x:v>
      </x:c>
      <x:c r="E9" s="13" t="n">
        <x:v>144</x:v>
      </x:c>
      <x:c r="F9" s="13" t="str">
        <x:f>IF(D9=E9,"PASS","FAIL")</x:f>
        <x:v>PASS</x:v>
      </x:c>
    </x:row>
    <x:row r="10">
      <x:c r="A10" s="13" t="str">
        <x:v>G-005</x:v>
      </x:c>
      <x:c r="B10" s="13" t="str">
        <x:v>Architecture</x:v>
      </x:c>
      <x:c r="C10" s="13" t="str">
        <x:v>Selected architecture passes every gate</x:v>
      </x:c>
      <x:c r="D10" s="13" t="n">
        <x:f>'Architecture Gates'!N10</x:f>
        <x:v>12</x:v>
      </x:c>
      <x:c r="E10" s="13" t="n">
        <x:v>12</x:v>
      </x:c>
      <x:c r="F10" s="13" t="str">
        <x:f>IF(D10=E10,"PASS","FAIL")</x:f>
        <x:v>PASS</x:v>
      </x:c>
    </x:row>
    <x:row r="11">
      <x:c r="A11" s="13" t="str">
        <x:v>G-006</x:v>
      </x:c>
      <x:c r="B11" s="13" t="str">
        <x:v>Architecture</x:v>
      </x:c>
      <x:c r="C11" s="13" t="str">
        <x:v>Exact twin factory fails fiscal gate</x:v>
      </x:c>
      <x:c r="D11" s="13" t="n">
        <x:f>'Architecture Gates'!N9</x:f>
        <x:v>11</x:v>
      </x:c>
      <x:c r="E11" s="13" t="n">
        <x:v>11</x:v>
      </x:c>
      <x:c r="F11" s="13" t="str">
        <x:f>IF(D11=E11,"PASS","FAIL")</x:f>
        <x:v>PASS</x:v>
      </x:c>
    </x:row>
    <x:row r="12">
      <x:c r="A12" s="13" t="str">
        <x:v>G-007</x:v>
      </x:c>
      <x:c r="B12" s="13" t="str">
        <x:v>Finance</x:v>
      </x:c>
      <x:c r="C12" s="13" t="str">
        <x:v>Public estate conserved</x:v>
      </x:c>
      <x:c r="D12" s="13" t="n">
        <x:f>'Capital Plan'!F15</x:f>
        <x:v>250</x:v>
      </x:c>
      <x:c r="E12" s="13" t="n">
        <x:v>250</x:v>
      </x:c>
      <x:c r="F12" s="13" t="str">
        <x:f>IF(D12=E12,"PASS","FAIL")</x:f>
        <x:v>PASS</x:v>
      </x:c>
    </x:row>
    <x:row r="13">
      <x:c r="A13" s="13" t="str">
        <x:v>G-008</x:v>
      </x:c>
      <x:c r="B13" s="13" t="str">
        <x:v>Finance</x:v>
      </x:c>
      <x:c r="C13" s="13" t="str">
        <x:v>Wave schedule conserved</x:v>
      </x:c>
      <x:c r="D13" s="13" t="n">
        <x:f>'Wave Schedule'!G15</x:f>
        <x:v>250</x:v>
      </x:c>
      <x:c r="E13" s="13" t="n">
        <x:v>250</x:v>
      </x:c>
      <x:c r="F13" s="13" t="str">
        <x:f>IF(D13=E13,"PASS","FAIL")</x:f>
        <x:v>PASS</x:v>
      </x:c>
    </x:row>
    <x:row r="14">
      <x:c r="A14" s="13" t="str">
        <x:v>G-009</x:v>
      </x:c>
      <x:c r="B14" s="13" t="str">
        <x:v>Finance</x:v>
      </x:c>
      <x:c r="C14" s="13" t="str">
        <x:v>Capital and wave views reconcile</x:v>
      </x:c>
      <x:c r="D14" s="13" t="n">
        <x:f>'Wave Schedule'!I15</x:f>
        <x:v>0</x:v>
      </x:c>
      <x:c r="E14" s="13" t="n">
        <x:v>0</x:v>
      </x:c>
      <x:c r="F14" s="13" t="str">
        <x:f>IF(D14=E14,"PASS","FAIL")</x:f>
        <x:v>PASS</x:v>
      </x:c>
    </x:row>
    <x:row r="15">
      <x:c r="A15" s="13" t="str">
        <x:v>G-010</x:v>
      </x:c>
      <x:c r="B15" s="13" t="str">
        <x:v>Finance</x:v>
      </x:c>
      <x:c r="C15" s="13" t="str">
        <x:v>Sovereign technology authority conserved</x:v>
      </x:c>
      <x:c r="D15" s="13" t="n">
        <x:f>'Innovation Program'!D22</x:f>
        <x:v>100</x:v>
      </x:c>
      <x:c r="E15" s="13" t="n">
        <x:v>100</x:v>
      </x:c>
      <x:c r="F15" s="13" t="str">
        <x:f>IF(D15=E15,"PASS","FAIL")</x:f>
        <x:v>PASS</x:v>
      </x:c>
    </x:row>
    <x:row r="16">
      <x:c r="A16" s="13" t="str">
        <x:v>G-011</x:v>
      </x:c>
      <x:c r="B16" s="13" t="str">
        <x:v>Contract</x:v>
      </x:c>
      <x:c r="C16" s="13" t="str">
        <x:v>Public first unit at or below 240 days</x:v>
      </x:c>
      <x:c r="D16" s="13" t="b">
        <x:f>Controls!B23&lt;=240</x:f>
        <x:v>1</x:v>
      </x:c>
      <x:c r="E16" s="58" t="b">
        <x:v>1</x:v>
      </x:c>
      <x:c r="F16" s="13" t="str">
        <x:f>IF(D16=E16,"PASS","FAIL")</x:f>
        <x:v>PASS</x:v>
      </x:c>
    </x:row>
    <x:row r="17">
      <x:c r="A17" s="13" t="str">
        <x:v>G-012</x:v>
      </x:c>
      <x:c r="B17" s="13" t="str">
        <x:v>Contract</x:v>
      </x:c>
      <x:c r="C17" s="13" t="str">
        <x:v>Private first unit at or below 120 days</x:v>
      </x:c>
      <x:c r="D17" s="13" t="b">
        <x:f>Controls!B19&lt;=120</x:f>
        <x:v>1</x:v>
      </x:c>
      <x:c r="E17" s="58" t="b">
        <x:v>1</x:v>
      </x:c>
      <x:c r="F17" s="13" t="str">
        <x:f>IF(D17=E17,"PASS","FAIL")</x:f>
        <x:v>PASS</x:v>
      </x:c>
    </x:row>
    <x:row r="18">
      <x:c r="A18" s="13" t="str">
        <x:v>G-013</x:v>
      </x:c>
      <x:c r="B18" s="13" t="str">
        <x:v>Contract</x:v>
      </x:c>
      <x:c r="C18" s="13" t="str">
        <x:v>Public year-one units at least two</x:v>
      </x:c>
      <x:c r="D18" s="13" t="b">
        <x:f>Controls!B24&gt;=2</x:f>
        <x:v>1</x:v>
      </x:c>
      <x:c r="E18" s="58" t="b">
        <x:v>1</x:v>
      </x:c>
      <x:c r="F18" s="13" t="str">
        <x:f>IF(D18=E18,"PASS","FAIL")</x:f>
        <x:v>PASS</x:v>
      </x:c>
    </x:row>
    <x:row r="19">
      <x:c r="A19" s="13" t="str">
        <x:v>G-014</x:v>
      </x:c>
      <x:c r="B19" s="13" t="str">
        <x:v>Contract</x:v>
      </x:c>
      <x:c r="C19" s="13" t="str">
        <x:v>Private year-one units at least three</x:v>
      </x:c>
      <x:c r="D19" s="13" t="b">
        <x:f>Controls!B20&gt;=3</x:f>
        <x:v>1</x:v>
      </x:c>
      <x:c r="E19" s="58" t="b">
        <x:v>1</x:v>
      </x:c>
      <x:c r="F19" s="13" t="str">
        <x:f>IF(D19=E19,"PASS","FAIL")</x:f>
        <x:v>PASS</x:v>
      </x:c>
    </x:row>
    <x:row r="20">
      <x:c r="A20" s="13" t="str">
        <x:v>G-015</x:v>
      </x:c>
      <x:c r="B20" s="13" t="str">
        <x:v>Contract</x:v>
      </x:c>
      <x:c r="C20" s="13" t="str">
        <x:v>Workforce denial at least twenty-five percent</x:v>
      </x:c>
      <x:c r="D20" s="13" t="b">
        <x:f>Controls!B16&gt;=0.25</x:f>
        <x:v>1</x:v>
      </x:c>
      <x:c r="E20" s="58" t="b">
        <x:v>1</x:v>
      </x:c>
      <x:c r="F20" s="13" t="str">
        <x:f>IF(D20=E20,"PASS","FAIL")</x:f>
        <x:v>PASS</x:v>
      </x:c>
    </x:row>
    <x:row r="21">
      <x:c r="A21" s="13" t="str">
        <x:v>G-016</x:v>
      </x:c>
      <x:c r="B21" s="13" t="str">
        <x:v>Contract</x:v>
      </x:c>
      <x:c r="C21" s="13" t="str">
        <x:v>Two public paths per root</x:v>
      </x:c>
      <x:c r="D21" s="13" t="b">
        <x:f>Controls!B12=2</x:f>
        <x:v>1</x:v>
      </x:c>
      <x:c r="E21" s="58" t="b">
        <x:v>1</x:v>
      </x:c>
      <x:c r="F21" s="13" t="str">
        <x:f>IF(D21=E21,"PASS","FAIL")</x:f>
        <x:v>PASS</x:v>
      </x:c>
    </x:row>
    <x:row r="22">
      <x:c r="A22" s="13" t="str">
        <x:v>G-017</x:v>
      </x:c>
      <x:c r="B22" s="13" t="str">
        <x:v>Contract</x:v>
      </x:c>
      <x:c r="C22" s="13" t="str">
        <x:v>One public cell loss per root</x:v>
      </x:c>
      <x:c r="D22" s="13" t="b">
        <x:f>Controls!B32=1</x:f>
        <x:v>1</x:v>
      </x:c>
      <x:c r="E22" s="58" t="b">
        <x:v>1</x:v>
      </x:c>
      <x:c r="F22" s="13" t="str">
        <x:f>IF(D22=E22,"PASS","FAIL")</x:f>
        <x:v>PASS</x:v>
      </x:c>
    </x:row>
    <x:row r="23">
      <x:c r="A23" s="13" t="str">
        <x:v>G-018</x:v>
      </x:c>
      <x:c r="B23" s="13" t="str">
        <x:v>Contract</x:v>
      </x:c>
      <x:c r="C23" s="13" t="str">
        <x:v>One decisive supplier loss per root</x:v>
      </x:c>
      <x:c r="D23" s="13" t="b">
        <x:f>Controls!B33=1</x:f>
        <x:v>1</x:v>
      </x:c>
      <x:c r="E23" s="58" t="b">
        <x:v>1</x:v>
      </x:c>
      <x:c r="F23" s="13" t="str">
        <x:f>IF(D23=E23,"PASS","FAIL")</x:f>
        <x:v>PASS</x:v>
      </x:c>
    </x:row>
    <x:row r="24">
      <x:c r="A24" s="13" t="str">
        <x:v>G-019</x:v>
      </x:c>
      <x:c r="B24" s="13" t="str">
        <x:v>Contract</x:v>
      </x:c>
      <x:c r="C24" s="13" t="str">
        <x:v>One bay loss per cell</x:v>
      </x:c>
      <x:c r="D24" s="13" t="b">
        <x:f>Controls!B34=1</x:f>
        <x:v>1</x:v>
      </x:c>
      <x:c r="E24" s="58" t="b">
        <x:v>1</x:v>
      </x:c>
      <x:c r="F24" s="13" t="str">
        <x:f>IF(D24=E24,"PASS","FAIL")</x:f>
        <x:v>PASS</x:v>
      </x:c>
    </x:row>
    <x:row r="25">
      <x:c r="A25" s="13" t="str">
        <x:v>G-020</x:v>
      </x:c>
      <x:c r="B25" s="13" t="str">
        <x:v>Cohort</x:v>
      </x:c>
      <x:c r="C25" s="13" t="str">
        <x:v>Exact cohort count</x:v>
      </x:c>
      <x:c r="D25" s="13" t="n">
        <x:f>'Cohort Envelope'!B15</x:f>
        <x:v>4096</x:v>
      </x:c>
      <x:c r="E25" s="13" t="n">
        <x:v>4096</x:v>
      </x:c>
      <x:c r="F25" s="13" t="str">
        <x:f>IF(D25=E25,"PASS","FAIL")</x:f>
        <x:v>PASS</x:v>
      </x:c>
    </x:row>
    <x:row r="26">
      <x:c r="A26" s="13" t="str">
        <x:v>RU-TE-A-01</x:v>
      </x:c>
      <x:c r="B26" s="13" t="str">
        <x:v>Root unit</x:v>
      </x:c>
      <x:c r="C26" s="13" t="str">
        <x:v>TE-A dry mass positive</x:v>
      </x:c>
      <x:c r="D26" s="13" t="b">
        <x:f>'Root Units'!E6&gt;0</x:f>
        <x:v>1</x:v>
      </x:c>
      <x:c r="E26" s="58" t="b">
        <x:v>1</x:v>
      </x:c>
      <x:c r="F26" s="13" t="str">
        <x:f>IF(D26=E26,"PASS","FAIL")</x:f>
        <x:v>PASS</x:v>
      </x:c>
    </x:row>
    <x:row r="27">
      <x:c r="A27" s="13" t="str">
        <x:v>RU-TE-A-02</x:v>
      </x:c>
      <x:c r="B27" s="13" t="str">
        <x:v>Root unit</x:v>
      </x:c>
      <x:c r="C27" s="13" t="str">
        <x:v>TE-A positions unchanged</x:v>
      </x:c>
      <x:c r="D27" s="13" t="b">
        <x:f>'Root Units'!D6=17</x:f>
        <x:v>1</x:v>
      </x:c>
      <x:c r="E27" s="58" t="b">
        <x:v>1</x:v>
      </x:c>
      <x:c r="F27" s="13" t="str">
        <x:f>IF(D27=E27,"PASS","FAIL")</x:f>
        <x:v>PASS</x:v>
      </x:c>
    </x:row>
    <x:row r="28">
      <x:c r="A28" s="13" t="str">
        <x:v>RU-TE-A-03</x:v>
      </x:c>
      <x:c r="B28" s="13" t="str">
        <x:v>Root unit</x:v>
      </x:c>
      <x:c r="C28" s="13" t="str">
        <x:v>TE-A labor intensity positive</x:v>
      </x:c>
      <x:c r="D28" s="13" t="b">
        <x:f>'Root Units'!F6&gt;0</x:f>
        <x:v>1</x:v>
      </x:c>
      <x:c r="E28" s="58" t="b">
        <x:v>1</x:v>
      </x:c>
      <x:c r="F28" s="13" t="str">
        <x:f>IF(D28=E28,"PASS","FAIL")</x:f>
        <x:v>PASS</x:v>
      </x:c>
    </x:row>
    <x:row r="29">
      <x:c r="A29" s="13" t="str">
        <x:v>RU-TE-A-04</x:v>
      </x:c>
      <x:c r="B29" s="13" t="str">
        <x:v>Root unit</x:v>
      </x:c>
      <x:c r="C29" s="13" t="str">
        <x:v>TE-A process energy positive</x:v>
      </x:c>
      <x:c r="D29" s="13" t="b">
        <x:f>'Root Units'!G6&gt;0</x:f>
        <x:v>1</x:v>
      </x:c>
      <x:c r="E29" s="58" t="b">
        <x:v>1</x:v>
      </x:c>
      <x:c r="F29" s="13" t="str">
        <x:f>IF(D29=E29,"PASS","FAIL")</x:f>
        <x:v>PASS</x:v>
      </x:c>
    </x:row>
    <x:row r="30">
      <x:c r="A30" s="13" t="str">
        <x:v>RU-TE-A-05</x:v>
      </x:c>
      <x:c r="B30" s="13" t="str">
        <x:v>Root unit</x:v>
      </x:c>
      <x:c r="C30" s="13" t="str">
        <x:v>TE-A public rate formula</x:v>
      </x:c>
      <x:c r="D30" s="13" t="b">
        <x:f>ABS('Root Units'!H6-'Root Units'!E6*Controls!$B$24/365)&lt;0.000001</x:f>
        <x:v>1</x:v>
      </x:c>
      <x:c r="E30" s="58" t="b">
        <x:v>1</x:v>
      </x:c>
      <x:c r="F30" s="13" t="str">
        <x:f>IF(D30=E30,"PASS","FAIL")</x:f>
        <x:v>PASS</x:v>
      </x:c>
    </x:row>
    <x:row r="31">
      <x:c r="A31" s="13" t="str">
        <x:v>RU-TE-A-06</x:v>
      </x:c>
      <x:c r="B31" s="13" t="str">
        <x:v>Root unit</x:v>
      </x:c>
      <x:c r="C31" s="13" t="str">
        <x:v>TE-A private rate formula</x:v>
      </x:c>
      <x:c r="D31" s="13" t="b">
        <x:f>ABS('Root Units'!I6-MAX('Root Units'!E6/Controls!$B$19,'Root Units'!E6*Controls!$B$20/365))&lt;0.000001</x:f>
        <x:v>1</x:v>
      </x:c>
      <x:c r="E31" s="58" t="b">
        <x:v>1</x:v>
      </x:c>
      <x:c r="F31" s="13" t="str">
        <x:f>IF(D31=E31,"PASS","FAIL")</x:f>
        <x:v>PASS</x:v>
      </x:c>
    </x:row>
    <x:row r="32">
      <x:c r="A32" s="13" t="str">
        <x:v>RU-TE-B-01</x:v>
      </x:c>
      <x:c r="B32" s="13" t="str">
        <x:v>Root unit</x:v>
      </x:c>
      <x:c r="C32" s="13" t="str">
        <x:v>TE-B dry mass positive</x:v>
      </x:c>
      <x:c r="D32" s="13" t="b">
        <x:f>'Root Units'!E7&gt;0</x:f>
        <x:v>1</x:v>
      </x:c>
      <x:c r="E32" s="58" t="b">
        <x:v>1</x:v>
      </x:c>
      <x:c r="F32" s="13" t="str">
        <x:f>IF(D32=E32,"PASS","FAIL")</x:f>
        <x:v>PASS</x:v>
      </x:c>
    </x:row>
    <x:row r="33">
      <x:c r="A33" s="13" t="str">
        <x:v>RU-TE-B-02</x:v>
      </x:c>
      <x:c r="B33" s="13" t="str">
        <x:v>Root unit</x:v>
      </x:c>
      <x:c r="C33" s="13" t="str">
        <x:v>TE-B positions unchanged</x:v>
      </x:c>
      <x:c r="D33" s="13" t="b">
        <x:f>'Root Units'!D7=17</x:f>
        <x:v>1</x:v>
      </x:c>
      <x:c r="E33" s="58" t="b">
        <x:v>1</x:v>
      </x:c>
      <x:c r="F33" s="13" t="str">
        <x:f>IF(D33=E33,"PASS","FAIL")</x:f>
        <x:v>PASS</x:v>
      </x:c>
    </x:row>
    <x:row r="34">
      <x:c r="A34" s="13" t="str">
        <x:v>RU-TE-B-03</x:v>
      </x:c>
      <x:c r="B34" s="13" t="str">
        <x:v>Root unit</x:v>
      </x:c>
      <x:c r="C34" s="13" t="str">
        <x:v>TE-B labor intensity positive</x:v>
      </x:c>
      <x:c r="D34" s="13" t="b">
        <x:f>'Root Units'!F7&gt;0</x:f>
        <x:v>1</x:v>
      </x:c>
      <x:c r="E34" s="58" t="b">
        <x:v>1</x:v>
      </x:c>
      <x:c r="F34" s="13" t="str">
        <x:f>IF(D34=E34,"PASS","FAIL")</x:f>
        <x:v>PASS</x:v>
      </x:c>
    </x:row>
    <x:row r="35">
      <x:c r="A35" s="13" t="str">
        <x:v>RU-TE-B-04</x:v>
      </x:c>
      <x:c r="B35" s="13" t="str">
        <x:v>Root unit</x:v>
      </x:c>
      <x:c r="C35" s="13" t="str">
        <x:v>TE-B process energy positive</x:v>
      </x:c>
      <x:c r="D35" s="13" t="b">
        <x:f>'Root Units'!G7&gt;0</x:f>
        <x:v>1</x:v>
      </x:c>
      <x:c r="E35" s="58" t="b">
        <x:v>1</x:v>
      </x:c>
      <x:c r="F35" s="13" t="str">
        <x:f>IF(D35=E35,"PASS","FAIL")</x:f>
        <x:v>PASS</x:v>
      </x:c>
    </x:row>
    <x:row r="36">
      <x:c r="A36" s="13" t="str">
        <x:v>RU-TE-B-05</x:v>
      </x:c>
      <x:c r="B36" s="13" t="str">
        <x:v>Root unit</x:v>
      </x:c>
      <x:c r="C36" s="13" t="str">
        <x:v>TE-B public rate formula</x:v>
      </x:c>
      <x:c r="D36" s="13" t="b">
        <x:f>ABS('Root Units'!H7-'Root Units'!E7*Controls!$B$24/365)&lt;0.000001</x:f>
        <x:v>1</x:v>
      </x:c>
      <x:c r="E36" s="58" t="b">
        <x:v>1</x:v>
      </x:c>
      <x:c r="F36" s="13" t="str">
        <x:f>IF(D36=E36,"PASS","FAIL")</x:f>
        <x:v>PASS</x:v>
      </x:c>
    </x:row>
    <x:row r="37">
      <x:c r="A37" s="13" t="str">
        <x:v>RU-TE-B-06</x:v>
      </x:c>
      <x:c r="B37" s="13" t="str">
        <x:v>Root unit</x:v>
      </x:c>
      <x:c r="C37" s="13" t="str">
        <x:v>TE-B private rate formula</x:v>
      </x:c>
      <x:c r="D37" s="13" t="b">
        <x:f>ABS('Root Units'!I7-MAX('Root Units'!E7/Controls!$B$19,'Root Units'!E7*Controls!$B$20/365))&lt;0.000001</x:f>
        <x:v>1</x:v>
      </x:c>
      <x:c r="E37" s="58" t="b">
        <x:v>1</x:v>
      </x:c>
      <x:c r="F37" s="13" t="str">
        <x:f>IF(D37=E37,"PASS","FAIL")</x:f>
        <x:v>PASS</x:v>
      </x:c>
    </x:row>
    <x:row r="38">
      <x:c r="A38" s="13" t="str">
        <x:v>RU-TE-C-01</x:v>
      </x:c>
      <x:c r="B38" s="13" t="str">
        <x:v>Root unit</x:v>
      </x:c>
      <x:c r="C38" s="13" t="str">
        <x:v>TE-C dry mass positive</x:v>
      </x:c>
      <x:c r="D38" s="13" t="b">
        <x:f>'Root Units'!E8&gt;0</x:f>
        <x:v>1</x:v>
      </x:c>
      <x:c r="E38" s="58" t="b">
        <x:v>1</x:v>
      </x:c>
      <x:c r="F38" s="13" t="str">
        <x:f>IF(D38=E38,"PASS","FAIL")</x:f>
        <x:v>PASS</x:v>
      </x:c>
    </x:row>
    <x:row r="39">
      <x:c r="A39" s="13" t="str">
        <x:v>RU-TE-C-02</x:v>
      </x:c>
      <x:c r="B39" s="13" t="str">
        <x:v>Root unit</x:v>
      </x:c>
      <x:c r="C39" s="13" t="str">
        <x:v>TE-C positions unchanged</x:v>
      </x:c>
      <x:c r="D39" s="13" t="b">
        <x:f>'Root Units'!D8=17</x:f>
        <x:v>1</x:v>
      </x:c>
      <x:c r="E39" s="58" t="b">
        <x:v>1</x:v>
      </x:c>
      <x:c r="F39" s="13" t="str">
        <x:f>IF(D39=E39,"PASS","FAIL")</x:f>
        <x:v>PASS</x:v>
      </x:c>
    </x:row>
    <x:row r="40">
      <x:c r="A40" s="13" t="str">
        <x:v>RU-TE-C-03</x:v>
      </x:c>
      <x:c r="B40" s="13" t="str">
        <x:v>Root unit</x:v>
      </x:c>
      <x:c r="C40" s="13" t="str">
        <x:v>TE-C labor intensity positive</x:v>
      </x:c>
      <x:c r="D40" s="13" t="b">
        <x:f>'Root Units'!F8&gt;0</x:f>
        <x:v>1</x:v>
      </x:c>
      <x:c r="E40" s="58" t="b">
        <x:v>1</x:v>
      </x:c>
      <x:c r="F40" s="13" t="str">
        <x:f>IF(D40=E40,"PASS","FAIL")</x:f>
        <x:v>PASS</x:v>
      </x:c>
    </x:row>
    <x:row r="41">
      <x:c r="A41" s="13" t="str">
        <x:v>RU-TE-C-04</x:v>
      </x:c>
      <x:c r="B41" s="13" t="str">
        <x:v>Root unit</x:v>
      </x:c>
      <x:c r="C41" s="13" t="str">
        <x:v>TE-C process energy positive</x:v>
      </x:c>
      <x:c r="D41" s="13" t="b">
        <x:f>'Root Units'!G8&gt;0</x:f>
        <x:v>1</x:v>
      </x:c>
      <x:c r="E41" s="58" t="b">
        <x:v>1</x:v>
      </x:c>
      <x:c r="F41" s="13" t="str">
        <x:f>IF(D41=E41,"PASS","FAIL")</x:f>
        <x:v>PASS</x:v>
      </x:c>
    </x:row>
    <x:row r="42">
      <x:c r="A42" s="13" t="str">
        <x:v>RU-TE-C-05</x:v>
      </x:c>
      <x:c r="B42" s="13" t="str">
        <x:v>Root unit</x:v>
      </x:c>
      <x:c r="C42" s="13" t="str">
        <x:v>TE-C public rate formula</x:v>
      </x:c>
      <x:c r="D42" s="13" t="b">
        <x:f>ABS('Root Units'!H8-'Root Units'!E8*Controls!$B$24/365)&lt;0.000001</x:f>
        <x:v>1</x:v>
      </x:c>
      <x:c r="E42" s="58" t="b">
        <x:v>1</x:v>
      </x:c>
      <x:c r="F42" s="13" t="str">
        <x:f>IF(D42=E42,"PASS","FAIL")</x:f>
        <x:v>PASS</x:v>
      </x:c>
    </x:row>
    <x:row r="43">
      <x:c r="A43" s="13" t="str">
        <x:v>RU-TE-C-06</x:v>
      </x:c>
      <x:c r="B43" s="13" t="str">
        <x:v>Root unit</x:v>
      </x:c>
      <x:c r="C43" s="13" t="str">
        <x:v>TE-C private rate formula</x:v>
      </x:c>
      <x:c r="D43" s="13" t="b">
        <x:f>ABS('Root Units'!I8-MAX('Root Units'!E8/Controls!$B$19,'Root Units'!E8*Controls!$B$20/365))&lt;0.000001</x:f>
        <x:v>1</x:v>
      </x:c>
      <x:c r="E43" s="58" t="b">
        <x:v>1</x:v>
      </x:c>
      <x:c r="F43" s="13" t="str">
        <x:f>IF(D43=E43,"PASS","FAIL")</x:f>
        <x:v>PASS</x:v>
      </x:c>
    </x:row>
    <x:row r="44">
      <x:c r="A44" s="13" t="str">
        <x:v>RU-TE-D-01</x:v>
      </x:c>
      <x:c r="B44" s="13" t="str">
        <x:v>Root unit</x:v>
      </x:c>
      <x:c r="C44" s="13" t="str">
        <x:v>TE-D dry mass positive</x:v>
      </x:c>
      <x:c r="D44" s="13" t="b">
        <x:f>'Root Units'!E9&gt;0</x:f>
        <x:v>1</x:v>
      </x:c>
      <x:c r="E44" s="58" t="b">
        <x:v>1</x:v>
      </x:c>
      <x:c r="F44" s="13" t="str">
        <x:f>IF(D44=E44,"PASS","FAIL")</x:f>
        <x:v>PASS</x:v>
      </x:c>
    </x:row>
    <x:row r="45">
      <x:c r="A45" s="13" t="str">
        <x:v>RU-TE-D-02</x:v>
      </x:c>
      <x:c r="B45" s="13" t="str">
        <x:v>Root unit</x:v>
      </x:c>
      <x:c r="C45" s="13" t="str">
        <x:v>TE-D positions unchanged</x:v>
      </x:c>
      <x:c r="D45" s="13" t="b">
        <x:f>'Root Units'!D9=17</x:f>
        <x:v>1</x:v>
      </x:c>
      <x:c r="E45" s="58" t="b">
        <x:v>1</x:v>
      </x:c>
      <x:c r="F45" s="13" t="str">
        <x:f>IF(D45=E45,"PASS","FAIL")</x:f>
        <x:v>PASS</x:v>
      </x:c>
    </x:row>
    <x:row r="46">
      <x:c r="A46" s="13" t="str">
        <x:v>RU-TE-D-03</x:v>
      </x:c>
      <x:c r="B46" s="13" t="str">
        <x:v>Root unit</x:v>
      </x:c>
      <x:c r="C46" s="13" t="str">
        <x:v>TE-D labor intensity positive</x:v>
      </x:c>
      <x:c r="D46" s="13" t="b">
        <x:f>'Root Units'!F9&gt;0</x:f>
        <x:v>1</x:v>
      </x:c>
      <x:c r="E46" s="58" t="b">
        <x:v>1</x:v>
      </x:c>
      <x:c r="F46" s="13" t="str">
        <x:f>IF(D46=E46,"PASS","FAIL")</x:f>
        <x:v>PASS</x:v>
      </x:c>
    </x:row>
    <x:row r="47">
      <x:c r="A47" s="13" t="str">
        <x:v>RU-TE-D-04</x:v>
      </x:c>
      <x:c r="B47" s="13" t="str">
        <x:v>Root unit</x:v>
      </x:c>
      <x:c r="C47" s="13" t="str">
        <x:v>TE-D process energy positive</x:v>
      </x:c>
      <x:c r="D47" s="13" t="b">
        <x:f>'Root Units'!G9&gt;0</x:f>
        <x:v>1</x:v>
      </x:c>
      <x:c r="E47" s="58" t="b">
        <x:v>1</x:v>
      </x:c>
      <x:c r="F47" s="13" t="str">
        <x:f>IF(D47=E47,"PASS","FAIL")</x:f>
        <x:v>PASS</x:v>
      </x:c>
    </x:row>
    <x:row r="48">
      <x:c r="A48" s="13" t="str">
        <x:v>RU-TE-D-05</x:v>
      </x:c>
      <x:c r="B48" s="13" t="str">
        <x:v>Root unit</x:v>
      </x:c>
      <x:c r="C48" s="13" t="str">
        <x:v>TE-D public rate formula</x:v>
      </x:c>
      <x:c r="D48" s="13" t="b">
        <x:f>ABS('Root Units'!H9-'Root Units'!E9*Controls!$B$24/365)&lt;0.000001</x:f>
        <x:v>1</x:v>
      </x:c>
      <x:c r="E48" s="58" t="b">
        <x:v>1</x:v>
      </x:c>
      <x:c r="F48" s="13" t="str">
        <x:f>IF(D48=E48,"PASS","FAIL")</x:f>
        <x:v>PASS</x:v>
      </x:c>
    </x:row>
    <x:row r="49">
      <x:c r="A49" s="13" t="str">
        <x:v>RU-TE-D-06</x:v>
      </x:c>
      <x:c r="B49" s="13" t="str">
        <x:v>Root unit</x:v>
      </x:c>
      <x:c r="C49" s="13" t="str">
        <x:v>TE-D private rate formula</x:v>
      </x:c>
      <x:c r="D49" s="13" t="b">
        <x:f>ABS('Root Units'!I9-MAX('Root Units'!E9/Controls!$B$19,'Root Units'!E9*Controls!$B$20/365))&lt;0.000001</x:f>
        <x:v>1</x:v>
      </x:c>
      <x:c r="E49" s="58" t="b">
        <x:v>1</x:v>
      </x:c>
      <x:c r="F49" s="13" t="str">
        <x:f>IF(D49=E49,"PASS","FAIL")</x:f>
        <x:v>PASS</x:v>
      </x:c>
    </x:row>
    <x:row r="50">
      <x:c r="A50" s="13" t="str">
        <x:v>RU-CT-A-01</x:v>
      </x:c>
      <x:c r="B50" s="13" t="str">
        <x:v>Root unit</x:v>
      </x:c>
      <x:c r="C50" s="13" t="str">
        <x:v>CT-A dry mass positive</x:v>
      </x:c>
      <x:c r="D50" s="13" t="b">
        <x:f>'Root Units'!E10&gt;0</x:f>
        <x:v>1</x:v>
      </x:c>
      <x:c r="E50" s="58" t="b">
        <x:v>1</x:v>
      </x:c>
      <x:c r="F50" s="13" t="str">
        <x:f>IF(D50=E50,"PASS","FAIL")</x:f>
        <x:v>PASS</x:v>
      </x:c>
    </x:row>
    <x:row r="51">
      <x:c r="A51" s="13" t="str">
        <x:v>RU-CT-A-02</x:v>
      </x:c>
      <x:c r="B51" s="13" t="str">
        <x:v>Root unit</x:v>
      </x:c>
      <x:c r="C51" s="13" t="str">
        <x:v>CT-A positions unchanged</x:v>
      </x:c>
      <x:c r="D51" s="13" t="b">
        <x:f>'Root Units'!D10=14</x:f>
        <x:v>1</x:v>
      </x:c>
      <x:c r="E51" s="58" t="b">
        <x:v>1</x:v>
      </x:c>
      <x:c r="F51" s="13" t="str">
        <x:f>IF(D51=E51,"PASS","FAIL")</x:f>
        <x:v>PASS</x:v>
      </x:c>
    </x:row>
    <x:row r="52">
      <x:c r="A52" s="13" t="str">
        <x:v>RU-CT-A-03</x:v>
      </x:c>
      <x:c r="B52" s="13" t="str">
        <x:v>Root unit</x:v>
      </x:c>
      <x:c r="C52" s="13" t="str">
        <x:v>CT-A labor intensity positive</x:v>
      </x:c>
      <x:c r="D52" s="13" t="b">
        <x:f>'Root Units'!F10&gt;0</x:f>
        <x:v>1</x:v>
      </x:c>
      <x:c r="E52" s="58" t="b">
        <x:v>1</x:v>
      </x:c>
      <x:c r="F52" s="13" t="str">
        <x:f>IF(D52=E52,"PASS","FAIL")</x:f>
        <x:v>PASS</x:v>
      </x:c>
    </x:row>
    <x:row r="53">
      <x:c r="A53" s="13" t="str">
        <x:v>RU-CT-A-04</x:v>
      </x:c>
      <x:c r="B53" s="13" t="str">
        <x:v>Root unit</x:v>
      </x:c>
      <x:c r="C53" s="13" t="str">
        <x:v>CT-A process energy positive</x:v>
      </x:c>
      <x:c r="D53" s="13" t="b">
        <x:f>'Root Units'!G10&gt;0</x:f>
        <x:v>1</x:v>
      </x:c>
      <x:c r="E53" s="58" t="b">
        <x:v>1</x:v>
      </x:c>
      <x:c r="F53" s="13" t="str">
        <x:f>IF(D53=E53,"PASS","FAIL")</x:f>
        <x:v>PASS</x:v>
      </x:c>
    </x:row>
    <x:row r="54">
      <x:c r="A54" s="13" t="str">
        <x:v>RU-CT-A-05</x:v>
      </x:c>
      <x:c r="B54" s="13" t="str">
        <x:v>Root unit</x:v>
      </x:c>
      <x:c r="C54" s="13" t="str">
        <x:v>CT-A public rate formula</x:v>
      </x:c>
      <x:c r="D54" s="13" t="b">
        <x:f>ABS('Root Units'!H10-'Root Units'!E10*Controls!$B$24/365)&lt;0.000001</x:f>
        <x:v>1</x:v>
      </x:c>
      <x:c r="E54" s="58" t="b">
        <x:v>1</x:v>
      </x:c>
      <x:c r="F54" s="13" t="str">
        <x:f>IF(D54=E54,"PASS","FAIL")</x:f>
        <x:v>PASS</x:v>
      </x:c>
    </x:row>
    <x:row r="55">
      <x:c r="A55" s="13" t="str">
        <x:v>RU-CT-A-06</x:v>
      </x:c>
      <x:c r="B55" s="13" t="str">
        <x:v>Root unit</x:v>
      </x:c>
      <x:c r="C55" s="13" t="str">
        <x:v>CT-A private rate formula</x:v>
      </x:c>
      <x:c r="D55" s="13" t="b">
        <x:f>ABS('Root Units'!I10-MAX('Root Units'!E10/Controls!$B$19,'Root Units'!E10*Controls!$B$20/365))&lt;0.000001</x:f>
        <x:v>1</x:v>
      </x:c>
      <x:c r="E55" s="58" t="b">
        <x:v>1</x:v>
      </x:c>
      <x:c r="F55" s="13" t="str">
        <x:f>IF(D55=E55,"PASS","FAIL")</x:f>
        <x:v>PASS</x:v>
      </x:c>
    </x:row>
    <x:row r="56">
      <x:c r="A56" s="13" t="str">
        <x:v>RU-CT-B-01</x:v>
      </x:c>
      <x:c r="B56" s="13" t="str">
        <x:v>Root unit</x:v>
      </x:c>
      <x:c r="C56" s="13" t="str">
        <x:v>CT-B dry mass positive</x:v>
      </x:c>
      <x:c r="D56" s="13" t="b">
        <x:f>'Root Units'!E11&gt;0</x:f>
        <x:v>1</x:v>
      </x:c>
      <x:c r="E56" s="58" t="b">
        <x:v>1</x:v>
      </x:c>
      <x:c r="F56" s="13" t="str">
        <x:f>IF(D56=E56,"PASS","FAIL")</x:f>
        <x:v>PASS</x:v>
      </x:c>
    </x:row>
    <x:row r="57">
      <x:c r="A57" s="13" t="str">
        <x:v>RU-CT-B-02</x:v>
      </x:c>
      <x:c r="B57" s="13" t="str">
        <x:v>Root unit</x:v>
      </x:c>
      <x:c r="C57" s="13" t="str">
        <x:v>CT-B positions unchanged</x:v>
      </x:c>
      <x:c r="D57" s="13" t="b">
        <x:f>'Root Units'!D11=14</x:f>
        <x:v>1</x:v>
      </x:c>
      <x:c r="E57" s="58" t="b">
        <x:v>1</x:v>
      </x:c>
      <x:c r="F57" s="13" t="str">
        <x:f>IF(D57=E57,"PASS","FAIL")</x:f>
        <x:v>PASS</x:v>
      </x:c>
    </x:row>
    <x:row r="58">
      <x:c r="A58" s="13" t="str">
        <x:v>RU-CT-B-03</x:v>
      </x:c>
      <x:c r="B58" s="13" t="str">
        <x:v>Root unit</x:v>
      </x:c>
      <x:c r="C58" s="13" t="str">
        <x:v>CT-B labor intensity positive</x:v>
      </x:c>
      <x:c r="D58" s="13" t="b">
        <x:f>'Root Units'!F11&gt;0</x:f>
        <x:v>1</x:v>
      </x:c>
      <x:c r="E58" s="58" t="b">
        <x:v>1</x:v>
      </x:c>
      <x:c r="F58" s="13" t="str">
        <x:f>IF(D58=E58,"PASS","FAIL")</x:f>
        <x:v>PASS</x:v>
      </x:c>
    </x:row>
    <x:row r="59">
      <x:c r="A59" s="13" t="str">
        <x:v>RU-CT-B-04</x:v>
      </x:c>
      <x:c r="B59" s="13" t="str">
        <x:v>Root unit</x:v>
      </x:c>
      <x:c r="C59" s="13" t="str">
        <x:v>CT-B process energy positive</x:v>
      </x:c>
      <x:c r="D59" s="13" t="b">
        <x:f>'Root Units'!G11&gt;0</x:f>
        <x:v>1</x:v>
      </x:c>
      <x:c r="E59" s="58" t="b">
        <x:v>1</x:v>
      </x:c>
      <x:c r="F59" s="13" t="str">
        <x:f>IF(D59=E59,"PASS","FAIL")</x:f>
        <x:v>PASS</x:v>
      </x:c>
    </x:row>
    <x:row r="60">
      <x:c r="A60" s="13" t="str">
        <x:v>RU-CT-B-05</x:v>
      </x:c>
      <x:c r="B60" s="13" t="str">
        <x:v>Root unit</x:v>
      </x:c>
      <x:c r="C60" s="13" t="str">
        <x:v>CT-B public rate formula</x:v>
      </x:c>
      <x:c r="D60" s="13" t="b">
        <x:f>ABS('Root Units'!H11-'Root Units'!E11*Controls!$B$24/365)&lt;0.000001</x:f>
        <x:v>1</x:v>
      </x:c>
      <x:c r="E60" s="58" t="b">
        <x:v>1</x:v>
      </x:c>
      <x:c r="F60" s="13" t="str">
        <x:f>IF(D60=E60,"PASS","FAIL")</x:f>
        <x:v>PASS</x:v>
      </x:c>
    </x:row>
    <x:row r="61">
      <x:c r="A61" s="13" t="str">
        <x:v>RU-CT-B-06</x:v>
      </x:c>
      <x:c r="B61" s="13" t="str">
        <x:v>Root unit</x:v>
      </x:c>
      <x:c r="C61" s="13" t="str">
        <x:v>CT-B private rate formula</x:v>
      </x:c>
      <x:c r="D61" s="13" t="b">
        <x:f>ABS('Root Units'!I11-MAX('Root Units'!E11/Controls!$B$19,'Root Units'!E11*Controls!$B$20/365))&lt;0.000001</x:f>
        <x:v>1</x:v>
      </x:c>
      <x:c r="E61" s="58" t="b">
        <x:v>1</x:v>
      </x:c>
      <x:c r="F61" s="13" t="str">
        <x:f>IF(D61=E61,"PASS","FAIL")</x:f>
        <x:v>PASS</x:v>
      </x:c>
    </x:row>
    <x:row r="62">
      <x:c r="A62" s="13" t="str">
        <x:v>RU-CT-C-01</x:v>
      </x:c>
      <x:c r="B62" s="13" t="str">
        <x:v>Root unit</x:v>
      </x:c>
      <x:c r="C62" s="13" t="str">
        <x:v>CT-C dry mass positive</x:v>
      </x:c>
      <x:c r="D62" s="13" t="b">
        <x:f>'Root Units'!E12&gt;0</x:f>
        <x:v>1</x:v>
      </x:c>
      <x:c r="E62" s="58" t="b">
        <x:v>1</x:v>
      </x:c>
      <x:c r="F62" s="13" t="str">
        <x:f>IF(D62=E62,"PASS","FAIL")</x:f>
        <x:v>PASS</x:v>
      </x:c>
    </x:row>
    <x:row r="63">
      <x:c r="A63" s="13" t="str">
        <x:v>RU-CT-C-02</x:v>
      </x:c>
      <x:c r="B63" s="13" t="str">
        <x:v>Root unit</x:v>
      </x:c>
      <x:c r="C63" s="13" t="str">
        <x:v>CT-C positions unchanged</x:v>
      </x:c>
      <x:c r="D63" s="13" t="b">
        <x:f>'Root Units'!D12=14</x:f>
        <x:v>1</x:v>
      </x:c>
      <x:c r="E63" s="58" t="b">
        <x:v>1</x:v>
      </x:c>
      <x:c r="F63" s="13" t="str">
        <x:f>IF(D63=E63,"PASS","FAIL")</x:f>
        <x:v>PASS</x:v>
      </x:c>
    </x:row>
    <x:row r="64">
      <x:c r="A64" s="13" t="str">
        <x:v>RU-CT-C-03</x:v>
      </x:c>
      <x:c r="B64" s="13" t="str">
        <x:v>Root unit</x:v>
      </x:c>
      <x:c r="C64" s="13" t="str">
        <x:v>CT-C labor intensity positive</x:v>
      </x:c>
      <x:c r="D64" s="13" t="b">
        <x:f>'Root Units'!F12&gt;0</x:f>
        <x:v>1</x:v>
      </x:c>
      <x:c r="E64" s="58" t="b">
        <x:v>1</x:v>
      </x:c>
      <x:c r="F64" s="13" t="str">
        <x:f>IF(D64=E64,"PASS","FAIL")</x:f>
        <x:v>PASS</x:v>
      </x:c>
    </x:row>
    <x:row r="65">
      <x:c r="A65" s="13" t="str">
        <x:v>RU-CT-C-04</x:v>
      </x:c>
      <x:c r="B65" s="13" t="str">
        <x:v>Root unit</x:v>
      </x:c>
      <x:c r="C65" s="13" t="str">
        <x:v>CT-C process energy positive</x:v>
      </x:c>
      <x:c r="D65" s="13" t="b">
        <x:f>'Root Units'!G12&gt;0</x:f>
        <x:v>1</x:v>
      </x:c>
      <x:c r="E65" s="58" t="b">
        <x:v>1</x:v>
      </x:c>
      <x:c r="F65" s="13" t="str">
        <x:f>IF(D65=E65,"PASS","FAIL")</x:f>
        <x:v>PASS</x:v>
      </x:c>
    </x:row>
    <x:row r="66">
      <x:c r="A66" s="13" t="str">
        <x:v>RU-CT-C-05</x:v>
      </x:c>
      <x:c r="B66" s="13" t="str">
        <x:v>Root unit</x:v>
      </x:c>
      <x:c r="C66" s="13" t="str">
        <x:v>CT-C public rate formula</x:v>
      </x:c>
      <x:c r="D66" s="13" t="b">
        <x:f>ABS('Root Units'!H12-'Root Units'!E12*Controls!$B$24/365)&lt;0.000001</x:f>
        <x:v>1</x:v>
      </x:c>
      <x:c r="E66" s="58" t="b">
        <x:v>1</x:v>
      </x:c>
      <x:c r="F66" s="13" t="str">
        <x:f>IF(D66=E66,"PASS","FAIL")</x:f>
        <x:v>PASS</x:v>
      </x:c>
    </x:row>
    <x:row r="67">
      <x:c r="A67" s="13" t="str">
        <x:v>RU-CT-C-06</x:v>
      </x:c>
      <x:c r="B67" s="13" t="str">
        <x:v>Root unit</x:v>
      </x:c>
      <x:c r="C67" s="13" t="str">
        <x:v>CT-C private rate formula</x:v>
      </x:c>
      <x:c r="D67" s="13" t="b">
        <x:f>ABS('Root Units'!I12-MAX('Root Units'!E12/Controls!$B$19,'Root Units'!E12*Controls!$B$20/365))&lt;0.000001</x:f>
        <x:v>1</x:v>
      </x:c>
      <x:c r="E67" s="58" t="b">
        <x:v>1</x:v>
      </x:c>
      <x:c r="F67" s="13" t="str">
        <x:f>IF(D67=E67,"PASS","FAIL")</x:f>
        <x:v>PASS</x:v>
      </x:c>
    </x:row>
    <x:row r="68">
      <x:c r="A68" s="13" t="str">
        <x:v>RU-CT-D-01</x:v>
      </x:c>
      <x:c r="B68" s="13" t="str">
        <x:v>Root unit</x:v>
      </x:c>
      <x:c r="C68" s="13" t="str">
        <x:v>CT-D dry mass positive</x:v>
      </x:c>
      <x:c r="D68" s="13" t="b">
        <x:f>'Root Units'!E13&gt;0</x:f>
        <x:v>1</x:v>
      </x:c>
      <x:c r="E68" s="58" t="b">
        <x:v>1</x:v>
      </x:c>
      <x:c r="F68" s="13" t="str">
        <x:f>IF(D68=E68,"PASS","FAIL")</x:f>
        <x:v>PASS</x:v>
      </x:c>
    </x:row>
    <x:row r="69">
      <x:c r="A69" s="13" t="str">
        <x:v>RU-CT-D-02</x:v>
      </x:c>
      <x:c r="B69" s="13" t="str">
        <x:v>Root unit</x:v>
      </x:c>
      <x:c r="C69" s="13" t="str">
        <x:v>CT-D positions unchanged</x:v>
      </x:c>
      <x:c r="D69" s="13" t="b">
        <x:f>'Root Units'!D13=14</x:f>
        <x:v>1</x:v>
      </x:c>
      <x:c r="E69" s="58" t="b">
        <x:v>1</x:v>
      </x:c>
      <x:c r="F69" s="13" t="str">
        <x:f>IF(D69=E69,"PASS","FAIL")</x:f>
        <x:v>PASS</x:v>
      </x:c>
    </x:row>
    <x:row r="70">
      <x:c r="A70" s="13" t="str">
        <x:v>RU-CT-D-03</x:v>
      </x:c>
      <x:c r="B70" s="13" t="str">
        <x:v>Root unit</x:v>
      </x:c>
      <x:c r="C70" s="13" t="str">
        <x:v>CT-D labor intensity positive</x:v>
      </x:c>
      <x:c r="D70" s="13" t="b">
        <x:f>'Root Units'!F13&gt;0</x:f>
        <x:v>1</x:v>
      </x:c>
      <x:c r="E70" s="58" t="b">
        <x:v>1</x:v>
      </x:c>
      <x:c r="F70" s="13" t="str">
        <x:f>IF(D70=E70,"PASS","FAIL")</x:f>
        <x:v>PASS</x:v>
      </x:c>
    </x:row>
    <x:row r="71">
      <x:c r="A71" s="13" t="str">
        <x:v>RU-CT-D-04</x:v>
      </x:c>
      <x:c r="B71" s="13" t="str">
        <x:v>Root unit</x:v>
      </x:c>
      <x:c r="C71" s="13" t="str">
        <x:v>CT-D process energy positive</x:v>
      </x:c>
      <x:c r="D71" s="13" t="b">
        <x:f>'Root Units'!G13&gt;0</x:f>
        <x:v>1</x:v>
      </x:c>
      <x:c r="E71" s="58" t="b">
        <x:v>1</x:v>
      </x:c>
      <x:c r="F71" s="13" t="str">
        <x:f>IF(D71=E71,"PASS","FAIL")</x:f>
        <x:v>PASS</x:v>
      </x:c>
    </x:row>
    <x:row r="72">
      <x:c r="A72" s="13" t="str">
        <x:v>RU-CT-D-05</x:v>
      </x:c>
      <x:c r="B72" s="13" t="str">
        <x:v>Root unit</x:v>
      </x:c>
      <x:c r="C72" s="13" t="str">
        <x:v>CT-D public rate formula</x:v>
      </x:c>
      <x:c r="D72" s="13" t="b">
        <x:f>ABS('Root Units'!H13-'Root Units'!E13*Controls!$B$24/365)&lt;0.000001</x:f>
        <x:v>1</x:v>
      </x:c>
      <x:c r="E72" s="58" t="b">
        <x:v>1</x:v>
      </x:c>
      <x:c r="F72" s="13" t="str">
        <x:f>IF(D72=E72,"PASS","FAIL")</x:f>
        <x:v>PASS</x:v>
      </x:c>
    </x:row>
    <x:row r="73">
      <x:c r="A73" s="13" t="str">
        <x:v>RU-CT-D-06</x:v>
      </x:c>
      <x:c r="B73" s="13" t="str">
        <x:v>Root unit</x:v>
      </x:c>
      <x:c r="C73" s="13" t="str">
        <x:v>CT-D private rate formula</x:v>
      </x:c>
      <x:c r="D73" s="13" t="b">
        <x:f>ABS('Root Units'!I13-MAX('Root Units'!E13/Controls!$B$19,'Root Units'!E13*Controls!$B$20/365))&lt;0.000001</x:f>
        <x:v>1</x:v>
      </x:c>
      <x:c r="E73" s="58" t="b">
        <x:v>1</x:v>
      </x:c>
      <x:c r="F73" s="13" t="str">
        <x:f>IF(D73=E73,"PASS","FAIL")</x:f>
        <x:v>PASS</x:v>
      </x:c>
    </x:row>
    <x:row r="74">
      <x:c r="A74" s="13" t="str">
        <x:v>RU-HC-A-01</x:v>
      </x:c>
      <x:c r="B74" s="13" t="str">
        <x:v>Root unit</x:v>
      </x:c>
      <x:c r="C74" s="13" t="str">
        <x:v>HC-A dry mass positive</x:v>
      </x:c>
      <x:c r="D74" s="13" t="b">
        <x:f>'Root Units'!E14&gt;0</x:f>
        <x:v>1</x:v>
      </x:c>
      <x:c r="E74" s="58" t="b">
        <x:v>1</x:v>
      </x:c>
      <x:c r="F74" s="13" t="str">
        <x:f>IF(D74=E74,"PASS","FAIL")</x:f>
        <x:v>PASS</x:v>
      </x:c>
    </x:row>
    <x:row r="75">
      <x:c r="A75" s="13" t="str">
        <x:v>RU-HC-A-02</x:v>
      </x:c>
      <x:c r="B75" s="13" t="str">
        <x:v>Root unit</x:v>
      </x:c>
      <x:c r="C75" s="13" t="str">
        <x:v>HC-A positions unchanged</x:v>
      </x:c>
      <x:c r="D75" s="13" t="b">
        <x:f>'Root Units'!D14=7</x:f>
        <x:v>1</x:v>
      </x:c>
      <x:c r="E75" s="58" t="b">
        <x:v>1</x:v>
      </x:c>
      <x:c r="F75" s="13" t="str">
        <x:f>IF(D75=E75,"PASS","FAIL")</x:f>
        <x:v>PASS</x:v>
      </x:c>
    </x:row>
    <x:row r="76">
      <x:c r="A76" s="13" t="str">
        <x:v>RU-HC-A-03</x:v>
      </x:c>
      <x:c r="B76" s="13" t="str">
        <x:v>Root unit</x:v>
      </x:c>
      <x:c r="C76" s="13" t="str">
        <x:v>HC-A labor intensity positive</x:v>
      </x:c>
      <x:c r="D76" s="13" t="b">
        <x:f>'Root Units'!F14&gt;0</x:f>
        <x:v>1</x:v>
      </x:c>
      <x:c r="E76" s="58" t="b">
        <x:v>1</x:v>
      </x:c>
      <x:c r="F76" s="13" t="str">
        <x:f>IF(D76=E76,"PASS","FAIL")</x:f>
        <x:v>PASS</x:v>
      </x:c>
    </x:row>
    <x:row r="77">
      <x:c r="A77" s="13" t="str">
        <x:v>RU-HC-A-04</x:v>
      </x:c>
      <x:c r="B77" s="13" t="str">
        <x:v>Root unit</x:v>
      </x:c>
      <x:c r="C77" s="13" t="str">
        <x:v>HC-A process energy positive</x:v>
      </x:c>
      <x:c r="D77" s="13" t="b">
        <x:f>'Root Units'!G14&gt;0</x:f>
        <x:v>1</x:v>
      </x:c>
      <x:c r="E77" s="58" t="b">
        <x:v>1</x:v>
      </x:c>
      <x:c r="F77" s="13" t="str">
        <x:f>IF(D77=E77,"PASS","FAIL")</x:f>
        <x:v>PASS</x:v>
      </x:c>
    </x:row>
    <x:row r="78">
      <x:c r="A78" s="13" t="str">
        <x:v>RU-HC-A-05</x:v>
      </x:c>
      <x:c r="B78" s="13" t="str">
        <x:v>Root unit</x:v>
      </x:c>
      <x:c r="C78" s="13" t="str">
        <x:v>HC-A public rate formula</x:v>
      </x:c>
      <x:c r="D78" s="13" t="b">
        <x:f>ABS('Root Units'!H14-'Root Units'!E14*Controls!$B$24/365)&lt;0.000001</x:f>
        <x:v>1</x:v>
      </x:c>
      <x:c r="E78" s="58" t="b">
        <x:v>1</x:v>
      </x:c>
      <x:c r="F78" s="13" t="str">
        <x:f>IF(D78=E78,"PASS","FAIL")</x:f>
        <x:v>PASS</x:v>
      </x:c>
    </x:row>
    <x:row r="79">
      <x:c r="A79" s="13" t="str">
        <x:v>RU-HC-A-06</x:v>
      </x:c>
      <x:c r="B79" s="13" t="str">
        <x:v>Root unit</x:v>
      </x:c>
      <x:c r="C79" s="13" t="str">
        <x:v>HC-A private rate formula</x:v>
      </x:c>
      <x:c r="D79" s="13" t="b">
        <x:f>ABS('Root Units'!I14-MAX('Root Units'!E14/Controls!$B$19,'Root Units'!E14*Controls!$B$20/365))&lt;0.000001</x:f>
        <x:v>1</x:v>
      </x:c>
      <x:c r="E79" s="58" t="b">
        <x:v>1</x:v>
      </x:c>
      <x:c r="F79" s="13" t="str">
        <x:f>IF(D79=E79,"PASS","FAIL")</x:f>
        <x:v>PASS</x:v>
      </x:c>
    </x:row>
    <x:row r="80">
      <x:c r="A80" s="13" t="str">
        <x:v>RU-HC-B-01</x:v>
      </x:c>
      <x:c r="B80" s="13" t="str">
        <x:v>Root unit</x:v>
      </x:c>
      <x:c r="C80" s="13" t="str">
        <x:v>HC-B dry mass positive</x:v>
      </x:c>
      <x:c r="D80" s="13" t="b">
        <x:f>'Root Units'!E15&gt;0</x:f>
        <x:v>1</x:v>
      </x:c>
      <x:c r="E80" s="58" t="b">
        <x:v>1</x:v>
      </x:c>
      <x:c r="F80" s="13" t="str">
        <x:f>IF(D80=E80,"PASS","FAIL")</x:f>
        <x:v>PASS</x:v>
      </x:c>
    </x:row>
    <x:row r="81">
      <x:c r="A81" s="13" t="str">
        <x:v>RU-HC-B-02</x:v>
      </x:c>
      <x:c r="B81" s="13" t="str">
        <x:v>Root unit</x:v>
      </x:c>
      <x:c r="C81" s="13" t="str">
        <x:v>HC-B positions unchanged</x:v>
      </x:c>
      <x:c r="D81" s="13" t="b">
        <x:f>'Root Units'!D15=7</x:f>
        <x:v>1</x:v>
      </x:c>
      <x:c r="E81" s="58" t="b">
        <x:v>1</x:v>
      </x:c>
      <x:c r="F81" s="13" t="str">
        <x:f>IF(D81=E81,"PASS","FAIL")</x:f>
        <x:v>PASS</x:v>
      </x:c>
    </x:row>
    <x:row r="82">
      <x:c r="A82" s="13" t="str">
        <x:v>RU-HC-B-03</x:v>
      </x:c>
      <x:c r="B82" s="13" t="str">
        <x:v>Root unit</x:v>
      </x:c>
      <x:c r="C82" s="13" t="str">
        <x:v>HC-B labor intensity positive</x:v>
      </x:c>
      <x:c r="D82" s="13" t="b">
        <x:f>'Root Units'!F15&gt;0</x:f>
        <x:v>1</x:v>
      </x:c>
      <x:c r="E82" s="58" t="b">
        <x:v>1</x:v>
      </x:c>
      <x:c r="F82" s="13" t="str">
        <x:f>IF(D82=E82,"PASS","FAIL")</x:f>
        <x:v>PASS</x:v>
      </x:c>
    </x:row>
    <x:row r="83">
      <x:c r="A83" s="13" t="str">
        <x:v>RU-HC-B-04</x:v>
      </x:c>
      <x:c r="B83" s="13" t="str">
        <x:v>Root unit</x:v>
      </x:c>
      <x:c r="C83" s="13" t="str">
        <x:v>HC-B process energy positive</x:v>
      </x:c>
      <x:c r="D83" s="13" t="b">
        <x:f>'Root Units'!G15&gt;0</x:f>
        <x:v>1</x:v>
      </x:c>
      <x:c r="E83" s="58" t="b">
        <x:v>1</x:v>
      </x:c>
      <x:c r="F83" s="13" t="str">
        <x:f>IF(D83=E83,"PASS","FAIL")</x:f>
        <x:v>PASS</x:v>
      </x:c>
    </x:row>
    <x:row r="84">
      <x:c r="A84" s="13" t="str">
        <x:v>RU-HC-B-05</x:v>
      </x:c>
      <x:c r="B84" s="13" t="str">
        <x:v>Root unit</x:v>
      </x:c>
      <x:c r="C84" s="13" t="str">
        <x:v>HC-B public rate formula</x:v>
      </x:c>
      <x:c r="D84" s="13" t="b">
        <x:f>ABS('Root Units'!H15-'Root Units'!E15*Controls!$B$24/365)&lt;0.000001</x:f>
        <x:v>1</x:v>
      </x:c>
      <x:c r="E84" s="58" t="b">
        <x:v>1</x:v>
      </x:c>
      <x:c r="F84" s="13" t="str">
        <x:f>IF(D84=E84,"PASS","FAIL")</x:f>
        <x:v>PASS</x:v>
      </x:c>
    </x:row>
    <x:row r="85">
      <x:c r="A85" s="13" t="str">
        <x:v>RU-HC-B-06</x:v>
      </x:c>
      <x:c r="B85" s="13" t="str">
        <x:v>Root unit</x:v>
      </x:c>
      <x:c r="C85" s="13" t="str">
        <x:v>HC-B private rate formula</x:v>
      </x:c>
      <x:c r="D85" s="13" t="b">
        <x:f>ABS('Root Units'!I15-MAX('Root Units'!E15/Controls!$B$19,'Root Units'!E15*Controls!$B$20/365))&lt;0.000001</x:f>
        <x:v>1</x:v>
      </x:c>
      <x:c r="E85" s="58" t="b">
        <x:v>1</x:v>
      </x:c>
      <x:c r="F85" s="13" t="str">
        <x:f>IF(D85=E85,"PASS","FAIL")</x:f>
        <x:v>PASS</x:v>
      </x:c>
    </x:row>
    <x:row r="86">
      <x:c r="A86" s="13" t="str">
        <x:v>RU-HC-C-01</x:v>
      </x:c>
      <x:c r="B86" s="13" t="str">
        <x:v>Root unit</x:v>
      </x:c>
      <x:c r="C86" s="13" t="str">
        <x:v>HC-C dry mass positive</x:v>
      </x:c>
      <x:c r="D86" s="13" t="b">
        <x:f>'Root Units'!E16&gt;0</x:f>
        <x:v>1</x:v>
      </x:c>
      <x:c r="E86" s="58" t="b">
        <x:v>1</x:v>
      </x:c>
      <x:c r="F86" s="13" t="str">
        <x:f>IF(D86=E86,"PASS","FAIL")</x:f>
        <x:v>PASS</x:v>
      </x:c>
    </x:row>
    <x:row r="87">
      <x:c r="A87" s="13" t="str">
        <x:v>RU-HC-C-02</x:v>
      </x:c>
      <x:c r="B87" s="13" t="str">
        <x:v>Root unit</x:v>
      </x:c>
      <x:c r="C87" s="13" t="str">
        <x:v>HC-C positions unchanged</x:v>
      </x:c>
      <x:c r="D87" s="13" t="b">
        <x:f>'Root Units'!D16=7</x:f>
        <x:v>1</x:v>
      </x:c>
      <x:c r="E87" s="58" t="b">
        <x:v>1</x:v>
      </x:c>
      <x:c r="F87" s="13" t="str">
        <x:f>IF(D87=E87,"PASS","FAIL")</x:f>
        <x:v>PASS</x:v>
      </x:c>
    </x:row>
    <x:row r="88">
      <x:c r="A88" s="13" t="str">
        <x:v>RU-HC-C-03</x:v>
      </x:c>
      <x:c r="B88" s="13" t="str">
        <x:v>Root unit</x:v>
      </x:c>
      <x:c r="C88" s="13" t="str">
        <x:v>HC-C labor intensity positive</x:v>
      </x:c>
      <x:c r="D88" s="13" t="b">
        <x:f>'Root Units'!F16&gt;0</x:f>
        <x:v>1</x:v>
      </x:c>
      <x:c r="E88" s="58" t="b">
        <x:v>1</x:v>
      </x:c>
      <x:c r="F88" s="13" t="str">
        <x:f>IF(D88=E88,"PASS","FAIL")</x:f>
        <x:v>PASS</x:v>
      </x:c>
    </x:row>
    <x:row r="89">
      <x:c r="A89" s="13" t="str">
        <x:v>RU-HC-C-04</x:v>
      </x:c>
      <x:c r="B89" s="13" t="str">
        <x:v>Root unit</x:v>
      </x:c>
      <x:c r="C89" s="13" t="str">
        <x:v>HC-C process energy positive</x:v>
      </x:c>
      <x:c r="D89" s="13" t="b">
        <x:f>'Root Units'!G16&gt;0</x:f>
        <x:v>1</x:v>
      </x:c>
      <x:c r="E89" s="58" t="b">
        <x:v>1</x:v>
      </x:c>
      <x:c r="F89" s="13" t="str">
        <x:f>IF(D89=E89,"PASS","FAIL")</x:f>
        <x:v>PASS</x:v>
      </x:c>
    </x:row>
    <x:row r="90">
      <x:c r="A90" s="13" t="str">
        <x:v>RU-HC-C-05</x:v>
      </x:c>
      <x:c r="B90" s="13" t="str">
        <x:v>Root unit</x:v>
      </x:c>
      <x:c r="C90" s="13" t="str">
        <x:v>HC-C public rate formula</x:v>
      </x:c>
      <x:c r="D90" s="13" t="b">
        <x:f>ABS('Root Units'!H16-'Root Units'!E16*Controls!$B$24/365)&lt;0.000001</x:f>
        <x:v>1</x:v>
      </x:c>
      <x:c r="E90" s="58" t="b">
        <x:v>1</x:v>
      </x:c>
      <x:c r="F90" s="13" t="str">
        <x:f>IF(D90=E90,"PASS","FAIL")</x:f>
        <x:v>PASS</x:v>
      </x:c>
    </x:row>
    <x:row r="91">
      <x:c r="A91" s="13" t="str">
        <x:v>RU-HC-C-06</x:v>
      </x:c>
      <x:c r="B91" s="13" t="str">
        <x:v>Root unit</x:v>
      </x:c>
      <x:c r="C91" s="13" t="str">
        <x:v>HC-C private rate formula</x:v>
      </x:c>
      <x:c r="D91" s="13" t="b">
        <x:f>ABS('Root Units'!I16-MAX('Root Units'!E16/Controls!$B$19,'Root Units'!E16*Controls!$B$20/365))&lt;0.000001</x:f>
        <x:v>1</x:v>
      </x:c>
      <x:c r="E91" s="58" t="b">
        <x:v>1</x:v>
      </x:c>
      <x:c r="F91" s="13" t="str">
        <x:f>IF(D91=E91,"PASS","FAIL")</x:f>
        <x:v>PASS</x:v>
      </x:c>
    </x:row>
    <x:row r="92">
      <x:c r="A92" s="13" t="str">
        <x:v>RU-HC-D-01</x:v>
      </x:c>
      <x:c r="B92" s="13" t="str">
        <x:v>Root unit</x:v>
      </x:c>
      <x:c r="C92" s="13" t="str">
        <x:v>HC-D dry mass positive</x:v>
      </x:c>
      <x:c r="D92" s="13" t="b">
        <x:f>'Root Units'!E17&gt;0</x:f>
        <x:v>1</x:v>
      </x:c>
      <x:c r="E92" s="58" t="b">
        <x:v>1</x:v>
      </x:c>
      <x:c r="F92" s="13" t="str">
        <x:f>IF(D92=E92,"PASS","FAIL")</x:f>
        <x:v>PASS</x:v>
      </x:c>
    </x:row>
    <x:row r="93">
      <x:c r="A93" s="13" t="str">
        <x:v>RU-HC-D-02</x:v>
      </x:c>
      <x:c r="B93" s="13" t="str">
        <x:v>Root unit</x:v>
      </x:c>
      <x:c r="C93" s="13" t="str">
        <x:v>HC-D positions unchanged</x:v>
      </x:c>
      <x:c r="D93" s="13" t="b">
        <x:f>'Root Units'!D17=7</x:f>
        <x:v>1</x:v>
      </x:c>
      <x:c r="E93" s="58" t="b">
        <x:v>1</x:v>
      </x:c>
      <x:c r="F93" s="13" t="str">
        <x:f>IF(D93=E93,"PASS","FAIL")</x:f>
        <x:v>PASS</x:v>
      </x:c>
    </x:row>
    <x:row r="94">
      <x:c r="A94" s="13" t="str">
        <x:v>RU-HC-D-03</x:v>
      </x:c>
      <x:c r="B94" s="13" t="str">
        <x:v>Root unit</x:v>
      </x:c>
      <x:c r="C94" s="13" t="str">
        <x:v>HC-D labor intensity positive</x:v>
      </x:c>
      <x:c r="D94" s="13" t="b">
        <x:f>'Root Units'!F17&gt;0</x:f>
        <x:v>1</x:v>
      </x:c>
      <x:c r="E94" s="58" t="b">
        <x:v>1</x:v>
      </x:c>
      <x:c r="F94" s="13" t="str">
        <x:f>IF(D94=E94,"PASS","FAIL")</x:f>
        <x:v>PASS</x:v>
      </x:c>
    </x:row>
    <x:row r="95">
      <x:c r="A95" s="13" t="str">
        <x:v>RU-HC-D-04</x:v>
      </x:c>
      <x:c r="B95" s="13" t="str">
        <x:v>Root unit</x:v>
      </x:c>
      <x:c r="C95" s="13" t="str">
        <x:v>HC-D process energy positive</x:v>
      </x:c>
      <x:c r="D95" s="13" t="b">
        <x:f>'Root Units'!G17&gt;0</x:f>
        <x:v>1</x:v>
      </x:c>
      <x:c r="E95" s="58" t="b">
        <x:v>1</x:v>
      </x:c>
      <x:c r="F95" s="13" t="str">
        <x:f>IF(D95=E95,"PASS","FAIL")</x:f>
        <x:v>PASS</x:v>
      </x:c>
    </x:row>
    <x:row r="96">
      <x:c r="A96" s="13" t="str">
        <x:v>RU-HC-D-05</x:v>
      </x:c>
      <x:c r="B96" s="13" t="str">
        <x:v>Root unit</x:v>
      </x:c>
      <x:c r="C96" s="13" t="str">
        <x:v>HC-D public rate formula</x:v>
      </x:c>
      <x:c r="D96" s="13" t="b">
        <x:f>ABS('Root Units'!H17-'Root Units'!E17*Controls!$B$24/365)&lt;0.000001</x:f>
        <x:v>1</x:v>
      </x:c>
      <x:c r="E96" s="58" t="b">
        <x:v>1</x:v>
      </x:c>
      <x:c r="F96" s="13" t="str">
        <x:f>IF(D96=E96,"PASS","FAIL")</x:f>
        <x:v>PASS</x:v>
      </x:c>
    </x:row>
    <x:row r="97">
      <x:c r="A97" s="13" t="str">
        <x:v>RU-HC-D-06</x:v>
      </x:c>
      <x:c r="B97" s="13" t="str">
        <x:v>Root unit</x:v>
      </x:c>
      <x:c r="C97" s="13" t="str">
        <x:v>HC-D private rate formula</x:v>
      </x:c>
      <x:c r="D97" s="13" t="b">
        <x:f>ABS('Root Units'!I17-MAX('Root Units'!E17/Controls!$B$19,'Root Units'!E17*Controls!$B$20/365))&lt;0.000001</x:f>
        <x:v>1</x:v>
      </x:c>
      <x:c r="E97" s="58" t="b">
        <x:v>1</x:v>
      </x:c>
      <x:c r="F97" s="13" t="str">
        <x:f>IF(D97=E97,"PASS","FAIL")</x:f>
        <x:v>PASS</x:v>
      </x:c>
    </x:row>
    <x:row r="98">
      <x:c r="A98" s="13" t="str">
        <x:v>RU-LF-A-01</x:v>
      </x:c>
      <x:c r="B98" s="13" t="str">
        <x:v>Root unit</x:v>
      </x:c>
      <x:c r="C98" s="13" t="str">
        <x:v>LF-A dry mass positive</x:v>
      </x:c>
      <x:c r="D98" s="13" t="b">
        <x:f>'Root Units'!E18&gt;0</x:f>
        <x:v>1</x:v>
      </x:c>
      <x:c r="E98" s="58" t="b">
        <x:v>1</x:v>
      </x:c>
      <x:c r="F98" s="13" t="str">
        <x:f>IF(D98=E98,"PASS","FAIL")</x:f>
        <x:v>PASS</x:v>
      </x:c>
    </x:row>
    <x:row r="99">
      <x:c r="A99" s="13" t="str">
        <x:v>RU-LF-A-02</x:v>
      </x:c>
      <x:c r="B99" s="13" t="str">
        <x:v>Root unit</x:v>
      </x:c>
      <x:c r="C99" s="13" t="str">
        <x:v>LF-A positions unchanged</x:v>
      </x:c>
      <x:c r="D99" s="13" t="b">
        <x:f>'Root Units'!D18=10</x:f>
        <x:v>1</x:v>
      </x:c>
      <x:c r="E99" s="58" t="b">
        <x:v>1</x:v>
      </x:c>
      <x:c r="F99" s="13" t="str">
        <x:f>IF(D99=E99,"PASS","FAIL")</x:f>
        <x:v>PASS</x:v>
      </x:c>
    </x:row>
    <x:row r="100">
      <x:c r="A100" s="13" t="str">
        <x:v>RU-LF-A-03</x:v>
      </x:c>
      <x:c r="B100" s="13" t="str">
        <x:v>Root unit</x:v>
      </x:c>
      <x:c r="C100" s="13" t="str">
        <x:v>LF-A labor intensity positive</x:v>
      </x:c>
      <x:c r="D100" s="13" t="b">
        <x:f>'Root Units'!F18&gt;0</x:f>
        <x:v>1</x:v>
      </x:c>
      <x:c r="E100" s="58" t="b">
        <x:v>1</x:v>
      </x:c>
      <x:c r="F100" s="13" t="str">
        <x:f>IF(D100=E100,"PASS","FAIL")</x:f>
        <x:v>PASS</x:v>
      </x:c>
    </x:row>
    <x:row r="101">
      <x:c r="A101" s="13" t="str">
        <x:v>RU-LF-A-04</x:v>
      </x:c>
      <x:c r="B101" s="13" t="str">
        <x:v>Root unit</x:v>
      </x:c>
      <x:c r="C101" s="13" t="str">
        <x:v>LF-A process energy positive</x:v>
      </x:c>
      <x:c r="D101" s="13" t="b">
        <x:f>'Root Units'!G18&gt;0</x:f>
        <x:v>1</x:v>
      </x:c>
      <x:c r="E101" s="58" t="b">
        <x:v>1</x:v>
      </x:c>
      <x:c r="F101" s="13" t="str">
        <x:f>IF(D101=E101,"PASS","FAIL")</x:f>
        <x:v>PASS</x:v>
      </x:c>
    </x:row>
    <x:row r="102">
      <x:c r="A102" s="13" t="str">
        <x:v>RU-LF-A-05</x:v>
      </x:c>
      <x:c r="B102" s="13" t="str">
        <x:v>Root unit</x:v>
      </x:c>
      <x:c r="C102" s="13" t="str">
        <x:v>LF-A public rate formula</x:v>
      </x:c>
      <x:c r="D102" s="13" t="b">
        <x:f>ABS('Root Units'!H18-'Root Units'!E18*Controls!$B$24/365)&lt;0.000001</x:f>
        <x:v>1</x:v>
      </x:c>
      <x:c r="E102" s="58" t="b">
        <x:v>1</x:v>
      </x:c>
      <x:c r="F102" s="13" t="str">
        <x:f>IF(D102=E102,"PASS","FAIL")</x:f>
        <x:v>PASS</x:v>
      </x:c>
    </x:row>
    <x:row r="103">
      <x:c r="A103" s="13" t="str">
        <x:v>RU-LF-A-06</x:v>
      </x:c>
      <x:c r="B103" s="13" t="str">
        <x:v>Root unit</x:v>
      </x:c>
      <x:c r="C103" s="13" t="str">
        <x:v>LF-A private rate formula</x:v>
      </x:c>
      <x:c r="D103" s="13" t="b">
        <x:f>ABS('Root Units'!I18-MAX('Root Units'!E18/Controls!$B$19,'Root Units'!E18*Controls!$B$20/365))&lt;0.000001</x:f>
        <x:v>1</x:v>
      </x:c>
      <x:c r="E103" s="58" t="b">
        <x:v>1</x:v>
      </x:c>
      <x:c r="F103" s="13" t="str">
        <x:f>IF(D103=E103,"PASS","FAIL")</x:f>
        <x:v>PASS</x:v>
      </x:c>
    </x:row>
    <x:row r="104">
      <x:c r="A104" s="13" t="str">
        <x:v>RU-LF-B-01</x:v>
      </x:c>
      <x:c r="B104" s="13" t="str">
        <x:v>Root unit</x:v>
      </x:c>
      <x:c r="C104" s="13" t="str">
        <x:v>LF-B dry mass positive</x:v>
      </x:c>
      <x:c r="D104" s="13" t="b">
        <x:f>'Root Units'!E19&gt;0</x:f>
        <x:v>1</x:v>
      </x:c>
      <x:c r="E104" s="58" t="b">
        <x:v>1</x:v>
      </x:c>
      <x:c r="F104" s="13" t="str">
        <x:f>IF(D104=E104,"PASS","FAIL")</x:f>
        <x:v>PASS</x:v>
      </x:c>
    </x:row>
    <x:row r="105">
      <x:c r="A105" s="13" t="str">
        <x:v>RU-LF-B-02</x:v>
      </x:c>
      <x:c r="B105" s="13" t="str">
        <x:v>Root unit</x:v>
      </x:c>
      <x:c r="C105" s="13" t="str">
        <x:v>LF-B positions unchanged</x:v>
      </x:c>
      <x:c r="D105" s="13" t="b">
        <x:f>'Root Units'!D19=10</x:f>
        <x:v>1</x:v>
      </x:c>
      <x:c r="E105" s="58" t="b">
        <x:v>1</x:v>
      </x:c>
      <x:c r="F105" s="13" t="str">
        <x:f>IF(D105=E105,"PASS","FAIL")</x:f>
        <x:v>PASS</x:v>
      </x:c>
    </x:row>
    <x:row r="106">
      <x:c r="A106" s="13" t="str">
        <x:v>RU-LF-B-03</x:v>
      </x:c>
      <x:c r="B106" s="13" t="str">
        <x:v>Root unit</x:v>
      </x:c>
      <x:c r="C106" s="13" t="str">
        <x:v>LF-B labor intensity positive</x:v>
      </x:c>
      <x:c r="D106" s="13" t="b">
        <x:f>'Root Units'!F19&gt;0</x:f>
        <x:v>1</x:v>
      </x:c>
      <x:c r="E106" s="58" t="b">
        <x:v>1</x:v>
      </x:c>
      <x:c r="F106" s="13" t="str">
        <x:f>IF(D106=E106,"PASS","FAIL")</x:f>
        <x:v>PASS</x:v>
      </x:c>
    </x:row>
    <x:row r="107">
      <x:c r="A107" s="13" t="str">
        <x:v>RU-LF-B-04</x:v>
      </x:c>
      <x:c r="B107" s="13" t="str">
        <x:v>Root unit</x:v>
      </x:c>
      <x:c r="C107" s="13" t="str">
        <x:v>LF-B process energy positive</x:v>
      </x:c>
      <x:c r="D107" s="13" t="b">
        <x:f>'Root Units'!G19&gt;0</x:f>
        <x:v>1</x:v>
      </x:c>
      <x:c r="E107" s="58" t="b">
        <x:v>1</x:v>
      </x:c>
      <x:c r="F107" s="13" t="str">
        <x:f>IF(D107=E107,"PASS","FAIL")</x:f>
        <x:v>PASS</x:v>
      </x:c>
    </x:row>
    <x:row r="108">
      <x:c r="A108" s="13" t="str">
        <x:v>RU-LF-B-05</x:v>
      </x:c>
      <x:c r="B108" s="13" t="str">
        <x:v>Root unit</x:v>
      </x:c>
      <x:c r="C108" s="13" t="str">
        <x:v>LF-B public rate formula</x:v>
      </x:c>
      <x:c r="D108" s="13" t="b">
        <x:f>ABS('Root Units'!H19-'Root Units'!E19*Controls!$B$24/365)&lt;0.000001</x:f>
        <x:v>1</x:v>
      </x:c>
      <x:c r="E108" s="58" t="b">
        <x:v>1</x:v>
      </x:c>
      <x:c r="F108" s="13" t="str">
        <x:f>IF(D108=E108,"PASS","FAIL")</x:f>
        <x:v>PASS</x:v>
      </x:c>
    </x:row>
    <x:row r="109">
      <x:c r="A109" s="13" t="str">
        <x:v>RU-LF-B-06</x:v>
      </x:c>
      <x:c r="B109" s="13" t="str">
        <x:v>Root unit</x:v>
      </x:c>
      <x:c r="C109" s="13" t="str">
        <x:v>LF-B private rate formula</x:v>
      </x:c>
      <x:c r="D109" s="13" t="b">
        <x:f>ABS('Root Units'!I19-MAX('Root Units'!E19/Controls!$B$19,'Root Units'!E19*Controls!$B$20/365))&lt;0.000001</x:f>
        <x:v>1</x:v>
      </x:c>
      <x:c r="E109" s="58" t="b">
        <x:v>1</x:v>
      </x:c>
      <x:c r="F109" s="13" t="str">
        <x:f>IF(D109=E109,"PASS","FAIL")</x:f>
        <x:v>PASS</x:v>
      </x:c>
    </x:row>
    <x:row r="110">
      <x:c r="A110" s="13" t="str">
        <x:v>RU-LF-C-01</x:v>
      </x:c>
      <x:c r="B110" s="13" t="str">
        <x:v>Root unit</x:v>
      </x:c>
      <x:c r="C110" s="13" t="str">
        <x:v>LF-C dry mass positive</x:v>
      </x:c>
      <x:c r="D110" s="13" t="b">
        <x:f>'Root Units'!E20&gt;0</x:f>
        <x:v>1</x:v>
      </x:c>
      <x:c r="E110" s="58" t="b">
        <x:v>1</x:v>
      </x:c>
      <x:c r="F110" s="13" t="str">
        <x:f>IF(D110=E110,"PASS","FAIL")</x:f>
        <x:v>PASS</x:v>
      </x:c>
    </x:row>
    <x:row r="111">
      <x:c r="A111" s="13" t="str">
        <x:v>RU-LF-C-02</x:v>
      </x:c>
      <x:c r="B111" s="13" t="str">
        <x:v>Root unit</x:v>
      </x:c>
      <x:c r="C111" s="13" t="str">
        <x:v>LF-C positions unchanged</x:v>
      </x:c>
      <x:c r="D111" s="13" t="b">
        <x:f>'Root Units'!D20=10</x:f>
        <x:v>1</x:v>
      </x:c>
      <x:c r="E111" s="58" t="b">
        <x:v>1</x:v>
      </x:c>
      <x:c r="F111" s="13" t="str">
        <x:f>IF(D111=E111,"PASS","FAIL")</x:f>
        <x:v>PASS</x:v>
      </x:c>
    </x:row>
    <x:row r="112">
      <x:c r="A112" s="13" t="str">
        <x:v>RU-LF-C-03</x:v>
      </x:c>
      <x:c r="B112" s="13" t="str">
        <x:v>Root unit</x:v>
      </x:c>
      <x:c r="C112" s="13" t="str">
        <x:v>LF-C labor intensity positive</x:v>
      </x:c>
      <x:c r="D112" s="13" t="b">
        <x:f>'Root Units'!F20&gt;0</x:f>
        <x:v>1</x:v>
      </x:c>
      <x:c r="E112" s="58" t="b">
        <x:v>1</x:v>
      </x:c>
      <x:c r="F112" s="13" t="str">
        <x:f>IF(D112=E112,"PASS","FAIL")</x:f>
        <x:v>PASS</x:v>
      </x:c>
    </x:row>
    <x:row r="113">
      <x:c r="A113" s="13" t="str">
        <x:v>RU-LF-C-04</x:v>
      </x:c>
      <x:c r="B113" s="13" t="str">
        <x:v>Root unit</x:v>
      </x:c>
      <x:c r="C113" s="13" t="str">
        <x:v>LF-C process energy positive</x:v>
      </x:c>
      <x:c r="D113" s="13" t="b">
        <x:f>'Root Units'!G20&gt;0</x:f>
        <x:v>1</x:v>
      </x:c>
      <x:c r="E113" s="58" t="b">
        <x:v>1</x:v>
      </x:c>
      <x:c r="F113" s="13" t="str">
        <x:f>IF(D113=E113,"PASS","FAIL")</x:f>
        <x:v>PASS</x:v>
      </x:c>
    </x:row>
    <x:row r="114">
      <x:c r="A114" s="13" t="str">
        <x:v>RU-LF-C-05</x:v>
      </x:c>
      <x:c r="B114" s="13" t="str">
        <x:v>Root unit</x:v>
      </x:c>
      <x:c r="C114" s="13" t="str">
        <x:v>LF-C public rate formula</x:v>
      </x:c>
      <x:c r="D114" s="13" t="b">
        <x:f>ABS('Root Units'!H20-'Root Units'!E20*Controls!$B$24/365)&lt;0.000001</x:f>
        <x:v>1</x:v>
      </x:c>
      <x:c r="E114" s="58" t="b">
        <x:v>1</x:v>
      </x:c>
      <x:c r="F114" s="13" t="str">
        <x:f>IF(D114=E114,"PASS","FAIL")</x:f>
        <x:v>PASS</x:v>
      </x:c>
    </x:row>
    <x:row r="115">
      <x:c r="A115" s="13" t="str">
        <x:v>RU-LF-C-06</x:v>
      </x:c>
      <x:c r="B115" s="13" t="str">
        <x:v>Root unit</x:v>
      </x:c>
      <x:c r="C115" s="13" t="str">
        <x:v>LF-C private rate formula</x:v>
      </x:c>
      <x:c r="D115" s="13" t="b">
        <x:f>ABS('Root Units'!I20-MAX('Root Units'!E20/Controls!$B$19,'Root Units'!E20*Controls!$B$20/365))&lt;0.000001</x:f>
        <x:v>1</x:v>
      </x:c>
      <x:c r="E115" s="58" t="b">
        <x:v>1</x:v>
      </x:c>
      <x:c r="F115" s="13" t="str">
        <x:f>IF(D115=E115,"PASS","FAIL")</x:f>
        <x:v>PASS</x:v>
      </x:c>
    </x:row>
    <x:row r="116">
      <x:c r="A116" s="13" t="str">
        <x:v>RU-LF-D-01</x:v>
      </x:c>
      <x:c r="B116" s="13" t="str">
        <x:v>Root unit</x:v>
      </x:c>
      <x:c r="C116" s="13" t="str">
        <x:v>LF-D dry mass positive</x:v>
      </x:c>
      <x:c r="D116" s="13" t="b">
        <x:f>'Root Units'!E21&gt;0</x:f>
        <x:v>1</x:v>
      </x:c>
      <x:c r="E116" s="58" t="b">
        <x:v>1</x:v>
      </x:c>
      <x:c r="F116" s="13" t="str">
        <x:f>IF(D116=E116,"PASS","FAIL")</x:f>
        <x:v>PASS</x:v>
      </x:c>
    </x:row>
    <x:row r="117">
      <x:c r="A117" s="13" t="str">
        <x:v>RU-LF-D-02</x:v>
      </x:c>
      <x:c r="B117" s="13" t="str">
        <x:v>Root unit</x:v>
      </x:c>
      <x:c r="C117" s="13" t="str">
        <x:v>LF-D positions unchanged</x:v>
      </x:c>
      <x:c r="D117" s="13" t="b">
        <x:f>'Root Units'!D21=10</x:f>
        <x:v>1</x:v>
      </x:c>
      <x:c r="E117" s="58" t="b">
        <x:v>1</x:v>
      </x:c>
      <x:c r="F117" s="13" t="str">
        <x:f>IF(D117=E117,"PASS","FAIL")</x:f>
        <x:v>PASS</x:v>
      </x:c>
    </x:row>
    <x:row r="118">
      <x:c r="A118" s="13" t="str">
        <x:v>RU-LF-D-03</x:v>
      </x:c>
      <x:c r="B118" s="13" t="str">
        <x:v>Root unit</x:v>
      </x:c>
      <x:c r="C118" s="13" t="str">
        <x:v>LF-D labor intensity positive</x:v>
      </x:c>
      <x:c r="D118" s="13" t="b">
        <x:f>'Root Units'!F21&gt;0</x:f>
        <x:v>1</x:v>
      </x:c>
      <x:c r="E118" s="58" t="b">
        <x:v>1</x:v>
      </x:c>
      <x:c r="F118" s="13" t="str">
        <x:f>IF(D118=E118,"PASS","FAIL")</x:f>
        <x:v>PASS</x:v>
      </x:c>
    </x:row>
    <x:row r="119">
      <x:c r="A119" s="13" t="str">
        <x:v>RU-LF-D-04</x:v>
      </x:c>
      <x:c r="B119" s="13" t="str">
        <x:v>Root unit</x:v>
      </x:c>
      <x:c r="C119" s="13" t="str">
        <x:v>LF-D process energy positive</x:v>
      </x:c>
      <x:c r="D119" s="13" t="b">
        <x:f>'Root Units'!G21&gt;0</x:f>
        <x:v>1</x:v>
      </x:c>
      <x:c r="E119" s="58" t="b">
        <x:v>1</x:v>
      </x:c>
      <x:c r="F119" s="13" t="str">
        <x:f>IF(D119=E119,"PASS","FAIL")</x:f>
        <x:v>PASS</x:v>
      </x:c>
    </x:row>
    <x:row r="120">
      <x:c r="A120" s="13" t="str">
        <x:v>RU-LF-D-05</x:v>
      </x:c>
      <x:c r="B120" s="13" t="str">
        <x:v>Root unit</x:v>
      </x:c>
      <x:c r="C120" s="13" t="str">
        <x:v>LF-D public rate formula</x:v>
      </x:c>
      <x:c r="D120" s="13" t="b">
        <x:f>ABS('Root Units'!H21-'Root Units'!E21*Controls!$B$24/365)&lt;0.000001</x:f>
        <x:v>1</x:v>
      </x:c>
      <x:c r="E120" s="58" t="b">
        <x:v>1</x:v>
      </x:c>
      <x:c r="F120" s="13" t="str">
        <x:f>IF(D120=E120,"PASS","FAIL")</x:f>
        <x:v>PASS</x:v>
      </x:c>
    </x:row>
    <x:row r="121">
      <x:c r="A121" s="13" t="str">
        <x:v>RU-LF-D-06</x:v>
      </x:c>
      <x:c r="B121" s="13" t="str">
        <x:v>Root unit</x:v>
      </x:c>
      <x:c r="C121" s="13" t="str">
        <x:v>LF-D private rate formula</x:v>
      </x:c>
      <x:c r="D121" s="13" t="b">
        <x:f>ABS('Root Units'!I21-MAX('Root Units'!E21/Controls!$B$19,'Root Units'!E21*Controls!$B$20/365))&lt;0.000001</x:f>
        <x:v>1</x:v>
      </x:c>
      <x:c r="E121" s="58" t="b">
        <x:v>1</x:v>
      </x:c>
      <x:c r="F121" s="13" t="str">
        <x:f>IF(D121=E121,"PASS","FAIL")</x:f>
        <x:v>PASS</x:v>
      </x:c>
    </x:row>
    <x:row r="122">
      <x:c r="A122" s="13" t="str">
        <x:v>RU-HU-A-01</x:v>
      </x:c>
      <x:c r="B122" s="13" t="str">
        <x:v>Root unit</x:v>
      </x:c>
      <x:c r="C122" s="13" t="str">
        <x:v>HU-A dry mass positive</x:v>
      </x:c>
      <x:c r="D122" s="13" t="b">
        <x:f>'Root Units'!E22&gt;0</x:f>
        <x:v>1</x:v>
      </x:c>
      <x:c r="E122" s="58" t="b">
        <x:v>1</x:v>
      </x:c>
      <x:c r="F122" s="13" t="str">
        <x:f>IF(D122=E122,"PASS","FAIL")</x:f>
        <x:v>PASS</x:v>
      </x:c>
    </x:row>
    <x:row r="123">
      <x:c r="A123" s="13" t="str">
        <x:v>RU-HU-A-02</x:v>
      </x:c>
      <x:c r="B123" s="13" t="str">
        <x:v>Root unit</x:v>
      </x:c>
      <x:c r="C123" s="13" t="str">
        <x:v>HU-A positions unchanged</x:v>
      </x:c>
      <x:c r="D123" s="13" t="b">
        <x:f>'Root Units'!D22=34</x:f>
        <x:v>1</x:v>
      </x:c>
      <x:c r="E123" s="58" t="b">
        <x:v>1</x:v>
      </x:c>
      <x:c r="F123" s="13" t="str">
        <x:f>IF(D123=E123,"PASS","FAIL")</x:f>
        <x:v>PASS</x:v>
      </x:c>
    </x:row>
    <x:row r="124">
      <x:c r="A124" s="13" t="str">
        <x:v>RU-HU-A-03</x:v>
      </x:c>
      <x:c r="B124" s="13" t="str">
        <x:v>Root unit</x:v>
      </x:c>
      <x:c r="C124" s="13" t="str">
        <x:v>HU-A labor intensity positive</x:v>
      </x:c>
      <x:c r="D124" s="13" t="b">
        <x:f>'Root Units'!F22&gt;0</x:f>
        <x:v>1</x:v>
      </x:c>
      <x:c r="E124" s="58" t="b">
        <x:v>1</x:v>
      </x:c>
      <x:c r="F124" s="13" t="str">
        <x:f>IF(D124=E124,"PASS","FAIL")</x:f>
        <x:v>PASS</x:v>
      </x:c>
    </x:row>
    <x:row r="125">
      <x:c r="A125" s="13" t="str">
        <x:v>RU-HU-A-04</x:v>
      </x:c>
      <x:c r="B125" s="13" t="str">
        <x:v>Root unit</x:v>
      </x:c>
      <x:c r="C125" s="13" t="str">
        <x:v>HU-A process energy positive</x:v>
      </x:c>
      <x:c r="D125" s="13" t="b">
        <x:f>'Root Units'!G22&gt;0</x:f>
        <x:v>1</x:v>
      </x:c>
      <x:c r="E125" s="58" t="b">
        <x:v>1</x:v>
      </x:c>
      <x:c r="F125" s="13" t="str">
        <x:f>IF(D125=E125,"PASS","FAIL")</x:f>
        <x:v>PASS</x:v>
      </x:c>
    </x:row>
    <x:row r="126">
      <x:c r="A126" s="13" t="str">
        <x:v>RU-HU-A-05</x:v>
      </x:c>
      <x:c r="B126" s="13" t="str">
        <x:v>Root unit</x:v>
      </x:c>
      <x:c r="C126" s="13" t="str">
        <x:v>HU-A public rate formula</x:v>
      </x:c>
      <x:c r="D126" s="13" t="b">
        <x:f>ABS('Root Units'!H22-'Root Units'!E22*Controls!$B$24/365)&lt;0.000001</x:f>
        <x:v>1</x:v>
      </x:c>
      <x:c r="E126" s="58" t="b">
        <x:v>1</x:v>
      </x:c>
      <x:c r="F126" s="13" t="str">
        <x:f>IF(D126=E126,"PASS","FAIL")</x:f>
        <x:v>PASS</x:v>
      </x:c>
    </x:row>
    <x:row r="127">
      <x:c r="A127" s="13" t="str">
        <x:v>RU-HU-A-06</x:v>
      </x:c>
      <x:c r="B127" s="13" t="str">
        <x:v>Root unit</x:v>
      </x:c>
      <x:c r="C127" s="13" t="str">
        <x:v>HU-A private rate formula</x:v>
      </x:c>
      <x:c r="D127" s="13" t="b">
        <x:f>ABS('Root Units'!I22-MAX('Root Units'!E22/Controls!$B$19,'Root Units'!E22*Controls!$B$20/365))&lt;0.000001</x:f>
        <x:v>1</x:v>
      </x:c>
      <x:c r="E127" s="58" t="b">
        <x:v>1</x:v>
      </x:c>
      <x:c r="F127" s="13" t="str">
        <x:f>IF(D127=E127,"PASS","FAIL")</x:f>
        <x:v>PASS</x:v>
      </x:c>
    </x:row>
    <x:row r="128">
      <x:c r="A128" s="13" t="str">
        <x:v>RU-HU-B-01</x:v>
      </x:c>
      <x:c r="B128" s="13" t="str">
        <x:v>Root unit</x:v>
      </x:c>
      <x:c r="C128" s="13" t="str">
        <x:v>HU-B dry mass positive</x:v>
      </x:c>
      <x:c r="D128" s="13" t="b">
        <x:f>'Root Units'!E23&gt;0</x:f>
        <x:v>1</x:v>
      </x:c>
      <x:c r="E128" s="58" t="b">
        <x:v>1</x:v>
      </x:c>
      <x:c r="F128" s="13" t="str">
        <x:f>IF(D128=E128,"PASS","FAIL")</x:f>
        <x:v>PASS</x:v>
      </x:c>
    </x:row>
    <x:row r="129">
      <x:c r="A129" s="13" t="str">
        <x:v>RU-HU-B-02</x:v>
      </x:c>
      <x:c r="B129" s="13" t="str">
        <x:v>Root unit</x:v>
      </x:c>
      <x:c r="C129" s="13" t="str">
        <x:v>HU-B positions unchanged</x:v>
      </x:c>
      <x:c r="D129" s="13" t="b">
        <x:f>'Root Units'!D23=34</x:f>
        <x:v>1</x:v>
      </x:c>
      <x:c r="E129" s="58" t="b">
        <x:v>1</x:v>
      </x:c>
      <x:c r="F129" s="13" t="str">
        <x:f>IF(D129=E129,"PASS","FAIL")</x:f>
        <x:v>PASS</x:v>
      </x:c>
    </x:row>
    <x:row r="130">
      <x:c r="A130" s="13" t="str">
        <x:v>RU-HU-B-03</x:v>
      </x:c>
      <x:c r="B130" s="13" t="str">
        <x:v>Root unit</x:v>
      </x:c>
      <x:c r="C130" s="13" t="str">
        <x:v>HU-B labor intensity positive</x:v>
      </x:c>
      <x:c r="D130" s="13" t="b">
        <x:f>'Root Units'!F23&gt;0</x:f>
        <x:v>1</x:v>
      </x:c>
      <x:c r="E130" s="58" t="b">
        <x:v>1</x:v>
      </x:c>
      <x:c r="F130" s="13" t="str">
        <x:f>IF(D130=E130,"PASS","FAIL")</x:f>
        <x:v>PASS</x:v>
      </x:c>
    </x:row>
    <x:row r="131">
      <x:c r="A131" s="13" t="str">
        <x:v>RU-HU-B-04</x:v>
      </x:c>
      <x:c r="B131" s="13" t="str">
        <x:v>Root unit</x:v>
      </x:c>
      <x:c r="C131" s="13" t="str">
        <x:v>HU-B process energy positive</x:v>
      </x:c>
      <x:c r="D131" s="13" t="b">
        <x:f>'Root Units'!G23&gt;0</x:f>
        <x:v>1</x:v>
      </x:c>
      <x:c r="E131" s="58" t="b">
        <x:v>1</x:v>
      </x:c>
      <x:c r="F131" s="13" t="str">
        <x:f>IF(D131=E131,"PASS","FAIL")</x:f>
        <x:v>PASS</x:v>
      </x:c>
    </x:row>
    <x:row r="132">
      <x:c r="A132" s="13" t="str">
        <x:v>RU-HU-B-05</x:v>
      </x:c>
      <x:c r="B132" s="13" t="str">
        <x:v>Root unit</x:v>
      </x:c>
      <x:c r="C132" s="13" t="str">
        <x:v>HU-B public rate formula</x:v>
      </x:c>
      <x:c r="D132" s="13" t="b">
        <x:f>ABS('Root Units'!H23-'Root Units'!E23*Controls!$B$24/365)&lt;0.000001</x:f>
        <x:v>1</x:v>
      </x:c>
      <x:c r="E132" s="58" t="b">
        <x:v>1</x:v>
      </x:c>
      <x:c r="F132" s="13" t="str">
        <x:f>IF(D132=E132,"PASS","FAIL")</x:f>
        <x:v>PASS</x:v>
      </x:c>
    </x:row>
    <x:row r="133">
      <x:c r="A133" s="13" t="str">
        <x:v>RU-HU-B-06</x:v>
      </x:c>
      <x:c r="B133" s="13" t="str">
        <x:v>Root unit</x:v>
      </x:c>
      <x:c r="C133" s="13" t="str">
        <x:v>HU-B private rate formula</x:v>
      </x:c>
      <x:c r="D133" s="13" t="b">
        <x:f>ABS('Root Units'!I23-MAX('Root Units'!E23/Controls!$B$19,'Root Units'!E23*Controls!$B$20/365))&lt;0.000001</x:f>
        <x:v>1</x:v>
      </x:c>
      <x:c r="E133" s="58" t="b">
        <x:v>1</x:v>
      </x:c>
      <x:c r="F133" s="13" t="str">
        <x:f>IF(D133=E133,"PASS","FAIL")</x:f>
        <x:v>PASS</x:v>
      </x:c>
    </x:row>
    <x:row r="134">
      <x:c r="A134" s="13" t="str">
        <x:v>RU-HU-C-01</x:v>
      </x:c>
      <x:c r="B134" s="13" t="str">
        <x:v>Root unit</x:v>
      </x:c>
      <x:c r="C134" s="13" t="str">
        <x:v>HU-C dry mass positive</x:v>
      </x:c>
      <x:c r="D134" s="13" t="b">
        <x:f>'Root Units'!E24&gt;0</x:f>
        <x:v>1</x:v>
      </x:c>
      <x:c r="E134" s="58" t="b">
        <x:v>1</x:v>
      </x:c>
      <x:c r="F134" s="13" t="str">
        <x:f>IF(D134=E134,"PASS","FAIL")</x:f>
        <x:v>PASS</x:v>
      </x:c>
    </x:row>
    <x:row r="135">
      <x:c r="A135" s="13" t="str">
        <x:v>RU-HU-C-02</x:v>
      </x:c>
      <x:c r="B135" s="13" t="str">
        <x:v>Root unit</x:v>
      </x:c>
      <x:c r="C135" s="13" t="str">
        <x:v>HU-C positions unchanged</x:v>
      </x:c>
      <x:c r="D135" s="13" t="b">
        <x:f>'Root Units'!D24=34</x:f>
        <x:v>1</x:v>
      </x:c>
      <x:c r="E135" s="58" t="b">
        <x:v>1</x:v>
      </x:c>
      <x:c r="F135" s="13" t="str">
        <x:f>IF(D135=E135,"PASS","FAIL")</x:f>
        <x:v>PASS</x:v>
      </x:c>
    </x:row>
    <x:row r="136">
      <x:c r="A136" s="13" t="str">
        <x:v>RU-HU-C-03</x:v>
      </x:c>
      <x:c r="B136" s="13" t="str">
        <x:v>Root unit</x:v>
      </x:c>
      <x:c r="C136" s="13" t="str">
        <x:v>HU-C labor intensity positive</x:v>
      </x:c>
      <x:c r="D136" s="13" t="b">
        <x:f>'Root Units'!F24&gt;0</x:f>
        <x:v>1</x:v>
      </x:c>
      <x:c r="E136" s="58" t="b">
        <x:v>1</x:v>
      </x:c>
      <x:c r="F136" s="13" t="str">
        <x:f>IF(D136=E136,"PASS","FAIL")</x:f>
        <x:v>PASS</x:v>
      </x:c>
    </x:row>
    <x:row r="137">
      <x:c r="A137" s="13" t="str">
        <x:v>RU-HU-C-04</x:v>
      </x:c>
      <x:c r="B137" s="13" t="str">
        <x:v>Root unit</x:v>
      </x:c>
      <x:c r="C137" s="13" t="str">
        <x:v>HU-C process energy positive</x:v>
      </x:c>
      <x:c r="D137" s="13" t="b">
        <x:f>'Root Units'!G24&gt;0</x:f>
        <x:v>1</x:v>
      </x:c>
      <x:c r="E137" s="58" t="b">
        <x:v>1</x:v>
      </x:c>
      <x:c r="F137" s="13" t="str">
        <x:f>IF(D137=E137,"PASS","FAIL")</x:f>
        <x:v>PASS</x:v>
      </x:c>
    </x:row>
    <x:row r="138">
      <x:c r="A138" s="13" t="str">
        <x:v>RU-HU-C-05</x:v>
      </x:c>
      <x:c r="B138" s="13" t="str">
        <x:v>Root unit</x:v>
      </x:c>
      <x:c r="C138" s="13" t="str">
        <x:v>HU-C public rate formula</x:v>
      </x:c>
      <x:c r="D138" s="13" t="b">
        <x:f>ABS('Root Units'!H24-'Root Units'!E24*Controls!$B$24/365)&lt;0.000001</x:f>
        <x:v>1</x:v>
      </x:c>
      <x:c r="E138" s="58" t="b">
        <x:v>1</x:v>
      </x:c>
      <x:c r="F138" s="13" t="str">
        <x:f>IF(D138=E138,"PASS","FAIL")</x:f>
        <x:v>PASS</x:v>
      </x:c>
    </x:row>
    <x:row r="139">
      <x:c r="A139" s="13" t="str">
        <x:v>RU-HU-C-06</x:v>
      </x:c>
      <x:c r="B139" s="13" t="str">
        <x:v>Root unit</x:v>
      </x:c>
      <x:c r="C139" s="13" t="str">
        <x:v>HU-C private rate formula</x:v>
      </x:c>
      <x:c r="D139" s="13" t="b">
        <x:f>ABS('Root Units'!I24-MAX('Root Units'!E24/Controls!$B$19,'Root Units'!E24*Controls!$B$20/365))&lt;0.000001</x:f>
        <x:v>1</x:v>
      </x:c>
      <x:c r="E139" s="58" t="b">
        <x:v>1</x:v>
      </x:c>
      <x:c r="F139" s="13" t="str">
        <x:f>IF(D139=E139,"PASS","FAIL")</x:f>
        <x:v>PASS</x:v>
      </x:c>
    </x:row>
    <x:row r="140">
      <x:c r="A140" s="13" t="str">
        <x:v>RU-HU-D-01</x:v>
      </x:c>
      <x:c r="B140" s="13" t="str">
        <x:v>Root unit</x:v>
      </x:c>
      <x:c r="C140" s="13" t="str">
        <x:v>HU-D dry mass positive</x:v>
      </x:c>
      <x:c r="D140" s="13" t="b">
        <x:f>'Root Units'!E25&gt;0</x:f>
        <x:v>1</x:v>
      </x:c>
      <x:c r="E140" s="58" t="b">
        <x:v>1</x:v>
      </x:c>
      <x:c r="F140" s="13" t="str">
        <x:f>IF(D140=E140,"PASS","FAIL")</x:f>
        <x:v>PASS</x:v>
      </x:c>
    </x:row>
    <x:row r="141">
      <x:c r="A141" s="13" t="str">
        <x:v>RU-HU-D-02</x:v>
      </x:c>
      <x:c r="B141" s="13" t="str">
        <x:v>Root unit</x:v>
      </x:c>
      <x:c r="C141" s="13" t="str">
        <x:v>HU-D positions unchanged</x:v>
      </x:c>
      <x:c r="D141" s="13" t="b">
        <x:f>'Root Units'!D25=34</x:f>
        <x:v>1</x:v>
      </x:c>
      <x:c r="E141" s="58" t="b">
        <x:v>1</x:v>
      </x:c>
      <x:c r="F141" s="13" t="str">
        <x:f>IF(D141=E141,"PASS","FAIL")</x:f>
        <x:v>PASS</x:v>
      </x:c>
    </x:row>
    <x:row r="142">
      <x:c r="A142" s="13" t="str">
        <x:v>RU-HU-D-03</x:v>
      </x:c>
      <x:c r="B142" s="13" t="str">
        <x:v>Root unit</x:v>
      </x:c>
      <x:c r="C142" s="13" t="str">
        <x:v>HU-D labor intensity positive</x:v>
      </x:c>
      <x:c r="D142" s="13" t="b">
        <x:f>'Root Units'!F25&gt;0</x:f>
        <x:v>1</x:v>
      </x:c>
      <x:c r="E142" s="58" t="b">
        <x:v>1</x:v>
      </x:c>
      <x:c r="F142" s="13" t="str">
        <x:f>IF(D142=E142,"PASS","FAIL")</x:f>
        <x:v>PASS</x:v>
      </x:c>
    </x:row>
    <x:row r="143">
      <x:c r="A143" s="13" t="str">
        <x:v>RU-HU-D-04</x:v>
      </x:c>
      <x:c r="B143" s="13" t="str">
        <x:v>Root unit</x:v>
      </x:c>
      <x:c r="C143" s="13" t="str">
        <x:v>HU-D process energy positive</x:v>
      </x:c>
      <x:c r="D143" s="13" t="b">
        <x:f>'Root Units'!G25&gt;0</x:f>
        <x:v>1</x:v>
      </x:c>
      <x:c r="E143" s="58" t="b">
        <x:v>1</x:v>
      </x:c>
      <x:c r="F143" s="13" t="str">
        <x:f>IF(D143=E143,"PASS","FAIL")</x:f>
        <x:v>PASS</x:v>
      </x:c>
    </x:row>
    <x:row r="144">
      <x:c r="A144" s="13" t="str">
        <x:v>RU-HU-D-05</x:v>
      </x:c>
      <x:c r="B144" s="13" t="str">
        <x:v>Root unit</x:v>
      </x:c>
      <x:c r="C144" s="13" t="str">
        <x:v>HU-D public rate formula</x:v>
      </x:c>
      <x:c r="D144" s="13" t="b">
        <x:f>ABS('Root Units'!H25-'Root Units'!E25*Controls!$B$24/365)&lt;0.000001</x:f>
        <x:v>1</x:v>
      </x:c>
      <x:c r="E144" s="58" t="b">
        <x:v>1</x:v>
      </x:c>
      <x:c r="F144" s="13" t="str">
        <x:f>IF(D144=E144,"PASS","FAIL")</x:f>
        <x:v>PASS</x:v>
      </x:c>
    </x:row>
    <x:row r="145">
      <x:c r="A145" s="13" t="str">
        <x:v>RU-HU-D-06</x:v>
      </x:c>
      <x:c r="B145" s="13" t="str">
        <x:v>Root unit</x:v>
      </x:c>
      <x:c r="C145" s="13" t="str">
        <x:v>HU-D private rate formula</x:v>
      </x:c>
      <x:c r="D145" s="13" t="b">
        <x:f>ABS('Root Units'!I25-MAX('Root Units'!E25/Controls!$B$19,'Root Units'!E25*Controls!$B$20/365))&lt;0.000001</x:f>
        <x:v>1</x:v>
      </x:c>
      <x:c r="E145" s="58" t="b">
        <x:v>1</x:v>
      </x:c>
      <x:c r="F145" s="13" t="str">
        <x:f>IF(D145=E145,"PASS","FAIL")</x:f>
        <x:v>PASS</x:v>
      </x:c>
    </x:row>
    <x:row r="146">
      <x:c r="A146" s="13" t="str">
        <x:v>RU-RT-A-01</x:v>
      </x:c>
      <x:c r="B146" s="13" t="str">
        <x:v>Root unit</x:v>
      </x:c>
      <x:c r="C146" s="13" t="str">
        <x:v>RT-A dry mass positive</x:v>
      </x:c>
      <x:c r="D146" s="13" t="b">
        <x:f>'Root Units'!E26&gt;0</x:f>
        <x:v>1</x:v>
      </x:c>
      <x:c r="E146" s="58" t="b">
        <x:v>1</x:v>
      </x:c>
      <x:c r="F146" s="13" t="str">
        <x:f>IF(D146=E146,"PASS","FAIL")</x:f>
        <x:v>PASS</x:v>
      </x:c>
    </x:row>
    <x:row r="147">
      <x:c r="A147" s="13" t="str">
        <x:v>RU-RT-A-02</x:v>
      </x:c>
      <x:c r="B147" s="13" t="str">
        <x:v>Root unit</x:v>
      </x:c>
      <x:c r="C147" s="13" t="str">
        <x:v>RT-A positions unchanged</x:v>
      </x:c>
      <x:c r="D147" s="13" t="b">
        <x:f>'Root Units'!D26=17</x:f>
        <x:v>1</x:v>
      </x:c>
      <x:c r="E147" s="58" t="b">
        <x:v>1</x:v>
      </x:c>
      <x:c r="F147" s="13" t="str">
        <x:f>IF(D147=E147,"PASS","FAIL")</x:f>
        <x:v>PASS</x:v>
      </x:c>
    </x:row>
    <x:row r="148">
      <x:c r="A148" s="13" t="str">
        <x:v>RU-RT-A-03</x:v>
      </x:c>
      <x:c r="B148" s="13" t="str">
        <x:v>Root unit</x:v>
      </x:c>
      <x:c r="C148" s="13" t="str">
        <x:v>RT-A labor intensity positive</x:v>
      </x:c>
      <x:c r="D148" s="13" t="b">
        <x:f>'Root Units'!F26&gt;0</x:f>
        <x:v>1</x:v>
      </x:c>
      <x:c r="E148" s="58" t="b">
        <x:v>1</x:v>
      </x:c>
      <x:c r="F148" s="13" t="str">
        <x:f>IF(D148=E148,"PASS","FAIL")</x:f>
        <x:v>PASS</x:v>
      </x:c>
    </x:row>
    <x:row r="149">
      <x:c r="A149" s="13" t="str">
        <x:v>RU-RT-A-04</x:v>
      </x:c>
      <x:c r="B149" s="13" t="str">
        <x:v>Root unit</x:v>
      </x:c>
      <x:c r="C149" s="13" t="str">
        <x:v>RT-A process energy positive</x:v>
      </x:c>
      <x:c r="D149" s="13" t="b">
        <x:f>'Root Units'!G26&gt;0</x:f>
        <x:v>1</x:v>
      </x:c>
      <x:c r="E149" s="58" t="b">
        <x:v>1</x:v>
      </x:c>
      <x:c r="F149" s="13" t="str">
        <x:f>IF(D149=E149,"PASS","FAIL")</x:f>
        <x:v>PASS</x:v>
      </x:c>
    </x:row>
    <x:row r="150">
      <x:c r="A150" s="13" t="str">
        <x:v>RU-RT-A-05</x:v>
      </x:c>
      <x:c r="B150" s="13" t="str">
        <x:v>Root unit</x:v>
      </x:c>
      <x:c r="C150" s="13" t="str">
        <x:v>RT-A public rate formula</x:v>
      </x:c>
      <x:c r="D150" s="13" t="b">
        <x:f>ABS('Root Units'!H26-'Root Units'!E26*Controls!$B$24/365)&lt;0.000001</x:f>
        <x:v>1</x:v>
      </x:c>
      <x:c r="E150" s="58" t="b">
        <x:v>1</x:v>
      </x:c>
      <x:c r="F150" s="13" t="str">
        <x:f>IF(D150=E150,"PASS","FAIL")</x:f>
        <x:v>PASS</x:v>
      </x:c>
    </x:row>
    <x:row r="151">
      <x:c r="A151" s="13" t="str">
        <x:v>RU-RT-A-06</x:v>
      </x:c>
      <x:c r="B151" s="13" t="str">
        <x:v>Root unit</x:v>
      </x:c>
      <x:c r="C151" s="13" t="str">
        <x:v>RT-A private rate formula</x:v>
      </x:c>
      <x:c r="D151" s="13" t="b">
        <x:f>ABS('Root Units'!I26-MAX('Root Units'!E26/Controls!$B$19,'Root Units'!E26*Controls!$B$20/365))&lt;0.000001</x:f>
        <x:v>1</x:v>
      </x:c>
      <x:c r="E151" s="58" t="b">
        <x:v>1</x:v>
      </x:c>
      <x:c r="F151" s="13" t="str">
        <x:f>IF(D151=E151,"PASS","FAIL")</x:f>
        <x:v>PASS</x:v>
      </x:c>
    </x:row>
    <x:row r="152">
      <x:c r="A152" s="13" t="str">
        <x:v>RU-RT-B-01</x:v>
      </x:c>
      <x:c r="B152" s="13" t="str">
        <x:v>Root unit</x:v>
      </x:c>
      <x:c r="C152" s="13" t="str">
        <x:v>RT-B dry mass positive</x:v>
      </x:c>
      <x:c r="D152" s="13" t="b">
        <x:f>'Root Units'!E27&gt;0</x:f>
        <x:v>1</x:v>
      </x:c>
      <x:c r="E152" s="58" t="b">
        <x:v>1</x:v>
      </x:c>
      <x:c r="F152" s="13" t="str">
        <x:f>IF(D152=E152,"PASS","FAIL")</x:f>
        <x:v>PASS</x:v>
      </x:c>
    </x:row>
    <x:row r="153">
      <x:c r="A153" s="13" t="str">
        <x:v>RU-RT-B-02</x:v>
      </x:c>
      <x:c r="B153" s="13" t="str">
        <x:v>Root unit</x:v>
      </x:c>
      <x:c r="C153" s="13" t="str">
        <x:v>RT-B positions unchanged</x:v>
      </x:c>
      <x:c r="D153" s="13" t="b">
        <x:f>'Root Units'!D27=17</x:f>
        <x:v>1</x:v>
      </x:c>
      <x:c r="E153" s="58" t="b">
        <x:v>1</x:v>
      </x:c>
      <x:c r="F153" s="13" t="str">
        <x:f>IF(D153=E153,"PASS","FAIL")</x:f>
        <x:v>PASS</x:v>
      </x:c>
    </x:row>
    <x:row r="154">
      <x:c r="A154" s="13" t="str">
        <x:v>RU-RT-B-03</x:v>
      </x:c>
      <x:c r="B154" s="13" t="str">
        <x:v>Root unit</x:v>
      </x:c>
      <x:c r="C154" s="13" t="str">
        <x:v>RT-B labor intensity positive</x:v>
      </x:c>
      <x:c r="D154" s="13" t="b">
        <x:f>'Root Units'!F27&gt;0</x:f>
        <x:v>1</x:v>
      </x:c>
      <x:c r="E154" s="58" t="b">
        <x:v>1</x:v>
      </x:c>
      <x:c r="F154" s="13" t="str">
        <x:f>IF(D154=E154,"PASS","FAIL")</x:f>
        <x:v>PASS</x:v>
      </x:c>
    </x:row>
    <x:row r="155">
      <x:c r="A155" s="13" t="str">
        <x:v>RU-RT-B-04</x:v>
      </x:c>
      <x:c r="B155" s="13" t="str">
        <x:v>Root unit</x:v>
      </x:c>
      <x:c r="C155" s="13" t="str">
        <x:v>RT-B process energy positive</x:v>
      </x:c>
      <x:c r="D155" s="13" t="b">
        <x:f>'Root Units'!G27&gt;0</x:f>
        <x:v>1</x:v>
      </x:c>
      <x:c r="E155" s="58" t="b">
        <x:v>1</x:v>
      </x:c>
      <x:c r="F155" s="13" t="str">
        <x:f>IF(D155=E155,"PASS","FAIL")</x:f>
        <x:v>PASS</x:v>
      </x:c>
    </x:row>
    <x:row r="156">
      <x:c r="A156" s="13" t="str">
        <x:v>RU-RT-B-05</x:v>
      </x:c>
      <x:c r="B156" s="13" t="str">
        <x:v>Root unit</x:v>
      </x:c>
      <x:c r="C156" s="13" t="str">
        <x:v>RT-B public rate formula</x:v>
      </x:c>
      <x:c r="D156" s="13" t="b">
        <x:f>ABS('Root Units'!H27-'Root Units'!E27*Controls!$B$24/365)&lt;0.000001</x:f>
        <x:v>1</x:v>
      </x:c>
      <x:c r="E156" s="58" t="b">
        <x:v>1</x:v>
      </x:c>
      <x:c r="F156" s="13" t="str">
        <x:f>IF(D156=E156,"PASS","FAIL")</x:f>
        <x:v>PASS</x:v>
      </x:c>
    </x:row>
    <x:row r="157">
      <x:c r="A157" s="13" t="str">
        <x:v>RU-RT-B-06</x:v>
      </x:c>
      <x:c r="B157" s="13" t="str">
        <x:v>Root unit</x:v>
      </x:c>
      <x:c r="C157" s="13" t="str">
        <x:v>RT-B private rate formula</x:v>
      </x:c>
      <x:c r="D157" s="13" t="b">
        <x:f>ABS('Root Units'!I27-MAX('Root Units'!E27/Controls!$B$19,'Root Units'!E27*Controls!$B$20/365))&lt;0.000001</x:f>
        <x:v>1</x:v>
      </x:c>
      <x:c r="E157" s="58" t="b">
        <x:v>1</x:v>
      </x:c>
      <x:c r="F157" s="13" t="str">
        <x:f>IF(D157=E157,"PASS","FAIL")</x:f>
        <x:v>PASS</x:v>
      </x:c>
    </x:row>
    <x:row r="158">
      <x:c r="A158" s="13" t="str">
        <x:v>RU-RT-C-01</x:v>
      </x:c>
      <x:c r="B158" s="13" t="str">
        <x:v>Root unit</x:v>
      </x:c>
      <x:c r="C158" s="13" t="str">
        <x:v>RT-C dry mass positive</x:v>
      </x:c>
      <x:c r="D158" s="13" t="b">
        <x:f>'Root Units'!E28&gt;0</x:f>
        <x:v>1</x:v>
      </x:c>
      <x:c r="E158" s="58" t="b">
        <x:v>1</x:v>
      </x:c>
      <x:c r="F158" s="13" t="str">
        <x:f>IF(D158=E158,"PASS","FAIL")</x:f>
        <x:v>PASS</x:v>
      </x:c>
    </x:row>
    <x:row r="159">
      <x:c r="A159" s="13" t="str">
        <x:v>RU-RT-C-02</x:v>
      </x:c>
      <x:c r="B159" s="13" t="str">
        <x:v>Root unit</x:v>
      </x:c>
      <x:c r="C159" s="13" t="str">
        <x:v>RT-C positions unchanged</x:v>
      </x:c>
      <x:c r="D159" s="13" t="b">
        <x:f>'Root Units'!D28=17</x:f>
        <x:v>1</x:v>
      </x:c>
      <x:c r="E159" s="58" t="b">
        <x:v>1</x:v>
      </x:c>
      <x:c r="F159" s="13" t="str">
        <x:f>IF(D159=E159,"PASS","FAIL")</x:f>
        <x:v>PASS</x:v>
      </x:c>
    </x:row>
    <x:row r="160">
      <x:c r="A160" s="13" t="str">
        <x:v>RU-RT-C-03</x:v>
      </x:c>
      <x:c r="B160" s="13" t="str">
        <x:v>Root unit</x:v>
      </x:c>
      <x:c r="C160" s="13" t="str">
        <x:v>RT-C labor intensity positive</x:v>
      </x:c>
      <x:c r="D160" s="13" t="b">
        <x:f>'Root Units'!F28&gt;0</x:f>
        <x:v>1</x:v>
      </x:c>
      <x:c r="E160" s="58" t="b">
        <x:v>1</x:v>
      </x:c>
      <x:c r="F160" s="13" t="str">
        <x:f>IF(D160=E160,"PASS","FAIL")</x:f>
        <x:v>PASS</x:v>
      </x:c>
    </x:row>
    <x:row r="161">
      <x:c r="A161" s="13" t="str">
        <x:v>RU-RT-C-04</x:v>
      </x:c>
      <x:c r="B161" s="13" t="str">
        <x:v>Root unit</x:v>
      </x:c>
      <x:c r="C161" s="13" t="str">
        <x:v>RT-C process energy positive</x:v>
      </x:c>
      <x:c r="D161" s="13" t="b">
        <x:f>'Root Units'!G28&gt;0</x:f>
        <x:v>1</x:v>
      </x:c>
      <x:c r="E161" s="58" t="b">
        <x:v>1</x:v>
      </x:c>
      <x:c r="F161" s="13" t="str">
        <x:f>IF(D161=E161,"PASS","FAIL")</x:f>
        <x:v>PASS</x:v>
      </x:c>
    </x:row>
    <x:row r="162">
      <x:c r="A162" s="13" t="str">
        <x:v>RU-RT-C-05</x:v>
      </x:c>
      <x:c r="B162" s="13" t="str">
        <x:v>Root unit</x:v>
      </x:c>
      <x:c r="C162" s="13" t="str">
        <x:v>RT-C public rate formula</x:v>
      </x:c>
      <x:c r="D162" s="13" t="b">
        <x:f>ABS('Root Units'!H28-'Root Units'!E28*Controls!$B$24/365)&lt;0.000001</x:f>
        <x:v>1</x:v>
      </x:c>
      <x:c r="E162" s="58" t="b">
        <x:v>1</x:v>
      </x:c>
      <x:c r="F162" s="13" t="str">
        <x:f>IF(D162=E162,"PASS","FAIL")</x:f>
        <x:v>PASS</x:v>
      </x:c>
    </x:row>
    <x:row r="163">
      <x:c r="A163" s="13" t="str">
        <x:v>RU-RT-C-06</x:v>
      </x:c>
      <x:c r="B163" s="13" t="str">
        <x:v>Root unit</x:v>
      </x:c>
      <x:c r="C163" s="13" t="str">
        <x:v>RT-C private rate formula</x:v>
      </x:c>
      <x:c r="D163" s="13" t="b">
        <x:f>ABS('Root Units'!I28-MAX('Root Units'!E28/Controls!$B$19,'Root Units'!E28*Controls!$B$20/365))&lt;0.000001</x:f>
        <x:v>1</x:v>
      </x:c>
      <x:c r="E163" s="58" t="b">
        <x:v>1</x:v>
      </x:c>
      <x:c r="F163" s="13" t="str">
        <x:f>IF(D163=E163,"PASS","FAIL")</x:f>
        <x:v>PASS</x:v>
      </x:c>
    </x:row>
    <x:row r="164">
      <x:c r="A164" s="13" t="str">
        <x:v>RU-RT-D-01</x:v>
      </x:c>
      <x:c r="B164" s="13" t="str">
        <x:v>Root unit</x:v>
      </x:c>
      <x:c r="C164" s="13" t="str">
        <x:v>RT-D dry mass positive</x:v>
      </x:c>
      <x:c r="D164" s="13" t="b">
        <x:f>'Root Units'!E29&gt;0</x:f>
        <x:v>1</x:v>
      </x:c>
      <x:c r="E164" s="58" t="b">
        <x:v>1</x:v>
      </x:c>
      <x:c r="F164" s="13" t="str">
        <x:f>IF(D164=E164,"PASS","FAIL")</x:f>
        <x:v>PASS</x:v>
      </x:c>
    </x:row>
    <x:row r="165">
      <x:c r="A165" s="13" t="str">
        <x:v>RU-RT-D-02</x:v>
      </x:c>
      <x:c r="B165" s="13" t="str">
        <x:v>Root unit</x:v>
      </x:c>
      <x:c r="C165" s="13" t="str">
        <x:v>RT-D positions unchanged</x:v>
      </x:c>
      <x:c r="D165" s="13" t="b">
        <x:f>'Root Units'!D29=17</x:f>
        <x:v>1</x:v>
      </x:c>
      <x:c r="E165" s="58" t="b">
        <x:v>1</x:v>
      </x:c>
      <x:c r="F165" s="13" t="str">
        <x:f>IF(D165=E165,"PASS","FAIL")</x:f>
        <x:v>PASS</x:v>
      </x:c>
    </x:row>
    <x:row r="166">
      <x:c r="A166" s="13" t="str">
        <x:v>RU-RT-D-03</x:v>
      </x:c>
      <x:c r="B166" s="13" t="str">
        <x:v>Root unit</x:v>
      </x:c>
      <x:c r="C166" s="13" t="str">
        <x:v>RT-D labor intensity positive</x:v>
      </x:c>
      <x:c r="D166" s="13" t="b">
        <x:f>'Root Units'!F29&gt;0</x:f>
        <x:v>1</x:v>
      </x:c>
      <x:c r="E166" s="58" t="b">
        <x:v>1</x:v>
      </x:c>
      <x:c r="F166" s="13" t="str">
        <x:f>IF(D166=E166,"PASS","FAIL")</x:f>
        <x:v>PASS</x:v>
      </x:c>
    </x:row>
    <x:row r="167">
      <x:c r="A167" s="13" t="str">
        <x:v>RU-RT-D-04</x:v>
      </x:c>
      <x:c r="B167" s="13" t="str">
        <x:v>Root unit</x:v>
      </x:c>
      <x:c r="C167" s="13" t="str">
        <x:v>RT-D process energy positive</x:v>
      </x:c>
      <x:c r="D167" s="13" t="b">
        <x:f>'Root Units'!G29&gt;0</x:f>
        <x:v>1</x:v>
      </x:c>
      <x:c r="E167" s="58" t="b">
        <x:v>1</x:v>
      </x:c>
      <x:c r="F167" s="13" t="str">
        <x:f>IF(D167=E167,"PASS","FAIL")</x:f>
        <x:v>PASS</x:v>
      </x:c>
    </x:row>
    <x:row r="168">
      <x:c r="A168" s="13" t="str">
        <x:v>RU-RT-D-05</x:v>
      </x:c>
      <x:c r="B168" s="13" t="str">
        <x:v>Root unit</x:v>
      </x:c>
      <x:c r="C168" s="13" t="str">
        <x:v>RT-D public rate formula</x:v>
      </x:c>
      <x:c r="D168" s="13" t="b">
        <x:f>ABS('Root Units'!H29-'Root Units'!E29*Controls!$B$24/365)&lt;0.000001</x:f>
        <x:v>1</x:v>
      </x:c>
      <x:c r="E168" s="58" t="b">
        <x:v>1</x:v>
      </x:c>
      <x:c r="F168" s="13" t="str">
        <x:f>IF(D168=E168,"PASS","FAIL")</x:f>
        <x:v>PASS</x:v>
      </x:c>
    </x:row>
    <x:row r="169">
      <x:c r="A169" s="13" t="str">
        <x:v>RU-RT-D-06</x:v>
      </x:c>
      <x:c r="B169" s="13" t="str">
        <x:v>Root unit</x:v>
      </x:c>
      <x:c r="C169" s="13" t="str">
        <x:v>RT-D private rate formula</x:v>
      </x:c>
      <x:c r="D169" s="13" t="b">
        <x:f>ABS('Root Units'!I29-MAX('Root Units'!E29/Controls!$B$19,'Root Units'!E29*Controls!$B$20/365))&lt;0.000001</x:f>
        <x:v>1</x:v>
      </x:c>
      <x:c r="E169" s="58" t="b">
        <x:v>1</x:v>
      </x:c>
      <x:c r="F169" s="13" t="str">
        <x:f>IF(D169=E169,"PASS","FAIL")</x:f>
        <x:v>PASS</x:v>
      </x:c>
    </x:row>
    <x:row r="170">
      <x:c r="A170" s="13" t="str">
        <x:v>PV-TE-A-01</x:v>
      </x:c>
      <x:c r="B170" s="13" t="str">
        <x:v>Private recovery</x:v>
      </x:c>
      <x:c r="C170" s="13" t="str">
        <x:v>TE-A planning passes</x:v>
      </x:c>
      <x:c r="D170" s="13" t="str">
        <x:f>'Private Recovery'!Q6</x:f>
        <x:v>PASS</x:v>
      </x:c>
      <x:c r="E170" s="13" t="str">
        <x:v>PASS</x:v>
      </x:c>
      <x:c r="F170" s="13" t="str">
        <x:f>IF(D170=E170,"PASS","FAIL")</x:f>
        <x:v>PASS</x:v>
      </x:c>
    </x:row>
    <x:row r="171">
      <x:c r="A171" s="13" t="str">
        <x:v>PV-TE-A-02</x:v>
      </x:c>
      <x:c r="B171" s="13" t="str">
        <x:v>Private recovery</x:v>
      </x:c>
      <x:c r="C171" s="13" t="str">
        <x:v>TE-A largest-site rate closes</x:v>
      </x:c>
      <x:c r="D171" s="13" t="b">
        <x:f>'Private Recovery'!H6&gt;='Private Recovery'!D6</x:f>
        <x:v>1</x:v>
      </x:c>
      <x:c r="E171" s="58" t="b">
        <x:v>1</x:v>
      </x:c>
      <x:c r="F171" s="13" t="str">
        <x:f>IF(D171=E171,"PASS","FAIL")</x:f>
        <x:v>PASS</x:v>
      </x:c>
    </x:row>
    <x:row r="172">
      <x:c r="A172" s="13" t="str">
        <x:v>PV-TE-A-03</x:v>
      </x:c>
      <x:c r="B172" s="13" t="str">
        <x:v>Private recovery</x:v>
      </x:c>
      <x:c r="C172" s="13" t="str">
        <x:v>TE-A minimum site count</x:v>
      </x:c>
      <x:c r="D172" s="13" t="b">
        <x:f>'Private Recovery'!E6&gt;=3</x:f>
        <x:v>1</x:v>
      </x:c>
      <x:c r="E172" s="58" t="b">
        <x:v>1</x:v>
      </x:c>
      <x:c r="F172" s="13" t="str">
        <x:f>IF(D172=E172,"PASS","FAIL")</x:f>
        <x:v>PASS</x:v>
      </x:c>
    </x:row>
    <x:row r="173">
      <x:c r="A173" s="13" t="str">
        <x:v>PV-TE-A-04</x:v>
      </x:c>
      <x:c r="B173" s="13" t="str">
        <x:v>Private recovery</x:v>
      </x:c>
      <x:c r="C173" s="13" t="str">
        <x:v>TE-A site-share cap</x:v>
      </x:c>
      <x:c r="D173" s="13" t="b">
        <x:f>'Private Recovery'!F6&lt;=0.4</x:f>
        <x:v>1</x:v>
      </x:c>
      <x:c r="E173" s="58" t="b">
        <x:v>1</x:v>
      </x:c>
      <x:c r="F173" s="13" t="str">
        <x:f>IF(D173=E173,"PASS","FAIL")</x:f>
        <x:v>PASS</x:v>
      </x:c>
    </x:row>
    <x:row r="174">
      <x:c r="A174" s="13" t="str">
        <x:v>PV-TE-A-05</x:v>
      </x:c>
      <x:c r="B174" s="13" t="str">
        <x:v>Private recovery</x:v>
      </x:c>
      <x:c r="C174" s="13" t="str">
        <x:v>TE-A first-lot clock</x:v>
      </x:c>
      <x:c r="D174" s="13" t="b">
        <x:f>'Private Recovery'!I6&lt;=30</x:f>
        <x:v>1</x:v>
      </x:c>
      <x:c r="E174" s="58" t="b">
        <x:v>1</x:v>
      </x:c>
      <x:c r="F174" s="13" t="str">
        <x:f>IF(D174=E174,"PASS","FAIL")</x:f>
        <x:v>PASS</x:v>
      </x:c>
    </x:row>
    <x:row r="175">
      <x:c r="A175" s="13" t="str">
        <x:v>PV-TE-A-06</x:v>
      </x:c>
      <x:c r="B175" s="13" t="str">
        <x:v>Private recovery</x:v>
      </x:c>
      <x:c r="C175" s="13" t="str">
        <x:v>TE-A source state</x:v>
      </x:c>
      <x:c r="D175" s="13" t="str">
        <x:f>'Private Recovery'!R6</x:f>
        <x:v>SOURCE EMPTY</x:v>
      </x:c>
      <x:c r="E175" s="13" t="str">
        <x:v>SOURCE EMPTY</x:v>
      </x:c>
      <x:c r="F175" s="13" t="str">
        <x:f>IF(D175=E175,"PASS","FAIL")</x:f>
        <x:v>PASS</x:v>
      </x:c>
    </x:row>
    <x:row r="176">
      <x:c r="A176" s="13" t="str">
        <x:v>PV-TE-B-01</x:v>
      </x:c>
      <x:c r="B176" s="13" t="str">
        <x:v>Private recovery</x:v>
      </x:c>
      <x:c r="C176" s="13" t="str">
        <x:v>TE-B planning passes</x:v>
      </x:c>
      <x:c r="D176" s="13" t="str">
        <x:f>'Private Recovery'!Q7</x:f>
        <x:v>PASS</x:v>
      </x:c>
      <x:c r="E176" s="13" t="str">
        <x:v>PASS</x:v>
      </x:c>
      <x:c r="F176" s="13" t="str">
        <x:f>IF(D176=E176,"PASS","FAIL")</x:f>
        <x:v>PASS</x:v>
      </x:c>
    </x:row>
    <x:row r="177">
      <x:c r="A177" s="13" t="str">
        <x:v>PV-TE-B-02</x:v>
      </x:c>
      <x:c r="B177" s="13" t="str">
        <x:v>Private recovery</x:v>
      </x:c>
      <x:c r="C177" s="13" t="str">
        <x:v>TE-B largest-site rate closes</x:v>
      </x:c>
      <x:c r="D177" s="13" t="b">
        <x:f>'Private Recovery'!H7&gt;='Private Recovery'!D7</x:f>
        <x:v>1</x:v>
      </x:c>
      <x:c r="E177" s="58" t="b">
        <x:v>1</x:v>
      </x:c>
      <x:c r="F177" s="13" t="str">
        <x:f>IF(D177=E177,"PASS","FAIL")</x:f>
        <x:v>PASS</x:v>
      </x:c>
    </x:row>
    <x:row r="178">
      <x:c r="A178" s="13" t="str">
        <x:v>PV-TE-B-03</x:v>
      </x:c>
      <x:c r="B178" s="13" t="str">
        <x:v>Private recovery</x:v>
      </x:c>
      <x:c r="C178" s="13" t="str">
        <x:v>TE-B minimum site count</x:v>
      </x:c>
      <x:c r="D178" s="13" t="b">
        <x:f>'Private Recovery'!E7&gt;=3</x:f>
        <x:v>1</x:v>
      </x:c>
      <x:c r="E178" s="58" t="b">
        <x:v>1</x:v>
      </x:c>
      <x:c r="F178" s="13" t="str">
        <x:f>IF(D178=E178,"PASS","FAIL")</x:f>
        <x:v>PASS</x:v>
      </x:c>
    </x:row>
    <x:row r="179">
      <x:c r="A179" s="13" t="str">
        <x:v>PV-TE-B-04</x:v>
      </x:c>
      <x:c r="B179" s="13" t="str">
        <x:v>Private recovery</x:v>
      </x:c>
      <x:c r="C179" s="13" t="str">
        <x:v>TE-B site-share cap</x:v>
      </x:c>
      <x:c r="D179" s="13" t="b">
        <x:f>'Private Recovery'!F7&lt;=0.4</x:f>
        <x:v>1</x:v>
      </x:c>
      <x:c r="E179" s="58" t="b">
        <x:v>1</x:v>
      </x:c>
      <x:c r="F179" s="13" t="str">
        <x:f>IF(D179=E179,"PASS","FAIL")</x:f>
        <x:v>PASS</x:v>
      </x:c>
    </x:row>
    <x:row r="180">
      <x:c r="A180" s="13" t="str">
        <x:v>PV-TE-B-05</x:v>
      </x:c>
      <x:c r="B180" s="13" t="str">
        <x:v>Private recovery</x:v>
      </x:c>
      <x:c r="C180" s="13" t="str">
        <x:v>TE-B first-lot clock</x:v>
      </x:c>
      <x:c r="D180" s="13" t="b">
        <x:f>'Private Recovery'!I7&lt;=30</x:f>
        <x:v>1</x:v>
      </x:c>
      <x:c r="E180" s="58" t="b">
        <x:v>1</x:v>
      </x:c>
      <x:c r="F180" s="13" t="str">
        <x:f>IF(D180=E180,"PASS","FAIL")</x:f>
        <x:v>PASS</x:v>
      </x:c>
    </x:row>
    <x:row r="181">
      <x:c r="A181" s="13" t="str">
        <x:v>PV-TE-B-06</x:v>
      </x:c>
      <x:c r="B181" s="13" t="str">
        <x:v>Private recovery</x:v>
      </x:c>
      <x:c r="C181" s="13" t="str">
        <x:v>TE-B source state</x:v>
      </x:c>
      <x:c r="D181" s="13" t="str">
        <x:f>'Private Recovery'!R7</x:f>
        <x:v>SOURCE EMPTY</x:v>
      </x:c>
      <x:c r="E181" s="13" t="str">
        <x:v>SOURCE EMPTY</x:v>
      </x:c>
      <x:c r="F181" s="13" t="str">
        <x:f>IF(D181=E181,"PASS","FAIL")</x:f>
        <x:v>PASS</x:v>
      </x:c>
    </x:row>
    <x:row r="182">
      <x:c r="A182" s="13" t="str">
        <x:v>PV-TE-C-01</x:v>
      </x:c>
      <x:c r="B182" s="13" t="str">
        <x:v>Private recovery</x:v>
      </x:c>
      <x:c r="C182" s="13" t="str">
        <x:v>TE-C planning passes</x:v>
      </x:c>
      <x:c r="D182" s="13" t="str">
        <x:f>'Private Recovery'!Q8</x:f>
        <x:v>PASS</x:v>
      </x:c>
      <x:c r="E182" s="13" t="str">
        <x:v>PASS</x:v>
      </x:c>
      <x:c r="F182" s="13" t="str">
        <x:f>IF(D182=E182,"PASS","FAIL")</x:f>
        <x:v>PASS</x:v>
      </x:c>
    </x:row>
    <x:row r="183">
      <x:c r="A183" s="13" t="str">
        <x:v>PV-TE-C-02</x:v>
      </x:c>
      <x:c r="B183" s="13" t="str">
        <x:v>Private recovery</x:v>
      </x:c>
      <x:c r="C183" s="13" t="str">
        <x:v>TE-C largest-site rate closes</x:v>
      </x:c>
      <x:c r="D183" s="13" t="b">
        <x:f>'Private Recovery'!H8&gt;='Private Recovery'!D8</x:f>
        <x:v>1</x:v>
      </x:c>
      <x:c r="E183" s="58" t="b">
        <x:v>1</x:v>
      </x:c>
      <x:c r="F183" s="13" t="str">
        <x:f>IF(D183=E183,"PASS","FAIL")</x:f>
        <x:v>PASS</x:v>
      </x:c>
    </x:row>
    <x:row r="184">
      <x:c r="A184" s="13" t="str">
        <x:v>PV-TE-C-03</x:v>
      </x:c>
      <x:c r="B184" s="13" t="str">
        <x:v>Private recovery</x:v>
      </x:c>
      <x:c r="C184" s="13" t="str">
        <x:v>TE-C minimum site count</x:v>
      </x:c>
      <x:c r="D184" s="13" t="b">
        <x:f>'Private Recovery'!E8&gt;=3</x:f>
        <x:v>1</x:v>
      </x:c>
      <x:c r="E184" s="58" t="b">
        <x:v>1</x:v>
      </x:c>
      <x:c r="F184" s="13" t="str">
        <x:f>IF(D184=E184,"PASS","FAIL")</x:f>
        <x:v>PASS</x:v>
      </x:c>
    </x:row>
    <x:row r="185">
      <x:c r="A185" s="13" t="str">
        <x:v>PV-TE-C-04</x:v>
      </x:c>
      <x:c r="B185" s="13" t="str">
        <x:v>Private recovery</x:v>
      </x:c>
      <x:c r="C185" s="13" t="str">
        <x:v>TE-C site-share cap</x:v>
      </x:c>
      <x:c r="D185" s="13" t="b">
        <x:f>'Private Recovery'!F8&lt;=0.4</x:f>
        <x:v>1</x:v>
      </x:c>
      <x:c r="E185" s="58" t="b">
        <x:v>1</x:v>
      </x:c>
      <x:c r="F185" s="13" t="str">
        <x:f>IF(D185=E185,"PASS","FAIL")</x:f>
        <x:v>PASS</x:v>
      </x:c>
    </x:row>
    <x:row r="186">
      <x:c r="A186" s="13" t="str">
        <x:v>PV-TE-C-05</x:v>
      </x:c>
      <x:c r="B186" s="13" t="str">
        <x:v>Private recovery</x:v>
      </x:c>
      <x:c r="C186" s="13" t="str">
        <x:v>TE-C first-lot clock</x:v>
      </x:c>
      <x:c r="D186" s="13" t="b">
        <x:f>'Private Recovery'!I8&lt;=30</x:f>
        <x:v>1</x:v>
      </x:c>
      <x:c r="E186" s="58" t="b">
        <x:v>1</x:v>
      </x:c>
      <x:c r="F186" s="13" t="str">
        <x:f>IF(D186=E186,"PASS","FAIL")</x:f>
        <x:v>PASS</x:v>
      </x:c>
    </x:row>
    <x:row r="187">
      <x:c r="A187" s="13" t="str">
        <x:v>PV-TE-C-06</x:v>
      </x:c>
      <x:c r="B187" s="13" t="str">
        <x:v>Private recovery</x:v>
      </x:c>
      <x:c r="C187" s="13" t="str">
        <x:v>TE-C source state</x:v>
      </x:c>
      <x:c r="D187" s="13" t="str">
        <x:f>'Private Recovery'!R8</x:f>
        <x:v>SOURCE EMPTY</x:v>
      </x:c>
      <x:c r="E187" s="13" t="str">
        <x:v>SOURCE EMPTY</x:v>
      </x:c>
      <x:c r="F187" s="13" t="str">
        <x:f>IF(D187=E187,"PASS","FAIL")</x:f>
        <x:v>PASS</x:v>
      </x:c>
    </x:row>
    <x:row r="188">
      <x:c r="A188" s="13" t="str">
        <x:v>PV-TE-D-01</x:v>
      </x:c>
      <x:c r="B188" s="13" t="str">
        <x:v>Private recovery</x:v>
      </x:c>
      <x:c r="C188" s="13" t="str">
        <x:v>TE-D planning passes</x:v>
      </x:c>
      <x:c r="D188" s="13" t="str">
        <x:f>'Private Recovery'!Q9</x:f>
        <x:v>PASS</x:v>
      </x:c>
      <x:c r="E188" s="13" t="str">
        <x:v>PASS</x:v>
      </x:c>
      <x:c r="F188" s="13" t="str">
        <x:f>IF(D188=E188,"PASS","FAIL")</x:f>
        <x:v>PASS</x:v>
      </x:c>
    </x:row>
    <x:row r="189">
      <x:c r="A189" s="13" t="str">
        <x:v>PV-TE-D-02</x:v>
      </x:c>
      <x:c r="B189" s="13" t="str">
        <x:v>Private recovery</x:v>
      </x:c>
      <x:c r="C189" s="13" t="str">
        <x:v>TE-D largest-site rate closes</x:v>
      </x:c>
      <x:c r="D189" s="13" t="b">
        <x:f>'Private Recovery'!H9&gt;='Private Recovery'!D9</x:f>
        <x:v>1</x:v>
      </x:c>
      <x:c r="E189" s="58" t="b">
        <x:v>1</x:v>
      </x:c>
      <x:c r="F189" s="13" t="str">
        <x:f>IF(D189=E189,"PASS","FAIL")</x:f>
        <x:v>PASS</x:v>
      </x:c>
    </x:row>
    <x:row r="190">
      <x:c r="A190" s="13" t="str">
        <x:v>PV-TE-D-03</x:v>
      </x:c>
      <x:c r="B190" s="13" t="str">
        <x:v>Private recovery</x:v>
      </x:c>
      <x:c r="C190" s="13" t="str">
        <x:v>TE-D minimum site count</x:v>
      </x:c>
      <x:c r="D190" s="13" t="b">
        <x:f>'Private Recovery'!E9&gt;=3</x:f>
        <x:v>1</x:v>
      </x:c>
      <x:c r="E190" s="58" t="b">
        <x:v>1</x:v>
      </x:c>
      <x:c r="F190" s="13" t="str">
        <x:f>IF(D190=E190,"PASS","FAIL")</x:f>
        <x:v>PASS</x:v>
      </x:c>
    </x:row>
    <x:row r="191">
      <x:c r="A191" s="13" t="str">
        <x:v>PV-TE-D-04</x:v>
      </x:c>
      <x:c r="B191" s="13" t="str">
        <x:v>Private recovery</x:v>
      </x:c>
      <x:c r="C191" s="13" t="str">
        <x:v>TE-D site-share cap</x:v>
      </x:c>
      <x:c r="D191" s="13" t="b">
        <x:f>'Private Recovery'!F9&lt;=0.4</x:f>
        <x:v>1</x:v>
      </x:c>
      <x:c r="E191" s="58" t="b">
        <x:v>1</x:v>
      </x:c>
      <x:c r="F191" s="13" t="str">
        <x:f>IF(D191=E191,"PASS","FAIL")</x:f>
        <x:v>PASS</x:v>
      </x:c>
    </x:row>
    <x:row r="192">
      <x:c r="A192" s="13" t="str">
        <x:v>PV-TE-D-05</x:v>
      </x:c>
      <x:c r="B192" s="13" t="str">
        <x:v>Private recovery</x:v>
      </x:c>
      <x:c r="C192" s="13" t="str">
        <x:v>TE-D first-lot clock</x:v>
      </x:c>
      <x:c r="D192" s="13" t="b">
        <x:f>'Private Recovery'!I9&lt;=30</x:f>
        <x:v>1</x:v>
      </x:c>
      <x:c r="E192" s="58" t="b">
        <x:v>1</x:v>
      </x:c>
      <x:c r="F192" s="13" t="str">
        <x:f>IF(D192=E192,"PASS","FAIL")</x:f>
        <x:v>PASS</x:v>
      </x:c>
    </x:row>
    <x:row r="193">
      <x:c r="A193" s="13" t="str">
        <x:v>PV-TE-D-06</x:v>
      </x:c>
      <x:c r="B193" s="13" t="str">
        <x:v>Private recovery</x:v>
      </x:c>
      <x:c r="C193" s="13" t="str">
        <x:v>TE-D source state</x:v>
      </x:c>
      <x:c r="D193" s="13" t="str">
        <x:f>'Private Recovery'!R9</x:f>
        <x:v>SOURCE EMPTY</x:v>
      </x:c>
      <x:c r="E193" s="13" t="str">
        <x:v>SOURCE EMPTY</x:v>
      </x:c>
      <x:c r="F193" s="13" t="str">
        <x:f>IF(D193=E193,"PASS","FAIL")</x:f>
        <x:v>PASS</x:v>
      </x:c>
    </x:row>
    <x:row r="194">
      <x:c r="A194" s="13" t="str">
        <x:v>PV-CT-A-01</x:v>
      </x:c>
      <x:c r="B194" s="13" t="str">
        <x:v>Private recovery</x:v>
      </x:c>
      <x:c r="C194" s="13" t="str">
        <x:v>CT-A planning passes</x:v>
      </x:c>
      <x:c r="D194" s="13" t="str">
        <x:f>'Private Recovery'!Q10</x:f>
        <x:v>PASS</x:v>
      </x:c>
      <x:c r="E194" s="13" t="str">
        <x:v>PASS</x:v>
      </x:c>
      <x:c r="F194" s="13" t="str">
        <x:f>IF(D194=E194,"PASS","FAIL")</x:f>
        <x:v>PASS</x:v>
      </x:c>
    </x:row>
    <x:row r="195">
      <x:c r="A195" s="13" t="str">
        <x:v>PV-CT-A-02</x:v>
      </x:c>
      <x:c r="B195" s="13" t="str">
        <x:v>Private recovery</x:v>
      </x:c>
      <x:c r="C195" s="13" t="str">
        <x:v>CT-A largest-site rate closes</x:v>
      </x:c>
      <x:c r="D195" s="13" t="b">
        <x:f>'Private Recovery'!H10&gt;='Private Recovery'!D10</x:f>
        <x:v>1</x:v>
      </x:c>
      <x:c r="E195" s="58" t="b">
        <x:v>1</x:v>
      </x:c>
      <x:c r="F195" s="13" t="str">
        <x:f>IF(D195=E195,"PASS","FAIL")</x:f>
        <x:v>PASS</x:v>
      </x:c>
    </x:row>
    <x:row r="196">
      <x:c r="A196" s="13" t="str">
        <x:v>PV-CT-A-03</x:v>
      </x:c>
      <x:c r="B196" s="13" t="str">
        <x:v>Private recovery</x:v>
      </x:c>
      <x:c r="C196" s="13" t="str">
        <x:v>CT-A minimum site count</x:v>
      </x:c>
      <x:c r="D196" s="13" t="b">
        <x:f>'Private Recovery'!E10&gt;=3</x:f>
        <x:v>1</x:v>
      </x:c>
      <x:c r="E196" s="58" t="b">
        <x:v>1</x:v>
      </x:c>
      <x:c r="F196" s="13" t="str">
        <x:f>IF(D196=E196,"PASS","FAIL")</x:f>
        <x:v>PASS</x:v>
      </x:c>
    </x:row>
    <x:row r="197">
      <x:c r="A197" s="13" t="str">
        <x:v>PV-CT-A-04</x:v>
      </x:c>
      <x:c r="B197" s="13" t="str">
        <x:v>Private recovery</x:v>
      </x:c>
      <x:c r="C197" s="13" t="str">
        <x:v>CT-A site-share cap</x:v>
      </x:c>
      <x:c r="D197" s="13" t="b">
        <x:f>'Private Recovery'!F10&lt;=0.4</x:f>
        <x:v>1</x:v>
      </x:c>
      <x:c r="E197" s="58" t="b">
        <x:v>1</x:v>
      </x:c>
      <x:c r="F197" s="13" t="str">
        <x:f>IF(D197=E197,"PASS","FAIL")</x:f>
        <x:v>PASS</x:v>
      </x:c>
    </x:row>
    <x:row r="198">
      <x:c r="A198" s="13" t="str">
        <x:v>PV-CT-A-05</x:v>
      </x:c>
      <x:c r="B198" s="13" t="str">
        <x:v>Private recovery</x:v>
      </x:c>
      <x:c r="C198" s="13" t="str">
        <x:v>CT-A first-lot clock</x:v>
      </x:c>
      <x:c r="D198" s="13" t="b">
        <x:f>'Private Recovery'!I10&lt;=30</x:f>
        <x:v>1</x:v>
      </x:c>
      <x:c r="E198" s="58" t="b">
        <x:v>1</x:v>
      </x:c>
      <x:c r="F198" s="13" t="str">
        <x:f>IF(D198=E198,"PASS","FAIL")</x:f>
        <x:v>PASS</x:v>
      </x:c>
    </x:row>
    <x:row r="199">
      <x:c r="A199" s="13" t="str">
        <x:v>PV-CT-A-06</x:v>
      </x:c>
      <x:c r="B199" s="13" t="str">
        <x:v>Private recovery</x:v>
      </x:c>
      <x:c r="C199" s="13" t="str">
        <x:v>CT-A source state</x:v>
      </x:c>
      <x:c r="D199" s="13" t="str">
        <x:f>'Private Recovery'!R10</x:f>
        <x:v>SOURCE EMPTY</x:v>
      </x:c>
      <x:c r="E199" s="13" t="str">
        <x:v>SOURCE EMPTY</x:v>
      </x:c>
      <x:c r="F199" s="13" t="str">
        <x:f>IF(D199=E199,"PASS","FAIL")</x:f>
        <x:v>PASS</x:v>
      </x:c>
    </x:row>
    <x:row r="200">
      <x:c r="A200" s="13" t="str">
        <x:v>PV-CT-B-01</x:v>
      </x:c>
      <x:c r="B200" s="13" t="str">
        <x:v>Private recovery</x:v>
      </x:c>
      <x:c r="C200" s="13" t="str">
        <x:v>CT-B planning passes</x:v>
      </x:c>
      <x:c r="D200" s="13" t="str">
        <x:f>'Private Recovery'!Q11</x:f>
        <x:v>PASS</x:v>
      </x:c>
      <x:c r="E200" s="13" t="str">
        <x:v>PASS</x:v>
      </x:c>
      <x:c r="F200" s="13" t="str">
        <x:f>IF(D200=E200,"PASS","FAIL")</x:f>
        <x:v>PASS</x:v>
      </x:c>
    </x:row>
    <x:row r="201">
      <x:c r="A201" s="13" t="str">
        <x:v>PV-CT-B-02</x:v>
      </x:c>
      <x:c r="B201" s="13" t="str">
        <x:v>Private recovery</x:v>
      </x:c>
      <x:c r="C201" s="13" t="str">
        <x:v>CT-B largest-site rate closes</x:v>
      </x:c>
      <x:c r="D201" s="13" t="b">
        <x:f>'Private Recovery'!H11&gt;='Private Recovery'!D11</x:f>
        <x:v>1</x:v>
      </x:c>
      <x:c r="E201" s="58" t="b">
        <x:v>1</x:v>
      </x:c>
      <x:c r="F201" s="13" t="str">
        <x:f>IF(D201=E201,"PASS","FAIL")</x:f>
        <x:v>PASS</x:v>
      </x:c>
    </x:row>
    <x:row r="202">
      <x:c r="A202" s="13" t="str">
        <x:v>PV-CT-B-03</x:v>
      </x:c>
      <x:c r="B202" s="13" t="str">
        <x:v>Private recovery</x:v>
      </x:c>
      <x:c r="C202" s="13" t="str">
        <x:v>CT-B minimum site count</x:v>
      </x:c>
      <x:c r="D202" s="13" t="b">
        <x:f>'Private Recovery'!E11&gt;=3</x:f>
        <x:v>1</x:v>
      </x:c>
      <x:c r="E202" s="58" t="b">
        <x:v>1</x:v>
      </x:c>
      <x:c r="F202" s="13" t="str">
        <x:f>IF(D202=E202,"PASS","FAIL")</x:f>
        <x:v>PASS</x:v>
      </x:c>
    </x:row>
    <x:row r="203">
      <x:c r="A203" s="13" t="str">
        <x:v>PV-CT-B-04</x:v>
      </x:c>
      <x:c r="B203" s="13" t="str">
        <x:v>Private recovery</x:v>
      </x:c>
      <x:c r="C203" s="13" t="str">
        <x:v>CT-B site-share cap</x:v>
      </x:c>
      <x:c r="D203" s="13" t="b">
        <x:f>'Private Recovery'!F11&lt;=0.4</x:f>
        <x:v>1</x:v>
      </x:c>
      <x:c r="E203" s="58" t="b">
        <x:v>1</x:v>
      </x:c>
      <x:c r="F203" s="13" t="str">
        <x:f>IF(D203=E203,"PASS","FAIL")</x:f>
        <x:v>PASS</x:v>
      </x:c>
    </x:row>
    <x:row r="204">
      <x:c r="A204" s="13" t="str">
        <x:v>PV-CT-B-05</x:v>
      </x:c>
      <x:c r="B204" s="13" t="str">
        <x:v>Private recovery</x:v>
      </x:c>
      <x:c r="C204" s="13" t="str">
        <x:v>CT-B first-lot clock</x:v>
      </x:c>
      <x:c r="D204" s="13" t="b">
        <x:f>'Private Recovery'!I11&lt;=30</x:f>
        <x:v>1</x:v>
      </x:c>
      <x:c r="E204" s="58" t="b">
        <x:v>1</x:v>
      </x:c>
      <x:c r="F204" s="13" t="str">
        <x:f>IF(D204=E204,"PASS","FAIL")</x:f>
        <x:v>PASS</x:v>
      </x:c>
    </x:row>
    <x:row r="205">
      <x:c r="A205" s="13" t="str">
        <x:v>PV-CT-B-06</x:v>
      </x:c>
      <x:c r="B205" s="13" t="str">
        <x:v>Private recovery</x:v>
      </x:c>
      <x:c r="C205" s="13" t="str">
        <x:v>CT-B source state</x:v>
      </x:c>
      <x:c r="D205" s="13" t="str">
        <x:f>'Private Recovery'!R11</x:f>
        <x:v>SOURCE EMPTY</x:v>
      </x:c>
      <x:c r="E205" s="13" t="str">
        <x:v>SOURCE EMPTY</x:v>
      </x:c>
      <x:c r="F205" s="13" t="str">
        <x:f>IF(D205=E205,"PASS","FAIL")</x:f>
        <x:v>PASS</x:v>
      </x:c>
    </x:row>
    <x:row r="206">
      <x:c r="A206" s="13" t="str">
        <x:v>PV-CT-C-01</x:v>
      </x:c>
      <x:c r="B206" s="13" t="str">
        <x:v>Private recovery</x:v>
      </x:c>
      <x:c r="C206" s="13" t="str">
        <x:v>CT-C planning passes</x:v>
      </x:c>
      <x:c r="D206" s="13" t="str">
        <x:f>'Private Recovery'!Q12</x:f>
        <x:v>PASS</x:v>
      </x:c>
      <x:c r="E206" s="13" t="str">
        <x:v>PASS</x:v>
      </x:c>
      <x:c r="F206" s="13" t="str">
        <x:f>IF(D206=E206,"PASS","FAIL")</x:f>
        <x:v>PASS</x:v>
      </x:c>
    </x:row>
    <x:row r="207">
      <x:c r="A207" s="13" t="str">
        <x:v>PV-CT-C-02</x:v>
      </x:c>
      <x:c r="B207" s="13" t="str">
        <x:v>Private recovery</x:v>
      </x:c>
      <x:c r="C207" s="13" t="str">
        <x:v>CT-C largest-site rate closes</x:v>
      </x:c>
      <x:c r="D207" s="13" t="b">
        <x:f>'Private Recovery'!H12&gt;='Private Recovery'!D12</x:f>
        <x:v>1</x:v>
      </x:c>
      <x:c r="E207" s="58" t="b">
        <x:v>1</x:v>
      </x:c>
      <x:c r="F207" s="13" t="str">
        <x:f>IF(D207=E207,"PASS","FAIL")</x:f>
        <x:v>PASS</x:v>
      </x:c>
    </x:row>
    <x:row r="208">
      <x:c r="A208" s="13" t="str">
        <x:v>PV-CT-C-03</x:v>
      </x:c>
      <x:c r="B208" s="13" t="str">
        <x:v>Private recovery</x:v>
      </x:c>
      <x:c r="C208" s="13" t="str">
        <x:v>CT-C minimum site count</x:v>
      </x:c>
      <x:c r="D208" s="13" t="b">
        <x:f>'Private Recovery'!E12&gt;=3</x:f>
        <x:v>1</x:v>
      </x:c>
      <x:c r="E208" s="58" t="b">
        <x:v>1</x:v>
      </x:c>
      <x:c r="F208" s="13" t="str">
        <x:f>IF(D208=E208,"PASS","FAIL")</x:f>
        <x:v>PASS</x:v>
      </x:c>
    </x:row>
    <x:row r="209">
      <x:c r="A209" s="13" t="str">
        <x:v>PV-CT-C-04</x:v>
      </x:c>
      <x:c r="B209" s="13" t="str">
        <x:v>Private recovery</x:v>
      </x:c>
      <x:c r="C209" s="13" t="str">
        <x:v>CT-C site-share cap</x:v>
      </x:c>
      <x:c r="D209" s="13" t="b">
        <x:f>'Private Recovery'!F12&lt;=0.4</x:f>
        <x:v>1</x:v>
      </x:c>
      <x:c r="E209" s="58" t="b">
        <x:v>1</x:v>
      </x:c>
      <x:c r="F209" s="13" t="str">
        <x:f>IF(D209=E209,"PASS","FAIL")</x:f>
        <x:v>PASS</x:v>
      </x:c>
    </x:row>
    <x:row r="210">
      <x:c r="A210" s="13" t="str">
        <x:v>PV-CT-C-05</x:v>
      </x:c>
      <x:c r="B210" s="13" t="str">
        <x:v>Private recovery</x:v>
      </x:c>
      <x:c r="C210" s="13" t="str">
        <x:v>CT-C first-lot clock</x:v>
      </x:c>
      <x:c r="D210" s="13" t="b">
        <x:f>'Private Recovery'!I12&lt;=30</x:f>
        <x:v>1</x:v>
      </x:c>
      <x:c r="E210" s="58" t="b">
        <x:v>1</x:v>
      </x:c>
      <x:c r="F210" s="13" t="str">
        <x:f>IF(D210=E210,"PASS","FAIL")</x:f>
        <x:v>PASS</x:v>
      </x:c>
    </x:row>
    <x:row r="211">
      <x:c r="A211" s="13" t="str">
        <x:v>PV-CT-C-06</x:v>
      </x:c>
      <x:c r="B211" s="13" t="str">
        <x:v>Private recovery</x:v>
      </x:c>
      <x:c r="C211" s="13" t="str">
        <x:v>CT-C source state</x:v>
      </x:c>
      <x:c r="D211" s="13" t="str">
        <x:f>'Private Recovery'!R12</x:f>
        <x:v>SOURCE EMPTY</x:v>
      </x:c>
      <x:c r="E211" s="13" t="str">
        <x:v>SOURCE EMPTY</x:v>
      </x:c>
      <x:c r="F211" s="13" t="str">
        <x:f>IF(D211=E211,"PASS","FAIL")</x:f>
        <x:v>PASS</x:v>
      </x:c>
    </x:row>
    <x:row r="212">
      <x:c r="A212" s="13" t="str">
        <x:v>PV-CT-D-01</x:v>
      </x:c>
      <x:c r="B212" s="13" t="str">
        <x:v>Private recovery</x:v>
      </x:c>
      <x:c r="C212" s="13" t="str">
        <x:v>CT-D planning passes</x:v>
      </x:c>
      <x:c r="D212" s="13" t="str">
        <x:f>'Private Recovery'!Q13</x:f>
        <x:v>PASS</x:v>
      </x:c>
      <x:c r="E212" s="13" t="str">
        <x:v>PASS</x:v>
      </x:c>
      <x:c r="F212" s="13" t="str">
        <x:f>IF(D212=E212,"PASS","FAIL")</x:f>
        <x:v>PASS</x:v>
      </x:c>
    </x:row>
    <x:row r="213">
      <x:c r="A213" s="13" t="str">
        <x:v>PV-CT-D-02</x:v>
      </x:c>
      <x:c r="B213" s="13" t="str">
        <x:v>Private recovery</x:v>
      </x:c>
      <x:c r="C213" s="13" t="str">
        <x:v>CT-D largest-site rate closes</x:v>
      </x:c>
      <x:c r="D213" s="13" t="b">
        <x:f>'Private Recovery'!H13&gt;='Private Recovery'!D13</x:f>
        <x:v>1</x:v>
      </x:c>
      <x:c r="E213" s="58" t="b">
        <x:v>1</x:v>
      </x:c>
      <x:c r="F213" s="13" t="str">
        <x:f>IF(D213=E213,"PASS","FAIL")</x:f>
        <x:v>PASS</x:v>
      </x:c>
    </x:row>
    <x:row r="214">
      <x:c r="A214" s="13" t="str">
        <x:v>PV-CT-D-03</x:v>
      </x:c>
      <x:c r="B214" s="13" t="str">
        <x:v>Private recovery</x:v>
      </x:c>
      <x:c r="C214" s="13" t="str">
        <x:v>CT-D minimum site count</x:v>
      </x:c>
      <x:c r="D214" s="13" t="b">
        <x:f>'Private Recovery'!E13&gt;=3</x:f>
        <x:v>1</x:v>
      </x:c>
      <x:c r="E214" s="58" t="b">
        <x:v>1</x:v>
      </x:c>
      <x:c r="F214" s="13" t="str">
        <x:f>IF(D214=E214,"PASS","FAIL")</x:f>
        <x:v>PASS</x:v>
      </x:c>
    </x:row>
    <x:row r="215">
      <x:c r="A215" s="13" t="str">
        <x:v>PV-CT-D-04</x:v>
      </x:c>
      <x:c r="B215" s="13" t="str">
        <x:v>Private recovery</x:v>
      </x:c>
      <x:c r="C215" s="13" t="str">
        <x:v>CT-D site-share cap</x:v>
      </x:c>
      <x:c r="D215" s="13" t="b">
        <x:f>'Private Recovery'!F13&lt;=0.4</x:f>
        <x:v>1</x:v>
      </x:c>
      <x:c r="E215" s="58" t="b">
        <x:v>1</x:v>
      </x:c>
      <x:c r="F215" s="13" t="str">
        <x:f>IF(D215=E215,"PASS","FAIL")</x:f>
        <x:v>PASS</x:v>
      </x:c>
    </x:row>
    <x:row r="216">
      <x:c r="A216" s="13" t="str">
        <x:v>PV-CT-D-05</x:v>
      </x:c>
      <x:c r="B216" s="13" t="str">
        <x:v>Private recovery</x:v>
      </x:c>
      <x:c r="C216" s="13" t="str">
        <x:v>CT-D first-lot clock</x:v>
      </x:c>
      <x:c r="D216" s="13" t="b">
        <x:f>'Private Recovery'!I13&lt;=30</x:f>
        <x:v>1</x:v>
      </x:c>
      <x:c r="E216" s="58" t="b">
        <x:v>1</x:v>
      </x:c>
      <x:c r="F216" s="13" t="str">
        <x:f>IF(D216=E216,"PASS","FAIL")</x:f>
        <x:v>PASS</x:v>
      </x:c>
    </x:row>
    <x:row r="217">
      <x:c r="A217" s="13" t="str">
        <x:v>PV-CT-D-06</x:v>
      </x:c>
      <x:c r="B217" s="13" t="str">
        <x:v>Private recovery</x:v>
      </x:c>
      <x:c r="C217" s="13" t="str">
        <x:v>CT-D source state</x:v>
      </x:c>
      <x:c r="D217" s="13" t="str">
        <x:f>'Private Recovery'!R13</x:f>
        <x:v>SOURCE EMPTY</x:v>
      </x:c>
      <x:c r="E217" s="13" t="str">
        <x:v>SOURCE EMPTY</x:v>
      </x:c>
      <x:c r="F217" s="13" t="str">
        <x:f>IF(D217=E217,"PASS","FAIL")</x:f>
        <x:v>PASS</x:v>
      </x:c>
    </x:row>
    <x:row r="218">
      <x:c r="A218" s="13" t="str">
        <x:v>PV-HC-A-01</x:v>
      </x:c>
      <x:c r="B218" s="13" t="str">
        <x:v>Private recovery</x:v>
      </x:c>
      <x:c r="C218" s="13" t="str">
        <x:v>HC-A planning passes</x:v>
      </x:c>
      <x:c r="D218" s="13" t="str">
        <x:f>'Private Recovery'!Q14</x:f>
        <x:v>PASS</x:v>
      </x:c>
      <x:c r="E218" s="13" t="str">
        <x:v>PASS</x:v>
      </x:c>
      <x:c r="F218" s="13" t="str">
        <x:f>IF(D218=E218,"PASS","FAIL")</x:f>
        <x:v>PASS</x:v>
      </x:c>
    </x:row>
    <x:row r="219">
      <x:c r="A219" s="13" t="str">
        <x:v>PV-HC-A-02</x:v>
      </x:c>
      <x:c r="B219" s="13" t="str">
        <x:v>Private recovery</x:v>
      </x:c>
      <x:c r="C219" s="13" t="str">
        <x:v>HC-A largest-site rate closes</x:v>
      </x:c>
      <x:c r="D219" s="13" t="b">
        <x:f>'Private Recovery'!H14&gt;='Private Recovery'!D14</x:f>
        <x:v>1</x:v>
      </x:c>
      <x:c r="E219" s="58" t="b">
        <x:v>1</x:v>
      </x:c>
      <x:c r="F219" s="13" t="str">
        <x:f>IF(D219=E219,"PASS","FAIL")</x:f>
        <x:v>PASS</x:v>
      </x:c>
    </x:row>
    <x:row r="220">
      <x:c r="A220" s="13" t="str">
        <x:v>PV-HC-A-03</x:v>
      </x:c>
      <x:c r="B220" s="13" t="str">
        <x:v>Private recovery</x:v>
      </x:c>
      <x:c r="C220" s="13" t="str">
        <x:v>HC-A minimum site count</x:v>
      </x:c>
      <x:c r="D220" s="13" t="b">
        <x:f>'Private Recovery'!E14&gt;=3</x:f>
        <x:v>1</x:v>
      </x:c>
      <x:c r="E220" s="58" t="b">
        <x:v>1</x:v>
      </x:c>
      <x:c r="F220" s="13" t="str">
        <x:f>IF(D220=E220,"PASS","FAIL")</x:f>
        <x:v>PASS</x:v>
      </x:c>
    </x:row>
    <x:row r="221">
      <x:c r="A221" s="13" t="str">
        <x:v>PV-HC-A-04</x:v>
      </x:c>
      <x:c r="B221" s="13" t="str">
        <x:v>Private recovery</x:v>
      </x:c>
      <x:c r="C221" s="13" t="str">
        <x:v>HC-A site-share cap</x:v>
      </x:c>
      <x:c r="D221" s="13" t="b">
        <x:f>'Private Recovery'!F14&lt;=0.4</x:f>
        <x:v>1</x:v>
      </x:c>
      <x:c r="E221" s="58" t="b">
        <x:v>1</x:v>
      </x:c>
      <x:c r="F221" s="13" t="str">
        <x:f>IF(D221=E221,"PASS","FAIL")</x:f>
        <x:v>PASS</x:v>
      </x:c>
    </x:row>
    <x:row r="222">
      <x:c r="A222" s="13" t="str">
        <x:v>PV-HC-A-05</x:v>
      </x:c>
      <x:c r="B222" s="13" t="str">
        <x:v>Private recovery</x:v>
      </x:c>
      <x:c r="C222" s="13" t="str">
        <x:v>HC-A first-lot clock</x:v>
      </x:c>
      <x:c r="D222" s="13" t="b">
        <x:f>'Private Recovery'!I14&lt;=30</x:f>
        <x:v>1</x:v>
      </x:c>
      <x:c r="E222" s="58" t="b">
        <x:v>1</x:v>
      </x:c>
      <x:c r="F222" s="13" t="str">
        <x:f>IF(D222=E222,"PASS","FAIL")</x:f>
        <x:v>PASS</x:v>
      </x:c>
    </x:row>
    <x:row r="223">
      <x:c r="A223" s="13" t="str">
        <x:v>PV-HC-A-06</x:v>
      </x:c>
      <x:c r="B223" s="13" t="str">
        <x:v>Private recovery</x:v>
      </x:c>
      <x:c r="C223" s="13" t="str">
        <x:v>HC-A source state</x:v>
      </x:c>
      <x:c r="D223" s="13" t="str">
        <x:f>'Private Recovery'!R14</x:f>
        <x:v>SOURCE EMPTY</x:v>
      </x:c>
      <x:c r="E223" s="13" t="str">
        <x:v>SOURCE EMPTY</x:v>
      </x:c>
      <x:c r="F223" s="13" t="str">
        <x:f>IF(D223=E223,"PASS","FAIL")</x:f>
        <x:v>PASS</x:v>
      </x:c>
    </x:row>
    <x:row r="224">
      <x:c r="A224" s="13" t="str">
        <x:v>PV-HC-B-01</x:v>
      </x:c>
      <x:c r="B224" s="13" t="str">
        <x:v>Private recovery</x:v>
      </x:c>
      <x:c r="C224" s="13" t="str">
        <x:v>HC-B planning passes</x:v>
      </x:c>
      <x:c r="D224" s="13" t="str">
        <x:f>'Private Recovery'!Q15</x:f>
        <x:v>PASS</x:v>
      </x:c>
      <x:c r="E224" s="13" t="str">
        <x:v>PASS</x:v>
      </x:c>
      <x:c r="F224" s="13" t="str">
        <x:f>IF(D224=E224,"PASS","FAIL")</x:f>
        <x:v>PASS</x:v>
      </x:c>
    </x:row>
    <x:row r="225">
      <x:c r="A225" s="13" t="str">
        <x:v>PV-HC-B-02</x:v>
      </x:c>
      <x:c r="B225" s="13" t="str">
        <x:v>Private recovery</x:v>
      </x:c>
      <x:c r="C225" s="13" t="str">
        <x:v>HC-B largest-site rate closes</x:v>
      </x:c>
      <x:c r="D225" s="13" t="b">
        <x:f>'Private Recovery'!H15&gt;='Private Recovery'!D15</x:f>
        <x:v>1</x:v>
      </x:c>
      <x:c r="E225" s="58" t="b">
        <x:v>1</x:v>
      </x:c>
      <x:c r="F225" s="13" t="str">
        <x:f>IF(D225=E225,"PASS","FAIL")</x:f>
        <x:v>PASS</x:v>
      </x:c>
    </x:row>
    <x:row r="226">
      <x:c r="A226" s="13" t="str">
        <x:v>PV-HC-B-03</x:v>
      </x:c>
      <x:c r="B226" s="13" t="str">
        <x:v>Private recovery</x:v>
      </x:c>
      <x:c r="C226" s="13" t="str">
        <x:v>HC-B minimum site count</x:v>
      </x:c>
      <x:c r="D226" s="13" t="b">
        <x:f>'Private Recovery'!E15&gt;=3</x:f>
        <x:v>1</x:v>
      </x:c>
      <x:c r="E226" s="58" t="b">
        <x:v>1</x:v>
      </x:c>
      <x:c r="F226" s="13" t="str">
        <x:f>IF(D226=E226,"PASS","FAIL")</x:f>
        <x:v>PASS</x:v>
      </x:c>
    </x:row>
    <x:row r="227">
      <x:c r="A227" s="13" t="str">
        <x:v>PV-HC-B-04</x:v>
      </x:c>
      <x:c r="B227" s="13" t="str">
        <x:v>Private recovery</x:v>
      </x:c>
      <x:c r="C227" s="13" t="str">
        <x:v>HC-B site-share cap</x:v>
      </x:c>
      <x:c r="D227" s="13" t="b">
        <x:f>'Private Recovery'!F15&lt;=0.4</x:f>
        <x:v>1</x:v>
      </x:c>
      <x:c r="E227" s="58" t="b">
        <x:v>1</x:v>
      </x:c>
      <x:c r="F227" s="13" t="str">
        <x:f>IF(D227=E227,"PASS","FAIL")</x:f>
        <x:v>PASS</x:v>
      </x:c>
    </x:row>
    <x:row r="228">
      <x:c r="A228" s="13" t="str">
        <x:v>PV-HC-B-05</x:v>
      </x:c>
      <x:c r="B228" s="13" t="str">
        <x:v>Private recovery</x:v>
      </x:c>
      <x:c r="C228" s="13" t="str">
        <x:v>HC-B first-lot clock</x:v>
      </x:c>
      <x:c r="D228" s="13" t="b">
        <x:f>'Private Recovery'!I15&lt;=30</x:f>
        <x:v>1</x:v>
      </x:c>
      <x:c r="E228" s="58" t="b">
        <x:v>1</x:v>
      </x:c>
      <x:c r="F228" s="13" t="str">
        <x:f>IF(D228=E228,"PASS","FAIL")</x:f>
        <x:v>PASS</x:v>
      </x:c>
    </x:row>
    <x:row r="229">
      <x:c r="A229" s="13" t="str">
        <x:v>PV-HC-B-06</x:v>
      </x:c>
      <x:c r="B229" s="13" t="str">
        <x:v>Private recovery</x:v>
      </x:c>
      <x:c r="C229" s="13" t="str">
        <x:v>HC-B source state</x:v>
      </x:c>
      <x:c r="D229" s="13" t="str">
        <x:f>'Private Recovery'!R15</x:f>
        <x:v>SOURCE EMPTY</x:v>
      </x:c>
      <x:c r="E229" s="13" t="str">
        <x:v>SOURCE EMPTY</x:v>
      </x:c>
      <x:c r="F229" s="13" t="str">
        <x:f>IF(D229=E229,"PASS","FAIL")</x:f>
        <x:v>PASS</x:v>
      </x:c>
    </x:row>
    <x:row r="230">
      <x:c r="A230" s="13" t="str">
        <x:v>PV-HC-C-01</x:v>
      </x:c>
      <x:c r="B230" s="13" t="str">
        <x:v>Private recovery</x:v>
      </x:c>
      <x:c r="C230" s="13" t="str">
        <x:v>HC-C planning passes</x:v>
      </x:c>
      <x:c r="D230" s="13" t="str">
        <x:f>'Private Recovery'!Q16</x:f>
        <x:v>PASS</x:v>
      </x:c>
      <x:c r="E230" s="13" t="str">
        <x:v>PASS</x:v>
      </x:c>
      <x:c r="F230" s="13" t="str">
        <x:f>IF(D230=E230,"PASS","FAIL")</x:f>
        <x:v>PASS</x:v>
      </x:c>
    </x:row>
    <x:row r="231">
      <x:c r="A231" s="13" t="str">
        <x:v>PV-HC-C-02</x:v>
      </x:c>
      <x:c r="B231" s="13" t="str">
        <x:v>Private recovery</x:v>
      </x:c>
      <x:c r="C231" s="13" t="str">
        <x:v>HC-C largest-site rate closes</x:v>
      </x:c>
      <x:c r="D231" s="13" t="b">
        <x:f>'Private Recovery'!H16&gt;='Private Recovery'!D16</x:f>
        <x:v>1</x:v>
      </x:c>
      <x:c r="E231" s="58" t="b">
        <x:v>1</x:v>
      </x:c>
      <x:c r="F231" s="13" t="str">
        <x:f>IF(D231=E231,"PASS","FAIL")</x:f>
        <x:v>PASS</x:v>
      </x:c>
    </x:row>
    <x:row r="232">
      <x:c r="A232" s="13" t="str">
        <x:v>PV-HC-C-03</x:v>
      </x:c>
      <x:c r="B232" s="13" t="str">
        <x:v>Private recovery</x:v>
      </x:c>
      <x:c r="C232" s="13" t="str">
        <x:v>HC-C minimum site count</x:v>
      </x:c>
      <x:c r="D232" s="13" t="b">
        <x:f>'Private Recovery'!E16&gt;=3</x:f>
        <x:v>1</x:v>
      </x:c>
      <x:c r="E232" s="58" t="b">
        <x:v>1</x:v>
      </x:c>
      <x:c r="F232" s="13" t="str">
        <x:f>IF(D232=E232,"PASS","FAIL")</x:f>
        <x:v>PASS</x:v>
      </x:c>
    </x:row>
    <x:row r="233">
      <x:c r="A233" s="13" t="str">
        <x:v>PV-HC-C-04</x:v>
      </x:c>
      <x:c r="B233" s="13" t="str">
        <x:v>Private recovery</x:v>
      </x:c>
      <x:c r="C233" s="13" t="str">
        <x:v>HC-C site-share cap</x:v>
      </x:c>
      <x:c r="D233" s="13" t="b">
        <x:f>'Private Recovery'!F16&lt;=0.4</x:f>
        <x:v>1</x:v>
      </x:c>
      <x:c r="E233" s="58" t="b">
        <x:v>1</x:v>
      </x:c>
      <x:c r="F233" s="13" t="str">
        <x:f>IF(D233=E233,"PASS","FAIL")</x:f>
        <x:v>PASS</x:v>
      </x:c>
    </x:row>
    <x:row r="234">
      <x:c r="A234" s="13" t="str">
        <x:v>PV-HC-C-05</x:v>
      </x:c>
      <x:c r="B234" s="13" t="str">
        <x:v>Private recovery</x:v>
      </x:c>
      <x:c r="C234" s="13" t="str">
        <x:v>HC-C first-lot clock</x:v>
      </x:c>
      <x:c r="D234" s="13" t="b">
        <x:f>'Private Recovery'!I16&lt;=30</x:f>
        <x:v>1</x:v>
      </x:c>
      <x:c r="E234" s="58" t="b">
        <x:v>1</x:v>
      </x:c>
      <x:c r="F234" s="13" t="str">
        <x:f>IF(D234=E234,"PASS","FAIL")</x:f>
        <x:v>PASS</x:v>
      </x:c>
    </x:row>
    <x:row r="235">
      <x:c r="A235" s="13" t="str">
        <x:v>PV-HC-C-06</x:v>
      </x:c>
      <x:c r="B235" s="13" t="str">
        <x:v>Private recovery</x:v>
      </x:c>
      <x:c r="C235" s="13" t="str">
        <x:v>HC-C source state</x:v>
      </x:c>
      <x:c r="D235" s="13" t="str">
        <x:f>'Private Recovery'!R16</x:f>
        <x:v>SOURCE EMPTY</x:v>
      </x:c>
      <x:c r="E235" s="13" t="str">
        <x:v>SOURCE EMPTY</x:v>
      </x:c>
      <x:c r="F235" s="13" t="str">
        <x:f>IF(D235=E235,"PASS","FAIL")</x:f>
        <x:v>PASS</x:v>
      </x:c>
    </x:row>
    <x:row r="236">
      <x:c r="A236" s="13" t="str">
        <x:v>PV-HC-D-01</x:v>
      </x:c>
      <x:c r="B236" s="13" t="str">
        <x:v>Private recovery</x:v>
      </x:c>
      <x:c r="C236" s="13" t="str">
        <x:v>HC-D planning passes</x:v>
      </x:c>
      <x:c r="D236" s="13" t="str">
        <x:f>'Private Recovery'!Q17</x:f>
        <x:v>PASS</x:v>
      </x:c>
      <x:c r="E236" s="13" t="str">
        <x:v>PASS</x:v>
      </x:c>
      <x:c r="F236" s="13" t="str">
        <x:f>IF(D236=E236,"PASS","FAIL")</x:f>
        <x:v>PASS</x:v>
      </x:c>
    </x:row>
    <x:row r="237">
      <x:c r="A237" s="13" t="str">
        <x:v>PV-HC-D-02</x:v>
      </x:c>
      <x:c r="B237" s="13" t="str">
        <x:v>Private recovery</x:v>
      </x:c>
      <x:c r="C237" s="13" t="str">
        <x:v>HC-D largest-site rate closes</x:v>
      </x:c>
      <x:c r="D237" s="13" t="b">
        <x:f>'Private Recovery'!H17&gt;='Private Recovery'!D17</x:f>
        <x:v>1</x:v>
      </x:c>
      <x:c r="E237" s="58" t="b">
        <x:v>1</x:v>
      </x:c>
      <x:c r="F237" s="13" t="str">
        <x:f>IF(D237=E237,"PASS","FAIL")</x:f>
        <x:v>PASS</x:v>
      </x:c>
    </x:row>
    <x:row r="238">
      <x:c r="A238" s="13" t="str">
        <x:v>PV-HC-D-03</x:v>
      </x:c>
      <x:c r="B238" s="13" t="str">
        <x:v>Private recovery</x:v>
      </x:c>
      <x:c r="C238" s="13" t="str">
        <x:v>HC-D minimum site count</x:v>
      </x:c>
      <x:c r="D238" s="13" t="b">
        <x:f>'Private Recovery'!E17&gt;=3</x:f>
        <x:v>1</x:v>
      </x:c>
      <x:c r="E238" s="58" t="b">
        <x:v>1</x:v>
      </x:c>
      <x:c r="F238" s="13" t="str">
        <x:f>IF(D238=E238,"PASS","FAIL")</x:f>
        <x:v>PASS</x:v>
      </x:c>
    </x:row>
    <x:row r="239">
      <x:c r="A239" s="13" t="str">
        <x:v>PV-HC-D-04</x:v>
      </x:c>
      <x:c r="B239" s="13" t="str">
        <x:v>Private recovery</x:v>
      </x:c>
      <x:c r="C239" s="13" t="str">
        <x:v>HC-D site-share cap</x:v>
      </x:c>
      <x:c r="D239" s="13" t="b">
        <x:f>'Private Recovery'!F17&lt;=0.4</x:f>
        <x:v>1</x:v>
      </x:c>
      <x:c r="E239" s="58" t="b">
        <x:v>1</x:v>
      </x:c>
      <x:c r="F239" s="13" t="str">
        <x:f>IF(D239=E239,"PASS","FAIL")</x:f>
        <x:v>PASS</x:v>
      </x:c>
    </x:row>
    <x:row r="240">
      <x:c r="A240" s="13" t="str">
        <x:v>PV-HC-D-05</x:v>
      </x:c>
      <x:c r="B240" s="13" t="str">
        <x:v>Private recovery</x:v>
      </x:c>
      <x:c r="C240" s="13" t="str">
        <x:v>HC-D first-lot clock</x:v>
      </x:c>
      <x:c r="D240" s="13" t="b">
        <x:f>'Private Recovery'!I17&lt;=30</x:f>
        <x:v>1</x:v>
      </x:c>
      <x:c r="E240" s="58" t="b">
        <x:v>1</x:v>
      </x:c>
      <x:c r="F240" s="13" t="str">
        <x:f>IF(D240=E240,"PASS","FAIL")</x:f>
        <x:v>PASS</x:v>
      </x:c>
    </x:row>
    <x:row r="241">
      <x:c r="A241" s="13" t="str">
        <x:v>PV-HC-D-06</x:v>
      </x:c>
      <x:c r="B241" s="13" t="str">
        <x:v>Private recovery</x:v>
      </x:c>
      <x:c r="C241" s="13" t="str">
        <x:v>HC-D source state</x:v>
      </x:c>
      <x:c r="D241" s="13" t="str">
        <x:f>'Private Recovery'!R17</x:f>
        <x:v>SOURCE EMPTY</x:v>
      </x:c>
      <x:c r="E241" s="13" t="str">
        <x:v>SOURCE EMPTY</x:v>
      </x:c>
      <x:c r="F241" s="13" t="str">
        <x:f>IF(D241=E241,"PASS","FAIL")</x:f>
        <x:v>PASS</x:v>
      </x:c>
    </x:row>
    <x:row r="242">
      <x:c r="A242" s="13" t="str">
        <x:v>PV-LF-A-01</x:v>
      </x:c>
      <x:c r="B242" s="13" t="str">
        <x:v>Private recovery</x:v>
      </x:c>
      <x:c r="C242" s="13" t="str">
        <x:v>LF-A planning passes</x:v>
      </x:c>
      <x:c r="D242" s="13" t="str">
        <x:f>'Private Recovery'!Q18</x:f>
        <x:v>PASS</x:v>
      </x:c>
      <x:c r="E242" s="13" t="str">
        <x:v>PASS</x:v>
      </x:c>
      <x:c r="F242" s="13" t="str">
        <x:f>IF(D242=E242,"PASS","FAIL")</x:f>
        <x:v>PASS</x:v>
      </x:c>
    </x:row>
    <x:row r="243">
      <x:c r="A243" s="13" t="str">
        <x:v>PV-LF-A-02</x:v>
      </x:c>
      <x:c r="B243" s="13" t="str">
        <x:v>Private recovery</x:v>
      </x:c>
      <x:c r="C243" s="13" t="str">
        <x:v>LF-A largest-site rate closes</x:v>
      </x:c>
      <x:c r="D243" s="13" t="b">
        <x:f>'Private Recovery'!H18&gt;='Private Recovery'!D18</x:f>
        <x:v>1</x:v>
      </x:c>
      <x:c r="E243" s="58" t="b">
        <x:v>1</x:v>
      </x:c>
      <x:c r="F243" s="13" t="str">
        <x:f>IF(D243=E243,"PASS","FAIL")</x:f>
        <x:v>PASS</x:v>
      </x:c>
    </x:row>
    <x:row r="244">
      <x:c r="A244" s="13" t="str">
        <x:v>PV-LF-A-03</x:v>
      </x:c>
      <x:c r="B244" s="13" t="str">
        <x:v>Private recovery</x:v>
      </x:c>
      <x:c r="C244" s="13" t="str">
        <x:v>LF-A minimum site count</x:v>
      </x:c>
      <x:c r="D244" s="13" t="b">
        <x:f>'Private Recovery'!E18&gt;=3</x:f>
        <x:v>1</x:v>
      </x:c>
      <x:c r="E244" s="58" t="b">
        <x:v>1</x:v>
      </x:c>
      <x:c r="F244" s="13" t="str">
        <x:f>IF(D244=E244,"PASS","FAIL")</x:f>
        <x:v>PASS</x:v>
      </x:c>
    </x:row>
    <x:row r="245">
      <x:c r="A245" s="13" t="str">
        <x:v>PV-LF-A-04</x:v>
      </x:c>
      <x:c r="B245" s="13" t="str">
        <x:v>Private recovery</x:v>
      </x:c>
      <x:c r="C245" s="13" t="str">
        <x:v>LF-A site-share cap</x:v>
      </x:c>
      <x:c r="D245" s="13" t="b">
        <x:f>'Private Recovery'!F18&lt;=0.4</x:f>
        <x:v>1</x:v>
      </x:c>
      <x:c r="E245" s="58" t="b">
        <x:v>1</x:v>
      </x:c>
      <x:c r="F245" s="13" t="str">
        <x:f>IF(D245=E245,"PASS","FAIL")</x:f>
        <x:v>PASS</x:v>
      </x:c>
    </x:row>
    <x:row r="246">
      <x:c r="A246" s="13" t="str">
        <x:v>PV-LF-A-05</x:v>
      </x:c>
      <x:c r="B246" s="13" t="str">
        <x:v>Private recovery</x:v>
      </x:c>
      <x:c r="C246" s="13" t="str">
        <x:v>LF-A first-lot clock</x:v>
      </x:c>
      <x:c r="D246" s="13" t="b">
        <x:f>'Private Recovery'!I18&lt;=30</x:f>
        <x:v>1</x:v>
      </x:c>
      <x:c r="E246" s="58" t="b">
        <x:v>1</x:v>
      </x:c>
      <x:c r="F246" s="13" t="str">
        <x:f>IF(D246=E246,"PASS","FAIL")</x:f>
        <x:v>PASS</x:v>
      </x:c>
    </x:row>
    <x:row r="247">
      <x:c r="A247" s="13" t="str">
        <x:v>PV-LF-A-06</x:v>
      </x:c>
      <x:c r="B247" s="13" t="str">
        <x:v>Private recovery</x:v>
      </x:c>
      <x:c r="C247" s="13" t="str">
        <x:v>LF-A source state</x:v>
      </x:c>
      <x:c r="D247" s="13" t="str">
        <x:f>'Private Recovery'!R18</x:f>
        <x:v>SOURCE EMPTY</x:v>
      </x:c>
      <x:c r="E247" s="13" t="str">
        <x:v>SOURCE EMPTY</x:v>
      </x:c>
      <x:c r="F247" s="13" t="str">
        <x:f>IF(D247=E247,"PASS","FAIL")</x:f>
        <x:v>PASS</x:v>
      </x:c>
    </x:row>
    <x:row r="248">
      <x:c r="A248" s="13" t="str">
        <x:v>PV-LF-B-01</x:v>
      </x:c>
      <x:c r="B248" s="13" t="str">
        <x:v>Private recovery</x:v>
      </x:c>
      <x:c r="C248" s="13" t="str">
        <x:v>LF-B planning passes</x:v>
      </x:c>
      <x:c r="D248" s="13" t="str">
        <x:f>'Private Recovery'!Q19</x:f>
        <x:v>PASS</x:v>
      </x:c>
      <x:c r="E248" s="13" t="str">
        <x:v>PASS</x:v>
      </x:c>
      <x:c r="F248" s="13" t="str">
        <x:f>IF(D248=E248,"PASS","FAIL")</x:f>
        <x:v>PASS</x:v>
      </x:c>
    </x:row>
    <x:row r="249">
      <x:c r="A249" s="13" t="str">
        <x:v>PV-LF-B-02</x:v>
      </x:c>
      <x:c r="B249" s="13" t="str">
        <x:v>Private recovery</x:v>
      </x:c>
      <x:c r="C249" s="13" t="str">
        <x:v>LF-B largest-site rate closes</x:v>
      </x:c>
      <x:c r="D249" s="13" t="b">
        <x:f>'Private Recovery'!H19&gt;='Private Recovery'!D19</x:f>
        <x:v>1</x:v>
      </x:c>
      <x:c r="E249" s="58" t="b">
        <x:v>1</x:v>
      </x:c>
      <x:c r="F249" s="13" t="str">
        <x:f>IF(D249=E249,"PASS","FAIL")</x:f>
        <x:v>PASS</x:v>
      </x:c>
    </x:row>
    <x:row r="250">
      <x:c r="A250" s="13" t="str">
        <x:v>PV-LF-B-03</x:v>
      </x:c>
      <x:c r="B250" s="13" t="str">
        <x:v>Private recovery</x:v>
      </x:c>
      <x:c r="C250" s="13" t="str">
        <x:v>LF-B minimum site count</x:v>
      </x:c>
      <x:c r="D250" s="13" t="b">
        <x:f>'Private Recovery'!E19&gt;=3</x:f>
        <x:v>1</x:v>
      </x:c>
      <x:c r="E250" s="58" t="b">
        <x:v>1</x:v>
      </x:c>
      <x:c r="F250" s="13" t="str">
        <x:f>IF(D250=E250,"PASS","FAIL")</x:f>
        <x:v>PASS</x:v>
      </x:c>
    </x:row>
    <x:row r="251">
      <x:c r="A251" s="13" t="str">
        <x:v>PV-LF-B-04</x:v>
      </x:c>
      <x:c r="B251" s="13" t="str">
        <x:v>Private recovery</x:v>
      </x:c>
      <x:c r="C251" s="13" t="str">
        <x:v>LF-B site-share cap</x:v>
      </x:c>
      <x:c r="D251" s="13" t="b">
        <x:f>'Private Recovery'!F19&lt;=0.4</x:f>
        <x:v>1</x:v>
      </x:c>
      <x:c r="E251" s="58" t="b">
        <x:v>1</x:v>
      </x:c>
      <x:c r="F251" s="13" t="str">
        <x:f>IF(D251=E251,"PASS","FAIL")</x:f>
        <x:v>PASS</x:v>
      </x:c>
    </x:row>
    <x:row r="252">
      <x:c r="A252" s="13" t="str">
        <x:v>PV-LF-B-05</x:v>
      </x:c>
      <x:c r="B252" s="13" t="str">
        <x:v>Private recovery</x:v>
      </x:c>
      <x:c r="C252" s="13" t="str">
        <x:v>LF-B first-lot clock</x:v>
      </x:c>
      <x:c r="D252" s="13" t="b">
        <x:f>'Private Recovery'!I19&lt;=30</x:f>
        <x:v>1</x:v>
      </x:c>
      <x:c r="E252" s="58" t="b">
        <x:v>1</x:v>
      </x:c>
      <x:c r="F252" s="13" t="str">
        <x:f>IF(D252=E252,"PASS","FAIL")</x:f>
        <x:v>PASS</x:v>
      </x:c>
    </x:row>
    <x:row r="253">
      <x:c r="A253" s="13" t="str">
        <x:v>PV-LF-B-06</x:v>
      </x:c>
      <x:c r="B253" s="13" t="str">
        <x:v>Private recovery</x:v>
      </x:c>
      <x:c r="C253" s="13" t="str">
        <x:v>LF-B source state</x:v>
      </x:c>
      <x:c r="D253" s="13" t="str">
        <x:f>'Private Recovery'!R19</x:f>
        <x:v>SOURCE EMPTY</x:v>
      </x:c>
      <x:c r="E253" s="13" t="str">
        <x:v>SOURCE EMPTY</x:v>
      </x:c>
      <x:c r="F253" s="13" t="str">
        <x:f>IF(D253=E253,"PASS","FAIL")</x:f>
        <x:v>PASS</x:v>
      </x:c>
    </x:row>
    <x:row r="254">
      <x:c r="A254" s="13" t="str">
        <x:v>PV-LF-C-01</x:v>
      </x:c>
      <x:c r="B254" s="13" t="str">
        <x:v>Private recovery</x:v>
      </x:c>
      <x:c r="C254" s="13" t="str">
        <x:v>LF-C planning passes</x:v>
      </x:c>
      <x:c r="D254" s="13" t="str">
        <x:f>'Private Recovery'!Q20</x:f>
        <x:v>PASS</x:v>
      </x:c>
      <x:c r="E254" s="13" t="str">
        <x:v>PASS</x:v>
      </x:c>
      <x:c r="F254" s="13" t="str">
        <x:f>IF(D254=E254,"PASS","FAIL")</x:f>
        <x:v>PASS</x:v>
      </x:c>
    </x:row>
    <x:row r="255">
      <x:c r="A255" s="13" t="str">
        <x:v>PV-LF-C-02</x:v>
      </x:c>
      <x:c r="B255" s="13" t="str">
        <x:v>Private recovery</x:v>
      </x:c>
      <x:c r="C255" s="13" t="str">
        <x:v>LF-C largest-site rate closes</x:v>
      </x:c>
      <x:c r="D255" s="13" t="b">
        <x:f>'Private Recovery'!H20&gt;='Private Recovery'!D20</x:f>
        <x:v>1</x:v>
      </x:c>
      <x:c r="E255" s="58" t="b">
        <x:v>1</x:v>
      </x:c>
      <x:c r="F255" s="13" t="str">
        <x:f>IF(D255=E255,"PASS","FAIL")</x:f>
        <x:v>PASS</x:v>
      </x:c>
    </x:row>
    <x:row r="256">
      <x:c r="A256" s="13" t="str">
        <x:v>PV-LF-C-03</x:v>
      </x:c>
      <x:c r="B256" s="13" t="str">
        <x:v>Private recovery</x:v>
      </x:c>
      <x:c r="C256" s="13" t="str">
        <x:v>LF-C minimum site count</x:v>
      </x:c>
      <x:c r="D256" s="13" t="b">
        <x:f>'Private Recovery'!E20&gt;=3</x:f>
        <x:v>1</x:v>
      </x:c>
      <x:c r="E256" s="58" t="b">
        <x:v>1</x:v>
      </x:c>
      <x:c r="F256" s="13" t="str">
        <x:f>IF(D256=E256,"PASS","FAIL")</x:f>
        <x:v>PASS</x:v>
      </x:c>
    </x:row>
    <x:row r="257">
      <x:c r="A257" s="13" t="str">
        <x:v>PV-LF-C-04</x:v>
      </x:c>
      <x:c r="B257" s="13" t="str">
        <x:v>Private recovery</x:v>
      </x:c>
      <x:c r="C257" s="13" t="str">
        <x:v>LF-C site-share cap</x:v>
      </x:c>
      <x:c r="D257" s="13" t="b">
        <x:f>'Private Recovery'!F20&lt;=0.4</x:f>
        <x:v>1</x:v>
      </x:c>
      <x:c r="E257" s="58" t="b">
        <x:v>1</x:v>
      </x:c>
      <x:c r="F257" s="13" t="str">
        <x:f>IF(D257=E257,"PASS","FAIL")</x:f>
        <x:v>PASS</x:v>
      </x:c>
    </x:row>
    <x:row r="258">
      <x:c r="A258" s="13" t="str">
        <x:v>PV-LF-C-05</x:v>
      </x:c>
      <x:c r="B258" s="13" t="str">
        <x:v>Private recovery</x:v>
      </x:c>
      <x:c r="C258" s="13" t="str">
        <x:v>LF-C first-lot clock</x:v>
      </x:c>
      <x:c r="D258" s="13" t="b">
        <x:f>'Private Recovery'!I20&lt;=30</x:f>
        <x:v>1</x:v>
      </x:c>
      <x:c r="E258" s="58" t="b">
        <x:v>1</x:v>
      </x:c>
      <x:c r="F258" s="13" t="str">
        <x:f>IF(D258=E258,"PASS","FAIL")</x:f>
        <x:v>PASS</x:v>
      </x:c>
    </x:row>
    <x:row r="259">
      <x:c r="A259" s="13" t="str">
        <x:v>PV-LF-C-06</x:v>
      </x:c>
      <x:c r="B259" s="13" t="str">
        <x:v>Private recovery</x:v>
      </x:c>
      <x:c r="C259" s="13" t="str">
        <x:v>LF-C source state</x:v>
      </x:c>
      <x:c r="D259" s="13" t="str">
        <x:f>'Private Recovery'!R20</x:f>
        <x:v>SOURCE EMPTY</x:v>
      </x:c>
      <x:c r="E259" s="13" t="str">
        <x:v>SOURCE EMPTY</x:v>
      </x:c>
      <x:c r="F259" s="13" t="str">
        <x:f>IF(D259=E259,"PASS","FAIL")</x:f>
        <x:v>PASS</x:v>
      </x:c>
    </x:row>
    <x:row r="260">
      <x:c r="A260" s="13" t="str">
        <x:v>PV-LF-D-01</x:v>
      </x:c>
      <x:c r="B260" s="13" t="str">
        <x:v>Private recovery</x:v>
      </x:c>
      <x:c r="C260" s="13" t="str">
        <x:v>LF-D planning passes</x:v>
      </x:c>
      <x:c r="D260" s="13" t="str">
        <x:f>'Private Recovery'!Q21</x:f>
        <x:v>PASS</x:v>
      </x:c>
      <x:c r="E260" s="13" t="str">
        <x:v>PASS</x:v>
      </x:c>
      <x:c r="F260" s="13" t="str">
        <x:f>IF(D260=E260,"PASS","FAIL")</x:f>
        <x:v>PASS</x:v>
      </x:c>
    </x:row>
    <x:row r="261">
      <x:c r="A261" s="13" t="str">
        <x:v>PV-LF-D-02</x:v>
      </x:c>
      <x:c r="B261" s="13" t="str">
        <x:v>Private recovery</x:v>
      </x:c>
      <x:c r="C261" s="13" t="str">
        <x:v>LF-D largest-site rate closes</x:v>
      </x:c>
      <x:c r="D261" s="13" t="b">
        <x:f>'Private Recovery'!H21&gt;='Private Recovery'!D21</x:f>
        <x:v>1</x:v>
      </x:c>
      <x:c r="E261" s="58" t="b">
        <x:v>1</x:v>
      </x:c>
      <x:c r="F261" s="13" t="str">
        <x:f>IF(D261=E261,"PASS","FAIL")</x:f>
        <x:v>PASS</x:v>
      </x:c>
    </x:row>
    <x:row r="262">
      <x:c r="A262" s="13" t="str">
        <x:v>PV-LF-D-03</x:v>
      </x:c>
      <x:c r="B262" s="13" t="str">
        <x:v>Private recovery</x:v>
      </x:c>
      <x:c r="C262" s="13" t="str">
        <x:v>LF-D minimum site count</x:v>
      </x:c>
      <x:c r="D262" s="13" t="b">
        <x:f>'Private Recovery'!E21&gt;=3</x:f>
        <x:v>1</x:v>
      </x:c>
      <x:c r="E262" s="58" t="b">
        <x:v>1</x:v>
      </x:c>
      <x:c r="F262" s="13" t="str">
        <x:f>IF(D262=E262,"PASS","FAIL")</x:f>
        <x:v>PASS</x:v>
      </x:c>
    </x:row>
    <x:row r="263">
      <x:c r="A263" s="13" t="str">
        <x:v>PV-LF-D-04</x:v>
      </x:c>
      <x:c r="B263" s="13" t="str">
        <x:v>Private recovery</x:v>
      </x:c>
      <x:c r="C263" s="13" t="str">
        <x:v>LF-D site-share cap</x:v>
      </x:c>
      <x:c r="D263" s="13" t="b">
        <x:f>'Private Recovery'!F21&lt;=0.4</x:f>
        <x:v>1</x:v>
      </x:c>
      <x:c r="E263" s="58" t="b">
        <x:v>1</x:v>
      </x:c>
      <x:c r="F263" s="13" t="str">
        <x:f>IF(D263=E263,"PASS","FAIL")</x:f>
        <x:v>PASS</x:v>
      </x:c>
    </x:row>
    <x:row r="264">
      <x:c r="A264" s="13" t="str">
        <x:v>PV-LF-D-05</x:v>
      </x:c>
      <x:c r="B264" s="13" t="str">
        <x:v>Private recovery</x:v>
      </x:c>
      <x:c r="C264" s="13" t="str">
        <x:v>LF-D first-lot clock</x:v>
      </x:c>
      <x:c r="D264" s="13" t="b">
        <x:f>'Private Recovery'!I21&lt;=30</x:f>
        <x:v>1</x:v>
      </x:c>
      <x:c r="E264" s="58" t="b">
        <x:v>1</x:v>
      </x:c>
      <x:c r="F264" s="13" t="str">
        <x:f>IF(D264=E264,"PASS","FAIL")</x:f>
        <x:v>PASS</x:v>
      </x:c>
    </x:row>
    <x:row r="265">
      <x:c r="A265" s="13" t="str">
        <x:v>PV-LF-D-06</x:v>
      </x:c>
      <x:c r="B265" s="13" t="str">
        <x:v>Private recovery</x:v>
      </x:c>
      <x:c r="C265" s="13" t="str">
        <x:v>LF-D source state</x:v>
      </x:c>
      <x:c r="D265" s="13" t="str">
        <x:f>'Private Recovery'!R21</x:f>
        <x:v>SOURCE EMPTY</x:v>
      </x:c>
      <x:c r="E265" s="13" t="str">
        <x:v>SOURCE EMPTY</x:v>
      </x:c>
      <x:c r="F265" s="13" t="str">
        <x:f>IF(D265=E265,"PASS","FAIL")</x:f>
        <x:v>PASS</x:v>
      </x:c>
    </x:row>
    <x:row r="266">
      <x:c r="A266" s="13" t="str">
        <x:v>PV-HU-A-01</x:v>
      </x:c>
      <x:c r="B266" s="13" t="str">
        <x:v>Private recovery</x:v>
      </x:c>
      <x:c r="C266" s="13" t="str">
        <x:v>HU-A planning passes</x:v>
      </x:c>
      <x:c r="D266" s="13" t="str">
        <x:f>'Private Recovery'!Q22</x:f>
        <x:v>PASS</x:v>
      </x:c>
      <x:c r="E266" s="13" t="str">
        <x:v>PASS</x:v>
      </x:c>
      <x:c r="F266" s="13" t="str">
        <x:f>IF(D266=E266,"PASS","FAIL")</x:f>
        <x:v>PASS</x:v>
      </x:c>
    </x:row>
    <x:row r="267">
      <x:c r="A267" s="13" t="str">
        <x:v>PV-HU-A-02</x:v>
      </x:c>
      <x:c r="B267" s="13" t="str">
        <x:v>Private recovery</x:v>
      </x:c>
      <x:c r="C267" s="13" t="str">
        <x:v>HU-A largest-site rate closes</x:v>
      </x:c>
      <x:c r="D267" s="13" t="b">
        <x:f>'Private Recovery'!H22&gt;='Private Recovery'!D22</x:f>
        <x:v>1</x:v>
      </x:c>
      <x:c r="E267" s="58" t="b">
        <x:v>1</x:v>
      </x:c>
      <x:c r="F267" s="13" t="str">
        <x:f>IF(D267=E267,"PASS","FAIL")</x:f>
        <x:v>PASS</x:v>
      </x:c>
    </x:row>
    <x:row r="268">
      <x:c r="A268" s="13" t="str">
        <x:v>PV-HU-A-03</x:v>
      </x:c>
      <x:c r="B268" s="13" t="str">
        <x:v>Private recovery</x:v>
      </x:c>
      <x:c r="C268" s="13" t="str">
        <x:v>HU-A minimum site count</x:v>
      </x:c>
      <x:c r="D268" s="13" t="b">
        <x:f>'Private Recovery'!E22&gt;=3</x:f>
        <x:v>1</x:v>
      </x:c>
      <x:c r="E268" s="58" t="b">
        <x:v>1</x:v>
      </x:c>
      <x:c r="F268" s="13" t="str">
        <x:f>IF(D268=E268,"PASS","FAIL")</x:f>
        <x:v>PASS</x:v>
      </x:c>
    </x:row>
    <x:row r="269">
      <x:c r="A269" s="13" t="str">
        <x:v>PV-HU-A-04</x:v>
      </x:c>
      <x:c r="B269" s="13" t="str">
        <x:v>Private recovery</x:v>
      </x:c>
      <x:c r="C269" s="13" t="str">
        <x:v>HU-A site-share cap</x:v>
      </x:c>
      <x:c r="D269" s="13" t="b">
        <x:f>'Private Recovery'!F22&lt;=0.4</x:f>
        <x:v>1</x:v>
      </x:c>
      <x:c r="E269" s="58" t="b">
        <x:v>1</x:v>
      </x:c>
      <x:c r="F269" s="13" t="str">
        <x:f>IF(D269=E269,"PASS","FAIL")</x:f>
        <x:v>PASS</x:v>
      </x:c>
    </x:row>
    <x:row r="270">
      <x:c r="A270" s="13" t="str">
        <x:v>PV-HU-A-05</x:v>
      </x:c>
      <x:c r="B270" s="13" t="str">
        <x:v>Private recovery</x:v>
      </x:c>
      <x:c r="C270" s="13" t="str">
        <x:v>HU-A first-lot clock</x:v>
      </x:c>
      <x:c r="D270" s="13" t="b">
        <x:f>'Private Recovery'!I22&lt;=30</x:f>
        <x:v>1</x:v>
      </x:c>
      <x:c r="E270" s="58" t="b">
        <x:v>1</x:v>
      </x:c>
      <x:c r="F270" s="13" t="str">
        <x:f>IF(D270=E270,"PASS","FAIL")</x:f>
        <x:v>PASS</x:v>
      </x:c>
    </x:row>
    <x:row r="271">
      <x:c r="A271" s="13" t="str">
        <x:v>PV-HU-A-06</x:v>
      </x:c>
      <x:c r="B271" s="13" t="str">
        <x:v>Private recovery</x:v>
      </x:c>
      <x:c r="C271" s="13" t="str">
        <x:v>HU-A source state</x:v>
      </x:c>
      <x:c r="D271" s="13" t="str">
        <x:f>'Private Recovery'!R22</x:f>
        <x:v>SOURCE EMPTY</x:v>
      </x:c>
      <x:c r="E271" s="13" t="str">
        <x:v>SOURCE EMPTY</x:v>
      </x:c>
      <x:c r="F271" s="13" t="str">
        <x:f>IF(D271=E271,"PASS","FAIL")</x:f>
        <x:v>PASS</x:v>
      </x:c>
    </x:row>
    <x:row r="272">
      <x:c r="A272" s="13" t="str">
        <x:v>PV-HU-B-01</x:v>
      </x:c>
      <x:c r="B272" s="13" t="str">
        <x:v>Private recovery</x:v>
      </x:c>
      <x:c r="C272" s="13" t="str">
        <x:v>HU-B planning passes</x:v>
      </x:c>
      <x:c r="D272" s="13" t="str">
        <x:f>'Private Recovery'!Q23</x:f>
        <x:v>PASS</x:v>
      </x:c>
      <x:c r="E272" s="13" t="str">
        <x:v>PASS</x:v>
      </x:c>
      <x:c r="F272" s="13" t="str">
        <x:f>IF(D272=E272,"PASS","FAIL")</x:f>
        <x:v>PASS</x:v>
      </x:c>
    </x:row>
    <x:row r="273">
      <x:c r="A273" s="13" t="str">
        <x:v>PV-HU-B-02</x:v>
      </x:c>
      <x:c r="B273" s="13" t="str">
        <x:v>Private recovery</x:v>
      </x:c>
      <x:c r="C273" s="13" t="str">
        <x:v>HU-B largest-site rate closes</x:v>
      </x:c>
      <x:c r="D273" s="13" t="b">
        <x:f>'Private Recovery'!H23&gt;='Private Recovery'!D23</x:f>
        <x:v>1</x:v>
      </x:c>
      <x:c r="E273" s="58" t="b">
        <x:v>1</x:v>
      </x:c>
      <x:c r="F273" s="13" t="str">
        <x:f>IF(D273=E273,"PASS","FAIL")</x:f>
        <x:v>PASS</x:v>
      </x:c>
    </x:row>
    <x:row r="274">
      <x:c r="A274" s="13" t="str">
        <x:v>PV-HU-B-03</x:v>
      </x:c>
      <x:c r="B274" s="13" t="str">
        <x:v>Private recovery</x:v>
      </x:c>
      <x:c r="C274" s="13" t="str">
        <x:v>HU-B minimum site count</x:v>
      </x:c>
      <x:c r="D274" s="13" t="b">
        <x:f>'Private Recovery'!E23&gt;=3</x:f>
        <x:v>1</x:v>
      </x:c>
      <x:c r="E274" s="58" t="b">
        <x:v>1</x:v>
      </x:c>
      <x:c r="F274" s="13" t="str">
        <x:f>IF(D274=E274,"PASS","FAIL")</x:f>
        <x:v>PASS</x:v>
      </x:c>
    </x:row>
    <x:row r="275">
      <x:c r="A275" s="13" t="str">
        <x:v>PV-HU-B-04</x:v>
      </x:c>
      <x:c r="B275" s="13" t="str">
        <x:v>Private recovery</x:v>
      </x:c>
      <x:c r="C275" s="13" t="str">
        <x:v>HU-B site-share cap</x:v>
      </x:c>
      <x:c r="D275" s="13" t="b">
        <x:f>'Private Recovery'!F23&lt;=0.4</x:f>
        <x:v>1</x:v>
      </x:c>
      <x:c r="E275" s="58" t="b">
        <x:v>1</x:v>
      </x:c>
      <x:c r="F275" s="13" t="str">
        <x:f>IF(D275=E275,"PASS","FAIL")</x:f>
        <x:v>PASS</x:v>
      </x:c>
    </x:row>
    <x:row r="276">
      <x:c r="A276" s="13" t="str">
        <x:v>PV-HU-B-05</x:v>
      </x:c>
      <x:c r="B276" s="13" t="str">
        <x:v>Private recovery</x:v>
      </x:c>
      <x:c r="C276" s="13" t="str">
        <x:v>HU-B first-lot clock</x:v>
      </x:c>
      <x:c r="D276" s="13" t="b">
        <x:f>'Private Recovery'!I23&lt;=30</x:f>
        <x:v>1</x:v>
      </x:c>
      <x:c r="E276" s="58" t="b">
        <x:v>1</x:v>
      </x:c>
      <x:c r="F276" s="13" t="str">
        <x:f>IF(D276=E276,"PASS","FAIL")</x:f>
        <x:v>PASS</x:v>
      </x:c>
    </x:row>
    <x:row r="277">
      <x:c r="A277" s="13" t="str">
        <x:v>PV-HU-B-06</x:v>
      </x:c>
      <x:c r="B277" s="13" t="str">
        <x:v>Private recovery</x:v>
      </x:c>
      <x:c r="C277" s="13" t="str">
        <x:v>HU-B source state</x:v>
      </x:c>
      <x:c r="D277" s="13" t="str">
        <x:f>'Private Recovery'!R23</x:f>
        <x:v>SOURCE EMPTY</x:v>
      </x:c>
      <x:c r="E277" s="13" t="str">
        <x:v>SOURCE EMPTY</x:v>
      </x:c>
      <x:c r="F277" s="13" t="str">
        <x:f>IF(D277=E277,"PASS","FAIL")</x:f>
        <x:v>PASS</x:v>
      </x:c>
    </x:row>
    <x:row r="278">
      <x:c r="A278" s="13" t="str">
        <x:v>PV-HU-C-01</x:v>
      </x:c>
      <x:c r="B278" s="13" t="str">
        <x:v>Private recovery</x:v>
      </x:c>
      <x:c r="C278" s="13" t="str">
        <x:v>HU-C planning passes</x:v>
      </x:c>
      <x:c r="D278" s="13" t="str">
        <x:f>'Private Recovery'!Q24</x:f>
        <x:v>PASS</x:v>
      </x:c>
      <x:c r="E278" s="13" t="str">
        <x:v>PASS</x:v>
      </x:c>
      <x:c r="F278" s="13" t="str">
        <x:f>IF(D278=E278,"PASS","FAIL")</x:f>
        <x:v>PASS</x:v>
      </x:c>
    </x:row>
    <x:row r="279">
      <x:c r="A279" s="13" t="str">
        <x:v>PV-HU-C-02</x:v>
      </x:c>
      <x:c r="B279" s="13" t="str">
        <x:v>Private recovery</x:v>
      </x:c>
      <x:c r="C279" s="13" t="str">
        <x:v>HU-C largest-site rate closes</x:v>
      </x:c>
      <x:c r="D279" s="13" t="b">
        <x:f>'Private Recovery'!H24&gt;='Private Recovery'!D24</x:f>
        <x:v>1</x:v>
      </x:c>
      <x:c r="E279" s="58" t="b">
        <x:v>1</x:v>
      </x:c>
      <x:c r="F279" s="13" t="str">
        <x:f>IF(D279=E279,"PASS","FAIL")</x:f>
        <x:v>PASS</x:v>
      </x:c>
    </x:row>
    <x:row r="280">
      <x:c r="A280" s="13" t="str">
        <x:v>PV-HU-C-03</x:v>
      </x:c>
      <x:c r="B280" s="13" t="str">
        <x:v>Private recovery</x:v>
      </x:c>
      <x:c r="C280" s="13" t="str">
        <x:v>HU-C minimum site count</x:v>
      </x:c>
      <x:c r="D280" s="13" t="b">
        <x:f>'Private Recovery'!E24&gt;=3</x:f>
        <x:v>1</x:v>
      </x:c>
      <x:c r="E280" s="58" t="b">
        <x:v>1</x:v>
      </x:c>
      <x:c r="F280" s="13" t="str">
        <x:f>IF(D280=E280,"PASS","FAIL")</x:f>
        <x:v>PASS</x:v>
      </x:c>
    </x:row>
    <x:row r="281">
      <x:c r="A281" s="13" t="str">
        <x:v>PV-HU-C-04</x:v>
      </x:c>
      <x:c r="B281" s="13" t="str">
        <x:v>Private recovery</x:v>
      </x:c>
      <x:c r="C281" s="13" t="str">
        <x:v>HU-C site-share cap</x:v>
      </x:c>
      <x:c r="D281" s="13" t="b">
        <x:f>'Private Recovery'!F24&lt;=0.4</x:f>
        <x:v>1</x:v>
      </x:c>
      <x:c r="E281" s="58" t="b">
        <x:v>1</x:v>
      </x:c>
      <x:c r="F281" s="13" t="str">
        <x:f>IF(D281=E281,"PASS","FAIL")</x:f>
        <x:v>PASS</x:v>
      </x:c>
    </x:row>
    <x:row r="282">
      <x:c r="A282" s="13" t="str">
        <x:v>PV-HU-C-05</x:v>
      </x:c>
      <x:c r="B282" s="13" t="str">
        <x:v>Private recovery</x:v>
      </x:c>
      <x:c r="C282" s="13" t="str">
        <x:v>HU-C first-lot clock</x:v>
      </x:c>
      <x:c r="D282" s="13" t="b">
        <x:f>'Private Recovery'!I24&lt;=30</x:f>
        <x:v>1</x:v>
      </x:c>
      <x:c r="E282" s="58" t="b">
        <x:v>1</x:v>
      </x:c>
      <x:c r="F282" s="13" t="str">
        <x:f>IF(D282=E282,"PASS","FAIL")</x:f>
        <x:v>PASS</x:v>
      </x:c>
    </x:row>
    <x:row r="283">
      <x:c r="A283" s="13" t="str">
        <x:v>PV-HU-C-06</x:v>
      </x:c>
      <x:c r="B283" s="13" t="str">
        <x:v>Private recovery</x:v>
      </x:c>
      <x:c r="C283" s="13" t="str">
        <x:v>HU-C source state</x:v>
      </x:c>
      <x:c r="D283" s="13" t="str">
        <x:f>'Private Recovery'!R24</x:f>
        <x:v>SOURCE EMPTY</x:v>
      </x:c>
      <x:c r="E283" s="13" t="str">
        <x:v>SOURCE EMPTY</x:v>
      </x:c>
      <x:c r="F283" s="13" t="str">
        <x:f>IF(D283=E283,"PASS","FAIL")</x:f>
        <x:v>PASS</x:v>
      </x:c>
    </x:row>
    <x:row r="284">
      <x:c r="A284" s="13" t="str">
        <x:v>PV-HU-D-01</x:v>
      </x:c>
      <x:c r="B284" s="13" t="str">
        <x:v>Private recovery</x:v>
      </x:c>
      <x:c r="C284" s="13" t="str">
        <x:v>HU-D planning passes</x:v>
      </x:c>
      <x:c r="D284" s="13" t="str">
        <x:f>'Private Recovery'!Q25</x:f>
        <x:v>PASS</x:v>
      </x:c>
      <x:c r="E284" s="13" t="str">
        <x:v>PASS</x:v>
      </x:c>
      <x:c r="F284" s="13" t="str">
        <x:f>IF(D284=E284,"PASS","FAIL")</x:f>
        <x:v>PASS</x:v>
      </x:c>
    </x:row>
    <x:row r="285">
      <x:c r="A285" s="13" t="str">
        <x:v>PV-HU-D-02</x:v>
      </x:c>
      <x:c r="B285" s="13" t="str">
        <x:v>Private recovery</x:v>
      </x:c>
      <x:c r="C285" s="13" t="str">
        <x:v>HU-D largest-site rate closes</x:v>
      </x:c>
      <x:c r="D285" s="13" t="b">
        <x:f>'Private Recovery'!H25&gt;='Private Recovery'!D25</x:f>
        <x:v>1</x:v>
      </x:c>
      <x:c r="E285" s="58" t="b">
        <x:v>1</x:v>
      </x:c>
      <x:c r="F285" s="13" t="str">
        <x:f>IF(D285=E285,"PASS","FAIL")</x:f>
        <x:v>PASS</x:v>
      </x:c>
    </x:row>
    <x:row r="286">
      <x:c r="A286" s="13" t="str">
        <x:v>PV-HU-D-03</x:v>
      </x:c>
      <x:c r="B286" s="13" t="str">
        <x:v>Private recovery</x:v>
      </x:c>
      <x:c r="C286" s="13" t="str">
        <x:v>HU-D minimum site count</x:v>
      </x:c>
      <x:c r="D286" s="13" t="b">
        <x:f>'Private Recovery'!E25&gt;=3</x:f>
        <x:v>1</x:v>
      </x:c>
      <x:c r="E286" s="58" t="b">
        <x:v>1</x:v>
      </x:c>
      <x:c r="F286" s="13" t="str">
        <x:f>IF(D286=E286,"PASS","FAIL")</x:f>
        <x:v>PASS</x:v>
      </x:c>
    </x:row>
    <x:row r="287">
      <x:c r="A287" s="13" t="str">
        <x:v>PV-HU-D-04</x:v>
      </x:c>
      <x:c r="B287" s="13" t="str">
        <x:v>Private recovery</x:v>
      </x:c>
      <x:c r="C287" s="13" t="str">
        <x:v>HU-D site-share cap</x:v>
      </x:c>
      <x:c r="D287" s="13" t="b">
        <x:f>'Private Recovery'!F25&lt;=0.4</x:f>
        <x:v>1</x:v>
      </x:c>
      <x:c r="E287" s="58" t="b">
        <x:v>1</x:v>
      </x:c>
      <x:c r="F287" s="13" t="str">
        <x:f>IF(D287=E287,"PASS","FAIL")</x:f>
        <x:v>PASS</x:v>
      </x:c>
    </x:row>
    <x:row r="288">
      <x:c r="A288" s="13" t="str">
        <x:v>PV-HU-D-05</x:v>
      </x:c>
      <x:c r="B288" s="13" t="str">
        <x:v>Private recovery</x:v>
      </x:c>
      <x:c r="C288" s="13" t="str">
        <x:v>HU-D first-lot clock</x:v>
      </x:c>
      <x:c r="D288" s="13" t="b">
        <x:f>'Private Recovery'!I25&lt;=30</x:f>
        <x:v>1</x:v>
      </x:c>
      <x:c r="E288" s="58" t="b">
        <x:v>1</x:v>
      </x:c>
      <x:c r="F288" s="13" t="str">
        <x:f>IF(D288=E288,"PASS","FAIL")</x:f>
        <x:v>PASS</x:v>
      </x:c>
    </x:row>
    <x:row r="289">
      <x:c r="A289" s="13" t="str">
        <x:v>PV-HU-D-06</x:v>
      </x:c>
      <x:c r="B289" s="13" t="str">
        <x:v>Private recovery</x:v>
      </x:c>
      <x:c r="C289" s="13" t="str">
        <x:v>HU-D source state</x:v>
      </x:c>
      <x:c r="D289" s="13" t="str">
        <x:f>'Private Recovery'!R25</x:f>
        <x:v>SOURCE EMPTY</x:v>
      </x:c>
      <x:c r="E289" s="13" t="str">
        <x:v>SOURCE EMPTY</x:v>
      </x:c>
      <x:c r="F289" s="13" t="str">
        <x:f>IF(D289=E289,"PASS","FAIL")</x:f>
        <x:v>PASS</x:v>
      </x:c>
    </x:row>
    <x:row r="290">
      <x:c r="A290" s="13" t="str">
        <x:v>PV-RT-A-01</x:v>
      </x:c>
      <x:c r="B290" s="13" t="str">
        <x:v>Private recovery</x:v>
      </x:c>
      <x:c r="C290" s="13" t="str">
        <x:v>RT-A planning passes</x:v>
      </x:c>
      <x:c r="D290" s="13" t="str">
        <x:f>'Private Recovery'!Q26</x:f>
        <x:v>PASS</x:v>
      </x:c>
      <x:c r="E290" s="13" t="str">
        <x:v>PASS</x:v>
      </x:c>
      <x:c r="F290" s="13" t="str">
        <x:f>IF(D290=E290,"PASS","FAIL")</x:f>
        <x:v>PASS</x:v>
      </x:c>
    </x:row>
    <x:row r="291">
      <x:c r="A291" s="13" t="str">
        <x:v>PV-RT-A-02</x:v>
      </x:c>
      <x:c r="B291" s="13" t="str">
        <x:v>Private recovery</x:v>
      </x:c>
      <x:c r="C291" s="13" t="str">
        <x:v>RT-A largest-site rate closes</x:v>
      </x:c>
      <x:c r="D291" s="13" t="b">
        <x:f>'Private Recovery'!H26&gt;='Private Recovery'!D26</x:f>
        <x:v>1</x:v>
      </x:c>
      <x:c r="E291" s="58" t="b">
        <x:v>1</x:v>
      </x:c>
      <x:c r="F291" s="13" t="str">
        <x:f>IF(D291=E291,"PASS","FAIL")</x:f>
        <x:v>PASS</x:v>
      </x:c>
    </x:row>
    <x:row r="292">
      <x:c r="A292" s="13" t="str">
        <x:v>PV-RT-A-03</x:v>
      </x:c>
      <x:c r="B292" s="13" t="str">
        <x:v>Private recovery</x:v>
      </x:c>
      <x:c r="C292" s="13" t="str">
        <x:v>RT-A minimum site count</x:v>
      </x:c>
      <x:c r="D292" s="13" t="b">
        <x:f>'Private Recovery'!E26&gt;=3</x:f>
        <x:v>1</x:v>
      </x:c>
      <x:c r="E292" s="58" t="b">
        <x:v>1</x:v>
      </x:c>
      <x:c r="F292" s="13" t="str">
        <x:f>IF(D292=E292,"PASS","FAIL")</x:f>
        <x:v>PASS</x:v>
      </x:c>
    </x:row>
    <x:row r="293">
      <x:c r="A293" s="13" t="str">
        <x:v>PV-RT-A-04</x:v>
      </x:c>
      <x:c r="B293" s="13" t="str">
        <x:v>Private recovery</x:v>
      </x:c>
      <x:c r="C293" s="13" t="str">
        <x:v>RT-A site-share cap</x:v>
      </x:c>
      <x:c r="D293" s="13" t="b">
        <x:f>'Private Recovery'!F26&lt;=0.4</x:f>
        <x:v>1</x:v>
      </x:c>
      <x:c r="E293" s="58" t="b">
        <x:v>1</x:v>
      </x:c>
      <x:c r="F293" s="13" t="str">
        <x:f>IF(D293=E293,"PASS","FAIL")</x:f>
        <x:v>PASS</x:v>
      </x:c>
    </x:row>
    <x:row r="294">
      <x:c r="A294" s="13" t="str">
        <x:v>PV-RT-A-05</x:v>
      </x:c>
      <x:c r="B294" s="13" t="str">
        <x:v>Private recovery</x:v>
      </x:c>
      <x:c r="C294" s="13" t="str">
        <x:v>RT-A first-lot clock</x:v>
      </x:c>
      <x:c r="D294" s="13" t="b">
        <x:f>'Private Recovery'!I26&lt;=30</x:f>
        <x:v>1</x:v>
      </x:c>
      <x:c r="E294" s="58" t="b">
        <x:v>1</x:v>
      </x:c>
      <x:c r="F294" s="13" t="str">
        <x:f>IF(D294=E294,"PASS","FAIL")</x:f>
        <x:v>PASS</x:v>
      </x:c>
    </x:row>
    <x:row r="295">
      <x:c r="A295" s="13" t="str">
        <x:v>PV-RT-A-06</x:v>
      </x:c>
      <x:c r="B295" s="13" t="str">
        <x:v>Private recovery</x:v>
      </x:c>
      <x:c r="C295" s="13" t="str">
        <x:v>RT-A source state</x:v>
      </x:c>
      <x:c r="D295" s="13" t="str">
        <x:f>'Private Recovery'!R26</x:f>
        <x:v>SOURCE EMPTY</x:v>
      </x:c>
      <x:c r="E295" s="13" t="str">
        <x:v>SOURCE EMPTY</x:v>
      </x:c>
      <x:c r="F295" s="13" t="str">
        <x:f>IF(D295=E295,"PASS","FAIL")</x:f>
        <x:v>PASS</x:v>
      </x:c>
    </x:row>
    <x:row r="296">
      <x:c r="A296" s="13" t="str">
        <x:v>PV-RT-B-01</x:v>
      </x:c>
      <x:c r="B296" s="13" t="str">
        <x:v>Private recovery</x:v>
      </x:c>
      <x:c r="C296" s="13" t="str">
        <x:v>RT-B planning passes</x:v>
      </x:c>
      <x:c r="D296" s="13" t="str">
        <x:f>'Private Recovery'!Q27</x:f>
        <x:v>PASS</x:v>
      </x:c>
      <x:c r="E296" s="13" t="str">
        <x:v>PASS</x:v>
      </x:c>
      <x:c r="F296" s="13" t="str">
        <x:f>IF(D296=E296,"PASS","FAIL")</x:f>
        <x:v>PASS</x:v>
      </x:c>
    </x:row>
    <x:row r="297">
      <x:c r="A297" s="13" t="str">
        <x:v>PV-RT-B-02</x:v>
      </x:c>
      <x:c r="B297" s="13" t="str">
        <x:v>Private recovery</x:v>
      </x:c>
      <x:c r="C297" s="13" t="str">
        <x:v>RT-B largest-site rate closes</x:v>
      </x:c>
      <x:c r="D297" s="13" t="b">
        <x:f>'Private Recovery'!H27&gt;='Private Recovery'!D27</x:f>
        <x:v>1</x:v>
      </x:c>
      <x:c r="E297" s="58" t="b">
        <x:v>1</x:v>
      </x:c>
      <x:c r="F297" s="13" t="str">
        <x:f>IF(D297=E297,"PASS","FAIL")</x:f>
        <x:v>PASS</x:v>
      </x:c>
    </x:row>
    <x:row r="298">
      <x:c r="A298" s="13" t="str">
        <x:v>PV-RT-B-03</x:v>
      </x:c>
      <x:c r="B298" s="13" t="str">
        <x:v>Private recovery</x:v>
      </x:c>
      <x:c r="C298" s="13" t="str">
        <x:v>RT-B minimum site count</x:v>
      </x:c>
      <x:c r="D298" s="13" t="b">
        <x:f>'Private Recovery'!E27&gt;=3</x:f>
        <x:v>1</x:v>
      </x:c>
      <x:c r="E298" s="58" t="b">
        <x:v>1</x:v>
      </x:c>
      <x:c r="F298" s="13" t="str">
        <x:f>IF(D298=E298,"PASS","FAIL")</x:f>
        <x:v>PASS</x:v>
      </x:c>
    </x:row>
    <x:row r="299">
      <x:c r="A299" s="13" t="str">
        <x:v>PV-RT-B-04</x:v>
      </x:c>
      <x:c r="B299" s="13" t="str">
        <x:v>Private recovery</x:v>
      </x:c>
      <x:c r="C299" s="13" t="str">
        <x:v>RT-B site-share cap</x:v>
      </x:c>
      <x:c r="D299" s="13" t="b">
        <x:f>'Private Recovery'!F27&lt;=0.4</x:f>
        <x:v>1</x:v>
      </x:c>
      <x:c r="E299" s="58" t="b">
        <x:v>1</x:v>
      </x:c>
      <x:c r="F299" s="13" t="str">
        <x:f>IF(D299=E299,"PASS","FAIL")</x:f>
        <x:v>PASS</x:v>
      </x:c>
    </x:row>
    <x:row r="300">
      <x:c r="A300" s="13" t="str">
        <x:v>PV-RT-B-05</x:v>
      </x:c>
      <x:c r="B300" s="13" t="str">
        <x:v>Private recovery</x:v>
      </x:c>
      <x:c r="C300" s="13" t="str">
        <x:v>RT-B first-lot clock</x:v>
      </x:c>
      <x:c r="D300" s="13" t="b">
        <x:f>'Private Recovery'!I27&lt;=30</x:f>
        <x:v>1</x:v>
      </x:c>
      <x:c r="E300" s="58" t="b">
        <x:v>1</x:v>
      </x:c>
      <x:c r="F300" s="13" t="str">
        <x:f>IF(D300=E300,"PASS","FAIL")</x:f>
        <x:v>PASS</x:v>
      </x:c>
    </x:row>
    <x:row r="301">
      <x:c r="A301" s="13" t="str">
        <x:v>PV-RT-B-06</x:v>
      </x:c>
      <x:c r="B301" s="13" t="str">
        <x:v>Private recovery</x:v>
      </x:c>
      <x:c r="C301" s="13" t="str">
        <x:v>RT-B source state</x:v>
      </x:c>
      <x:c r="D301" s="13" t="str">
        <x:f>'Private Recovery'!R27</x:f>
        <x:v>SOURCE EMPTY</x:v>
      </x:c>
      <x:c r="E301" s="13" t="str">
        <x:v>SOURCE EMPTY</x:v>
      </x:c>
      <x:c r="F301" s="13" t="str">
        <x:f>IF(D301=E301,"PASS","FAIL")</x:f>
        <x:v>PASS</x:v>
      </x:c>
    </x:row>
    <x:row r="302">
      <x:c r="A302" s="13" t="str">
        <x:v>PV-RT-C-01</x:v>
      </x:c>
      <x:c r="B302" s="13" t="str">
        <x:v>Private recovery</x:v>
      </x:c>
      <x:c r="C302" s="13" t="str">
        <x:v>RT-C planning passes</x:v>
      </x:c>
      <x:c r="D302" s="13" t="str">
        <x:f>'Private Recovery'!Q28</x:f>
        <x:v>PASS</x:v>
      </x:c>
      <x:c r="E302" s="13" t="str">
        <x:v>PASS</x:v>
      </x:c>
      <x:c r="F302" s="13" t="str">
        <x:f>IF(D302=E302,"PASS","FAIL")</x:f>
        <x:v>PASS</x:v>
      </x:c>
    </x:row>
    <x:row r="303">
      <x:c r="A303" s="13" t="str">
        <x:v>PV-RT-C-02</x:v>
      </x:c>
      <x:c r="B303" s="13" t="str">
        <x:v>Private recovery</x:v>
      </x:c>
      <x:c r="C303" s="13" t="str">
        <x:v>RT-C largest-site rate closes</x:v>
      </x:c>
      <x:c r="D303" s="13" t="b">
        <x:f>'Private Recovery'!H28&gt;='Private Recovery'!D28</x:f>
        <x:v>1</x:v>
      </x:c>
      <x:c r="E303" s="58" t="b">
        <x:v>1</x:v>
      </x:c>
      <x:c r="F303" s="13" t="str">
        <x:f>IF(D303=E303,"PASS","FAIL")</x:f>
        <x:v>PASS</x:v>
      </x:c>
    </x:row>
    <x:row r="304">
      <x:c r="A304" s="13" t="str">
        <x:v>PV-RT-C-03</x:v>
      </x:c>
      <x:c r="B304" s="13" t="str">
        <x:v>Private recovery</x:v>
      </x:c>
      <x:c r="C304" s="13" t="str">
        <x:v>RT-C minimum site count</x:v>
      </x:c>
      <x:c r="D304" s="13" t="b">
        <x:f>'Private Recovery'!E28&gt;=3</x:f>
        <x:v>1</x:v>
      </x:c>
      <x:c r="E304" s="58" t="b">
        <x:v>1</x:v>
      </x:c>
      <x:c r="F304" s="13" t="str">
        <x:f>IF(D304=E304,"PASS","FAIL")</x:f>
        <x:v>PASS</x:v>
      </x:c>
    </x:row>
    <x:row r="305">
      <x:c r="A305" s="13" t="str">
        <x:v>PV-RT-C-04</x:v>
      </x:c>
      <x:c r="B305" s="13" t="str">
        <x:v>Private recovery</x:v>
      </x:c>
      <x:c r="C305" s="13" t="str">
        <x:v>RT-C site-share cap</x:v>
      </x:c>
      <x:c r="D305" s="13" t="b">
        <x:f>'Private Recovery'!F28&lt;=0.4</x:f>
        <x:v>1</x:v>
      </x:c>
      <x:c r="E305" s="58" t="b">
        <x:v>1</x:v>
      </x:c>
      <x:c r="F305" s="13" t="str">
        <x:f>IF(D305=E305,"PASS","FAIL")</x:f>
        <x:v>PASS</x:v>
      </x:c>
    </x:row>
    <x:row r="306">
      <x:c r="A306" s="13" t="str">
        <x:v>PV-RT-C-05</x:v>
      </x:c>
      <x:c r="B306" s="13" t="str">
        <x:v>Private recovery</x:v>
      </x:c>
      <x:c r="C306" s="13" t="str">
        <x:v>RT-C first-lot clock</x:v>
      </x:c>
      <x:c r="D306" s="13" t="b">
        <x:f>'Private Recovery'!I28&lt;=30</x:f>
        <x:v>1</x:v>
      </x:c>
      <x:c r="E306" s="58" t="b">
        <x:v>1</x:v>
      </x:c>
      <x:c r="F306" s="13" t="str">
        <x:f>IF(D306=E306,"PASS","FAIL")</x:f>
        <x:v>PASS</x:v>
      </x:c>
    </x:row>
    <x:row r="307">
      <x:c r="A307" s="13" t="str">
        <x:v>PV-RT-C-06</x:v>
      </x:c>
      <x:c r="B307" s="13" t="str">
        <x:v>Private recovery</x:v>
      </x:c>
      <x:c r="C307" s="13" t="str">
        <x:v>RT-C source state</x:v>
      </x:c>
      <x:c r="D307" s="13" t="str">
        <x:f>'Private Recovery'!R28</x:f>
        <x:v>SOURCE EMPTY</x:v>
      </x:c>
      <x:c r="E307" s="13" t="str">
        <x:v>SOURCE EMPTY</x:v>
      </x:c>
      <x:c r="F307" s="13" t="str">
        <x:f>IF(D307=E307,"PASS","FAIL")</x:f>
        <x:v>PASS</x:v>
      </x:c>
    </x:row>
    <x:row r="308">
      <x:c r="A308" s="13" t="str">
        <x:v>PV-RT-D-01</x:v>
      </x:c>
      <x:c r="B308" s="13" t="str">
        <x:v>Private recovery</x:v>
      </x:c>
      <x:c r="C308" s="13" t="str">
        <x:v>RT-D planning passes</x:v>
      </x:c>
      <x:c r="D308" s="13" t="str">
        <x:f>'Private Recovery'!Q29</x:f>
        <x:v>PASS</x:v>
      </x:c>
      <x:c r="E308" s="13" t="str">
        <x:v>PASS</x:v>
      </x:c>
      <x:c r="F308" s="13" t="str">
        <x:f>IF(D308=E308,"PASS","FAIL")</x:f>
        <x:v>PASS</x:v>
      </x:c>
    </x:row>
    <x:row r="309">
      <x:c r="A309" s="13" t="str">
        <x:v>PV-RT-D-02</x:v>
      </x:c>
      <x:c r="B309" s="13" t="str">
        <x:v>Private recovery</x:v>
      </x:c>
      <x:c r="C309" s="13" t="str">
        <x:v>RT-D largest-site rate closes</x:v>
      </x:c>
      <x:c r="D309" s="13" t="b">
        <x:f>'Private Recovery'!H29&gt;='Private Recovery'!D29</x:f>
        <x:v>1</x:v>
      </x:c>
      <x:c r="E309" s="58" t="b">
        <x:v>1</x:v>
      </x:c>
      <x:c r="F309" s="13" t="str">
        <x:f>IF(D309=E309,"PASS","FAIL")</x:f>
        <x:v>PASS</x:v>
      </x:c>
    </x:row>
    <x:row r="310">
      <x:c r="A310" s="13" t="str">
        <x:v>PV-RT-D-03</x:v>
      </x:c>
      <x:c r="B310" s="13" t="str">
        <x:v>Private recovery</x:v>
      </x:c>
      <x:c r="C310" s="13" t="str">
        <x:v>RT-D minimum site count</x:v>
      </x:c>
      <x:c r="D310" s="13" t="b">
        <x:f>'Private Recovery'!E29&gt;=3</x:f>
        <x:v>1</x:v>
      </x:c>
      <x:c r="E310" s="58" t="b">
        <x:v>1</x:v>
      </x:c>
      <x:c r="F310" s="13" t="str">
        <x:f>IF(D310=E310,"PASS","FAIL")</x:f>
        <x:v>PASS</x:v>
      </x:c>
    </x:row>
    <x:row r="311">
      <x:c r="A311" s="13" t="str">
        <x:v>PV-RT-D-04</x:v>
      </x:c>
      <x:c r="B311" s="13" t="str">
        <x:v>Private recovery</x:v>
      </x:c>
      <x:c r="C311" s="13" t="str">
        <x:v>RT-D site-share cap</x:v>
      </x:c>
      <x:c r="D311" s="13" t="b">
        <x:f>'Private Recovery'!F29&lt;=0.4</x:f>
        <x:v>1</x:v>
      </x:c>
      <x:c r="E311" s="58" t="b">
        <x:v>1</x:v>
      </x:c>
      <x:c r="F311" s="13" t="str">
        <x:f>IF(D311=E311,"PASS","FAIL")</x:f>
        <x:v>PASS</x:v>
      </x:c>
    </x:row>
    <x:row r="312">
      <x:c r="A312" s="13" t="str">
        <x:v>PV-RT-D-05</x:v>
      </x:c>
      <x:c r="B312" s="13" t="str">
        <x:v>Private recovery</x:v>
      </x:c>
      <x:c r="C312" s="13" t="str">
        <x:v>RT-D first-lot clock</x:v>
      </x:c>
      <x:c r="D312" s="13" t="b">
        <x:f>'Private Recovery'!I29&lt;=30</x:f>
        <x:v>1</x:v>
      </x:c>
      <x:c r="E312" s="58" t="b">
        <x:v>1</x:v>
      </x:c>
      <x:c r="F312" s="13" t="str">
        <x:f>IF(D312=E312,"PASS","FAIL")</x:f>
        <x:v>PASS</x:v>
      </x:c>
    </x:row>
    <x:row r="313">
      <x:c r="A313" s="13" t="str">
        <x:v>PV-RT-D-06</x:v>
      </x:c>
      <x:c r="B313" s="13" t="str">
        <x:v>Private recovery</x:v>
      </x:c>
      <x:c r="C313" s="13" t="str">
        <x:v>RT-D source state</x:v>
      </x:c>
      <x:c r="D313" s="13" t="str">
        <x:f>'Private Recovery'!R29</x:f>
        <x:v>SOURCE EMPTY</x:v>
      </x:c>
      <x:c r="E313" s="13" t="str">
        <x:v>SOURCE EMPTY</x:v>
      </x:c>
      <x:c r="F313" s="13" t="str">
        <x:f>IF(D313=E313,"PASS","FAIL")</x:f>
        <x:v>PASS</x:v>
      </x:c>
    </x:row>
    <x:row r="314">
      <x:c r="A314" s="13" t="str">
        <x:v>PP-1-01</x:v>
      </x:c>
      <x:c r="B314" s="13" t="str">
        <x:v>Public path</x:v>
      </x:c>
      <x:c r="C314" s="13" t="str">
        <x:v>TE-A-TE-CELL-1 qualification unique</x:v>
      </x:c>
      <x:c r="D314" s="13" t="n">
        <x:f>COUNTIFS('Public Paths'!$A$6:$A$53,'Public Paths'!A6)</x:f>
        <x:v>1</x:v>
      </x:c>
      <x:c r="E314" s="13" t="n">
        <x:v>1</x:v>
      </x:c>
      <x:c r="F314" s="13" t="str">
        <x:f>IF(D314=E314,"PASS","FAIL")</x:f>
        <x:v>PASS</x:v>
      </x:c>
    </x:row>
    <x:row r="315">
      <x:c r="A315" s="13" t="str">
        <x:v>PP-1-02</x:v>
      </x:c>
      <x:c r="B315" s="13" t="str">
        <x:v>Public path</x:v>
      </x:c>
      <x:c r="C315" s="13" t="str">
        <x:v>TE-A-TE-CELL-1 root exists</x:v>
      </x:c>
      <x:c r="D315" s="13" t="n">
        <x:f>COUNTIFS('Root Units'!$A$6:$A$29,'Public Paths'!B6)</x:f>
        <x:v>1</x:v>
      </x:c>
      <x:c r="E315" s="13" t="n">
        <x:v>1</x:v>
      </x:c>
      <x:c r="F315" s="13" t="str">
        <x:f>IF(D315=E315,"PASS","FAIL")</x:f>
        <x:v>PASS</x:v>
      </x:c>
    </x:row>
    <x:row r="316">
      <x:c r="A316" s="13" t="str">
        <x:v>PP-1-03</x:v>
      </x:c>
      <x:c r="B316" s="13" t="str">
        <x:v>Public path</x:v>
      </x:c>
      <x:c r="C316" s="13" t="str">
        <x:v>TE-A-TE-CELL-1 cell exists</x:v>
      </x:c>
      <x:c r="D316" s="13" t="n">
        <x:f>COUNTIFS('Cell Capacity'!$A$6:$A$29,'Public Paths'!D6)</x:f>
        <x:v>1</x:v>
      </x:c>
      <x:c r="E316" s="13" t="n">
        <x:v>1</x:v>
      </x:c>
      <x:c r="F316" s="13" t="str">
        <x:f>IF(D316=E316,"PASS","FAIL")</x:f>
        <x:v>PASS</x:v>
      </x:c>
    </x:row>
    <x:row r="317">
      <x:c r="A317" s="13" t="str">
        <x:v>PP-1-04</x:v>
      </x:c>
      <x:c r="B317" s="13" t="str">
        <x:v>Public path</x:v>
      </x:c>
      <x:c r="C317" s="13" t="str">
        <x:v>TE-A-TE-CELL-1 root mass matches</x:v>
      </x:c>
      <x:c r="D317" s="13" t="b">
        <x:f>ABS('Public Paths'!E6-VLOOKUP('Public Paths'!B6,'Root Units'!$A$6:$K$29,5,FALSE))&lt;0.000001</x:f>
        <x:v>1</x:v>
      </x:c>
      <x:c r="E317" s="58" t="b">
        <x:v>1</x:v>
      </x:c>
      <x:c r="F317" s="13" t="str">
        <x:f>IF(D317=E317,"PASS","FAIL")</x:f>
        <x:v>PASS</x:v>
      </x:c>
    </x:row>
    <x:row r="318">
      <x:c r="A318" s="13" t="str">
        <x:v>PP-1-05</x:v>
      </x:c>
      <x:c r="B318" s="13" t="str">
        <x:v>Public path</x:v>
      </x:c>
      <x:c r="C318" s="13" t="str">
        <x:v>TE-A-TE-CELL-1 keystone inventory matches</x:v>
      </x:c>
      <x:c r="D318" s="13" t="b">
        <x:f>ABS('Public Paths'!I6-'Public Paths'!E6*Controls!$B$28)&lt;0.000001</x:f>
        <x:v>1</x:v>
      </x:c>
      <x:c r="E318" s="58" t="b">
        <x:v>1</x:v>
      </x:c>
      <x:c r="F318" s="13" t="str">
        <x:f>IF(D318=E318,"PASS","FAIL")</x:f>
        <x:v>PASS</x:v>
      </x:c>
    </x:row>
    <x:row r="319">
      <x:c r="A319" s="13" t="str">
        <x:v>PP-1-06</x:v>
      </x:c>
      <x:c r="B319" s="13" t="str">
        <x:v>Public path</x:v>
      </x:c>
      <x:c r="C319" s="13" t="str">
        <x:v>TE-A-TE-CELL-1 planning passes</x:v>
      </x:c>
      <x:c r="D319" s="13" t="str">
        <x:f>'Public Paths'!Q6</x:f>
        <x:v>PASS</x:v>
      </x:c>
      <x:c r="E319" s="13" t="str">
        <x:v>PASS</x:v>
      </x:c>
      <x:c r="F319" s="13" t="str">
        <x:f>IF(D319=E319,"PASS","FAIL")</x:f>
        <x:v>PASS</x:v>
      </x:c>
    </x:row>
    <x:row r="320">
      <x:c r="A320" s="13" t="str">
        <x:v>PP-1-07</x:v>
      </x:c>
      <x:c r="B320" s="13" t="str">
        <x:v>Public path</x:v>
      </x:c>
      <x:c r="C320" s="13" t="str">
        <x:v>TE-A-TE-CELL-1 source state</x:v>
      </x:c>
      <x:c r="D320" s="13" t="str">
        <x:f>'Public Paths'!R6</x:f>
        <x:v>SOURCE EMPTY</x:v>
      </x:c>
      <x:c r="E320" s="13" t="str">
        <x:v>SOURCE EMPTY</x:v>
      </x:c>
      <x:c r="F320" s="13" t="str">
        <x:f>IF(D320=E320,"PASS","FAIL")</x:f>
        <x:v>PASS</x:v>
      </x:c>
    </x:row>
    <x:row r="321">
      <x:c r="A321" s="13" t="str">
        <x:v>PP-1-08</x:v>
      </x:c>
      <x:c r="B321" s="13" t="str">
        <x:v>Public path</x:v>
      </x:c>
      <x:c r="C321" s="13" t="str">
        <x:v>TE-A-TE-CELL-1 cell identity agrees when populated</x:v>
      </x:c>
      <x:c r="D321" s="13" t="b">
        <x:f>IF(AND('Public Paths'!K6="",'Public Paths'!L6=""),TRUE,AND('Public Paths'!K6=VLOOKUP('Public Paths'!D6,'Cell Capacity'!$A$6:$S$29,15,FALSE),'Public Paths'!L6=VLOOKUP('Public Paths'!D6,'Cell Capacity'!$A$6:$S$29,16,FALSE)))</x:f>
        <x:v>1</x:v>
      </x:c>
      <x:c r="E321" s="58" t="b">
        <x:v>1</x:v>
      </x:c>
      <x:c r="F321" s="13" t="str">
        <x:f>IF(D321=E321,"PASS","FAIL")</x:f>
        <x:v>PASS</x:v>
      </x:c>
    </x:row>
    <x:row r="322">
      <x:c r="A322" s="13" t="str">
        <x:v>PP-1-09</x:v>
      </x:c>
      <x:c r="B322" s="13" t="str">
        <x:v>Public path</x:v>
      </x:c>
      <x:c r="C322" s="13" t="str">
        <x:v>TE-A-TE-CELL-1 root mapping retained</x:v>
      </x:c>
      <x:c r="D322" s="13" t="b">
        <x:f>'Public Paths'!B6="TE-A"</x:f>
        <x:v>1</x:v>
      </x:c>
      <x:c r="E322" s="58" t="b">
        <x:v>1</x:v>
      </x:c>
      <x:c r="F322" s="13" t="str">
        <x:f>IF(D322=E322,"PASS","FAIL")</x:f>
        <x:v>PASS</x:v>
      </x:c>
    </x:row>
    <x:row r="323">
      <x:c r="A323" s="13" t="str">
        <x:v>PP-2-01</x:v>
      </x:c>
      <x:c r="B323" s="13" t="str">
        <x:v>Public path</x:v>
      </x:c>
      <x:c r="C323" s="13" t="str">
        <x:v>TE-B-TE-CELL-1 qualification unique</x:v>
      </x:c>
      <x:c r="D323" s="13" t="n">
        <x:f>COUNTIFS('Public Paths'!$A$6:$A$53,'Public Paths'!A7)</x:f>
        <x:v>1</x:v>
      </x:c>
      <x:c r="E323" s="13" t="n">
        <x:v>1</x:v>
      </x:c>
      <x:c r="F323" s="13" t="str">
        <x:f>IF(D323=E323,"PASS","FAIL")</x:f>
        <x:v>PASS</x:v>
      </x:c>
    </x:row>
    <x:row r="324">
      <x:c r="A324" s="13" t="str">
        <x:v>PP-2-02</x:v>
      </x:c>
      <x:c r="B324" s="13" t="str">
        <x:v>Public path</x:v>
      </x:c>
      <x:c r="C324" s="13" t="str">
        <x:v>TE-B-TE-CELL-1 root exists</x:v>
      </x:c>
      <x:c r="D324" s="13" t="n">
        <x:f>COUNTIFS('Root Units'!$A$6:$A$29,'Public Paths'!B7)</x:f>
        <x:v>1</x:v>
      </x:c>
      <x:c r="E324" s="13" t="n">
        <x:v>1</x:v>
      </x:c>
      <x:c r="F324" s="13" t="str">
        <x:f>IF(D324=E324,"PASS","FAIL")</x:f>
        <x:v>PASS</x:v>
      </x:c>
    </x:row>
    <x:row r="325">
      <x:c r="A325" s="13" t="str">
        <x:v>PP-2-03</x:v>
      </x:c>
      <x:c r="B325" s="13" t="str">
        <x:v>Public path</x:v>
      </x:c>
      <x:c r="C325" s="13" t="str">
        <x:v>TE-B-TE-CELL-1 cell exists</x:v>
      </x:c>
      <x:c r="D325" s="13" t="n">
        <x:f>COUNTIFS('Cell Capacity'!$A$6:$A$29,'Public Paths'!D7)</x:f>
        <x:v>1</x:v>
      </x:c>
      <x:c r="E325" s="13" t="n">
        <x:v>1</x:v>
      </x:c>
      <x:c r="F325" s="13" t="str">
        <x:f>IF(D325=E325,"PASS","FAIL")</x:f>
        <x:v>PASS</x:v>
      </x:c>
    </x:row>
    <x:row r="326">
      <x:c r="A326" s="13" t="str">
        <x:v>PP-2-04</x:v>
      </x:c>
      <x:c r="B326" s="13" t="str">
        <x:v>Public path</x:v>
      </x:c>
      <x:c r="C326" s="13" t="str">
        <x:v>TE-B-TE-CELL-1 root mass matches</x:v>
      </x:c>
      <x:c r="D326" s="13" t="b">
        <x:f>ABS('Public Paths'!E7-VLOOKUP('Public Paths'!B7,'Root Units'!$A$6:$K$29,5,FALSE))&lt;0.000001</x:f>
        <x:v>1</x:v>
      </x:c>
      <x:c r="E326" s="58" t="b">
        <x:v>1</x:v>
      </x:c>
      <x:c r="F326" s="13" t="str">
        <x:f>IF(D326=E326,"PASS","FAIL")</x:f>
        <x:v>PASS</x:v>
      </x:c>
    </x:row>
    <x:row r="327">
      <x:c r="A327" s="13" t="str">
        <x:v>PP-2-05</x:v>
      </x:c>
      <x:c r="B327" s="13" t="str">
        <x:v>Public path</x:v>
      </x:c>
      <x:c r="C327" s="13" t="str">
        <x:v>TE-B-TE-CELL-1 keystone inventory matches</x:v>
      </x:c>
      <x:c r="D327" s="13" t="b">
        <x:f>ABS('Public Paths'!I7-'Public Paths'!E7*Controls!$B$28)&lt;0.000001</x:f>
        <x:v>1</x:v>
      </x:c>
      <x:c r="E327" s="58" t="b">
        <x:v>1</x:v>
      </x:c>
      <x:c r="F327" s="13" t="str">
        <x:f>IF(D327=E327,"PASS","FAIL")</x:f>
        <x:v>PASS</x:v>
      </x:c>
    </x:row>
    <x:row r="328">
      <x:c r="A328" s="13" t="str">
        <x:v>PP-2-06</x:v>
      </x:c>
      <x:c r="B328" s="13" t="str">
        <x:v>Public path</x:v>
      </x:c>
      <x:c r="C328" s="13" t="str">
        <x:v>TE-B-TE-CELL-1 planning passes</x:v>
      </x:c>
      <x:c r="D328" s="13" t="str">
        <x:f>'Public Paths'!Q7</x:f>
        <x:v>PASS</x:v>
      </x:c>
      <x:c r="E328" s="13" t="str">
        <x:v>PASS</x:v>
      </x:c>
      <x:c r="F328" s="13" t="str">
        <x:f>IF(D328=E328,"PASS","FAIL")</x:f>
        <x:v>PASS</x:v>
      </x:c>
    </x:row>
    <x:row r="329">
      <x:c r="A329" s="13" t="str">
        <x:v>PP-2-07</x:v>
      </x:c>
      <x:c r="B329" s="13" t="str">
        <x:v>Public path</x:v>
      </x:c>
      <x:c r="C329" s="13" t="str">
        <x:v>TE-B-TE-CELL-1 source state</x:v>
      </x:c>
      <x:c r="D329" s="13" t="str">
        <x:f>'Public Paths'!R7</x:f>
        <x:v>SOURCE EMPTY</x:v>
      </x:c>
      <x:c r="E329" s="13" t="str">
        <x:v>SOURCE EMPTY</x:v>
      </x:c>
      <x:c r="F329" s="13" t="str">
        <x:f>IF(D329=E329,"PASS","FAIL")</x:f>
        <x:v>PASS</x:v>
      </x:c>
    </x:row>
    <x:row r="330">
      <x:c r="A330" s="13" t="str">
        <x:v>PP-2-08</x:v>
      </x:c>
      <x:c r="B330" s="13" t="str">
        <x:v>Public path</x:v>
      </x:c>
      <x:c r="C330" s="13" t="str">
        <x:v>TE-B-TE-CELL-1 cell identity agrees when populated</x:v>
      </x:c>
      <x:c r="D330" s="13" t="b">
        <x:f>IF(AND('Public Paths'!K7="",'Public Paths'!L7=""),TRUE,AND('Public Paths'!K7=VLOOKUP('Public Paths'!D7,'Cell Capacity'!$A$6:$S$29,15,FALSE),'Public Paths'!L7=VLOOKUP('Public Paths'!D7,'Cell Capacity'!$A$6:$S$29,16,FALSE)))</x:f>
        <x:v>1</x:v>
      </x:c>
      <x:c r="E330" s="58" t="b">
        <x:v>1</x:v>
      </x:c>
      <x:c r="F330" s="13" t="str">
        <x:f>IF(D330=E330,"PASS","FAIL")</x:f>
        <x:v>PASS</x:v>
      </x:c>
    </x:row>
    <x:row r="331">
      <x:c r="A331" s="13" t="str">
        <x:v>PP-2-09</x:v>
      </x:c>
      <x:c r="B331" s="13" t="str">
        <x:v>Public path</x:v>
      </x:c>
      <x:c r="C331" s="13" t="str">
        <x:v>TE-B-TE-CELL-1 root mapping retained</x:v>
      </x:c>
      <x:c r="D331" s="13" t="b">
        <x:f>'Public Paths'!B7="TE-B"</x:f>
        <x:v>1</x:v>
      </x:c>
      <x:c r="E331" s="58" t="b">
        <x:v>1</x:v>
      </x:c>
      <x:c r="F331" s="13" t="str">
        <x:f>IF(D331=E331,"PASS","FAIL")</x:f>
        <x:v>PASS</x:v>
      </x:c>
    </x:row>
    <x:row r="332">
      <x:c r="A332" s="13" t="str">
        <x:v>PP-3-01</x:v>
      </x:c>
      <x:c r="B332" s="13" t="str">
        <x:v>Public path</x:v>
      </x:c>
      <x:c r="C332" s="13" t="str">
        <x:v>TE-C-TE-CELL-2 qualification unique</x:v>
      </x:c>
      <x:c r="D332" s="13" t="n">
        <x:f>COUNTIFS('Public Paths'!$A$6:$A$53,'Public Paths'!A8)</x:f>
        <x:v>1</x:v>
      </x:c>
      <x:c r="E332" s="13" t="n">
        <x:v>1</x:v>
      </x:c>
      <x:c r="F332" s="13" t="str">
        <x:f>IF(D332=E332,"PASS","FAIL")</x:f>
        <x:v>PASS</x:v>
      </x:c>
    </x:row>
    <x:row r="333">
      <x:c r="A333" s="13" t="str">
        <x:v>PP-3-02</x:v>
      </x:c>
      <x:c r="B333" s="13" t="str">
        <x:v>Public path</x:v>
      </x:c>
      <x:c r="C333" s="13" t="str">
        <x:v>TE-C-TE-CELL-2 root exists</x:v>
      </x:c>
      <x:c r="D333" s="13" t="n">
        <x:f>COUNTIFS('Root Units'!$A$6:$A$29,'Public Paths'!B8)</x:f>
        <x:v>1</x:v>
      </x:c>
      <x:c r="E333" s="13" t="n">
        <x:v>1</x:v>
      </x:c>
      <x:c r="F333" s="13" t="str">
        <x:f>IF(D333=E333,"PASS","FAIL")</x:f>
        <x:v>PASS</x:v>
      </x:c>
    </x:row>
    <x:row r="334">
      <x:c r="A334" s="13" t="str">
        <x:v>PP-3-03</x:v>
      </x:c>
      <x:c r="B334" s="13" t="str">
        <x:v>Public path</x:v>
      </x:c>
      <x:c r="C334" s="13" t="str">
        <x:v>TE-C-TE-CELL-2 cell exists</x:v>
      </x:c>
      <x:c r="D334" s="13" t="n">
        <x:f>COUNTIFS('Cell Capacity'!$A$6:$A$29,'Public Paths'!D8)</x:f>
        <x:v>1</x:v>
      </x:c>
      <x:c r="E334" s="13" t="n">
        <x:v>1</x:v>
      </x:c>
      <x:c r="F334" s="13" t="str">
        <x:f>IF(D334=E334,"PASS","FAIL")</x:f>
        <x:v>PASS</x:v>
      </x:c>
    </x:row>
    <x:row r="335">
      <x:c r="A335" s="13" t="str">
        <x:v>PP-3-04</x:v>
      </x:c>
      <x:c r="B335" s="13" t="str">
        <x:v>Public path</x:v>
      </x:c>
      <x:c r="C335" s="13" t="str">
        <x:v>TE-C-TE-CELL-2 root mass matches</x:v>
      </x:c>
      <x:c r="D335" s="13" t="b">
        <x:f>ABS('Public Paths'!E8-VLOOKUP('Public Paths'!B8,'Root Units'!$A$6:$K$29,5,FALSE))&lt;0.000001</x:f>
        <x:v>1</x:v>
      </x:c>
      <x:c r="E335" s="58" t="b">
        <x:v>1</x:v>
      </x:c>
      <x:c r="F335" s="13" t="str">
        <x:f>IF(D335=E335,"PASS","FAIL")</x:f>
        <x:v>PASS</x:v>
      </x:c>
    </x:row>
    <x:row r="336">
      <x:c r="A336" s="13" t="str">
        <x:v>PP-3-05</x:v>
      </x:c>
      <x:c r="B336" s="13" t="str">
        <x:v>Public path</x:v>
      </x:c>
      <x:c r="C336" s="13" t="str">
        <x:v>TE-C-TE-CELL-2 keystone inventory matches</x:v>
      </x:c>
      <x:c r="D336" s="13" t="b">
        <x:f>ABS('Public Paths'!I8-'Public Paths'!E8*Controls!$B$28)&lt;0.000001</x:f>
        <x:v>1</x:v>
      </x:c>
      <x:c r="E336" s="58" t="b">
        <x:v>1</x:v>
      </x:c>
      <x:c r="F336" s="13" t="str">
        <x:f>IF(D336=E336,"PASS","FAIL")</x:f>
        <x:v>PASS</x:v>
      </x:c>
    </x:row>
    <x:row r="337">
      <x:c r="A337" s="13" t="str">
        <x:v>PP-3-06</x:v>
      </x:c>
      <x:c r="B337" s="13" t="str">
        <x:v>Public path</x:v>
      </x:c>
      <x:c r="C337" s="13" t="str">
        <x:v>TE-C-TE-CELL-2 planning passes</x:v>
      </x:c>
      <x:c r="D337" s="13" t="str">
        <x:f>'Public Paths'!Q8</x:f>
        <x:v>PASS</x:v>
      </x:c>
      <x:c r="E337" s="13" t="str">
        <x:v>PASS</x:v>
      </x:c>
      <x:c r="F337" s="13" t="str">
        <x:f>IF(D337=E337,"PASS","FAIL")</x:f>
        <x:v>PASS</x:v>
      </x:c>
    </x:row>
    <x:row r="338">
      <x:c r="A338" s="13" t="str">
        <x:v>PP-3-07</x:v>
      </x:c>
      <x:c r="B338" s="13" t="str">
        <x:v>Public path</x:v>
      </x:c>
      <x:c r="C338" s="13" t="str">
        <x:v>TE-C-TE-CELL-2 source state</x:v>
      </x:c>
      <x:c r="D338" s="13" t="str">
        <x:f>'Public Paths'!R8</x:f>
        <x:v>SOURCE EMPTY</x:v>
      </x:c>
      <x:c r="E338" s="13" t="str">
        <x:v>SOURCE EMPTY</x:v>
      </x:c>
      <x:c r="F338" s="13" t="str">
        <x:f>IF(D338=E338,"PASS","FAIL")</x:f>
        <x:v>PASS</x:v>
      </x:c>
    </x:row>
    <x:row r="339">
      <x:c r="A339" s="13" t="str">
        <x:v>PP-3-08</x:v>
      </x:c>
      <x:c r="B339" s="13" t="str">
        <x:v>Public path</x:v>
      </x:c>
      <x:c r="C339" s="13" t="str">
        <x:v>TE-C-TE-CELL-2 cell identity agrees when populated</x:v>
      </x:c>
      <x:c r="D339" s="13" t="b">
        <x:f>IF(AND('Public Paths'!K8="",'Public Paths'!L8=""),TRUE,AND('Public Paths'!K8=VLOOKUP('Public Paths'!D8,'Cell Capacity'!$A$6:$S$29,15,FALSE),'Public Paths'!L8=VLOOKUP('Public Paths'!D8,'Cell Capacity'!$A$6:$S$29,16,FALSE)))</x:f>
        <x:v>1</x:v>
      </x:c>
      <x:c r="E339" s="58" t="b">
        <x:v>1</x:v>
      </x:c>
      <x:c r="F339" s="13" t="str">
        <x:f>IF(D339=E339,"PASS","FAIL")</x:f>
        <x:v>PASS</x:v>
      </x:c>
    </x:row>
    <x:row r="340">
      <x:c r="A340" s="13" t="str">
        <x:v>PP-3-09</x:v>
      </x:c>
      <x:c r="B340" s="13" t="str">
        <x:v>Public path</x:v>
      </x:c>
      <x:c r="C340" s="13" t="str">
        <x:v>TE-C-TE-CELL-2 root mapping retained</x:v>
      </x:c>
      <x:c r="D340" s="13" t="b">
        <x:f>'Public Paths'!B8="TE-C"</x:f>
        <x:v>1</x:v>
      </x:c>
      <x:c r="E340" s="58" t="b">
        <x:v>1</x:v>
      </x:c>
      <x:c r="F340" s="13" t="str">
        <x:f>IF(D340=E340,"PASS","FAIL")</x:f>
        <x:v>PASS</x:v>
      </x:c>
    </x:row>
    <x:row r="341">
      <x:c r="A341" s="13" t="str">
        <x:v>PP-4-01</x:v>
      </x:c>
      <x:c r="B341" s="13" t="str">
        <x:v>Public path</x:v>
      </x:c>
      <x:c r="C341" s="13" t="str">
        <x:v>TE-D-TE-CELL-2 qualification unique</x:v>
      </x:c>
      <x:c r="D341" s="13" t="n">
        <x:f>COUNTIFS('Public Paths'!$A$6:$A$53,'Public Paths'!A9)</x:f>
        <x:v>1</x:v>
      </x:c>
      <x:c r="E341" s="13" t="n">
        <x:v>1</x:v>
      </x:c>
      <x:c r="F341" s="13" t="str">
        <x:f>IF(D341=E341,"PASS","FAIL")</x:f>
        <x:v>PASS</x:v>
      </x:c>
    </x:row>
    <x:row r="342">
      <x:c r="A342" s="13" t="str">
        <x:v>PP-4-02</x:v>
      </x:c>
      <x:c r="B342" s="13" t="str">
        <x:v>Public path</x:v>
      </x:c>
      <x:c r="C342" s="13" t="str">
        <x:v>TE-D-TE-CELL-2 root exists</x:v>
      </x:c>
      <x:c r="D342" s="13" t="n">
        <x:f>COUNTIFS('Root Units'!$A$6:$A$29,'Public Paths'!B9)</x:f>
        <x:v>1</x:v>
      </x:c>
      <x:c r="E342" s="13" t="n">
        <x:v>1</x:v>
      </x:c>
      <x:c r="F342" s="13" t="str">
        <x:f>IF(D342=E342,"PASS","FAIL")</x:f>
        <x:v>PASS</x:v>
      </x:c>
    </x:row>
    <x:row r="343">
      <x:c r="A343" s="13" t="str">
        <x:v>PP-4-03</x:v>
      </x:c>
      <x:c r="B343" s="13" t="str">
        <x:v>Public path</x:v>
      </x:c>
      <x:c r="C343" s="13" t="str">
        <x:v>TE-D-TE-CELL-2 cell exists</x:v>
      </x:c>
      <x:c r="D343" s="13" t="n">
        <x:f>COUNTIFS('Cell Capacity'!$A$6:$A$29,'Public Paths'!D9)</x:f>
        <x:v>1</x:v>
      </x:c>
      <x:c r="E343" s="13" t="n">
        <x:v>1</x:v>
      </x:c>
      <x:c r="F343" s="13" t="str">
        <x:f>IF(D343=E343,"PASS","FAIL")</x:f>
        <x:v>PASS</x:v>
      </x:c>
    </x:row>
    <x:row r="344">
      <x:c r="A344" s="13" t="str">
        <x:v>PP-4-04</x:v>
      </x:c>
      <x:c r="B344" s="13" t="str">
        <x:v>Public path</x:v>
      </x:c>
      <x:c r="C344" s="13" t="str">
        <x:v>TE-D-TE-CELL-2 root mass matches</x:v>
      </x:c>
      <x:c r="D344" s="13" t="b">
        <x:f>ABS('Public Paths'!E9-VLOOKUP('Public Paths'!B9,'Root Units'!$A$6:$K$29,5,FALSE))&lt;0.000001</x:f>
        <x:v>1</x:v>
      </x:c>
      <x:c r="E344" s="58" t="b">
        <x:v>1</x:v>
      </x:c>
      <x:c r="F344" s="13" t="str">
        <x:f>IF(D344=E344,"PASS","FAIL")</x:f>
        <x:v>PASS</x:v>
      </x:c>
    </x:row>
    <x:row r="345">
      <x:c r="A345" s="13" t="str">
        <x:v>PP-4-05</x:v>
      </x:c>
      <x:c r="B345" s="13" t="str">
        <x:v>Public path</x:v>
      </x:c>
      <x:c r="C345" s="13" t="str">
        <x:v>TE-D-TE-CELL-2 keystone inventory matches</x:v>
      </x:c>
      <x:c r="D345" s="13" t="b">
        <x:f>ABS('Public Paths'!I9-'Public Paths'!E9*Controls!$B$28)&lt;0.000001</x:f>
        <x:v>1</x:v>
      </x:c>
      <x:c r="E345" s="58" t="b">
        <x:v>1</x:v>
      </x:c>
      <x:c r="F345" s="13" t="str">
        <x:f>IF(D345=E345,"PASS","FAIL")</x:f>
        <x:v>PASS</x:v>
      </x:c>
    </x:row>
    <x:row r="346">
      <x:c r="A346" s="13" t="str">
        <x:v>PP-4-06</x:v>
      </x:c>
      <x:c r="B346" s="13" t="str">
        <x:v>Public path</x:v>
      </x:c>
      <x:c r="C346" s="13" t="str">
        <x:v>TE-D-TE-CELL-2 planning passes</x:v>
      </x:c>
      <x:c r="D346" s="13" t="str">
        <x:f>'Public Paths'!Q9</x:f>
        <x:v>PASS</x:v>
      </x:c>
      <x:c r="E346" s="13" t="str">
        <x:v>PASS</x:v>
      </x:c>
      <x:c r="F346" s="13" t="str">
        <x:f>IF(D346=E346,"PASS","FAIL")</x:f>
        <x:v>PASS</x:v>
      </x:c>
    </x:row>
    <x:row r="347">
      <x:c r="A347" s="13" t="str">
        <x:v>PP-4-07</x:v>
      </x:c>
      <x:c r="B347" s="13" t="str">
        <x:v>Public path</x:v>
      </x:c>
      <x:c r="C347" s="13" t="str">
        <x:v>TE-D-TE-CELL-2 source state</x:v>
      </x:c>
      <x:c r="D347" s="13" t="str">
        <x:f>'Public Paths'!R9</x:f>
        <x:v>SOURCE EMPTY</x:v>
      </x:c>
      <x:c r="E347" s="13" t="str">
        <x:v>SOURCE EMPTY</x:v>
      </x:c>
      <x:c r="F347" s="13" t="str">
        <x:f>IF(D347=E347,"PASS","FAIL")</x:f>
        <x:v>PASS</x:v>
      </x:c>
    </x:row>
    <x:row r="348">
      <x:c r="A348" s="13" t="str">
        <x:v>PP-4-08</x:v>
      </x:c>
      <x:c r="B348" s="13" t="str">
        <x:v>Public path</x:v>
      </x:c>
      <x:c r="C348" s="13" t="str">
        <x:v>TE-D-TE-CELL-2 cell identity agrees when populated</x:v>
      </x:c>
      <x:c r="D348" s="13" t="b">
        <x:f>IF(AND('Public Paths'!K9="",'Public Paths'!L9=""),TRUE,AND('Public Paths'!K9=VLOOKUP('Public Paths'!D9,'Cell Capacity'!$A$6:$S$29,15,FALSE),'Public Paths'!L9=VLOOKUP('Public Paths'!D9,'Cell Capacity'!$A$6:$S$29,16,FALSE)))</x:f>
        <x:v>1</x:v>
      </x:c>
      <x:c r="E348" s="58" t="b">
        <x:v>1</x:v>
      </x:c>
      <x:c r="F348" s="13" t="str">
        <x:f>IF(D348=E348,"PASS","FAIL")</x:f>
        <x:v>PASS</x:v>
      </x:c>
    </x:row>
    <x:row r="349">
      <x:c r="A349" s="13" t="str">
        <x:v>PP-4-09</x:v>
      </x:c>
      <x:c r="B349" s="13" t="str">
        <x:v>Public path</x:v>
      </x:c>
      <x:c r="C349" s="13" t="str">
        <x:v>TE-D-TE-CELL-2 root mapping retained</x:v>
      </x:c>
      <x:c r="D349" s="13" t="b">
        <x:f>'Public Paths'!B9="TE-D"</x:f>
        <x:v>1</x:v>
      </x:c>
      <x:c r="E349" s="58" t="b">
        <x:v>1</x:v>
      </x:c>
      <x:c r="F349" s="13" t="str">
        <x:f>IF(D349=E349,"PASS","FAIL")</x:f>
        <x:v>PASS</x:v>
      </x:c>
    </x:row>
    <x:row r="350">
      <x:c r="A350" s="13" t="str">
        <x:v>PP-5-01</x:v>
      </x:c>
      <x:c r="B350" s="13" t="str">
        <x:v>Public path</x:v>
      </x:c>
      <x:c r="C350" s="13" t="str">
        <x:v>TE-A-TE-CELL-3 qualification unique</x:v>
      </x:c>
      <x:c r="D350" s="13" t="n">
        <x:f>COUNTIFS('Public Paths'!$A$6:$A$53,'Public Paths'!A10)</x:f>
        <x:v>1</x:v>
      </x:c>
      <x:c r="E350" s="13" t="n">
        <x:v>1</x:v>
      </x:c>
      <x:c r="F350" s="13" t="str">
        <x:f>IF(D350=E350,"PASS","FAIL")</x:f>
        <x:v>PASS</x:v>
      </x:c>
    </x:row>
    <x:row r="351">
      <x:c r="A351" s="13" t="str">
        <x:v>PP-5-02</x:v>
      </x:c>
      <x:c r="B351" s="13" t="str">
        <x:v>Public path</x:v>
      </x:c>
      <x:c r="C351" s="13" t="str">
        <x:v>TE-A-TE-CELL-3 root exists</x:v>
      </x:c>
      <x:c r="D351" s="13" t="n">
        <x:f>COUNTIFS('Root Units'!$A$6:$A$29,'Public Paths'!B10)</x:f>
        <x:v>1</x:v>
      </x:c>
      <x:c r="E351" s="13" t="n">
        <x:v>1</x:v>
      </x:c>
      <x:c r="F351" s="13" t="str">
        <x:f>IF(D351=E351,"PASS","FAIL")</x:f>
        <x:v>PASS</x:v>
      </x:c>
    </x:row>
    <x:row r="352">
      <x:c r="A352" s="13" t="str">
        <x:v>PP-5-03</x:v>
      </x:c>
      <x:c r="B352" s="13" t="str">
        <x:v>Public path</x:v>
      </x:c>
      <x:c r="C352" s="13" t="str">
        <x:v>TE-A-TE-CELL-3 cell exists</x:v>
      </x:c>
      <x:c r="D352" s="13" t="n">
        <x:f>COUNTIFS('Cell Capacity'!$A$6:$A$29,'Public Paths'!D10)</x:f>
        <x:v>1</x:v>
      </x:c>
      <x:c r="E352" s="13" t="n">
        <x:v>1</x:v>
      </x:c>
      <x:c r="F352" s="13" t="str">
        <x:f>IF(D352=E352,"PASS","FAIL")</x:f>
        <x:v>PASS</x:v>
      </x:c>
    </x:row>
    <x:row r="353">
      <x:c r="A353" s="13" t="str">
        <x:v>PP-5-04</x:v>
      </x:c>
      <x:c r="B353" s="13" t="str">
        <x:v>Public path</x:v>
      </x:c>
      <x:c r="C353" s="13" t="str">
        <x:v>TE-A-TE-CELL-3 root mass matches</x:v>
      </x:c>
      <x:c r="D353" s="13" t="b">
        <x:f>ABS('Public Paths'!E10-VLOOKUP('Public Paths'!B10,'Root Units'!$A$6:$K$29,5,FALSE))&lt;0.000001</x:f>
        <x:v>1</x:v>
      </x:c>
      <x:c r="E353" s="58" t="b">
        <x:v>1</x:v>
      </x:c>
      <x:c r="F353" s="13" t="str">
        <x:f>IF(D353=E353,"PASS","FAIL")</x:f>
        <x:v>PASS</x:v>
      </x:c>
    </x:row>
    <x:row r="354">
      <x:c r="A354" s="13" t="str">
        <x:v>PP-5-05</x:v>
      </x:c>
      <x:c r="B354" s="13" t="str">
        <x:v>Public path</x:v>
      </x:c>
      <x:c r="C354" s="13" t="str">
        <x:v>TE-A-TE-CELL-3 keystone inventory matches</x:v>
      </x:c>
      <x:c r="D354" s="13" t="b">
        <x:f>ABS('Public Paths'!I10-'Public Paths'!E10*Controls!$B$28)&lt;0.000001</x:f>
        <x:v>1</x:v>
      </x:c>
      <x:c r="E354" s="58" t="b">
        <x:v>1</x:v>
      </x:c>
      <x:c r="F354" s="13" t="str">
        <x:f>IF(D354=E354,"PASS","FAIL")</x:f>
        <x:v>PASS</x:v>
      </x:c>
    </x:row>
    <x:row r="355">
      <x:c r="A355" s="13" t="str">
        <x:v>PP-5-06</x:v>
      </x:c>
      <x:c r="B355" s="13" t="str">
        <x:v>Public path</x:v>
      </x:c>
      <x:c r="C355" s="13" t="str">
        <x:v>TE-A-TE-CELL-3 planning passes</x:v>
      </x:c>
      <x:c r="D355" s="13" t="str">
        <x:f>'Public Paths'!Q10</x:f>
        <x:v>PASS</x:v>
      </x:c>
      <x:c r="E355" s="13" t="str">
        <x:v>PASS</x:v>
      </x:c>
      <x:c r="F355" s="13" t="str">
        <x:f>IF(D355=E355,"PASS","FAIL")</x:f>
        <x:v>PASS</x:v>
      </x:c>
    </x:row>
    <x:row r="356">
      <x:c r="A356" s="13" t="str">
        <x:v>PP-5-07</x:v>
      </x:c>
      <x:c r="B356" s="13" t="str">
        <x:v>Public path</x:v>
      </x:c>
      <x:c r="C356" s="13" t="str">
        <x:v>TE-A-TE-CELL-3 source state</x:v>
      </x:c>
      <x:c r="D356" s="13" t="str">
        <x:f>'Public Paths'!R10</x:f>
        <x:v>SOURCE EMPTY</x:v>
      </x:c>
      <x:c r="E356" s="13" t="str">
        <x:v>SOURCE EMPTY</x:v>
      </x:c>
      <x:c r="F356" s="13" t="str">
        <x:f>IF(D356=E356,"PASS","FAIL")</x:f>
        <x:v>PASS</x:v>
      </x:c>
    </x:row>
    <x:row r="357">
      <x:c r="A357" s="13" t="str">
        <x:v>PP-5-08</x:v>
      </x:c>
      <x:c r="B357" s="13" t="str">
        <x:v>Public path</x:v>
      </x:c>
      <x:c r="C357" s="13" t="str">
        <x:v>TE-A-TE-CELL-3 cell identity agrees when populated</x:v>
      </x:c>
      <x:c r="D357" s="13" t="b">
        <x:f>IF(AND('Public Paths'!K10="",'Public Paths'!L10=""),TRUE,AND('Public Paths'!K10=VLOOKUP('Public Paths'!D10,'Cell Capacity'!$A$6:$S$29,15,FALSE),'Public Paths'!L10=VLOOKUP('Public Paths'!D10,'Cell Capacity'!$A$6:$S$29,16,FALSE)))</x:f>
        <x:v>1</x:v>
      </x:c>
      <x:c r="E357" s="58" t="b">
        <x:v>1</x:v>
      </x:c>
      <x:c r="F357" s="13" t="str">
        <x:f>IF(D357=E357,"PASS","FAIL")</x:f>
        <x:v>PASS</x:v>
      </x:c>
    </x:row>
    <x:row r="358">
      <x:c r="A358" s="13" t="str">
        <x:v>PP-5-09</x:v>
      </x:c>
      <x:c r="B358" s="13" t="str">
        <x:v>Public path</x:v>
      </x:c>
      <x:c r="C358" s="13" t="str">
        <x:v>TE-A-TE-CELL-3 root mapping retained</x:v>
      </x:c>
      <x:c r="D358" s="13" t="b">
        <x:f>'Public Paths'!B10="TE-A"</x:f>
        <x:v>1</x:v>
      </x:c>
      <x:c r="E358" s="58" t="b">
        <x:v>1</x:v>
      </x:c>
      <x:c r="F358" s="13" t="str">
        <x:f>IF(D358=E358,"PASS","FAIL")</x:f>
        <x:v>PASS</x:v>
      </x:c>
    </x:row>
    <x:row r="359">
      <x:c r="A359" s="13" t="str">
        <x:v>PP-6-01</x:v>
      </x:c>
      <x:c r="B359" s="13" t="str">
        <x:v>Public path</x:v>
      </x:c>
      <x:c r="C359" s="13" t="str">
        <x:v>TE-C-TE-CELL-3 qualification unique</x:v>
      </x:c>
      <x:c r="D359" s="13" t="n">
        <x:f>COUNTIFS('Public Paths'!$A$6:$A$53,'Public Paths'!A11)</x:f>
        <x:v>1</x:v>
      </x:c>
      <x:c r="E359" s="13" t="n">
        <x:v>1</x:v>
      </x:c>
      <x:c r="F359" s="13" t="str">
        <x:f>IF(D359=E359,"PASS","FAIL")</x:f>
        <x:v>PASS</x:v>
      </x:c>
    </x:row>
    <x:row r="360">
      <x:c r="A360" s="13" t="str">
        <x:v>PP-6-02</x:v>
      </x:c>
      <x:c r="B360" s="13" t="str">
        <x:v>Public path</x:v>
      </x:c>
      <x:c r="C360" s="13" t="str">
        <x:v>TE-C-TE-CELL-3 root exists</x:v>
      </x:c>
      <x:c r="D360" s="13" t="n">
        <x:f>COUNTIFS('Root Units'!$A$6:$A$29,'Public Paths'!B11)</x:f>
        <x:v>1</x:v>
      </x:c>
      <x:c r="E360" s="13" t="n">
        <x:v>1</x:v>
      </x:c>
      <x:c r="F360" s="13" t="str">
        <x:f>IF(D360=E360,"PASS","FAIL")</x:f>
        <x:v>PASS</x:v>
      </x:c>
    </x:row>
    <x:row r="361">
      <x:c r="A361" s="13" t="str">
        <x:v>PP-6-03</x:v>
      </x:c>
      <x:c r="B361" s="13" t="str">
        <x:v>Public path</x:v>
      </x:c>
      <x:c r="C361" s="13" t="str">
        <x:v>TE-C-TE-CELL-3 cell exists</x:v>
      </x:c>
      <x:c r="D361" s="13" t="n">
        <x:f>COUNTIFS('Cell Capacity'!$A$6:$A$29,'Public Paths'!D11)</x:f>
        <x:v>1</x:v>
      </x:c>
      <x:c r="E361" s="13" t="n">
        <x:v>1</x:v>
      </x:c>
      <x:c r="F361" s="13" t="str">
        <x:f>IF(D361=E361,"PASS","FAIL")</x:f>
        <x:v>PASS</x:v>
      </x:c>
    </x:row>
    <x:row r="362">
      <x:c r="A362" s="13" t="str">
        <x:v>PP-6-04</x:v>
      </x:c>
      <x:c r="B362" s="13" t="str">
        <x:v>Public path</x:v>
      </x:c>
      <x:c r="C362" s="13" t="str">
        <x:v>TE-C-TE-CELL-3 root mass matches</x:v>
      </x:c>
      <x:c r="D362" s="13" t="b">
        <x:f>ABS('Public Paths'!E11-VLOOKUP('Public Paths'!B11,'Root Units'!$A$6:$K$29,5,FALSE))&lt;0.000001</x:f>
        <x:v>1</x:v>
      </x:c>
      <x:c r="E362" s="58" t="b">
        <x:v>1</x:v>
      </x:c>
      <x:c r="F362" s="13" t="str">
        <x:f>IF(D362=E362,"PASS","FAIL")</x:f>
        <x:v>PASS</x:v>
      </x:c>
    </x:row>
    <x:row r="363">
      <x:c r="A363" s="13" t="str">
        <x:v>PP-6-05</x:v>
      </x:c>
      <x:c r="B363" s="13" t="str">
        <x:v>Public path</x:v>
      </x:c>
      <x:c r="C363" s="13" t="str">
        <x:v>TE-C-TE-CELL-3 keystone inventory matches</x:v>
      </x:c>
      <x:c r="D363" s="13" t="b">
        <x:f>ABS('Public Paths'!I11-'Public Paths'!E11*Controls!$B$28)&lt;0.000001</x:f>
        <x:v>1</x:v>
      </x:c>
      <x:c r="E363" s="58" t="b">
        <x:v>1</x:v>
      </x:c>
      <x:c r="F363" s="13" t="str">
        <x:f>IF(D363=E363,"PASS","FAIL")</x:f>
        <x:v>PASS</x:v>
      </x:c>
    </x:row>
    <x:row r="364">
      <x:c r="A364" s="13" t="str">
        <x:v>PP-6-06</x:v>
      </x:c>
      <x:c r="B364" s="13" t="str">
        <x:v>Public path</x:v>
      </x:c>
      <x:c r="C364" s="13" t="str">
        <x:v>TE-C-TE-CELL-3 planning passes</x:v>
      </x:c>
      <x:c r="D364" s="13" t="str">
        <x:f>'Public Paths'!Q11</x:f>
        <x:v>PASS</x:v>
      </x:c>
      <x:c r="E364" s="13" t="str">
        <x:v>PASS</x:v>
      </x:c>
      <x:c r="F364" s="13" t="str">
        <x:f>IF(D364=E364,"PASS","FAIL")</x:f>
        <x:v>PASS</x:v>
      </x:c>
    </x:row>
    <x:row r="365">
      <x:c r="A365" s="13" t="str">
        <x:v>PP-6-07</x:v>
      </x:c>
      <x:c r="B365" s="13" t="str">
        <x:v>Public path</x:v>
      </x:c>
      <x:c r="C365" s="13" t="str">
        <x:v>TE-C-TE-CELL-3 source state</x:v>
      </x:c>
      <x:c r="D365" s="13" t="str">
        <x:f>'Public Paths'!R11</x:f>
        <x:v>SOURCE EMPTY</x:v>
      </x:c>
      <x:c r="E365" s="13" t="str">
        <x:v>SOURCE EMPTY</x:v>
      </x:c>
      <x:c r="F365" s="13" t="str">
        <x:f>IF(D365=E365,"PASS","FAIL")</x:f>
        <x:v>PASS</x:v>
      </x:c>
    </x:row>
    <x:row r="366">
      <x:c r="A366" s="13" t="str">
        <x:v>PP-6-08</x:v>
      </x:c>
      <x:c r="B366" s="13" t="str">
        <x:v>Public path</x:v>
      </x:c>
      <x:c r="C366" s="13" t="str">
        <x:v>TE-C-TE-CELL-3 cell identity agrees when populated</x:v>
      </x:c>
      <x:c r="D366" s="13" t="b">
        <x:f>IF(AND('Public Paths'!K11="",'Public Paths'!L11=""),TRUE,AND('Public Paths'!K11=VLOOKUP('Public Paths'!D11,'Cell Capacity'!$A$6:$S$29,15,FALSE),'Public Paths'!L11=VLOOKUP('Public Paths'!D11,'Cell Capacity'!$A$6:$S$29,16,FALSE)))</x:f>
        <x:v>1</x:v>
      </x:c>
      <x:c r="E366" s="58" t="b">
        <x:v>1</x:v>
      </x:c>
      <x:c r="F366" s="13" t="str">
        <x:f>IF(D366=E366,"PASS","FAIL")</x:f>
        <x:v>PASS</x:v>
      </x:c>
    </x:row>
    <x:row r="367">
      <x:c r="A367" s="13" t="str">
        <x:v>PP-6-09</x:v>
      </x:c>
      <x:c r="B367" s="13" t="str">
        <x:v>Public path</x:v>
      </x:c>
      <x:c r="C367" s="13" t="str">
        <x:v>TE-C-TE-CELL-3 root mapping retained</x:v>
      </x:c>
      <x:c r="D367" s="13" t="b">
        <x:f>'Public Paths'!B11="TE-C"</x:f>
        <x:v>1</x:v>
      </x:c>
      <x:c r="E367" s="58" t="b">
        <x:v>1</x:v>
      </x:c>
      <x:c r="F367" s="13" t="str">
        <x:f>IF(D367=E367,"PASS","FAIL")</x:f>
        <x:v>PASS</x:v>
      </x:c>
    </x:row>
    <x:row r="368">
      <x:c r="A368" s="13" t="str">
        <x:v>PP-7-01</x:v>
      </x:c>
      <x:c r="B368" s="13" t="str">
        <x:v>Public path</x:v>
      </x:c>
      <x:c r="C368" s="13" t="str">
        <x:v>TE-B-TE-CELL-4 qualification unique</x:v>
      </x:c>
      <x:c r="D368" s="13" t="n">
        <x:f>COUNTIFS('Public Paths'!$A$6:$A$53,'Public Paths'!A12)</x:f>
        <x:v>1</x:v>
      </x:c>
      <x:c r="E368" s="13" t="n">
        <x:v>1</x:v>
      </x:c>
      <x:c r="F368" s="13" t="str">
        <x:f>IF(D368=E368,"PASS","FAIL")</x:f>
        <x:v>PASS</x:v>
      </x:c>
    </x:row>
    <x:row r="369">
      <x:c r="A369" s="13" t="str">
        <x:v>PP-7-02</x:v>
      </x:c>
      <x:c r="B369" s="13" t="str">
        <x:v>Public path</x:v>
      </x:c>
      <x:c r="C369" s="13" t="str">
        <x:v>TE-B-TE-CELL-4 root exists</x:v>
      </x:c>
      <x:c r="D369" s="13" t="n">
        <x:f>COUNTIFS('Root Units'!$A$6:$A$29,'Public Paths'!B12)</x:f>
        <x:v>1</x:v>
      </x:c>
      <x:c r="E369" s="13" t="n">
        <x:v>1</x:v>
      </x:c>
      <x:c r="F369" s="13" t="str">
        <x:f>IF(D369=E369,"PASS","FAIL")</x:f>
        <x:v>PASS</x:v>
      </x:c>
    </x:row>
    <x:row r="370">
      <x:c r="A370" s="13" t="str">
        <x:v>PP-7-03</x:v>
      </x:c>
      <x:c r="B370" s="13" t="str">
        <x:v>Public path</x:v>
      </x:c>
      <x:c r="C370" s="13" t="str">
        <x:v>TE-B-TE-CELL-4 cell exists</x:v>
      </x:c>
      <x:c r="D370" s="13" t="n">
        <x:f>COUNTIFS('Cell Capacity'!$A$6:$A$29,'Public Paths'!D12)</x:f>
        <x:v>1</x:v>
      </x:c>
      <x:c r="E370" s="13" t="n">
        <x:v>1</x:v>
      </x:c>
      <x:c r="F370" s="13" t="str">
        <x:f>IF(D370=E370,"PASS","FAIL")</x:f>
        <x:v>PASS</x:v>
      </x:c>
    </x:row>
    <x:row r="371">
      <x:c r="A371" s="13" t="str">
        <x:v>PP-7-04</x:v>
      </x:c>
      <x:c r="B371" s="13" t="str">
        <x:v>Public path</x:v>
      </x:c>
      <x:c r="C371" s="13" t="str">
        <x:v>TE-B-TE-CELL-4 root mass matches</x:v>
      </x:c>
      <x:c r="D371" s="13" t="b">
        <x:f>ABS('Public Paths'!E12-VLOOKUP('Public Paths'!B12,'Root Units'!$A$6:$K$29,5,FALSE))&lt;0.000001</x:f>
        <x:v>1</x:v>
      </x:c>
      <x:c r="E371" s="58" t="b">
        <x:v>1</x:v>
      </x:c>
      <x:c r="F371" s="13" t="str">
        <x:f>IF(D371=E371,"PASS","FAIL")</x:f>
        <x:v>PASS</x:v>
      </x:c>
    </x:row>
    <x:row r="372">
      <x:c r="A372" s="13" t="str">
        <x:v>PP-7-05</x:v>
      </x:c>
      <x:c r="B372" s="13" t="str">
        <x:v>Public path</x:v>
      </x:c>
      <x:c r="C372" s="13" t="str">
        <x:v>TE-B-TE-CELL-4 keystone inventory matches</x:v>
      </x:c>
      <x:c r="D372" s="13" t="b">
        <x:f>ABS('Public Paths'!I12-'Public Paths'!E12*Controls!$B$28)&lt;0.000001</x:f>
        <x:v>1</x:v>
      </x:c>
      <x:c r="E372" s="58" t="b">
        <x:v>1</x:v>
      </x:c>
      <x:c r="F372" s="13" t="str">
        <x:f>IF(D372=E372,"PASS","FAIL")</x:f>
        <x:v>PASS</x:v>
      </x:c>
    </x:row>
    <x:row r="373">
      <x:c r="A373" s="13" t="str">
        <x:v>PP-7-06</x:v>
      </x:c>
      <x:c r="B373" s="13" t="str">
        <x:v>Public path</x:v>
      </x:c>
      <x:c r="C373" s="13" t="str">
        <x:v>TE-B-TE-CELL-4 planning passes</x:v>
      </x:c>
      <x:c r="D373" s="13" t="str">
        <x:f>'Public Paths'!Q12</x:f>
        <x:v>PASS</x:v>
      </x:c>
      <x:c r="E373" s="13" t="str">
        <x:v>PASS</x:v>
      </x:c>
      <x:c r="F373" s="13" t="str">
        <x:f>IF(D373=E373,"PASS","FAIL")</x:f>
        <x:v>PASS</x:v>
      </x:c>
    </x:row>
    <x:row r="374">
      <x:c r="A374" s="13" t="str">
        <x:v>PP-7-07</x:v>
      </x:c>
      <x:c r="B374" s="13" t="str">
        <x:v>Public path</x:v>
      </x:c>
      <x:c r="C374" s="13" t="str">
        <x:v>TE-B-TE-CELL-4 source state</x:v>
      </x:c>
      <x:c r="D374" s="13" t="str">
        <x:f>'Public Paths'!R12</x:f>
        <x:v>SOURCE EMPTY</x:v>
      </x:c>
      <x:c r="E374" s="13" t="str">
        <x:v>SOURCE EMPTY</x:v>
      </x:c>
      <x:c r="F374" s="13" t="str">
        <x:f>IF(D374=E374,"PASS","FAIL")</x:f>
        <x:v>PASS</x:v>
      </x:c>
    </x:row>
    <x:row r="375">
      <x:c r="A375" s="13" t="str">
        <x:v>PP-7-08</x:v>
      </x:c>
      <x:c r="B375" s="13" t="str">
        <x:v>Public path</x:v>
      </x:c>
      <x:c r="C375" s="13" t="str">
        <x:v>TE-B-TE-CELL-4 cell identity agrees when populated</x:v>
      </x:c>
      <x:c r="D375" s="13" t="b">
        <x:f>IF(AND('Public Paths'!K12="",'Public Paths'!L12=""),TRUE,AND('Public Paths'!K12=VLOOKUP('Public Paths'!D12,'Cell Capacity'!$A$6:$S$29,15,FALSE),'Public Paths'!L12=VLOOKUP('Public Paths'!D12,'Cell Capacity'!$A$6:$S$29,16,FALSE)))</x:f>
        <x:v>1</x:v>
      </x:c>
      <x:c r="E375" s="58" t="b">
        <x:v>1</x:v>
      </x:c>
      <x:c r="F375" s="13" t="str">
        <x:f>IF(D375=E375,"PASS","FAIL")</x:f>
        <x:v>PASS</x:v>
      </x:c>
    </x:row>
    <x:row r="376">
      <x:c r="A376" s="13" t="str">
        <x:v>PP-7-09</x:v>
      </x:c>
      <x:c r="B376" s="13" t="str">
        <x:v>Public path</x:v>
      </x:c>
      <x:c r="C376" s="13" t="str">
        <x:v>TE-B-TE-CELL-4 root mapping retained</x:v>
      </x:c>
      <x:c r="D376" s="13" t="b">
        <x:f>'Public Paths'!B12="TE-B"</x:f>
        <x:v>1</x:v>
      </x:c>
      <x:c r="E376" s="58" t="b">
        <x:v>1</x:v>
      </x:c>
      <x:c r="F376" s="13" t="str">
        <x:f>IF(D376=E376,"PASS","FAIL")</x:f>
        <x:v>PASS</x:v>
      </x:c>
    </x:row>
    <x:row r="377">
      <x:c r="A377" s="13" t="str">
        <x:v>PP-8-01</x:v>
      </x:c>
      <x:c r="B377" s="13" t="str">
        <x:v>Public path</x:v>
      </x:c>
      <x:c r="C377" s="13" t="str">
        <x:v>TE-D-TE-CELL-4 qualification unique</x:v>
      </x:c>
      <x:c r="D377" s="13" t="n">
        <x:f>COUNTIFS('Public Paths'!$A$6:$A$53,'Public Paths'!A13)</x:f>
        <x:v>1</x:v>
      </x:c>
      <x:c r="E377" s="13" t="n">
        <x:v>1</x:v>
      </x:c>
      <x:c r="F377" s="13" t="str">
        <x:f>IF(D377=E377,"PASS","FAIL")</x:f>
        <x:v>PASS</x:v>
      </x:c>
    </x:row>
    <x:row r="378">
      <x:c r="A378" s="13" t="str">
        <x:v>PP-8-02</x:v>
      </x:c>
      <x:c r="B378" s="13" t="str">
        <x:v>Public path</x:v>
      </x:c>
      <x:c r="C378" s="13" t="str">
        <x:v>TE-D-TE-CELL-4 root exists</x:v>
      </x:c>
      <x:c r="D378" s="13" t="n">
        <x:f>COUNTIFS('Root Units'!$A$6:$A$29,'Public Paths'!B13)</x:f>
        <x:v>1</x:v>
      </x:c>
      <x:c r="E378" s="13" t="n">
        <x:v>1</x:v>
      </x:c>
      <x:c r="F378" s="13" t="str">
        <x:f>IF(D378=E378,"PASS","FAIL")</x:f>
        <x:v>PASS</x:v>
      </x:c>
    </x:row>
    <x:row r="379">
      <x:c r="A379" s="13" t="str">
        <x:v>PP-8-03</x:v>
      </x:c>
      <x:c r="B379" s="13" t="str">
        <x:v>Public path</x:v>
      </x:c>
      <x:c r="C379" s="13" t="str">
        <x:v>TE-D-TE-CELL-4 cell exists</x:v>
      </x:c>
      <x:c r="D379" s="13" t="n">
        <x:f>COUNTIFS('Cell Capacity'!$A$6:$A$29,'Public Paths'!D13)</x:f>
        <x:v>1</x:v>
      </x:c>
      <x:c r="E379" s="13" t="n">
        <x:v>1</x:v>
      </x:c>
      <x:c r="F379" s="13" t="str">
        <x:f>IF(D379=E379,"PASS","FAIL")</x:f>
        <x:v>PASS</x:v>
      </x:c>
    </x:row>
    <x:row r="380">
      <x:c r="A380" s="13" t="str">
        <x:v>PP-8-04</x:v>
      </x:c>
      <x:c r="B380" s="13" t="str">
        <x:v>Public path</x:v>
      </x:c>
      <x:c r="C380" s="13" t="str">
        <x:v>TE-D-TE-CELL-4 root mass matches</x:v>
      </x:c>
      <x:c r="D380" s="13" t="b">
        <x:f>ABS('Public Paths'!E13-VLOOKUP('Public Paths'!B13,'Root Units'!$A$6:$K$29,5,FALSE))&lt;0.000001</x:f>
        <x:v>1</x:v>
      </x:c>
      <x:c r="E380" s="58" t="b">
        <x:v>1</x:v>
      </x:c>
      <x:c r="F380" s="13" t="str">
        <x:f>IF(D380=E380,"PASS","FAIL")</x:f>
        <x:v>PASS</x:v>
      </x:c>
    </x:row>
    <x:row r="381">
      <x:c r="A381" s="13" t="str">
        <x:v>PP-8-05</x:v>
      </x:c>
      <x:c r="B381" s="13" t="str">
        <x:v>Public path</x:v>
      </x:c>
      <x:c r="C381" s="13" t="str">
        <x:v>TE-D-TE-CELL-4 keystone inventory matches</x:v>
      </x:c>
      <x:c r="D381" s="13" t="b">
        <x:f>ABS('Public Paths'!I13-'Public Paths'!E13*Controls!$B$28)&lt;0.000001</x:f>
        <x:v>1</x:v>
      </x:c>
      <x:c r="E381" s="58" t="b">
        <x:v>1</x:v>
      </x:c>
      <x:c r="F381" s="13" t="str">
        <x:f>IF(D381=E381,"PASS","FAIL")</x:f>
        <x:v>PASS</x:v>
      </x:c>
    </x:row>
    <x:row r="382">
      <x:c r="A382" s="13" t="str">
        <x:v>PP-8-06</x:v>
      </x:c>
      <x:c r="B382" s="13" t="str">
        <x:v>Public path</x:v>
      </x:c>
      <x:c r="C382" s="13" t="str">
        <x:v>TE-D-TE-CELL-4 planning passes</x:v>
      </x:c>
      <x:c r="D382" s="13" t="str">
        <x:f>'Public Paths'!Q13</x:f>
        <x:v>PASS</x:v>
      </x:c>
      <x:c r="E382" s="13" t="str">
        <x:v>PASS</x:v>
      </x:c>
      <x:c r="F382" s="13" t="str">
        <x:f>IF(D382=E382,"PASS","FAIL")</x:f>
        <x:v>PASS</x:v>
      </x:c>
    </x:row>
    <x:row r="383">
      <x:c r="A383" s="13" t="str">
        <x:v>PP-8-07</x:v>
      </x:c>
      <x:c r="B383" s="13" t="str">
        <x:v>Public path</x:v>
      </x:c>
      <x:c r="C383" s="13" t="str">
        <x:v>TE-D-TE-CELL-4 source state</x:v>
      </x:c>
      <x:c r="D383" s="13" t="str">
        <x:f>'Public Paths'!R13</x:f>
        <x:v>SOURCE EMPTY</x:v>
      </x:c>
      <x:c r="E383" s="13" t="str">
        <x:v>SOURCE EMPTY</x:v>
      </x:c>
      <x:c r="F383" s="13" t="str">
        <x:f>IF(D383=E383,"PASS","FAIL")</x:f>
        <x:v>PASS</x:v>
      </x:c>
    </x:row>
    <x:row r="384">
      <x:c r="A384" s="13" t="str">
        <x:v>PP-8-08</x:v>
      </x:c>
      <x:c r="B384" s="13" t="str">
        <x:v>Public path</x:v>
      </x:c>
      <x:c r="C384" s="13" t="str">
        <x:v>TE-D-TE-CELL-4 cell identity agrees when populated</x:v>
      </x:c>
      <x:c r="D384" s="13" t="b">
        <x:f>IF(AND('Public Paths'!K13="",'Public Paths'!L13=""),TRUE,AND('Public Paths'!K13=VLOOKUP('Public Paths'!D13,'Cell Capacity'!$A$6:$S$29,15,FALSE),'Public Paths'!L13=VLOOKUP('Public Paths'!D13,'Cell Capacity'!$A$6:$S$29,16,FALSE)))</x:f>
        <x:v>1</x:v>
      </x:c>
      <x:c r="E384" s="58" t="b">
        <x:v>1</x:v>
      </x:c>
      <x:c r="F384" s="13" t="str">
        <x:f>IF(D384=E384,"PASS","FAIL")</x:f>
        <x:v>PASS</x:v>
      </x:c>
    </x:row>
    <x:row r="385">
      <x:c r="A385" s="13" t="str">
        <x:v>PP-8-09</x:v>
      </x:c>
      <x:c r="B385" s="13" t="str">
        <x:v>Public path</x:v>
      </x:c>
      <x:c r="C385" s="13" t="str">
        <x:v>TE-D-TE-CELL-4 root mapping retained</x:v>
      </x:c>
      <x:c r="D385" s="13" t="b">
        <x:f>'Public Paths'!B13="TE-D"</x:f>
        <x:v>1</x:v>
      </x:c>
      <x:c r="E385" s="58" t="b">
        <x:v>1</x:v>
      </x:c>
      <x:c r="F385" s="13" t="str">
        <x:f>IF(D385=E385,"PASS","FAIL")</x:f>
        <x:v>PASS</x:v>
      </x:c>
    </x:row>
    <x:row r="386">
      <x:c r="A386" s="13" t="str">
        <x:v>PP-9-01</x:v>
      </x:c>
      <x:c r="B386" s="13" t="str">
        <x:v>Public path</x:v>
      </x:c>
      <x:c r="C386" s="13" t="str">
        <x:v>CT-A-CT-CELL-1 qualification unique</x:v>
      </x:c>
      <x:c r="D386" s="13" t="n">
        <x:f>COUNTIFS('Public Paths'!$A$6:$A$53,'Public Paths'!A14)</x:f>
        <x:v>1</x:v>
      </x:c>
      <x:c r="E386" s="13" t="n">
        <x:v>1</x:v>
      </x:c>
      <x:c r="F386" s="13" t="str">
        <x:f>IF(D386=E386,"PASS","FAIL")</x:f>
        <x:v>PASS</x:v>
      </x:c>
    </x:row>
    <x:row r="387">
      <x:c r="A387" s="13" t="str">
        <x:v>PP-9-02</x:v>
      </x:c>
      <x:c r="B387" s="13" t="str">
        <x:v>Public path</x:v>
      </x:c>
      <x:c r="C387" s="13" t="str">
        <x:v>CT-A-CT-CELL-1 root exists</x:v>
      </x:c>
      <x:c r="D387" s="13" t="n">
        <x:f>COUNTIFS('Root Units'!$A$6:$A$29,'Public Paths'!B14)</x:f>
        <x:v>1</x:v>
      </x:c>
      <x:c r="E387" s="13" t="n">
        <x:v>1</x:v>
      </x:c>
      <x:c r="F387" s="13" t="str">
        <x:f>IF(D387=E387,"PASS","FAIL")</x:f>
        <x:v>PASS</x:v>
      </x:c>
    </x:row>
    <x:row r="388">
      <x:c r="A388" s="13" t="str">
        <x:v>PP-9-03</x:v>
      </x:c>
      <x:c r="B388" s="13" t="str">
        <x:v>Public path</x:v>
      </x:c>
      <x:c r="C388" s="13" t="str">
        <x:v>CT-A-CT-CELL-1 cell exists</x:v>
      </x:c>
      <x:c r="D388" s="13" t="n">
        <x:f>COUNTIFS('Cell Capacity'!$A$6:$A$29,'Public Paths'!D14)</x:f>
        <x:v>1</x:v>
      </x:c>
      <x:c r="E388" s="13" t="n">
        <x:v>1</x:v>
      </x:c>
      <x:c r="F388" s="13" t="str">
        <x:f>IF(D388=E388,"PASS","FAIL")</x:f>
        <x:v>PASS</x:v>
      </x:c>
    </x:row>
    <x:row r="389">
      <x:c r="A389" s="13" t="str">
        <x:v>PP-9-04</x:v>
      </x:c>
      <x:c r="B389" s="13" t="str">
        <x:v>Public path</x:v>
      </x:c>
      <x:c r="C389" s="13" t="str">
        <x:v>CT-A-CT-CELL-1 root mass matches</x:v>
      </x:c>
      <x:c r="D389" s="13" t="b">
        <x:f>ABS('Public Paths'!E14-VLOOKUP('Public Paths'!B14,'Root Units'!$A$6:$K$29,5,FALSE))&lt;0.000001</x:f>
        <x:v>1</x:v>
      </x:c>
      <x:c r="E389" s="58" t="b">
        <x:v>1</x:v>
      </x:c>
      <x:c r="F389" s="13" t="str">
        <x:f>IF(D389=E389,"PASS","FAIL")</x:f>
        <x:v>PASS</x:v>
      </x:c>
    </x:row>
    <x:row r="390">
      <x:c r="A390" s="13" t="str">
        <x:v>PP-9-05</x:v>
      </x:c>
      <x:c r="B390" s="13" t="str">
        <x:v>Public path</x:v>
      </x:c>
      <x:c r="C390" s="13" t="str">
        <x:v>CT-A-CT-CELL-1 keystone inventory matches</x:v>
      </x:c>
      <x:c r="D390" s="13" t="b">
        <x:f>ABS('Public Paths'!I14-'Public Paths'!E14*Controls!$B$28)&lt;0.000001</x:f>
        <x:v>1</x:v>
      </x:c>
      <x:c r="E390" s="58" t="b">
        <x:v>1</x:v>
      </x:c>
      <x:c r="F390" s="13" t="str">
        <x:f>IF(D390=E390,"PASS","FAIL")</x:f>
        <x:v>PASS</x:v>
      </x:c>
    </x:row>
    <x:row r="391">
      <x:c r="A391" s="13" t="str">
        <x:v>PP-9-06</x:v>
      </x:c>
      <x:c r="B391" s="13" t="str">
        <x:v>Public path</x:v>
      </x:c>
      <x:c r="C391" s="13" t="str">
        <x:v>CT-A-CT-CELL-1 planning passes</x:v>
      </x:c>
      <x:c r="D391" s="13" t="str">
        <x:f>'Public Paths'!Q14</x:f>
        <x:v>PASS</x:v>
      </x:c>
      <x:c r="E391" s="13" t="str">
        <x:v>PASS</x:v>
      </x:c>
      <x:c r="F391" s="13" t="str">
        <x:f>IF(D391=E391,"PASS","FAIL")</x:f>
        <x:v>PASS</x:v>
      </x:c>
    </x:row>
    <x:row r="392">
      <x:c r="A392" s="13" t="str">
        <x:v>PP-9-07</x:v>
      </x:c>
      <x:c r="B392" s="13" t="str">
        <x:v>Public path</x:v>
      </x:c>
      <x:c r="C392" s="13" t="str">
        <x:v>CT-A-CT-CELL-1 source state</x:v>
      </x:c>
      <x:c r="D392" s="13" t="str">
        <x:f>'Public Paths'!R14</x:f>
        <x:v>SOURCE EMPTY</x:v>
      </x:c>
      <x:c r="E392" s="13" t="str">
        <x:v>SOURCE EMPTY</x:v>
      </x:c>
      <x:c r="F392" s="13" t="str">
        <x:f>IF(D392=E392,"PASS","FAIL")</x:f>
        <x:v>PASS</x:v>
      </x:c>
    </x:row>
    <x:row r="393">
      <x:c r="A393" s="13" t="str">
        <x:v>PP-9-08</x:v>
      </x:c>
      <x:c r="B393" s="13" t="str">
        <x:v>Public path</x:v>
      </x:c>
      <x:c r="C393" s="13" t="str">
        <x:v>CT-A-CT-CELL-1 cell identity agrees when populated</x:v>
      </x:c>
      <x:c r="D393" s="13" t="b">
        <x:f>IF(AND('Public Paths'!K14="",'Public Paths'!L14=""),TRUE,AND('Public Paths'!K14=VLOOKUP('Public Paths'!D14,'Cell Capacity'!$A$6:$S$29,15,FALSE),'Public Paths'!L14=VLOOKUP('Public Paths'!D14,'Cell Capacity'!$A$6:$S$29,16,FALSE)))</x:f>
        <x:v>1</x:v>
      </x:c>
      <x:c r="E393" s="58" t="b">
        <x:v>1</x:v>
      </x:c>
      <x:c r="F393" s="13" t="str">
        <x:f>IF(D393=E393,"PASS","FAIL")</x:f>
        <x:v>PASS</x:v>
      </x:c>
    </x:row>
    <x:row r="394">
      <x:c r="A394" s="13" t="str">
        <x:v>PP-9-09</x:v>
      </x:c>
      <x:c r="B394" s="13" t="str">
        <x:v>Public path</x:v>
      </x:c>
      <x:c r="C394" s="13" t="str">
        <x:v>CT-A-CT-CELL-1 root mapping retained</x:v>
      </x:c>
      <x:c r="D394" s="13" t="b">
        <x:f>'Public Paths'!B14="CT-A"</x:f>
        <x:v>1</x:v>
      </x:c>
      <x:c r="E394" s="58" t="b">
        <x:v>1</x:v>
      </x:c>
      <x:c r="F394" s="13" t="str">
        <x:f>IF(D394=E394,"PASS","FAIL")</x:f>
        <x:v>PASS</x:v>
      </x:c>
    </x:row>
    <x:row r="395">
      <x:c r="A395" s="13" t="str">
        <x:v>PP-10-01</x:v>
      </x:c>
      <x:c r="B395" s="13" t="str">
        <x:v>Public path</x:v>
      </x:c>
      <x:c r="C395" s="13" t="str">
        <x:v>CT-B-CT-CELL-1 qualification unique</x:v>
      </x:c>
      <x:c r="D395" s="13" t="n">
        <x:f>COUNTIFS('Public Paths'!$A$6:$A$53,'Public Paths'!A15)</x:f>
        <x:v>1</x:v>
      </x:c>
      <x:c r="E395" s="13" t="n">
        <x:v>1</x:v>
      </x:c>
      <x:c r="F395" s="13" t="str">
        <x:f>IF(D395=E395,"PASS","FAIL")</x:f>
        <x:v>PASS</x:v>
      </x:c>
    </x:row>
    <x:row r="396">
      <x:c r="A396" s="13" t="str">
        <x:v>PP-10-02</x:v>
      </x:c>
      <x:c r="B396" s="13" t="str">
        <x:v>Public path</x:v>
      </x:c>
      <x:c r="C396" s="13" t="str">
        <x:v>CT-B-CT-CELL-1 root exists</x:v>
      </x:c>
      <x:c r="D396" s="13" t="n">
        <x:f>COUNTIFS('Root Units'!$A$6:$A$29,'Public Paths'!B15)</x:f>
        <x:v>1</x:v>
      </x:c>
      <x:c r="E396" s="13" t="n">
        <x:v>1</x:v>
      </x:c>
      <x:c r="F396" s="13" t="str">
        <x:f>IF(D396=E396,"PASS","FAIL")</x:f>
        <x:v>PASS</x:v>
      </x:c>
    </x:row>
    <x:row r="397">
      <x:c r="A397" s="13" t="str">
        <x:v>PP-10-03</x:v>
      </x:c>
      <x:c r="B397" s="13" t="str">
        <x:v>Public path</x:v>
      </x:c>
      <x:c r="C397" s="13" t="str">
        <x:v>CT-B-CT-CELL-1 cell exists</x:v>
      </x:c>
      <x:c r="D397" s="13" t="n">
        <x:f>COUNTIFS('Cell Capacity'!$A$6:$A$29,'Public Paths'!D15)</x:f>
        <x:v>1</x:v>
      </x:c>
      <x:c r="E397" s="13" t="n">
        <x:v>1</x:v>
      </x:c>
      <x:c r="F397" s="13" t="str">
        <x:f>IF(D397=E397,"PASS","FAIL")</x:f>
        <x:v>PASS</x:v>
      </x:c>
    </x:row>
    <x:row r="398">
      <x:c r="A398" s="13" t="str">
        <x:v>PP-10-04</x:v>
      </x:c>
      <x:c r="B398" s="13" t="str">
        <x:v>Public path</x:v>
      </x:c>
      <x:c r="C398" s="13" t="str">
        <x:v>CT-B-CT-CELL-1 root mass matches</x:v>
      </x:c>
      <x:c r="D398" s="13" t="b">
        <x:f>ABS('Public Paths'!E15-VLOOKUP('Public Paths'!B15,'Root Units'!$A$6:$K$29,5,FALSE))&lt;0.000001</x:f>
        <x:v>1</x:v>
      </x:c>
      <x:c r="E398" s="58" t="b">
        <x:v>1</x:v>
      </x:c>
      <x:c r="F398" s="13" t="str">
        <x:f>IF(D398=E398,"PASS","FAIL")</x:f>
        <x:v>PASS</x:v>
      </x:c>
    </x:row>
    <x:row r="399">
      <x:c r="A399" s="13" t="str">
        <x:v>PP-10-05</x:v>
      </x:c>
      <x:c r="B399" s="13" t="str">
        <x:v>Public path</x:v>
      </x:c>
      <x:c r="C399" s="13" t="str">
        <x:v>CT-B-CT-CELL-1 keystone inventory matches</x:v>
      </x:c>
      <x:c r="D399" s="13" t="b">
        <x:f>ABS('Public Paths'!I15-'Public Paths'!E15*Controls!$B$28)&lt;0.000001</x:f>
        <x:v>1</x:v>
      </x:c>
      <x:c r="E399" s="58" t="b">
        <x:v>1</x:v>
      </x:c>
      <x:c r="F399" s="13" t="str">
        <x:f>IF(D399=E399,"PASS","FAIL")</x:f>
        <x:v>PASS</x:v>
      </x:c>
    </x:row>
    <x:row r="400">
      <x:c r="A400" s="13" t="str">
        <x:v>PP-10-06</x:v>
      </x:c>
      <x:c r="B400" s="13" t="str">
        <x:v>Public path</x:v>
      </x:c>
      <x:c r="C400" s="13" t="str">
        <x:v>CT-B-CT-CELL-1 planning passes</x:v>
      </x:c>
      <x:c r="D400" s="13" t="str">
        <x:f>'Public Paths'!Q15</x:f>
        <x:v>PASS</x:v>
      </x:c>
      <x:c r="E400" s="13" t="str">
        <x:v>PASS</x:v>
      </x:c>
      <x:c r="F400" s="13" t="str">
        <x:f>IF(D400=E400,"PASS","FAIL")</x:f>
        <x:v>PASS</x:v>
      </x:c>
    </x:row>
    <x:row r="401">
      <x:c r="A401" s="13" t="str">
        <x:v>PP-10-07</x:v>
      </x:c>
      <x:c r="B401" s="13" t="str">
        <x:v>Public path</x:v>
      </x:c>
      <x:c r="C401" s="13" t="str">
        <x:v>CT-B-CT-CELL-1 source state</x:v>
      </x:c>
      <x:c r="D401" s="13" t="str">
        <x:f>'Public Paths'!R15</x:f>
        <x:v>SOURCE EMPTY</x:v>
      </x:c>
      <x:c r="E401" s="13" t="str">
        <x:v>SOURCE EMPTY</x:v>
      </x:c>
      <x:c r="F401" s="13" t="str">
        <x:f>IF(D401=E401,"PASS","FAIL")</x:f>
        <x:v>PASS</x:v>
      </x:c>
    </x:row>
    <x:row r="402">
      <x:c r="A402" s="13" t="str">
        <x:v>PP-10-08</x:v>
      </x:c>
      <x:c r="B402" s="13" t="str">
        <x:v>Public path</x:v>
      </x:c>
      <x:c r="C402" s="13" t="str">
        <x:v>CT-B-CT-CELL-1 cell identity agrees when populated</x:v>
      </x:c>
      <x:c r="D402" s="13" t="b">
        <x:f>IF(AND('Public Paths'!K15="",'Public Paths'!L15=""),TRUE,AND('Public Paths'!K15=VLOOKUP('Public Paths'!D15,'Cell Capacity'!$A$6:$S$29,15,FALSE),'Public Paths'!L15=VLOOKUP('Public Paths'!D15,'Cell Capacity'!$A$6:$S$29,16,FALSE)))</x:f>
        <x:v>1</x:v>
      </x:c>
      <x:c r="E402" s="58" t="b">
        <x:v>1</x:v>
      </x:c>
      <x:c r="F402" s="13" t="str">
        <x:f>IF(D402=E402,"PASS","FAIL")</x:f>
        <x:v>PASS</x:v>
      </x:c>
    </x:row>
    <x:row r="403">
      <x:c r="A403" s="13" t="str">
        <x:v>PP-10-09</x:v>
      </x:c>
      <x:c r="B403" s="13" t="str">
        <x:v>Public path</x:v>
      </x:c>
      <x:c r="C403" s="13" t="str">
        <x:v>CT-B-CT-CELL-1 root mapping retained</x:v>
      </x:c>
      <x:c r="D403" s="13" t="b">
        <x:f>'Public Paths'!B15="CT-B"</x:f>
        <x:v>1</x:v>
      </x:c>
      <x:c r="E403" s="58" t="b">
        <x:v>1</x:v>
      </x:c>
      <x:c r="F403" s="13" t="str">
        <x:f>IF(D403=E403,"PASS","FAIL")</x:f>
        <x:v>PASS</x:v>
      </x:c>
    </x:row>
    <x:row r="404">
      <x:c r="A404" s="13" t="str">
        <x:v>PP-11-01</x:v>
      </x:c>
      <x:c r="B404" s="13" t="str">
        <x:v>Public path</x:v>
      </x:c>
      <x:c r="C404" s="13" t="str">
        <x:v>CT-C-CT-CELL-2 qualification unique</x:v>
      </x:c>
      <x:c r="D404" s="13" t="n">
        <x:f>COUNTIFS('Public Paths'!$A$6:$A$53,'Public Paths'!A16)</x:f>
        <x:v>1</x:v>
      </x:c>
      <x:c r="E404" s="13" t="n">
        <x:v>1</x:v>
      </x:c>
      <x:c r="F404" s="13" t="str">
        <x:f>IF(D404=E404,"PASS","FAIL")</x:f>
        <x:v>PASS</x:v>
      </x:c>
    </x:row>
    <x:row r="405">
      <x:c r="A405" s="13" t="str">
        <x:v>PP-11-02</x:v>
      </x:c>
      <x:c r="B405" s="13" t="str">
        <x:v>Public path</x:v>
      </x:c>
      <x:c r="C405" s="13" t="str">
        <x:v>CT-C-CT-CELL-2 root exists</x:v>
      </x:c>
      <x:c r="D405" s="13" t="n">
        <x:f>COUNTIFS('Root Units'!$A$6:$A$29,'Public Paths'!B16)</x:f>
        <x:v>1</x:v>
      </x:c>
      <x:c r="E405" s="13" t="n">
        <x:v>1</x:v>
      </x:c>
      <x:c r="F405" s="13" t="str">
        <x:f>IF(D405=E405,"PASS","FAIL")</x:f>
        <x:v>PASS</x:v>
      </x:c>
    </x:row>
    <x:row r="406">
      <x:c r="A406" s="13" t="str">
        <x:v>PP-11-03</x:v>
      </x:c>
      <x:c r="B406" s="13" t="str">
        <x:v>Public path</x:v>
      </x:c>
      <x:c r="C406" s="13" t="str">
        <x:v>CT-C-CT-CELL-2 cell exists</x:v>
      </x:c>
      <x:c r="D406" s="13" t="n">
        <x:f>COUNTIFS('Cell Capacity'!$A$6:$A$29,'Public Paths'!D16)</x:f>
        <x:v>1</x:v>
      </x:c>
      <x:c r="E406" s="13" t="n">
        <x:v>1</x:v>
      </x:c>
      <x:c r="F406" s="13" t="str">
        <x:f>IF(D406=E406,"PASS","FAIL")</x:f>
        <x:v>PASS</x:v>
      </x:c>
    </x:row>
    <x:row r="407">
      <x:c r="A407" s="13" t="str">
        <x:v>PP-11-04</x:v>
      </x:c>
      <x:c r="B407" s="13" t="str">
        <x:v>Public path</x:v>
      </x:c>
      <x:c r="C407" s="13" t="str">
        <x:v>CT-C-CT-CELL-2 root mass matches</x:v>
      </x:c>
      <x:c r="D407" s="13" t="b">
        <x:f>ABS('Public Paths'!E16-VLOOKUP('Public Paths'!B16,'Root Units'!$A$6:$K$29,5,FALSE))&lt;0.000001</x:f>
        <x:v>1</x:v>
      </x:c>
      <x:c r="E407" s="58" t="b">
        <x:v>1</x:v>
      </x:c>
      <x:c r="F407" s="13" t="str">
        <x:f>IF(D407=E407,"PASS","FAIL")</x:f>
        <x:v>PASS</x:v>
      </x:c>
    </x:row>
    <x:row r="408">
      <x:c r="A408" s="13" t="str">
        <x:v>PP-11-05</x:v>
      </x:c>
      <x:c r="B408" s="13" t="str">
        <x:v>Public path</x:v>
      </x:c>
      <x:c r="C408" s="13" t="str">
        <x:v>CT-C-CT-CELL-2 keystone inventory matches</x:v>
      </x:c>
      <x:c r="D408" s="13" t="b">
        <x:f>ABS('Public Paths'!I16-'Public Paths'!E16*Controls!$B$28)&lt;0.000001</x:f>
        <x:v>1</x:v>
      </x:c>
      <x:c r="E408" s="58" t="b">
        <x:v>1</x:v>
      </x:c>
      <x:c r="F408" s="13" t="str">
        <x:f>IF(D408=E408,"PASS","FAIL")</x:f>
        <x:v>PASS</x:v>
      </x:c>
    </x:row>
    <x:row r="409">
      <x:c r="A409" s="13" t="str">
        <x:v>PP-11-06</x:v>
      </x:c>
      <x:c r="B409" s="13" t="str">
        <x:v>Public path</x:v>
      </x:c>
      <x:c r="C409" s="13" t="str">
        <x:v>CT-C-CT-CELL-2 planning passes</x:v>
      </x:c>
      <x:c r="D409" s="13" t="str">
        <x:f>'Public Paths'!Q16</x:f>
        <x:v>PASS</x:v>
      </x:c>
      <x:c r="E409" s="13" t="str">
        <x:v>PASS</x:v>
      </x:c>
      <x:c r="F409" s="13" t="str">
        <x:f>IF(D409=E409,"PASS","FAIL")</x:f>
        <x:v>PASS</x:v>
      </x:c>
    </x:row>
    <x:row r="410">
      <x:c r="A410" s="13" t="str">
        <x:v>PP-11-07</x:v>
      </x:c>
      <x:c r="B410" s="13" t="str">
        <x:v>Public path</x:v>
      </x:c>
      <x:c r="C410" s="13" t="str">
        <x:v>CT-C-CT-CELL-2 source state</x:v>
      </x:c>
      <x:c r="D410" s="13" t="str">
        <x:f>'Public Paths'!R16</x:f>
        <x:v>SOURCE EMPTY</x:v>
      </x:c>
      <x:c r="E410" s="13" t="str">
        <x:v>SOURCE EMPTY</x:v>
      </x:c>
      <x:c r="F410" s="13" t="str">
        <x:f>IF(D410=E410,"PASS","FAIL")</x:f>
        <x:v>PASS</x:v>
      </x:c>
    </x:row>
    <x:row r="411">
      <x:c r="A411" s="13" t="str">
        <x:v>PP-11-08</x:v>
      </x:c>
      <x:c r="B411" s="13" t="str">
        <x:v>Public path</x:v>
      </x:c>
      <x:c r="C411" s="13" t="str">
        <x:v>CT-C-CT-CELL-2 cell identity agrees when populated</x:v>
      </x:c>
      <x:c r="D411" s="13" t="b">
        <x:f>IF(AND('Public Paths'!K16="",'Public Paths'!L16=""),TRUE,AND('Public Paths'!K16=VLOOKUP('Public Paths'!D16,'Cell Capacity'!$A$6:$S$29,15,FALSE),'Public Paths'!L16=VLOOKUP('Public Paths'!D16,'Cell Capacity'!$A$6:$S$29,16,FALSE)))</x:f>
        <x:v>1</x:v>
      </x:c>
      <x:c r="E411" s="58" t="b">
        <x:v>1</x:v>
      </x:c>
      <x:c r="F411" s="13" t="str">
        <x:f>IF(D411=E411,"PASS","FAIL")</x:f>
        <x:v>PASS</x:v>
      </x:c>
    </x:row>
    <x:row r="412">
      <x:c r="A412" s="13" t="str">
        <x:v>PP-11-09</x:v>
      </x:c>
      <x:c r="B412" s="13" t="str">
        <x:v>Public path</x:v>
      </x:c>
      <x:c r="C412" s="13" t="str">
        <x:v>CT-C-CT-CELL-2 root mapping retained</x:v>
      </x:c>
      <x:c r="D412" s="13" t="b">
        <x:f>'Public Paths'!B16="CT-C"</x:f>
        <x:v>1</x:v>
      </x:c>
      <x:c r="E412" s="58" t="b">
        <x:v>1</x:v>
      </x:c>
      <x:c r="F412" s="13" t="str">
        <x:f>IF(D412=E412,"PASS","FAIL")</x:f>
        <x:v>PASS</x:v>
      </x:c>
    </x:row>
    <x:row r="413">
      <x:c r="A413" s="13" t="str">
        <x:v>PP-12-01</x:v>
      </x:c>
      <x:c r="B413" s="13" t="str">
        <x:v>Public path</x:v>
      </x:c>
      <x:c r="C413" s="13" t="str">
        <x:v>CT-D-CT-CELL-2 qualification unique</x:v>
      </x:c>
      <x:c r="D413" s="13" t="n">
        <x:f>COUNTIFS('Public Paths'!$A$6:$A$53,'Public Paths'!A17)</x:f>
        <x:v>1</x:v>
      </x:c>
      <x:c r="E413" s="13" t="n">
        <x:v>1</x:v>
      </x:c>
      <x:c r="F413" s="13" t="str">
        <x:f>IF(D413=E413,"PASS","FAIL")</x:f>
        <x:v>PASS</x:v>
      </x:c>
    </x:row>
    <x:row r="414">
      <x:c r="A414" s="13" t="str">
        <x:v>PP-12-02</x:v>
      </x:c>
      <x:c r="B414" s="13" t="str">
        <x:v>Public path</x:v>
      </x:c>
      <x:c r="C414" s="13" t="str">
        <x:v>CT-D-CT-CELL-2 root exists</x:v>
      </x:c>
      <x:c r="D414" s="13" t="n">
        <x:f>COUNTIFS('Root Units'!$A$6:$A$29,'Public Paths'!B17)</x:f>
        <x:v>1</x:v>
      </x:c>
      <x:c r="E414" s="13" t="n">
        <x:v>1</x:v>
      </x:c>
      <x:c r="F414" s="13" t="str">
        <x:f>IF(D414=E414,"PASS","FAIL")</x:f>
        <x:v>PASS</x:v>
      </x:c>
    </x:row>
    <x:row r="415">
      <x:c r="A415" s="13" t="str">
        <x:v>PP-12-03</x:v>
      </x:c>
      <x:c r="B415" s="13" t="str">
        <x:v>Public path</x:v>
      </x:c>
      <x:c r="C415" s="13" t="str">
        <x:v>CT-D-CT-CELL-2 cell exists</x:v>
      </x:c>
      <x:c r="D415" s="13" t="n">
        <x:f>COUNTIFS('Cell Capacity'!$A$6:$A$29,'Public Paths'!D17)</x:f>
        <x:v>1</x:v>
      </x:c>
      <x:c r="E415" s="13" t="n">
        <x:v>1</x:v>
      </x:c>
      <x:c r="F415" s="13" t="str">
        <x:f>IF(D415=E415,"PASS","FAIL")</x:f>
        <x:v>PASS</x:v>
      </x:c>
    </x:row>
    <x:row r="416">
      <x:c r="A416" s="13" t="str">
        <x:v>PP-12-04</x:v>
      </x:c>
      <x:c r="B416" s="13" t="str">
        <x:v>Public path</x:v>
      </x:c>
      <x:c r="C416" s="13" t="str">
        <x:v>CT-D-CT-CELL-2 root mass matches</x:v>
      </x:c>
      <x:c r="D416" s="13" t="b">
        <x:f>ABS('Public Paths'!E17-VLOOKUP('Public Paths'!B17,'Root Units'!$A$6:$K$29,5,FALSE))&lt;0.000001</x:f>
        <x:v>1</x:v>
      </x:c>
      <x:c r="E416" s="58" t="b">
        <x:v>1</x:v>
      </x:c>
      <x:c r="F416" s="13" t="str">
        <x:f>IF(D416=E416,"PASS","FAIL")</x:f>
        <x:v>PASS</x:v>
      </x:c>
    </x:row>
    <x:row r="417">
      <x:c r="A417" s="13" t="str">
        <x:v>PP-12-05</x:v>
      </x:c>
      <x:c r="B417" s="13" t="str">
        <x:v>Public path</x:v>
      </x:c>
      <x:c r="C417" s="13" t="str">
        <x:v>CT-D-CT-CELL-2 keystone inventory matches</x:v>
      </x:c>
      <x:c r="D417" s="13" t="b">
        <x:f>ABS('Public Paths'!I17-'Public Paths'!E17*Controls!$B$28)&lt;0.000001</x:f>
        <x:v>1</x:v>
      </x:c>
      <x:c r="E417" s="58" t="b">
        <x:v>1</x:v>
      </x:c>
      <x:c r="F417" s="13" t="str">
        <x:f>IF(D417=E417,"PASS","FAIL")</x:f>
        <x:v>PASS</x:v>
      </x:c>
    </x:row>
    <x:row r="418">
      <x:c r="A418" s="13" t="str">
        <x:v>PP-12-06</x:v>
      </x:c>
      <x:c r="B418" s="13" t="str">
        <x:v>Public path</x:v>
      </x:c>
      <x:c r="C418" s="13" t="str">
        <x:v>CT-D-CT-CELL-2 planning passes</x:v>
      </x:c>
      <x:c r="D418" s="13" t="str">
        <x:f>'Public Paths'!Q17</x:f>
        <x:v>PASS</x:v>
      </x:c>
      <x:c r="E418" s="13" t="str">
        <x:v>PASS</x:v>
      </x:c>
      <x:c r="F418" s="13" t="str">
        <x:f>IF(D418=E418,"PASS","FAIL")</x:f>
        <x:v>PASS</x:v>
      </x:c>
    </x:row>
    <x:row r="419">
      <x:c r="A419" s="13" t="str">
        <x:v>PP-12-07</x:v>
      </x:c>
      <x:c r="B419" s="13" t="str">
        <x:v>Public path</x:v>
      </x:c>
      <x:c r="C419" s="13" t="str">
        <x:v>CT-D-CT-CELL-2 source state</x:v>
      </x:c>
      <x:c r="D419" s="13" t="str">
        <x:f>'Public Paths'!R17</x:f>
        <x:v>SOURCE EMPTY</x:v>
      </x:c>
      <x:c r="E419" s="13" t="str">
        <x:v>SOURCE EMPTY</x:v>
      </x:c>
      <x:c r="F419" s="13" t="str">
        <x:f>IF(D419=E419,"PASS","FAIL")</x:f>
        <x:v>PASS</x:v>
      </x:c>
    </x:row>
    <x:row r="420">
      <x:c r="A420" s="13" t="str">
        <x:v>PP-12-08</x:v>
      </x:c>
      <x:c r="B420" s="13" t="str">
        <x:v>Public path</x:v>
      </x:c>
      <x:c r="C420" s="13" t="str">
        <x:v>CT-D-CT-CELL-2 cell identity agrees when populated</x:v>
      </x:c>
      <x:c r="D420" s="13" t="b">
        <x:f>IF(AND('Public Paths'!K17="",'Public Paths'!L17=""),TRUE,AND('Public Paths'!K17=VLOOKUP('Public Paths'!D17,'Cell Capacity'!$A$6:$S$29,15,FALSE),'Public Paths'!L17=VLOOKUP('Public Paths'!D17,'Cell Capacity'!$A$6:$S$29,16,FALSE)))</x:f>
        <x:v>1</x:v>
      </x:c>
      <x:c r="E420" s="58" t="b">
        <x:v>1</x:v>
      </x:c>
      <x:c r="F420" s="13" t="str">
        <x:f>IF(D420=E420,"PASS","FAIL")</x:f>
        <x:v>PASS</x:v>
      </x:c>
    </x:row>
    <x:row r="421">
      <x:c r="A421" s="13" t="str">
        <x:v>PP-12-09</x:v>
      </x:c>
      <x:c r="B421" s="13" t="str">
        <x:v>Public path</x:v>
      </x:c>
      <x:c r="C421" s="13" t="str">
        <x:v>CT-D-CT-CELL-2 root mapping retained</x:v>
      </x:c>
      <x:c r="D421" s="13" t="b">
        <x:f>'Public Paths'!B17="CT-D"</x:f>
        <x:v>1</x:v>
      </x:c>
      <x:c r="E421" s="58" t="b">
        <x:v>1</x:v>
      </x:c>
      <x:c r="F421" s="13" t="str">
        <x:f>IF(D421=E421,"PASS","FAIL")</x:f>
        <x:v>PASS</x:v>
      </x:c>
    </x:row>
    <x:row r="422">
      <x:c r="A422" s="13" t="str">
        <x:v>PP-13-01</x:v>
      </x:c>
      <x:c r="B422" s="13" t="str">
        <x:v>Public path</x:v>
      </x:c>
      <x:c r="C422" s="13" t="str">
        <x:v>CT-A-CT-CELL-3 qualification unique</x:v>
      </x:c>
      <x:c r="D422" s="13" t="n">
        <x:f>COUNTIFS('Public Paths'!$A$6:$A$53,'Public Paths'!A18)</x:f>
        <x:v>1</x:v>
      </x:c>
      <x:c r="E422" s="13" t="n">
        <x:v>1</x:v>
      </x:c>
      <x:c r="F422" s="13" t="str">
        <x:f>IF(D422=E422,"PASS","FAIL")</x:f>
        <x:v>PASS</x:v>
      </x:c>
    </x:row>
    <x:row r="423">
      <x:c r="A423" s="13" t="str">
        <x:v>PP-13-02</x:v>
      </x:c>
      <x:c r="B423" s="13" t="str">
        <x:v>Public path</x:v>
      </x:c>
      <x:c r="C423" s="13" t="str">
        <x:v>CT-A-CT-CELL-3 root exists</x:v>
      </x:c>
      <x:c r="D423" s="13" t="n">
        <x:f>COUNTIFS('Root Units'!$A$6:$A$29,'Public Paths'!B18)</x:f>
        <x:v>1</x:v>
      </x:c>
      <x:c r="E423" s="13" t="n">
        <x:v>1</x:v>
      </x:c>
      <x:c r="F423" s="13" t="str">
        <x:f>IF(D423=E423,"PASS","FAIL")</x:f>
        <x:v>PASS</x:v>
      </x:c>
    </x:row>
    <x:row r="424">
      <x:c r="A424" s="13" t="str">
        <x:v>PP-13-03</x:v>
      </x:c>
      <x:c r="B424" s="13" t="str">
        <x:v>Public path</x:v>
      </x:c>
      <x:c r="C424" s="13" t="str">
        <x:v>CT-A-CT-CELL-3 cell exists</x:v>
      </x:c>
      <x:c r="D424" s="13" t="n">
        <x:f>COUNTIFS('Cell Capacity'!$A$6:$A$29,'Public Paths'!D18)</x:f>
        <x:v>1</x:v>
      </x:c>
      <x:c r="E424" s="13" t="n">
        <x:v>1</x:v>
      </x:c>
      <x:c r="F424" s="13" t="str">
        <x:f>IF(D424=E424,"PASS","FAIL")</x:f>
        <x:v>PASS</x:v>
      </x:c>
    </x:row>
    <x:row r="425">
      <x:c r="A425" s="13" t="str">
        <x:v>PP-13-04</x:v>
      </x:c>
      <x:c r="B425" s="13" t="str">
        <x:v>Public path</x:v>
      </x:c>
      <x:c r="C425" s="13" t="str">
        <x:v>CT-A-CT-CELL-3 root mass matches</x:v>
      </x:c>
      <x:c r="D425" s="13" t="b">
        <x:f>ABS('Public Paths'!E18-VLOOKUP('Public Paths'!B18,'Root Units'!$A$6:$K$29,5,FALSE))&lt;0.000001</x:f>
        <x:v>1</x:v>
      </x:c>
      <x:c r="E425" s="58" t="b">
        <x:v>1</x:v>
      </x:c>
      <x:c r="F425" s="13" t="str">
        <x:f>IF(D425=E425,"PASS","FAIL")</x:f>
        <x:v>PASS</x:v>
      </x:c>
    </x:row>
    <x:row r="426">
      <x:c r="A426" s="13" t="str">
        <x:v>PP-13-05</x:v>
      </x:c>
      <x:c r="B426" s="13" t="str">
        <x:v>Public path</x:v>
      </x:c>
      <x:c r="C426" s="13" t="str">
        <x:v>CT-A-CT-CELL-3 keystone inventory matches</x:v>
      </x:c>
      <x:c r="D426" s="13" t="b">
        <x:f>ABS('Public Paths'!I18-'Public Paths'!E18*Controls!$B$28)&lt;0.000001</x:f>
        <x:v>1</x:v>
      </x:c>
      <x:c r="E426" s="58" t="b">
        <x:v>1</x:v>
      </x:c>
      <x:c r="F426" s="13" t="str">
        <x:f>IF(D426=E426,"PASS","FAIL")</x:f>
        <x:v>PASS</x:v>
      </x:c>
    </x:row>
    <x:row r="427">
      <x:c r="A427" s="13" t="str">
        <x:v>PP-13-06</x:v>
      </x:c>
      <x:c r="B427" s="13" t="str">
        <x:v>Public path</x:v>
      </x:c>
      <x:c r="C427" s="13" t="str">
        <x:v>CT-A-CT-CELL-3 planning passes</x:v>
      </x:c>
      <x:c r="D427" s="13" t="str">
        <x:f>'Public Paths'!Q18</x:f>
        <x:v>PASS</x:v>
      </x:c>
      <x:c r="E427" s="13" t="str">
        <x:v>PASS</x:v>
      </x:c>
      <x:c r="F427" s="13" t="str">
        <x:f>IF(D427=E427,"PASS","FAIL")</x:f>
        <x:v>PASS</x:v>
      </x:c>
    </x:row>
    <x:row r="428">
      <x:c r="A428" s="13" t="str">
        <x:v>PP-13-07</x:v>
      </x:c>
      <x:c r="B428" s="13" t="str">
        <x:v>Public path</x:v>
      </x:c>
      <x:c r="C428" s="13" t="str">
        <x:v>CT-A-CT-CELL-3 source state</x:v>
      </x:c>
      <x:c r="D428" s="13" t="str">
        <x:f>'Public Paths'!R18</x:f>
        <x:v>SOURCE EMPTY</x:v>
      </x:c>
      <x:c r="E428" s="13" t="str">
        <x:v>SOURCE EMPTY</x:v>
      </x:c>
      <x:c r="F428" s="13" t="str">
        <x:f>IF(D428=E428,"PASS","FAIL")</x:f>
        <x:v>PASS</x:v>
      </x:c>
    </x:row>
    <x:row r="429">
      <x:c r="A429" s="13" t="str">
        <x:v>PP-13-08</x:v>
      </x:c>
      <x:c r="B429" s="13" t="str">
        <x:v>Public path</x:v>
      </x:c>
      <x:c r="C429" s="13" t="str">
        <x:v>CT-A-CT-CELL-3 cell identity agrees when populated</x:v>
      </x:c>
      <x:c r="D429" s="13" t="b">
        <x:f>IF(AND('Public Paths'!K18="",'Public Paths'!L18=""),TRUE,AND('Public Paths'!K18=VLOOKUP('Public Paths'!D18,'Cell Capacity'!$A$6:$S$29,15,FALSE),'Public Paths'!L18=VLOOKUP('Public Paths'!D18,'Cell Capacity'!$A$6:$S$29,16,FALSE)))</x:f>
        <x:v>1</x:v>
      </x:c>
      <x:c r="E429" s="58" t="b">
        <x:v>1</x:v>
      </x:c>
      <x:c r="F429" s="13" t="str">
        <x:f>IF(D429=E429,"PASS","FAIL")</x:f>
        <x:v>PASS</x:v>
      </x:c>
    </x:row>
    <x:row r="430">
      <x:c r="A430" s="13" t="str">
        <x:v>PP-13-09</x:v>
      </x:c>
      <x:c r="B430" s="13" t="str">
        <x:v>Public path</x:v>
      </x:c>
      <x:c r="C430" s="13" t="str">
        <x:v>CT-A-CT-CELL-3 root mapping retained</x:v>
      </x:c>
      <x:c r="D430" s="13" t="b">
        <x:f>'Public Paths'!B18="CT-A"</x:f>
        <x:v>1</x:v>
      </x:c>
      <x:c r="E430" s="58" t="b">
        <x:v>1</x:v>
      </x:c>
      <x:c r="F430" s="13" t="str">
        <x:f>IF(D430=E430,"PASS","FAIL")</x:f>
        <x:v>PASS</x:v>
      </x:c>
    </x:row>
    <x:row r="431">
      <x:c r="A431" s="13" t="str">
        <x:v>PP-14-01</x:v>
      </x:c>
      <x:c r="B431" s="13" t="str">
        <x:v>Public path</x:v>
      </x:c>
      <x:c r="C431" s="13" t="str">
        <x:v>CT-C-CT-CELL-3 qualification unique</x:v>
      </x:c>
      <x:c r="D431" s="13" t="n">
        <x:f>COUNTIFS('Public Paths'!$A$6:$A$53,'Public Paths'!A19)</x:f>
        <x:v>1</x:v>
      </x:c>
      <x:c r="E431" s="13" t="n">
        <x:v>1</x:v>
      </x:c>
      <x:c r="F431" s="13" t="str">
        <x:f>IF(D431=E431,"PASS","FAIL")</x:f>
        <x:v>PASS</x:v>
      </x:c>
    </x:row>
    <x:row r="432">
      <x:c r="A432" s="13" t="str">
        <x:v>PP-14-02</x:v>
      </x:c>
      <x:c r="B432" s="13" t="str">
        <x:v>Public path</x:v>
      </x:c>
      <x:c r="C432" s="13" t="str">
        <x:v>CT-C-CT-CELL-3 root exists</x:v>
      </x:c>
      <x:c r="D432" s="13" t="n">
        <x:f>COUNTIFS('Root Units'!$A$6:$A$29,'Public Paths'!B19)</x:f>
        <x:v>1</x:v>
      </x:c>
      <x:c r="E432" s="13" t="n">
        <x:v>1</x:v>
      </x:c>
      <x:c r="F432" s="13" t="str">
        <x:f>IF(D432=E432,"PASS","FAIL")</x:f>
        <x:v>PASS</x:v>
      </x:c>
    </x:row>
    <x:row r="433">
      <x:c r="A433" s="13" t="str">
        <x:v>PP-14-03</x:v>
      </x:c>
      <x:c r="B433" s="13" t="str">
        <x:v>Public path</x:v>
      </x:c>
      <x:c r="C433" s="13" t="str">
        <x:v>CT-C-CT-CELL-3 cell exists</x:v>
      </x:c>
      <x:c r="D433" s="13" t="n">
        <x:f>COUNTIFS('Cell Capacity'!$A$6:$A$29,'Public Paths'!D19)</x:f>
        <x:v>1</x:v>
      </x:c>
      <x:c r="E433" s="13" t="n">
        <x:v>1</x:v>
      </x:c>
      <x:c r="F433" s="13" t="str">
        <x:f>IF(D433=E433,"PASS","FAIL")</x:f>
        <x:v>PASS</x:v>
      </x:c>
    </x:row>
    <x:row r="434">
      <x:c r="A434" s="13" t="str">
        <x:v>PP-14-04</x:v>
      </x:c>
      <x:c r="B434" s="13" t="str">
        <x:v>Public path</x:v>
      </x:c>
      <x:c r="C434" s="13" t="str">
        <x:v>CT-C-CT-CELL-3 root mass matches</x:v>
      </x:c>
      <x:c r="D434" s="13" t="b">
        <x:f>ABS('Public Paths'!E19-VLOOKUP('Public Paths'!B19,'Root Units'!$A$6:$K$29,5,FALSE))&lt;0.000001</x:f>
        <x:v>1</x:v>
      </x:c>
      <x:c r="E434" s="58" t="b">
        <x:v>1</x:v>
      </x:c>
      <x:c r="F434" s="13" t="str">
        <x:f>IF(D434=E434,"PASS","FAIL")</x:f>
        <x:v>PASS</x:v>
      </x:c>
    </x:row>
    <x:row r="435">
      <x:c r="A435" s="13" t="str">
        <x:v>PP-14-05</x:v>
      </x:c>
      <x:c r="B435" s="13" t="str">
        <x:v>Public path</x:v>
      </x:c>
      <x:c r="C435" s="13" t="str">
        <x:v>CT-C-CT-CELL-3 keystone inventory matches</x:v>
      </x:c>
      <x:c r="D435" s="13" t="b">
        <x:f>ABS('Public Paths'!I19-'Public Paths'!E19*Controls!$B$28)&lt;0.000001</x:f>
        <x:v>1</x:v>
      </x:c>
      <x:c r="E435" s="58" t="b">
        <x:v>1</x:v>
      </x:c>
      <x:c r="F435" s="13" t="str">
        <x:f>IF(D435=E435,"PASS","FAIL")</x:f>
        <x:v>PASS</x:v>
      </x:c>
    </x:row>
    <x:row r="436">
      <x:c r="A436" s="13" t="str">
        <x:v>PP-14-06</x:v>
      </x:c>
      <x:c r="B436" s="13" t="str">
        <x:v>Public path</x:v>
      </x:c>
      <x:c r="C436" s="13" t="str">
        <x:v>CT-C-CT-CELL-3 planning passes</x:v>
      </x:c>
      <x:c r="D436" s="13" t="str">
        <x:f>'Public Paths'!Q19</x:f>
        <x:v>PASS</x:v>
      </x:c>
      <x:c r="E436" s="13" t="str">
        <x:v>PASS</x:v>
      </x:c>
      <x:c r="F436" s="13" t="str">
        <x:f>IF(D436=E436,"PASS","FAIL")</x:f>
        <x:v>PASS</x:v>
      </x:c>
    </x:row>
    <x:row r="437">
      <x:c r="A437" s="13" t="str">
        <x:v>PP-14-07</x:v>
      </x:c>
      <x:c r="B437" s="13" t="str">
        <x:v>Public path</x:v>
      </x:c>
      <x:c r="C437" s="13" t="str">
        <x:v>CT-C-CT-CELL-3 source state</x:v>
      </x:c>
      <x:c r="D437" s="13" t="str">
        <x:f>'Public Paths'!R19</x:f>
        <x:v>SOURCE EMPTY</x:v>
      </x:c>
      <x:c r="E437" s="13" t="str">
        <x:v>SOURCE EMPTY</x:v>
      </x:c>
      <x:c r="F437" s="13" t="str">
        <x:f>IF(D437=E437,"PASS","FAIL")</x:f>
        <x:v>PASS</x:v>
      </x:c>
    </x:row>
    <x:row r="438">
      <x:c r="A438" s="13" t="str">
        <x:v>PP-14-08</x:v>
      </x:c>
      <x:c r="B438" s="13" t="str">
        <x:v>Public path</x:v>
      </x:c>
      <x:c r="C438" s="13" t="str">
        <x:v>CT-C-CT-CELL-3 cell identity agrees when populated</x:v>
      </x:c>
      <x:c r="D438" s="13" t="b">
        <x:f>IF(AND('Public Paths'!K19="",'Public Paths'!L19=""),TRUE,AND('Public Paths'!K19=VLOOKUP('Public Paths'!D19,'Cell Capacity'!$A$6:$S$29,15,FALSE),'Public Paths'!L19=VLOOKUP('Public Paths'!D19,'Cell Capacity'!$A$6:$S$29,16,FALSE)))</x:f>
        <x:v>1</x:v>
      </x:c>
      <x:c r="E438" s="58" t="b">
        <x:v>1</x:v>
      </x:c>
      <x:c r="F438" s="13" t="str">
        <x:f>IF(D438=E438,"PASS","FAIL")</x:f>
        <x:v>PASS</x:v>
      </x:c>
    </x:row>
    <x:row r="439">
      <x:c r="A439" s="13" t="str">
        <x:v>PP-14-09</x:v>
      </x:c>
      <x:c r="B439" s="13" t="str">
        <x:v>Public path</x:v>
      </x:c>
      <x:c r="C439" s="13" t="str">
        <x:v>CT-C-CT-CELL-3 root mapping retained</x:v>
      </x:c>
      <x:c r="D439" s="13" t="b">
        <x:f>'Public Paths'!B19="CT-C"</x:f>
        <x:v>1</x:v>
      </x:c>
      <x:c r="E439" s="58" t="b">
        <x:v>1</x:v>
      </x:c>
      <x:c r="F439" s="13" t="str">
        <x:f>IF(D439=E439,"PASS","FAIL")</x:f>
        <x:v>PASS</x:v>
      </x:c>
    </x:row>
    <x:row r="440">
      <x:c r="A440" s="13" t="str">
        <x:v>PP-15-01</x:v>
      </x:c>
      <x:c r="B440" s="13" t="str">
        <x:v>Public path</x:v>
      </x:c>
      <x:c r="C440" s="13" t="str">
        <x:v>CT-B-CT-CELL-4 qualification unique</x:v>
      </x:c>
      <x:c r="D440" s="13" t="n">
        <x:f>COUNTIFS('Public Paths'!$A$6:$A$53,'Public Paths'!A20)</x:f>
        <x:v>1</x:v>
      </x:c>
      <x:c r="E440" s="13" t="n">
        <x:v>1</x:v>
      </x:c>
      <x:c r="F440" s="13" t="str">
        <x:f>IF(D440=E440,"PASS","FAIL")</x:f>
        <x:v>PASS</x:v>
      </x:c>
    </x:row>
    <x:row r="441">
      <x:c r="A441" s="13" t="str">
        <x:v>PP-15-02</x:v>
      </x:c>
      <x:c r="B441" s="13" t="str">
        <x:v>Public path</x:v>
      </x:c>
      <x:c r="C441" s="13" t="str">
        <x:v>CT-B-CT-CELL-4 root exists</x:v>
      </x:c>
      <x:c r="D441" s="13" t="n">
        <x:f>COUNTIFS('Root Units'!$A$6:$A$29,'Public Paths'!B20)</x:f>
        <x:v>1</x:v>
      </x:c>
      <x:c r="E441" s="13" t="n">
        <x:v>1</x:v>
      </x:c>
      <x:c r="F441" s="13" t="str">
        <x:f>IF(D441=E441,"PASS","FAIL")</x:f>
        <x:v>PASS</x:v>
      </x:c>
    </x:row>
    <x:row r="442">
      <x:c r="A442" s="13" t="str">
        <x:v>PP-15-03</x:v>
      </x:c>
      <x:c r="B442" s="13" t="str">
        <x:v>Public path</x:v>
      </x:c>
      <x:c r="C442" s="13" t="str">
        <x:v>CT-B-CT-CELL-4 cell exists</x:v>
      </x:c>
      <x:c r="D442" s="13" t="n">
        <x:f>COUNTIFS('Cell Capacity'!$A$6:$A$29,'Public Paths'!D20)</x:f>
        <x:v>1</x:v>
      </x:c>
      <x:c r="E442" s="13" t="n">
        <x:v>1</x:v>
      </x:c>
      <x:c r="F442" s="13" t="str">
        <x:f>IF(D442=E442,"PASS","FAIL")</x:f>
        <x:v>PASS</x:v>
      </x:c>
    </x:row>
    <x:row r="443">
      <x:c r="A443" s="13" t="str">
        <x:v>PP-15-04</x:v>
      </x:c>
      <x:c r="B443" s="13" t="str">
        <x:v>Public path</x:v>
      </x:c>
      <x:c r="C443" s="13" t="str">
        <x:v>CT-B-CT-CELL-4 root mass matches</x:v>
      </x:c>
      <x:c r="D443" s="13" t="b">
        <x:f>ABS('Public Paths'!E20-VLOOKUP('Public Paths'!B20,'Root Units'!$A$6:$K$29,5,FALSE))&lt;0.000001</x:f>
        <x:v>1</x:v>
      </x:c>
      <x:c r="E443" s="58" t="b">
        <x:v>1</x:v>
      </x:c>
      <x:c r="F443" s="13" t="str">
        <x:f>IF(D443=E443,"PASS","FAIL")</x:f>
        <x:v>PASS</x:v>
      </x:c>
    </x:row>
    <x:row r="444">
      <x:c r="A444" s="13" t="str">
        <x:v>PP-15-05</x:v>
      </x:c>
      <x:c r="B444" s="13" t="str">
        <x:v>Public path</x:v>
      </x:c>
      <x:c r="C444" s="13" t="str">
        <x:v>CT-B-CT-CELL-4 keystone inventory matches</x:v>
      </x:c>
      <x:c r="D444" s="13" t="b">
        <x:f>ABS('Public Paths'!I20-'Public Paths'!E20*Controls!$B$28)&lt;0.000001</x:f>
        <x:v>1</x:v>
      </x:c>
      <x:c r="E444" s="58" t="b">
        <x:v>1</x:v>
      </x:c>
      <x:c r="F444" s="13" t="str">
        <x:f>IF(D444=E444,"PASS","FAIL")</x:f>
        <x:v>PASS</x:v>
      </x:c>
    </x:row>
    <x:row r="445">
      <x:c r="A445" s="13" t="str">
        <x:v>PP-15-06</x:v>
      </x:c>
      <x:c r="B445" s="13" t="str">
        <x:v>Public path</x:v>
      </x:c>
      <x:c r="C445" s="13" t="str">
        <x:v>CT-B-CT-CELL-4 planning passes</x:v>
      </x:c>
      <x:c r="D445" s="13" t="str">
        <x:f>'Public Paths'!Q20</x:f>
        <x:v>PASS</x:v>
      </x:c>
      <x:c r="E445" s="13" t="str">
        <x:v>PASS</x:v>
      </x:c>
      <x:c r="F445" s="13" t="str">
        <x:f>IF(D445=E445,"PASS","FAIL")</x:f>
        <x:v>PASS</x:v>
      </x:c>
    </x:row>
    <x:row r="446">
      <x:c r="A446" s="13" t="str">
        <x:v>PP-15-07</x:v>
      </x:c>
      <x:c r="B446" s="13" t="str">
        <x:v>Public path</x:v>
      </x:c>
      <x:c r="C446" s="13" t="str">
        <x:v>CT-B-CT-CELL-4 source state</x:v>
      </x:c>
      <x:c r="D446" s="13" t="str">
        <x:f>'Public Paths'!R20</x:f>
        <x:v>SOURCE EMPTY</x:v>
      </x:c>
      <x:c r="E446" s="13" t="str">
        <x:v>SOURCE EMPTY</x:v>
      </x:c>
      <x:c r="F446" s="13" t="str">
        <x:f>IF(D446=E446,"PASS","FAIL")</x:f>
        <x:v>PASS</x:v>
      </x:c>
    </x:row>
    <x:row r="447">
      <x:c r="A447" s="13" t="str">
        <x:v>PP-15-08</x:v>
      </x:c>
      <x:c r="B447" s="13" t="str">
        <x:v>Public path</x:v>
      </x:c>
      <x:c r="C447" s="13" t="str">
        <x:v>CT-B-CT-CELL-4 cell identity agrees when populated</x:v>
      </x:c>
      <x:c r="D447" s="13" t="b">
        <x:f>IF(AND('Public Paths'!K20="",'Public Paths'!L20=""),TRUE,AND('Public Paths'!K20=VLOOKUP('Public Paths'!D20,'Cell Capacity'!$A$6:$S$29,15,FALSE),'Public Paths'!L20=VLOOKUP('Public Paths'!D20,'Cell Capacity'!$A$6:$S$29,16,FALSE)))</x:f>
        <x:v>1</x:v>
      </x:c>
      <x:c r="E447" s="58" t="b">
        <x:v>1</x:v>
      </x:c>
      <x:c r="F447" s="13" t="str">
        <x:f>IF(D447=E447,"PASS","FAIL")</x:f>
        <x:v>PASS</x:v>
      </x:c>
    </x:row>
    <x:row r="448">
      <x:c r="A448" s="13" t="str">
        <x:v>PP-15-09</x:v>
      </x:c>
      <x:c r="B448" s="13" t="str">
        <x:v>Public path</x:v>
      </x:c>
      <x:c r="C448" s="13" t="str">
        <x:v>CT-B-CT-CELL-4 root mapping retained</x:v>
      </x:c>
      <x:c r="D448" s="13" t="b">
        <x:f>'Public Paths'!B20="CT-B"</x:f>
        <x:v>1</x:v>
      </x:c>
      <x:c r="E448" s="58" t="b">
        <x:v>1</x:v>
      </x:c>
      <x:c r="F448" s="13" t="str">
        <x:f>IF(D448=E448,"PASS","FAIL")</x:f>
        <x:v>PASS</x:v>
      </x:c>
    </x:row>
    <x:row r="449">
      <x:c r="A449" s="13" t="str">
        <x:v>PP-16-01</x:v>
      </x:c>
      <x:c r="B449" s="13" t="str">
        <x:v>Public path</x:v>
      </x:c>
      <x:c r="C449" s="13" t="str">
        <x:v>CT-D-CT-CELL-4 qualification unique</x:v>
      </x:c>
      <x:c r="D449" s="13" t="n">
        <x:f>COUNTIFS('Public Paths'!$A$6:$A$53,'Public Paths'!A21)</x:f>
        <x:v>1</x:v>
      </x:c>
      <x:c r="E449" s="13" t="n">
        <x:v>1</x:v>
      </x:c>
      <x:c r="F449" s="13" t="str">
        <x:f>IF(D449=E449,"PASS","FAIL")</x:f>
        <x:v>PASS</x:v>
      </x:c>
    </x:row>
    <x:row r="450">
      <x:c r="A450" s="13" t="str">
        <x:v>PP-16-02</x:v>
      </x:c>
      <x:c r="B450" s="13" t="str">
        <x:v>Public path</x:v>
      </x:c>
      <x:c r="C450" s="13" t="str">
        <x:v>CT-D-CT-CELL-4 root exists</x:v>
      </x:c>
      <x:c r="D450" s="13" t="n">
        <x:f>COUNTIFS('Root Units'!$A$6:$A$29,'Public Paths'!B21)</x:f>
        <x:v>1</x:v>
      </x:c>
      <x:c r="E450" s="13" t="n">
        <x:v>1</x:v>
      </x:c>
      <x:c r="F450" s="13" t="str">
        <x:f>IF(D450=E450,"PASS","FAIL")</x:f>
        <x:v>PASS</x:v>
      </x:c>
    </x:row>
    <x:row r="451">
      <x:c r="A451" s="13" t="str">
        <x:v>PP-16-03</x:v>
      </x:c>
      <x:c r="B451" s="13" t="str">
        <x:v>Public path</x:v>
      </x:c>
      <x:c r="C451" s="13" t="str">
        <x:v>CT-D-CT-CELL-4 cell exists</x:v>
      </x:c>
      <x:c r="D451" s="13" t="n">
        <x:f>COUNTIFS('Cell Capacity'!$A$6:$A$29,'Public Paths'!D21)</x:f>
        <x:v>1</x:v>
      </x:c>
      <x:c r="E451" s="13" t="n">
        <x:v>1</x:v>
      </x:c>
      <x:c r="F451" s="13" t="str">
        <x:f>IF(D451=E451,"PASS","FAIL")</x:f>
        <x:v>PASS</x:v>
      </x:c>
    </x:row>
    <x:row r="452">
      <x:c r="A452" s="13" t="str">
        <x:v>PP-16-04</x:v>
      </x:c>
      <x:c r="B452" s="13" t="str">
        <x:v>Public path</x:v>
      </x:c>
      <x:c r="C452" s="13" t="str">
        <x:v>CT-D-CT-CELL-4 root mass matches</x:v>
      </x:c>
      <x:c r="D452" s="13" t="b">
        <x:f>ABS('Public Paths'!E21-VLOOKUP('Public Paths'!B21,'Root Units'!$A$6:$K$29,5,FALSE))&lt;0.000001</x:f>
        <x:v>1</x:v>
      </x:c>
      <x:c r="E452" s="58" t="b">
        <x:v>1</x:v>
      </x:c>
      <x:c r="F452" s="13" t="str">
        <x:f>IF(D452=E452,"PASS","FAIL")</x:f>
        <x:v>PASS</x:v>
      </x:c>
    </x:row>
    <x:row r="453">
      <x:c r="A453" s="13" t="str">
        <x:v>PP-16-05</x:v>
      </x:c>
      <x:c r="B453" s="13" t="str">
        <x:v>Public path</x:v>
      </x:c>
      <x:c r="C453" s="13" t="str">
        <x:v>CT-D-CT-CELL-4 keystone inventory matches</x:v>
      </x:c>
      <x:c r="D453" s="13" t="b">
        <x:f>ABS('Public Paths'!I21-'Public Paths'!E21*Controls!$B$28)&lt;0.000001</x:f>
        <x:v>1</x:v>
      </x:c>
      <x:c r="E453" s="58" t="b">
        <x:v>1</x:v>
      </x:c>
      <x:c r="F453" s="13" t="str">
        <x:f>IF(D453=E453,"PASS","FAIL")</x:f>
        <x:v>PASS</x:v>
      </x:c>
    </x:row>
    <x:row r="454">
      <x:c r="A454" s="13" t="str">
        <x:v>PP-16-06</x:v>
      </x:c>
      <x:c r="B454" s="13" t="str">
        <x:v>Public path</x:v>
      </x:c>
      <x:c r="C454" s="13" t="str">
        <x:v>CT-D-CT-CELL-4 planning passes</x:v>
      </x:c>
      <x:c r="D454" s="13" t="str">
        <x:f>'Public Paths'!Q21</x:f>
        <x:v>PASS</x:v>
      </x:c>
      <x:c r="E454" s="13" t="str">
        <x:v>PASS</x:v>
      </x:c>
      <x:c r="F454" s="13" t="str">
        <x:f>IF(D454=E454,"PASS","FAIL")</x:f>
        <x:v>PASS</x:v>
      </x:c>
    </x:row>
    <x:row r="455">
      <x:c r="A455" s="13" t="str">
        <x:v>PP-16-07</x:v>
      </x:c>
      <x:c r="B455" s="13" t="str">
        <x:v>Public path</x:v>
      </x:c>
      <x:c r="C455" s="13" t="str">
        <x:v>CT-D-CT-CELL-4 source state</x:v>
      </x:c>
      <x:c r="D455" s="13" t="str">
        <x:f>'Public Paths'!R21</x:f>
        <x:v>SOURCE EMPTY</x:v>
      </x:c>
      <x:c r="E455" s="13" t="str">
        <x:v>SOURCE EMPTY</x:v>
      </x:c>
      <x:c r="F455" s="13" t="str">
        <x:f>IF(D455=E455,"PASS","FAIL")</x:f>
        <x:v>PASS</x:v>
      </x:c>
    </x:row>
    <x:row r="456">
      <x:c r="A456" s="13" t="str">
        <x:v>PP-16-08</x:v>
      </x:c>
      <x:c r="B456" s="13" t="str">
        <x:v>Public path</x:v>
      </x:c>
      <x:c r="C456" s="13" t="str">
        <x:v>CT-D-CT-CELL-4 cell identity agrees when populated</x:v>
      </x:c>
      <x:c r="D456" s="13" t="b">
        <x:f>IF(AND('Public Paths'!K21="",'Public Paths'!L21=""),TRUE,AND('Public Paths'!K21=VLOOKUP('Public Paths'!D21,'Cell Capacity'!$A$6:$S$29,15,FALSE),'Public Paths'!L21=VLOOKUP('Public Paths'!D21,'Cell Capacity'!$A$6:$S$29,16,FALSE)))</x:f>
        <x:v>1</x:v>
      </x:c>
      <x:c r="E456" s="58" t="b">
        <x:v>1</x:v>
      </x:c>
      <x:c r="F456" s="13" t="str">
        <x:f>IF(D456=E456,"PASS","FAIL")</x:f>
        <x:v>PASS</x:v>
      </x:c>
    </x:row>
    <x:row r="457">
      <x:c r="A457" s="13" t="str">
        <x:v>PP-16-09</x:v>
      </x:c>
      <x:c r="B457" s="13" t="str">
        <x:v>Public path</x:v>
      </x:c>
      <x:c r="C457" s="13" t="str">
        <x:v>CT-D-CT-CELL-4 root mapping retained</x:v>
      </x:c>
      <x:c r="D457" s="13" t="b">
        <x:f>'Public Paths'!B21="CT-D"</x:f>
        <x:v>1</x:v>
      </x:c>
      <x:c r="E457" s="58" t="b">
        <x:v>1</x:v>
      </x:c>
      <x:c r="F457" s="13" t="str">
        <x:f>IF(D457=E457,"PASS","FAIL")</x:f>
        <x:v>PASS</x:v>
      </x:c>
    </x:row>
    <x:row r="458">
      <x:c r="A458" s="13" t="str">
        <x:v>PP-17-01</x:v>
      </x:c>
      <x:c r="B458" s="13" t="str">
        <x:v>Public path</x:v>
      </x:c>
      <x:c r="C458" s="13" t="str">
        <x:v>HC-A-HC-CELL-1 qualification unique</x:v>
      </x:c>
      <x:c r="D458" s="13" t="n">
        <x:f>COUNTIFS('Public Paths'!$A$6:$A$53,'Public Paths'!A22)</x:f>
        <x:v>1</x:v>
      </x:c>
      <x:c r="E458" s="13" t="n">
        <x:v>1</x:v>
      </x:c>
      <x:c r="F458" s="13" t="str">
        <x:f>IF(D458=E458,"PASS","FAIL")</x:f>
        <x:v>PASS</x:v>
      </x:c>
    </x:row>
    <x:row r="459">
      <x:c r="A459" s="13" t="str">
        <x:v>PP-17-02</x:v>
      </x:c>
      <x:c r="B459" s="13" t="str">
        <x:v>Public path</x:v>
      </x:c>
      <x:c r="C459" s="13" t="str">
        <x:v>HC-A-HC-CELL-1 root exists</x:v>
      </x:c>
      <x:c r="D459" s="13" t="n">
        <x:f>COUNTIFS('Root Units'!$A$6:$A$29,'Public Paths'!B22)</x:f>
        <x:v>1</x:v>
      </x:c>
      <x:c r="E459" s="13" t="n">
        <x:v>1</x:v>
      </x:c>
      <x:c r="F459" s="13" t="str">
        <x:f>IF(D459=E459,"PASS","FAIL")</x:f>
        <x:v>PASS</x:v>
      </x:c>
    </x:row>
    <x:row r="460">
      <x:c r="A460" s="13" t="str">
        <x:v>PP-17-03</x:v>
      </x:c>
      <x:c r="B460" s="13" t="str">
        <x:v>Public path</x:v>
      </x:c>
      <x:c r="C460" s="13" t="str">
        <x:v>HC-A-HC-CELL-1 cell exists</x:v>
      </x:c>
      <x:c r="D460" s="13" t="n">
        <x:f>COUNTIFS('Cell Capacity'!$A$6:$A$29,'Public Paths'!D22)</x:f>
        <x:v>1</x:v>
      </x:c>
      <x:c r="E460" s="13" t="n">
        <x:v>1</x:v>
      </x:c>
      <x:c r="F460" s="13" t="str">
        <x:f>IF(D460=E460,"PASS","FAIL")</x:f>
        <x:v>PASS</x:v>
      </x:c>
    </x:row>
    <x:row r="461">
      <x:c r="A461" s="13" t="str">
        <x:v>PP-17-04</x:v>
      </x:c>
      <x:c r="B461" s="13" t="str">
        <x:v>Public path</x:v>
      </x:c>
      <x:c r="C461" s="13" t="str">
        <x:v>HC-A-HC-CELL-1 root mass matches</x:v>
      </x:c>
      <x:c r="D461" s="13" t="b">
        <x:f>ABS('Public Paths'!E22-VLOOKUP('Public Paths'!B22,'Root Units'!$A$6:$K$29,5,FALSE))&lt;0.000001</x:f>
        <x:v>1</x:v>
      </x:c>
      <x:c r="E461" s="58" t="b">
        <x:v>1</x:v>
      </x:c>
      <x:c r="F461" s="13" t="str">
        <x:f>IF(D461=E461,"PASS","FAIL")</x:f>
        <x:v>PASS</x:v>
      </x:c>
    </x:row>
    <x:row r="462">
      <x:c r="A462" s="13" t="str">
        <x:v>PP-17-05</x:v>
      </x:c>
      <x:c r="B462" s="13" t="str">
        <x:v>Public path</x:v>
      </x:c>
      <x:c r="C462" s="13" t="str">
        <x:v>HC-A-HC-CELL-1 keystone inventory matches</x:v>
      </x:c>
      <x:c r="D462" s="13" t="b">
        <x:f>ABS('Public Paths'!I22-'Public Paths'!E22*Controls!$B$28)&lt;0.000001</x:f>
        <x:v>1</x:v>
      </x:c>
      <x:c r="E462" s="58" t="b">
        <x:v>1</x:v>
      </x:c>
      <x:c r="F462" s="13" t="str">
        <x:f>IF(D462=E462,"PASS","FAIL")</x:f>
        <x:v>PASS</x:v>
      </x:c>
    </x:row>
    <x:row r="463">
      <x:c r="A463" s="13" t="str">
        <x:v>PP-17-06</x:v>
      </x:c>
      <x:c r="B463" s="13" t="str">
        <x:v>Public path</x:v>
      </x:c>
      <x:c r="C463" s="13" t="str">
        <x:v>HC-A-HC-CELL-1 planning passes</x:v>
      </x:c>
      <x:c r="D463" s="13" t="str">
        <x:f>'Public Paths'!Q22</x:f>
        <x:v>PASS</x:v>
      </x:c>
      <x:c r="E463" s="13" t="str">
        <x:v>PASS</x:v>
      </x:c>
      <x:c r="F463" s="13" t="str">
        <x:f>IF(D463=E463,"PASS","FAIL")</x:f>
        <x:v>PASS</x:v>
      </x:c>
    </x:row>
    <x:row r="464">
      <x:c r="A464" s="13" t="str">
        <x:v>PP-17-07</x:v>
      </x:c>
      <x:c r="B464" s="13" t="str">
        <x:v>Public path</x:v>
      </x:c>
      <x:c r="C464" s="13" t="str">
        <x:v>HC-A-HC-CELL-1 source state</x:v>
      </x:c>
      <x:c r="D464" s="13" t="str">
        <x:f>'Public Paths'!R22</x:f>
        <x:v>SOURCE EMPTY</x:v>
      </x:c>
      <x:c r="E464" s="13" t="str">
        <x:v>SOURCE EMPTY</x:v>
      </x:c>
      <x:c r="F464" s="13" t="str">
        <x:f>IF(D464=E464,"PASS","FAIL")</x:f>
        <x:v>PASS</x:v>
      </x:c>
    </x:row>
    <x:row r="465">
      <x:c r="A465" s="13" t="str">
        <x:v>PP-17-08</x:v>
      </x:c>
      <x:c r="B465" s="13" t="str">
        <x:v>Public path</x:v>
      </x:c>
      <x:c r="C465" s="13" t="str">
        <x:v>HC-A-HC-CELL-1 cell identity agrees when populated</x:v>
      </x:c>
      <x:c r="D465" s="13" t="b">
        <x:f>IF(AND('Public Paths'!K22="",'Public Paths'!L22=""),TRUE,AND('Public Paths'!K22=VLOOKUP('Public Paths'!D22,'Cell Capacity'!$A$6:$S$29,15,FALSE),'Public Paths'!L22=VLOOKUP('Public Paths'!D22,'Cell Capacity'!$A$6:$S$29,16,FALSE)))</x:f>
        <x:v>1</x:v>
      </x:c>
      <x:c r="E465" s="58" t="b">
        <x:v>1</x:v>
      </x:c>
      <x:c r="F465" s="13" t="str">
        <x:f>IF(D465=E465,"PASS","FAIL")</x:f>
        <x:v>PASS</x:v>
      </x:c>
    </x:row>
    <x:row r="466">
      <x:c r="A466" s="13" t="str">
        <x:v>PP-17-09</x:v>
      </x:c>
      <x:c r="B466" s="13" t="str">
        <x:v>Public path</x:v>
      </x:c>
      <x:c r="C466" s="13" t="str">
        <x:v>HC-A-HC-CELL-1 root mapping retained</x:v>
      </x:c>
      <x:c r="D466" s="13" t="b">
        <x:f>'Public Paths'!B22="HC-A"</x:f>
        <x:v>1</x:v>
      </x:c>
      <x:c r="E466" s="58" t="b">
        <x:v>1</x:v>
      </x:c>
      <x:c r="F466" s="13" t="str">
        <x:f>IF(D466=E466,"PASS","FAIL")</x:f>
        <x:v>PASS</x:v>
      </x:c>
    </x:row>
    <x:row r="467">
      <x:c r="A467" s="13" t="str">
        <x:v>PP-18-01</x:v>
      </x:c>
      <x:c r="B467" s="13" t="str">
        <x:v>Public path</x:v>
      </x:c>
      <x:c r="C467" s="13" t="str">
        <x:v>HC-B-HC-CELL-1 qualification unique</x:v>
      </x:c>
      <x:c r="D467" s="13" t="n">
        <x:f>COUNTIFS('Public Paths'!$A$6:$A$53,'Public Paths'!A23)</x:f>
        <x:v>1</x:v>
      </x:c>
      <x:c r="E467" s="13" t="n">
        <x:v>1</x:v>
      </x:c>
      <x:c r="F467" s="13" t="str">
        <x:f>IF(D467=E467,"PASS","FAIL")</x:f>
        <x:v>PASS</x:v>
      </x:c>
    </x:row>
    <x:row r="468">
      <x:c r="A468" s="13" t="str">
        <x:v>PP-18-02</x:v>
      </x:c>
      <x:c r="B468" s="13" t="str">
        <x:v>Public path</x:v>
      </x:c>
      <x:c r="C468" s="13" t="str">
        <x:v>HC-B-HC-CELL-1 root exists</x:v>
      </x:c>
      <x:c r="D468" s="13" t="n">
        <x:f>COUNTIFS('Root Units'!$A$6:$A$29,'Public Paths'!B23)</x:f>
        <x:v>1</x:v>
      </x:c>
      <x:c r="E468" s="13" t="n">
        <x:v>1</x:v>
      </x:c>
      <x:c r="F468" s="13" t="str">
        <x:f>IF(D468=E468,"PASS","FAIL")</x:f>
        <x:v>PASS</x:v>
      </x:c>
    </x:row>
    <x:row r="469">
      <x:c r="A469" s="13" t="str">
        <x:v>PP-18-03</x:v>
      </x:c>
      <x:c r="B469" s="13" t="str">
        <x:v>Public path</x:v>
      </x:c>
      <x:c r="C469" s="13" t="str">
        <x:v>HC-B-HC-CELL-1 cell exists</x:v>
      </x:c>
      <x:c r="D469" s="13" t="n">
        <x:f>COUNTIFS('Cell Capacity'!$A$6:$A$29,'Public Paths'!D23)</x:f>
        <x:v>1</x:v>
      </x:c>
      <x:c r="E469" s="13" t="n">
        <x:v>1</x:v>
      </x:c>
      <x:c r="F469" s="13" t="str">
        <x:f>IF(D469=E469,"PASS","FAIL")</x:f>
        <x:v>PASS</x:v>
      </x:c>
    </x:row>
    <x:row r="470">
      <x:c r="A470" s="13" t="str">
        <x:v>PP-18-04</x:v>
      </x:c>
      <x:c r="B470" s="13" t="str">
        <x:v>Public path</x:v>
      </x:c>
      <x:c r="C470" s="13" t="str">
        <x:v>HC-B-HC-CELL-1 root mass matches</x:v>
      </x:c>
      <x:c r="D470" s="13" t="b">
        <x:f>ABS('Public Paths'!E23-VLOOKUP('Public Paths'!B23,'Root Units'!$A$6:$K$29,5,FALSE))&lt;0.000001</x:f>
        <x:v>1</x:v>
      </x:c>
      <x:c r="E470" s="58" t="b">
        <x:v>1</x:v>
      </x:c>
      <x:c r="F470" s="13" t="str">
        <x:f>IF(D470=E470,"PASS","FAIL")</x:f>
        <x:v>PASS</x:v>
      </x:c>
    </x:row>
    <x:row r="471">
      <x:c r="A471" s="13" t="str">
        <x:v>PP-18-05</x:v>
      </x:c>
      <x:c r="B471" s="13" t="str">
        <x:v>Public path</x:v>
      </x:c>
      <x:c r="C471" s="13" t="str">
        <x:v>HC-B-HC-CELL-1 keystone inventory matches</x:v>
      </x:c>
      <x:c r="D471" s="13" t="b">
        <x:f>ABS('Public Paths'!I23-'Public Paths'!E23*Controls!$B$28)&lt;0.000001</x:f>
        <x:v>1</x:v>
      </x:c>
      <x:c r="E471" s="58" t="b">
        <x:v>1</x:v>
      </x:c>
      <x:c r="F471" s="13" t="str">
        <x:f>IF(D471=E471,"PASS","FAIL")</x:f>
        <x:v>PASS</x:v>
      </x:c>
    </x:row>
    <x:row r="472">
      <x:c r="A472" s="13" t="str">
        <x:v>PP-18-06</x:v>
      </x:c>
      <x:c r="B472" s="13" t="str">
        <x:v>Public path</x:v>
      </x:c>
      <x:c r="C472" s="13" t="str">
        <x:v>HC-B-HC-CELL-1 planning passes</x:v>
      </x:c>
      <x:c r="D472" s="13" t="str">
        <x:f>'Public Paths'!Q23</x:f>
        <x:v>PASS</x:v>
      </x:c>
      <x:c r="E472" s="13" t="str">
        <x:v>PASS</x:v>
      </x:c>
      <x:c r="F472" s="13" t="str">
        <x:f>IF(D472=E472,"PASS","FAIL")</x:f>
        <x:v>PASS</x:v>
      </x:c>
    </x:row>
    <x:row r="473">
      <x:c r="A473" s="13" t="str">
        <x:v>PP-18-07</x:v>
      </x:c>
      <x:c r="B473" s="13" t="str">
        <x:v>Public path</x:v>
      </x:c>
      <x:c r="C473" s="13" t="str">
        <x:v>HC-B-HC-CELL-1 source state</x:v>
      </x:c>
      <x:c r="D473" s="13" t="str">
        <x:f>'Public Paths'!R23</x:f>
        <x:v>SOURCE EMPTY</x:v>
      </x:c>
      <x:c r="E473" s="13" t="str">
        <x:v>SOURCE EMPTY</x:v>
      </x:c>
      <x:c r="F473" s="13" t="str">
        <x:f>IF(D473=E473,"PASS","FAIL")</x:f>
        <x:v>PASS</x:v>
      </x:c>
    </x:row>
    <x:row r="474">
      <x:c r="A474" s="13" t="str">
        <x:v>PP-18-08</x:v>
      </x:c>
      <x:c r="B474" s="13" t="str">
        <x:v>Public path</x:v>
      </x:c>
      <x:c r="C474" s="13" t="str">
        <x:v>HC-B-HC-CELL-1 cell identity agrees when populated</x:v>
      </x:c>
      <x:c r="D474" s="13" t="b">
        <x:f>IF(AND('Public Paths'!K23="",'Public Paths'!L23=""),TRUE,AND('Public Paths'!K23=VLOOKUP('Public Paths'!D23,'Cell Capacity'!$A$6:$S$29,15,FALSE),'Public Paths'!L23=VLOOKUP('Public Paths'!D23,'Cell Capacity'!$A$6:$S$29,16,FALSE)))</x:f>
        <x:v>1</x:v>
      </x:c>
      <x:c r="E474" s="58" t="b">
        <x:v>1</x:v>
      </x:c>
      <x:c r="F474" s="13" t="str">
        <x:f>IF(D474=E474,"PASS","FAIL")</x:f>
        <x:v>PASS</x:v>
      </x:c>
    </x:row>
    <x:row r="475">
      <x:c r="A475" s="13" t="str">
        <x:v>PP-18-09</x:v>
      </x:c>
      <x:c r="B475" s="13" t="str">
        <x:v>Public path</x:v>
      </x:c>
      <x:c r="C475" s="13" t="str">
        <x:v>HC-B-HC-CELL-1 root mapping retained</x:v>
      </x:c>
      <x:c r="D475" s="13" t="b">
        <x:f>'Public Paths'!B23="HC-B"</x:f>
        <x:v>1</x:v>
      </x:c>
      <x:c r="E475" s="58" t="b">
        <x:v>1</x:v>
      </x:c>
      <x:c r="F475" s="13" t="str">
        <x:f>IF(D475=E475,"PASS","FAIL")</x:f>
        <x:v>PASS</x:v>
      </x:c>
    </x:row>
    <x:row r="476">
      <x:c r="A476" s="13" t="str">
        <x:v>PP-19-01</x:v>
      </x:c>
      <x:c r="B476" s="13" t="str">
        <x:v>Public path</x:v>
      </x:c>
      <x:c r="C476" s="13" t="str">
        <x:v>HC-C-HC-CELL-2 qualification unique</x:v>
      </x:c>
      <x:c r="D476" s="13" t="n">
        <x:f>COUNTIFS('Public Paths'!$A$6:$A$53,'Public Paths'!A24)</x:f>
        <x:v>1</x:v>
      </x:c>
      <x:c r="E476" s="13" t="n">
        <x:v>1</x:v>
      </x:c>
      <x:c r="F476" s="13" t="str">
        <x:f>IF(D476=E476,"PASS","FAIL")</x:f>
        <x:v>PASS</x:v>
      </x:c>
    </x:row>
    <x:row r="477">
      <x:c r="A477" s="13" t="str">
        <x:v>PP-19-02</x:v>
      </x:c>
      <x:c r="B477" s="13" t="str">
        <x:v>Public path</x:v>
      </x:c>
      <x:c r="C477" s="13" t="str">
        <x:v>HC-C-HC-CELL-2 root exists</x:v>
      </x:c>
      <x:c r="D477" s="13" t="n">
        <x:f>COUNTIFS('Root Units'!$A$6:$A$29,'Public Paths'!B24)</x:f>
        <x:v>1</x:v>
      </x:c>
      <x:c r="E477" s="13" t="n">
        <x:v>1</x:v>
      </x:c>
      <x:c r="F477" s="13" t="str">
        <x:f>IF(D477=E477,"PASS","FAIL")</x:f>
        <x:v>PASS</x:v>
      </x:c>
    </x:row>
    <x:row r="478">
      <x:c r="A478" s="13" t="str">
        <x:v>PP-19-03</x:v>
      </x:c>
      <x:c r="B478" s="13" t="str">
        <x:v>Public path</x:v>
      </x:c>
      <x:c r="C478" s="13" t="str">
        <x:v>HC-C-HC-CELL-2 cell exists</x:v>
      </x:c>
      <x:c r="D478" s="13" t="n">
        <x:f>COUNTIFS('Cell Capacity'!$A$6:$A$29,'Public Paths'!D24)</x:f>
        <x:v>1</x:v>
      </x:c>
      <x:c r="E478" s="13" t="n">
        <x:v>1</x:v>
      </x:c>
      <x:c r="F478" s="13" t="str">
        <x:f>IF(D478=E478,"PASS","FAIL")</x:f>
        <x:v>PASS</x:v>
      </x:c>
    </x:row>
    <x:row r="479">
      <x:c r="A479" s="13" t="str">
        <x:v>PP-19-04</x:v>
      </x:c>
      <x:c r="B479" s="13" t="str">
        <x:v>Public path</x:v>
      </x:c>
      <x:c r="C479" s="13" t="str">
        <x:v>HC-C-HC-CELL-2 root mass matches</x:v>
      </x:c>
      <x:c r="D479" s="13" t="b">
        <x:f>ABS('Public Paths'!E24-VLOOKUP('Public Paths'!B24,'Root Units'!$A$6:$K$29,5,FALSE))&lt;0.000001</x:f>
        <x:v>1</x:v>
      </x:c>
      <x:c r="E479" s="58" t="b">
        <x:v>1</x:v>
      </x:c>
      <x:c r="F479" s="13" t="str">
        <x:f>IF(D479=E479,"PASS","FAIL")</x:f>
        <x:v>PASS</x:v>
      </x:c>
    </x:row>
    <x:row r="480">
      <x:c r="A480" s="13" t="str">
        <x:v>PP-19-05</x:v>
      </x:c>
      <x:c r="B480" s="13" t="str">
        <x:v>Public path</x:v>
      </x:c>
      <x:c r="C480" s="13" t="str">
        <x:v>HC-C-HC-CELL-2 keystone inventory matches</x:v>
      </x:c>
      <x:c r="D480" s="13" t="b">
        <x:f>ABS('Public Paths'!I24-'Public Paths'!E24*Controls!$B$28)&lt;0.000001</x:f>
        <x:v>1</x:v>
      </x:c>
      <x:c r="E480" s="58" t="b">
        <x:v>1</x:v>
      </x:c>
      <x:c r="F480" s="13" t="str">
        <x:f>IF(D480=E480,"PASS","FAIL")</x:f>
        <x:v>PASS</x:v>
      </x:c>
    </x:row>
    <x:row r="481">
      <x:c r="A481" s="13" t="str">
        <x:v>PP-19-06</x:v>
      </x:c>
      <x:c r="B481" s="13" t="str">
        <x:v>Public path</x:v>
      </x:c>
      <x:c r="C481" s="13" t="str">
        <x:v>HC-C-HC-CELL-2 planning passes</x:v>
      </x:c>
      <x:c r="D481" s="13" t="str">
        <x:f>'Public Paths'!Q24</x:f>
        <x:v>PASS</x:v>
      </x:c>
      <x:c r="E481" s="13" t="str">
        <x:v>PASS</x:v>
      </x:c>
      <x:c r="F481" s="13" t="str">
        <x:f>IF(D481=E481,"PASS","FAIL")</x:f>
        <x:v>PASS</x:v>
      </x:c>
    </x:row>
    <x:row r="482">
      <x:c r="A482" s="13" t="str">
        <x:v>PP-19-07</x:v>
      </x:c>
      <x:c r="B482" s="13" t="str">
        <x:v>Public path</x:v>
      </x:c>
      <x:c r="C482" s="13" t="str">
        <x:v>HC-C-HC-CELL-2 source state</x:v>
      </x:c>
      <x:c r="D482" s="13" t="str">
        <x:f>'Public Paths'!R24</x:f>
        <x:v>SOURCE EMPTY</x:v>
      </x:c>
      <x:c r="E482" s="13" t="str">
        <x:v>SOURCE EMPTY</x:v>
      </x:c>
      <x:c r="F482" s="13" t="str">
        <x:f>IF(D482=E482,"PASS","FAIL")</x:f>
        <x:v>PASS</x:v>
      </x:c>
    </x:row>
    <x:row r="483">
      <x:c r="A483" s="13" t="str">
        <x:v>PP-19-08</x:v>
      </x:c>
      <x:c r="B483" s="13" t="str">
        <x:v>Public path</x:v>
      </x:c>
      <x:c r="C483" s="13" t="str">
        <x:v>HC-C-HC-CELL-2 cell identity agrees when populated</x:v>
      </x:c>
      <x:c r="D483" s="13" t="b">
        <x:f>IF(AND('Public Paths'!K24="",'Public Paths'!L24=""),TRUE,AND('Public Paths'!K24=VLOOKUP('Public Paths'!D24,'Cell Capacity'!$A$6:$S$29,15,FALSE),'Public Paths'!L24=VLOOKUP('Public Paths'!D24,'Cell Capacity'!$A$6:$S$29,16,FALSE)))</x:f>
        <x:v>1</x:v>
      </x:c>
      <x:c r="E483" s="58" t="b">
        <x:v>1</x:v>
      </x:c>
      <x:c r="F483" s="13" t="str">
        <x:f>IF(D483=E483,"PASS","FAIL")</x:f>
        <x:v>PASS</x:v>
      </x:c>
    </x:row>
    <x:row r="484">
      <x:c r="A484" s="13" t="str">
        <x:v>PP-19-09</x:v>
      </x:c>
      <x:c r="B484" s="13" t="str">
        <x:v>Public path</x:v>
      </x:c>
      <x:c r="C484" s="13" t="str">
        <x:v>HC-C-HC-CELL-2 root mapping retained</x:v>
      </x:c>
      <x:c r="D484" s="13" t="b">
        <x:f>'Public Paths'!B24="HC-C"</x:f>
        <x:v>1</x:v>
      </x:c>
      <x:c r="E484" s="58" t="b">
        <x:v>1</x:v>
      </x:c>
      <x:c r="F484" s="13" t="str">
        <x:f>IF(D484=E484,"PASS","FAIL")</x:f>
        <x:v>PASS</x:v>
      </x:c>
    </x:row>
    <x:row r="485">
      <x:c r="A485" s="13" t="str">
        <x:v>PP-20-01</x:v>
      </x:c>
      <x:c r="B485" s="13" t="str">
        <x:v>Public path</x:v>
      </x:c>
      <x:c r="C485" s="13" t="str">
        <x:v>HC-D-HC-CELL-2 qualification unique</x:v>
      </x:c>
      <x:c r="D485" s="13" t="n">
        <x:f>COUNTIFS('Public Paths'!$A$6:$A$53,'Public Paths'!A25)</x:f>
        <x:v>1</x:v>
      </x:c>
      <x:c r="E485" s="13" t="n">
        <x:v>1</x:v>
      </x:c>
      <x:c r="F485" s="13" t="str">
        <x:f>IF(D485=E485,"PASS","FAIL")</x:f>
        <x:v>PASS</x:v>
      </x:c>
    </x:row>
    <x:row r="486">
      <x:c r="A486" s="13" t="str">
        <x:v>PP-20-02</x:v>
      </x:c>
      <x:c r="B486" s="13" t="str">
        <x:v>Public path</x:v>
      </x:c>
      <x:c r="C486" s="13" t="str">
        <x:v>HC-D-HC-CELL-2 root exists</x:v>
      </x:c>
      <x:c r="D486" s="13" t="n">
        <x:f>COUNTIFS('Root Units'!$A$6:$A$29,'Public Paths'!B25)</x:f>
        <x:v>1</x:v>
      </x:c>
      <x:c r="E486" s="13" t="n">
        <x:v>1</x:v>
      </x:c>
      <x:c r="F486" s="13" t="str">
        <x:f>IF(D486=E486,"PASS","FAIL")</x:f>
        <x:v>PASS</x:v>
      </x:c>
    </x:row>
    <x:row r="487">
      <x:c r="A487" s="13" t="str">
        <x:v>PP-20-03</x:v>
      </x:c>
      <x:c r="B487" s="13" t="str">
        <x:v>Public path</x:v>
      </x:c>
      <x:c r="C487" s="13" t="str">
        <x:v>HC-D-HC-CELL-2 cell exists</x:v>
      </x:c>
      <x:c r="D487" s="13" t="n">
        <x:f>COUNTIFS('Cell Capacity'!$A$6:$A$29,'Public Paths'!D25)</x:f>
        <x:v>1</x:v>
      </x:c>
      <x:c r="E487" s="13" t="n">
        <x:v>1</x:v>
      </x:c>
      <x:c r="F487" s="13" t="str">
        <x:f>IF(D487=E487,"PASS","FAIL")</x:f>
        <x:v>PASS</x:v>
      </x:c>
    </x:row>
    <x:row r="488">
      <x:c r="A488" s="13" t="str">
        <x:v>PP-20-04</x:v>
      </x:c>
      <x:c r="B488" s="13" t="str">
        <x:v>Public path</x:v>
      </x:c>
      <x:c r="C488" s="13" t="str">
        <x:v>HC-D-HC-CELL-2 root mass matches</x:v>
      </x:c>
      <x:c r="D488" s="13" t="b">
        <x:f>ABS('Public Paths'!E25-VLOOKUP('Public Paths'!B25,'Root Units'!$A$6:$K$29,5,FALSE))&lt;0.000001</x:f>
        <x:v>1</x:v>
      </x:c>
      <x:c r="E488" s="58" t="b">
        <x:v>1</x:v>
      </x:c>
      <x:c r="F488" s="13" t="str">
        <x:f>IF(D488=E488,"PASS","FAIL")</x:f>
        <x:v>PASS</x:v>
      </x:c>
    </x:row>
    <x:row r="489">
      <x:c r="A489" s="13" t="str">
        <x:v>PP-20-05</x:v>
      </x:c>
      <x:c r="B489" s="13" t="str">
        <x:v>Public path</x:v>
      </x:c>
      <x:c r="C489" s="13" t="str">
        <x:v>HC-D-HC-CELL-2 keystone inventory matches</x:v>
      </x:c>
      <x:c r="D489" s="13" t="b">
        <x:f>ABS('Public Paths'!I25-'Public Paths'!E25*Controls!$B$28)&lt;0.000001</x:f>
        <x:v>1</x:v>
      </x:c>
      <x:c r="E489" s="58" t="b">
        <x:v>1</x:v>
      </x:c>
      <x:c r="F489" s="13" t="str">
        <x:f>IF(D489=E489,"PASS","FAIL")</x:f>
        <x:v>PASS</x:v>
      </x:c>
    </x:row>
    <x:row r="490">
      <x:c r="A490" s="13" t="str">
        <x:v>PP-20-06</x:v>
      </x:c>
      <x:c r="B490" s="13" t="str">
        <x:v>Public path</x:v>
      </x:c>
      <x:c r="C490" s="13" t="str">
        <x:v>HC-D-HC-CELL-2 planning passes</x:v>
      </x:c>
      <x:c r="D490" s="13" t="str">
        <x:f>'Public Paths'!Q25</x:f>
        <x:v>PASS</x:v>
      </x:c>
      <x:c r="E490" s="13" t="str">
        <x:v>PASS</x:v>
      </x:c>
      <x:c r="F490" s="13" t="str">
        <x:f>IF(D490=E490,"PASS","FAIL")</x:f>
        <x:v>PASS</x:v>
      </x:c>
    </x:row>
    <x:row r="491">
      <x:c r="A491" s="13" t="str">
        <x:v>PP-20-07</x:v>
      </x:c>
      <x:c r="B491" s="13" t="str">
        <x:v>Public path</x:v>
      </x:c>
      <x:c r="C491" s="13" t="str">
        <x:v>HC-D-HC-CELL-2 source state</x:v>
      </x:c>
      <x:c r="D491" s="13" t="str">
        <x:f>'Public Paths'!R25</x:f>
        <x:v>SOURCE EMPTY</x:v>
      </x:c>
      <x:c r="E491" s="13" t="str">
        <x:v>SOURCE EMPTY</x:v>
      </x:c>
      <x:c r="F491" s="13" t="str">
        <x:f>IF(D491=E491,"PASS","FAIL")</x:f>
        <x:v>PASS</x:v>
      </x:c>
    </x:row>
    <x:row r="492">
      <x:c r="A492" s="13" t="str">
        <x:v>PP-20-08</x:v>
      </x:c>
      <x:c r="B492" s="13" t="str">
        <x:v>Public path</x:v>
      </x:c>
      <x:c r="C492" s="13" t="str">
        <x:v>HC-D-HC-CELL-2 cell identity agrees when populated</x:v>
      </x:c>
      <x:c r="D492" s="13" t="b">
        <x:f>IF(AND('Public Paths'!K25="",'Public Paths'!L25=""),TRUE,AND('Public Paths'!K25=VLOOKUP('Public Paths'!D25,'Cell Capacity'!$A$6:$S$29,15,FALSE),'Public Paths'!L25=VLOOKUP('Public Paths'!D25,'Cell Capacity'!$A$6:$S$29,16,FALSE)))</x:f>
        <x:v>1</x:v>
      </x:c>
      <x:c r="E492" s="58" t="b">
        <x:v>1</x:v>
      </x:c>
      <x:c r="F492" s="13" t="str">
        <x:f>IF(D492=E492,"PASS","FAIL")</x:f>
        <x:v>PASS</x:v>
      </x:c>
    </x:row>
    <x:row r="493">
      <x:c r="A493" s="13" t="str">
        <x:v>PP-20-09</x:v>
      </x:c>
      <x:c r="B493" s="13" t="str">
        <x:v>Public path</x:v>
      </x:c>
      <x:c r="C493" s="13" t="str">
        <x:v>HC-D-HC-CELL-2 root mapping retained</x:v>
      </x:c>
      <x:c r="D493" s="13" t="b">
        <x:f>'Public Paths'!B25="HC-D"</x:f>
        <x:v>1</x:v>
      </x:c>
      <x:c r="E493" s="58" t="b">
        <x:v>1</x:v>
      </x:c>
      <x:c r="F493" s="13" t="str">
        <x:f>IF(D493=E493,"PASS","FAIL")</x:f>
        <x:v>PASS</x:v>
      </x:c>
    </x:row>
    <x:row r="494">
      <x:c r="A494" s="13" t="str">
        <x:v>PP-21-01</x:v>
      </x:c>
      <x:c r="B494" s="13" t="str">
        <x:v>Public path</x:v>
      </x:c>
      <x:c r="C494" s="13" t="str">
        <x:v>HC-A-HC-CELL-3 qualification unique</x:v>
      </x:c>
      <x:c r="D494" s="13" t="n">
        <x:f>COUNTIFS('Public Paths'!$A$6:$A$53,'Public Paths'!A26)</x:f>
        <x:v>1</x:v>
      </x:c>
      <x:c r="E494" s="13" t="n">
        <x:v>1</x:v>
      </x:c>
      <x:c r="F494" s="13" t="str">
        <x:f>IF(D494=E494,"PASS","FAIL")</x:f>
        <x:v>PASS</x:v>
      </x:c>
    </x:row>
    <x:row r="495">
      <x:c r="A495" s="13" t="str">
        <x:v>PP-21-02</x:v>
      </x:c>
      <x:c r="B495" s="13" t="str">
        <x:v>Public path</x:v>
      </x:c>
      <x:c r="C495" s="13" t="str">
        <x:v>HC-A-HC-CELL-3 root exists</x:v>
      </x:c>
      <x:c r="D495" s="13" t="n">
        <x:f>COUNTIFS('Root Units'!$A$6:$A$29,'Public Paths'!B26)</x:f>
        <x:v>1</x:v>
      </x:c>
      <x:c r="E495" s="13" t="n">
        <x:v>1</x:v>
      </x:c>
      <x:c r="F495" s="13" t="str">
        <x:f>IF(D495=E495,"PASS","FAIL")</x:f>
        <x:v>PASS</x:v>
      </x:c>
    </x:row>
    <x:row r="496">
      <x:c r="A496" s="13" t="str">
        <x:v>PP-21-03</x:v>
      </x:c>
      <x:c r="B496" s="13" t="str">
        <x:v>Public path</x:v>
      </x:c>
      <x:c r="C496" s="13" t="str">
        <x:v>HC-A-HC-CELL-3 cell exists</x:v>
      </x:c>
      <x:c r="D496" s="13" t="n">
        <x:f>COUNTIFS('Cell Capacity'!$A$6:$A$29,'Public Paths'!D26)</x:f>
        <x:v>1</x:v>
      </x:c>
      <x:c r="E496" s="13" t="n">
        <x:v>1</x:v>
      </x:c>
      <x:c r="F496" s="13" t="str">
        <x:f>IF(D496=E496,"PASS","FAIL")</x:f>
        <x:v>PASS</x:v>
      </x:c>
    </x:row>
    <x:row r="497">
      <x:c r="A497" s="13" t="str">
        <x:v>PP-21-04</x:v>
      </x:c>
      <x:c r="B497" s="13" t="str">
        <x:v>Public path</x:v>
      </x:c>
      <x:c r="C497" s="13" t="str">
        <x:v>HC-A-HC-CELL-3 root mass matches</x:v>
      </x:c>
      <x:c r="D497" s="13" t="b">
        <x:f>ABS('Public Paths'!E26-VLOOKUP('Public Paths'!B26,'Root Units'!$A$6:$K$29,5,FALSE))&lt;0.000001</x:f>
        <x:v>1</x:v>
      </x:c>
      <x:c r="E497" s="58" t="b">
        <x:v>1</x:v>
      </x:c>
      <x:c r="F497" s="13" t="str">
        <x:f>IF(D497=E497,"PASS","FAIL")</x:f>
        <x:v>PASS</x:v>
      </x:c>
    </x:row>
    <x:row r="498">
      <x:c r="A498" s="13" t="str">
        <x:v>PP-21-05</x:v>
      </x:c>
      <x:c r="B498" s="13" t="str">
        <x:v>Public path</x:v>
      </x:c>
      <x:c r="C498" s="13" t="str">
        <x:v>HC-A-HC-CELL-3 keystone inventory matches</x:v>
      </x:c>
      <x:c r="D498" s="13" t="b">
        <x:f>ABS('Public Paths'!I26-'Public Paths'!E26*Controls!$B$28)&lt;0.000001</x:f>
        <x:v>1</x:v>
      </x:c>
      <x:c r="E498" s="58" t="b">
        <x:v>1</x:v>
      </x:c>
      <x:c r="F498" s="13" t="str">
        <x:f>IF(D498=E498,"PASS","FAIL")</x:f>
        <x:v>PASS</x:v>
      </x:c>
    </x:row>
    <x:row r="499">
      <x:c r="A499" s="13" t="str">
        <x:v>PP-21-06</x:v>
      </x:c>
      <x:c r="B499" s="13" t="str">
        <x:v>Public path</x:v>
      </x:c>
      <x:c r="C499" s="13" t="str">
        <x:v>HC-A-HC-CELL-3 planning passes</x:v>
      </x:c>
      <x:c r="D499" s="13" t="str">
        <x:f>'Public Paths'!Q26</x:f>
        <x:v>PASS</x:v>
      </x:c>
      <x:c r="E499" s="13" t="str">
        <x:v>PASS</x:v>
      </x:c>
      <x:c r="F499" s="13" t="str">
        <x:f>IF(D499=E499,"PASS","FAIL")</x:f>
        <x:v>PASS</x:v>
      </x:c>
    </x:row>
    <x:row r="500">
      <x:c r="A500" s="13" t="str">
        <x:v>PP-21-07</x:v>
      </x:c>
      <x:c r="B500" s="13" t="str">
        <x:v>Public path</x:v>
      </x:c>
      <x:c r="C500" s="13" t="str">
        <x:v>HC-A-HC-CELL-3 source state</x:v>
      </x:c>
      <x:c r="D500" s="13" t="str">
        <x:f>'Public Paths'!R26</x:f>
        <x:v>SOURCE EMPTY</x:v>
      </x:c>
      <x:c r="E500" s="13" t="str">
        <x:v>SOURCE EMPTY</x:v>
      </x:c>
      <x:c r="F500" s="13" t="str">
        <x:f>IF(D500=E500,"PASS","FAIL")</x:f>
        <x:v>PASS</x:v>
      </x:c>
    </x:row>
    <x:row r="501">
      <x:c r="A501" s="13" t="str">
        <x:v>PP-21-08</x:v>
      </x:c>
      <x:c r="B501" s="13" t="str">
        <x:v>Public path</x:v>
      </x:c>
      <x:c r="C501" s="13" t="str">
        <x:v>HC-A-HC-CELL-3 cell identity agrees when populated</x:v>
      </x:c>
      <x:c r="D501" s="13" t="b">
        <x:f>IF(AND('Public Paths'!K26="",'Public Paths'!L26=""),TRUE,AND('Public Paths'!K26=VLOOKUP('Public Paths'!D26,'Cell Capacity'!$A$6:$S$29,15,FALSE),'Public Paths'!L26=VLOOKUP('Public Paths'!D26,'Cell Capacity'!$A$6:$S$29,16,FALSE)))</x:f>
        <x:v>1</x:v>
      </x:c>
      <x:c r="E501" s="58" t="b">
        <x:v>1</x:v>
      </x:c>
      <x:c r="F501" s="13" t="str">
        <x:f>IF(D501=E501,"PASS","FAIL")</x:f>
        <x:v>PASS</x:v>
      </x:c>
    </x:row>
    <x:row r="502">
      <x:c r="A502" s="13" t="str">
        <x:v>PP-21-09</x:v>
      </x:c>
      <x:c r="B502" s="13" t="str">
        <x:v>Public path</x:v>
      </x:c>
      <x:c r="C502" s="13" t="str">
        <x:v>HC-A-HC-CELL-3 root mapping retained</x:v>
      </x:c>
      <x:c r="D502" s="13" t="b">
        <x:f>'Public Paths'!B26="HC-A"</x:f>
        <x:v>1</x:v>
      </x:c>
      <x:c r="E502" s="58" t="b">
        <x:v>1</x:v>
      </x:c>
      <x:c r="F502" s="13" t="str">
        <x:f>IF(D502=E502,"PASS","FAIL")</x:f>
        <x:v>PASS</x:v>
      </x:c>
    </x:row>
    <x:row r="503">
      <x:c r="A503" s="13" t="str">
        <x:v>PP-22-01</x:v>
      </x:c>
      <x:c r="B503" s="13" t="str">
        <x:v>Public path</x:v>
      </x:c>
      <x:c r="C503" s="13" t="str">
        <x:v>HC-C-HC-CELL-3 qualification unique</x:v>
      </x:c>
      <x:c r="D503" s="13" t="n">
        <x:f>COUNTIFS('Public Paths'!$A$6:$A$53,'Public Paths'!A27)</x:f>
        <x:v>1</x:v>
      </x:c>
      <x:c r="E503" s="13" t="n">
        <x:v>1</x:v>
      </x:c>
      <x:c r="F503" s="13" t="str">
        <x:f>IF(D503=E503,"PASS","FAIL")</x:f>
        <x:v>PASS</x:v>
      </x:c>
    </x:row>
    <x:row r="504">
      <x:c r="A504" s="13" t="str">
        <x:v>PP-22-02</x:v>
      </x:c>
      <x:c r="B504" s="13" t="str">
        <x:v>Public path</x:v>
      </x:c>
      <x:c r="C504" s="13" t="str">
        <x:v>HC-C-HC-CELL-3 root exists</x:v>
      </x:c>
      <x:c r="D504" s="13" t="n">
        <x:f>COUNTIFS('Root Units'!$A$6:$A$29,'Public Paths'!B27)</x:f>
        <x:v>1</x:v>
      </x:c>
      <x:c r="E504" s="13" t="n">
        <x:v>1</x:v>
      </x:c>
      <x:c r="F504" s="13" t="str">
        <x:f>IF(D504=E504,"PASS","FAIL")</x:f>
        <x:v>PASS</x:v>
      </x:c>
    </x:row>
    <x:row r="505">
      <x:c r="A505" s="13" t="str">
        <x:v>PP-22-03</x:v>
      </x:c>
      <x:c r="B505" s="13" t="str">
        <x:v>Public path</x:v>
      </x:c>
      <x:c r="C505" s="13" t="str">
        <x:v>HC-C-HC-CELL-3 cell exists</x:v>
      </x:c>
      <x:c r="D505" s="13" t="n">
        <x:f>COUNTIFS('Cell Capacity'!$A$6:$A$29,'Public Paths'!D27)</x:f>
        <x:v>1</x:v>
      </x:c>
      <x:c r="E505" s="13" t="n">
        <x:v>1</x:v>
      </x:c>
      <x:c r="F505" s="13" t="str">
        <x:f>IF(D505=E505,"PASS","FAIL")</x:f>
        <x:v>PASS</x:v>
      </x:c>
    </x:row>
    <x:row r="506">
      <x:c r="A506" s="13" t="str">
        <x:v>PP-22-04</x:v>
      </x:c>
      <x:c r="B506" s="13" t="str">
        <x:v>Public path</x:v>
      </x:c>
      <x:c r="C506" s="13" t="str">
        <x:v>HC-C-HC-CELL-3 root mass matches</x:v>
      </x:c>
      <x:c r="D506" s="13" t="b">
        <x:f>ABS('Public Paths'!E27-VLOOKUP('Public Paths'!B27,'Root Units'!$A$6:$K$29,5,FALSE))&lt;0.000001</x:f>
        <x:v>1</x:v>
      </x:c>
      <x:c r="E506" s="58" t="b">
        <x:v>1</x:v>
      </x:c>
      <x:c r="F506" s="13" t="str">
        <x:f>IF(D506=E506,"PASS","FAIL")</x:f>
        <x:v>PASS</x:v>
      </x:c>
    </x:row>
    <x:row r="507">
      <x:c r="A507" s="13" t="str">
        <x:v>PP-22-05</x:v>
      </x:c>
      <x:c r="B507" s="13" t="str">
        <x:v>Public path</x:v>
      </x:c>
      <x:c r="C507" s="13" t="str">
        <x:v>HC-C-HC-CELL-3 keystone inventory matches</x:v>
      </x:c>
      <x:c r="D507" s="13" t="b">
        <x:f>ABS('Public Paths'!I27-'Public Paths'!E27*Controls!$B$28)&lt;0.000001</x:f>
        <x:v>1</x:v>
      </x:c>
      <x:c r="E507" s="58" t="b">
        <x:v>1</x:v>
      </x:c>
      <x:c r="F507" s="13" t="str">
        <x:f>IF(D507=E507,"PASS","FAIL")</x:f>
        <x:v>PASS</x:v>
      </x:c>
    </x:row>
    <x:row r="508">
      <x:c r="A508" s="13" t="str">
        <x:v>PP-22-06</x:v>
      </x:c>
      <x:c r="B508" s="13" t="str">
        <x:v>Public path</x:v>
      </x:c>
      <x:c r="C508" s="13" t="str">
        <x:v>HC-C-HC-CELL-3 planning passes</x:v>
      </x:c>
      <x:c r="D508" s="13" t="str">
        <x:f>'Public Paths'!Q27</x:f>
        <x:v>PASS</x:v>
      </x:c>
      <x:c r="E508" s="13" t="str">
        <x:v>PASS</x:v>
      </x:c>
      <x:c r="F508" s="13" t="str">
        <x:f>IF(D508=E508,"PASS","FAIL")</x:f>
        <x:v>PASS</x:v>
      </x:c>
    </x:row>
    <x:row r="509">
      <x:c r="A509" s="13" t="str">
        <x:v>PP-22-07</x:v>
      </x:c>
      <x:c r="B509" s="13" t="str">
        <x:v>Public path</x:v>
      </x:c>
      <x:c r="C509" s="13" t="str">
        <x:v>HC-C-HC-CELL-3 source state</x:v>
      </x:c>
      <x:c r="D509" s="13" t="str">
        <x:f>'Public Paths'!R27</x:f>
        <x:v>SOURCE EMPTY</x:v>
      </x:c>
      <x:c r="E509" s="13" t="str">
        <x:v>SOURCE EMPTY</x:v>
      </x:c>
      <x:c r="F509" s="13" t="str">
        <x:f>IF(D509=E509,"PASS","FAIL")</x:f>
        <x:v>PASS</x:v>
      </x:c>
    </x:row>
    <x:row r="510">
      <x:c r="A510" s="13" t="str">
        <x:v>PP-22-08</x:v>
      </x:c>
      <x:c r="B510" s="13" t="str">
        <x:v>Public path</x:v>
      </x:c>
      <x:c r="C510" s="13" t="str">
        <x:v>HC-C-HC-CELL-3 cell identity agrees when populated</x:v>
      </x:c>
      <x:c r="D510" s="13" t="b">
        <x:f>IF(AND('Public Paths'!K27="",'Public Paths'!L27=""),TRUE,AND('Public Paths'!K27=VLOOKUP('Public Paths'!D27,'Cell Capacity'!$A$6:$S$29,15,FALSE),'Public Paths'!L27=VLOOKUP('Public Paths'!D27,'Cell Capacity'!$A$6:$S$29,16,FALSE)))</x:f>
        <x:v>1</x:v>
      </x:c>
      <x:c r="E510" s="58" t="b">
        <x:v>1</x:v>
      </x:c>
      <x:c r="F510" s="13" t="str">
        <x:f>IF(D510=E510,"PASS","FAIL")</x:f>
        <x:v>PASS</x:v>
      </x:c>
    </x:row>
    <x:row r="511">
      <x:c r="A511" s="13" t="str">
        <x:v>PP-22-09</x:v>
      </x:c>
      <x:c r="B511" s="13" t="str">
        <x:v>Public path</x:v>
      </x:c>
      <x:c r="C511" s="13" t="str">
        <x:v>HC-C-HC-CELL-3 root mapping retained</x:v>
      </x:c>
      <x:c r="D511" s="13" t="b">
        <x:f>'Public Paths'!B27="HC-C"</x:f>
        <x:v>1</x:v>
      </x:c>
      <x:c r="E511" s="58" t="b">
        <x:v>1</x:v>
      </x:c>
      <x:c r="F511" s="13" t="str">
        <x:f>IF(D511=E511,"PASS","FAIL")</x:f>
        <x:v>PASS</x:v>
      </x:c>
    </x:row>
    <x:row r="512">
      <x:c r="A512" s="13" t="str">
        <x:v>PP-23-01</x:v>
      </x:c>
      <x:c r="B512" s="13" t="str">
        <x:v>Public path</x:v>
      </x:c>
      <x:c r="C512" s="13" t="str">
        <x:v>HC-B-HC-CELL-4 qualification unique</x:v>
      </x:c>
      <x:c r="D512" s="13" t="n">
        <x:f>COUNTIFS('Public Paths'!$A$6:$A$53,'Public Paths'!A28)</x:f>
        <x:v>1</x:v>
      </x:c>
      <x:c r="E512" s="13" t="n">
        <x:v>1</x:v>
      </x:c>
      <x:c r="F512" s="13" t="str">
        <x:f>IF(D512=E512,"PASS","FAIL")</x:f>
        <x:v>PASS</x:v>
      </x:c>
    </x:row>
    <x:row r="513">
      <x:c r="A513" s="13" t="str">
        <x:v>PP-23-02</x:v>
      </x:c>
      <x:c r="B513" s="13" t="str">
        <x:v>Public path</x:v>
      </x:c>
      <x:c r="C513" s="13" t="str">
        <x:v>HC-B-HC-CELL-4 root exists</x:v>
      </x:c>
      <x:c r="D513" s="13" t="n">
        <x:f>COUNTIFS('Root Units'!$A$6:$A$29,'Public Paths'!B28)</x:f>
        <x:v>1</x:v>
      </x:c>
      <x:c r="E513" s="13" t="n">
        <x:v>1</x:v>
      </x:c>
      <x:c r="F513" s="13" t="str">
        <x:f>IF(D513=E513,"PASS","FAIL")</x:f>
        <x:v>PASS</x:v>
      </x:c>
    </x:row>
    <x:row r="514">
      <x:c r="A514" s="13" t="str">
        <x:v>PP-23-03</x:v>
      </x:c>
      <x:c r="B514" s="13" t="str">
        <x:v>Public path</x:v>
      </x:c>
      <x:c r="C514" s="13" t="str">
        <x:v>HC-B-HC-CELL-4 cell exists</x:v>
      </x:c>
      <x:c r="D514" s="13" t="n">
        <x:f>COUNTIFS('Cell Capacity'!$A$6:$A$29,'Public Paths'!D28)</x:f>
        <x:v>1</x:v>
      </x:c>
      <x:c r="E514" s="13" t="n">
        <x:v>1</x:v>
      </x:c>
      <x:c r="F514" s="13" t="str">
        <x:f>IF(D514=E514,"PASS","FAIL")</x:f>
        <x:v>PASS</x:v>
      </x:c>
    </x:row>
    <x:row r="515">
      <x:c r="A515" s="13" t="str">
        <x:v>PP-23-04</x:v>
      </x:c>
      <x:c r="B515" s="13" t="str">
        <x:v>Public path</x:v>
      </x:c>
      <x:c r="C515" s="13" t="str">
        <x:v>HC-B-HC-CELL-4 root mass matches</x:v>
      </x:c>
      <x:c r="D515" s="13" t="b">
        <x:f>ABS('Public Paths'!E28-VLOOKUP('Public Paths'!B28,'Root Units'!$A$6:$K$29,5,FALSE))&lt;0.000001</x:f>
        <x:v>1</x:v>
      </x:c>
      <x:c r="E515" s="58" t="b">
        <x:v>1</x:v>
      </x:c>
      <x:c r="F515" s="13" t="str">
        <x:f>IF(D515=E515,"PASS","FAIL")</x:f>
        <x:v>PASS</x:v>
      </x:c>
    </x:row>
    <x:row r="516">
      <x:c r="A516" s="13" t="str">
        <x:v>PP-23-05</x:v>
      </x:c>
      <x:c r="B516" s="13" t="str">
        <x:v>Public path</x:v>
      </x:c>
      <x:c r="C516" s="13" t="str">
        <x:v>HC-B-HC-CELL-4 keystone inventory matches</x:v>
      </x:c>
      <x:c r="D516" s="13" t="b">
        <x:f>ABS('Public Paths'!I28-'Public Paths'!E28*Controls!$B$28)&lt;0.000001</x:f>
        <x:v>1</x:v>
      </x:c>
      <x:c r="E516" s="58" t="b">
        <x:v>1</x:v>
      </x:c>
      <x:c r="F516" s="13" t="str">
        <x:f>IF(D516=E516,"PASS","FAIL")</x:f>
        <x:v>PASS</x:v>
      </x:c>
    </x:row>
    <x:row r="517">
      <x:c r="A517" s="13" t="str">
        <x:v>PP-23-06</x:v>
      </x:c>
      <x:c r="B517" s="13" t="str">
        <x:v>Public path</x:v>
      </x:c>
      <x:c r="C517" s="13" t="str">
        <x:v>HC-B-HC-CELL-4 planning passes</x:v>
      </x:c>
      <x:c r="D517" s="13" t="str">
        <x:f>'Public Paths'!Q28</x:f>
        <x:v>PASS</x:v>
      </x:c>
      <x:c r="E517" s="13" t="str">
        <x:v>PASS</x:v>
      </x:c>
      <x:c r="F517" s="13" t="str">
        <x:f>IF(D517=E517,"PASS","FAIL")</x:f>
        <x:v>PASS</x:v>
      </x:c>
    </x:row>
    <x:row r="518">
      <x:c r="A518" s="13" t="str">
        <x:v>PP-23-07</x:v>
      </x:c>
      <x:c r="B518" s="13" t="str">
        <x:v>Public path</x:v>
      </x:c>
      <x:c r="C518" s="13" t="str">
        <x:v>HC-B-HC-CELL-4 source state</x:v>
      </x:c>
      <x:c r="D518" s="13" t="str">
        <x:f>'Public Paths'!R28</x:f>
        <x:v>SOURCE EMPTY</x:v>
      </x:c>
      <x:c r="E518" s="13" t="str">
        <x:v>SOURCE EMPTY</x:v>
      </x:c>
      <x:c r="F518" s="13" t="str">
        <x:f>IF(D518=E518,"PASS","FAIL")</x:f>
        <x:v>PASS</x:v>
      </x:c>
    </x:row>
    <x:row r="519">
      <x:c r="A519" s="13" t="str">
        <x:v>PP-23-08</x:v>
      </x:c>
      <x:c r="B519" s="13" t="str">
        <x:v>Public path</x:v>
      </x:c>
      <x:c r="C519" s="13" t="str">
        <x:v>HC-B-HC-CELL-4 cell identity agrees when populated</x:v>
      </x:c>
      <x:c r="D519" s="13" t="b">
        <x:f>IF(AND('Public Paths'!K28="",'Public Paths'!L28=""),TRUE,AND('Public Paths'!K28=VLOOKUP('Public Paths'!D28,'Cell Capacity'!$A$6:$S$29,15,FALSE),'Public Paths'!L28=VLOOKUP('Public Paths'!D28,'Cell Capacity'!$A$6:$S$29,16,FALSE)))</x:f>
        <x:v>1</x:v>
      </x:c>
      <x:c r="E519" s="58" t="b">
        <x:v>1</x:v>
      </x:c>
      <x:c r="F519" s="13" t="str">
        <x:f>IF(D519=E519,"PASS","FAIL")</x:f>
        <x:v>PASS</x:v>
      </x:c>
    </x:row>
    <x:row r="520">
      <x:c r="A520" s="13" t="str">
        <x:v>PP-23-09</x:v>
      </x:c>
      <x:c r="B520" s="13" t="str">
        <x:v>Public path</x:v>
      </x:c>
      <x:c r="C520" s="13" t="str">
        <x:v>HC-B-HC-CELL-4 root mapping retained</x:v>
      </x:c>
      <x:c r="D520" s="13" t="b">
        <x:f>'Public Paths'!B28="HC-B"</x:f>
        <x:v>1</x:v>
      </x:c>
      <x:c r="E520" s="58" t="b">
        <x:v>1</x:v>
      </x:c>
      <x:c r="F520" s="13" t="str">
        <x:f>IF(D520=E520,"PASS","FAIL")</x:f>
        <x:v>PASS</x:v>
      </x:c>
    </x:row>
    <x:row r="521">
      <x:c r="A521" s="13" t="str">
        <x:v>PP-24-01</x:v>
      </x:c>
      <x:c r="B521" s="13" t="str">
        <x:v>Public path</x:v>
      </x:c>
      <x:c r="C521" s="13" t="str">
        <x:v>HC-D-HC-CELL-4 qualification unique</x:v>
      </x:c>
      <x:c r="D521" s="13" t="n">
        <x:f>COUNTIFS('Public Paths'!$A$6:$A$53,'Public Paths'!A29)</x:f>
        <x:v>1</x:v>
      </x:c>
      <x:c r="E521" s="13" t="n">
        <x:v>1</x:v>
      </x:c>
      <x:c r="F521" s="13" t="str">
        <x:f>IF(D521=E521,"PASS","FAIL")</x:f>
        <x:v>PASS</x:v>
      </x:c>
    </x:row>
    <x:row r="522">
      <x:c r="A522" s="13" t="str">
        <x:v>PP-24-02</x:v>
      </x:c>
      <x:c r="B522" s="13" t="str">
        <x:v>Public path</x:v>
      </x:c>
      <x:c r="C522" s="13" t="str">
        <x:v>HC-D-HC-CELL-4 root exists</x:v>
      </x:c>
      <x:c r="D522" s="13" t="n">
        <x:f>COUNTIFS('Root Units'!$A$6:$A$29,'Public Paths'!B29)</x:f>
        <x:v>1</x:v>
      </x:c>
      <x:c r="E522" s="13" t="n">
        <x:v>1</x:v>
      </x:c>
      <x:c r="F522" s="13" t="str">
        <x:f>IF(D522=E522,"PASS","FAIL")</x:f>
        <x:v>PASS</x:v>
      </x:c>
    </x:row>
    <x:row r="523">
      <x:c r="A523" s="13" t="str">
        <x:v>PP-24-03</x:v>
      </x:c>
      <x:c r="B523" s="13" t="str">
        <x:v>Public path</x:v>
      </x:c>
      <x:c r="C523" s="13" t="str">
        <x:v>HC-D-HC-CELL-4 cell exists</x:v>
      </x:c>
      <x:c r="D523" s="13" t="n">
        <x:f>COUNTIFS('Cell Capacity'!$A$6:$A$29,'Public Paths'!D29)</x:f>
        <x:v>1</x:v>
      </x:c>
      <x:c r="E523" s="13" t="n">
        <x:v>1</x:v>
      </x:c>
      <x:c r="F523" s="13" t="str">
        <x:f>IF(D523=E523,"PASS","FAIL")</x:f>
        <x:v>PASS</x:v>
      </x:c>
    </x:row>
    <x:row r="524">
      <x:c r="A524" s="13" t="str">
        <x:v>PP-24-04</x:v>
      </x:c>
      <x:c r="B524" s="13" t="str">
        <x:v>Public path</x:v>
      </x:c>
      <x:c r="C524" s="13" t="str">
        <x:v>HC-D-HC-CELL-4 root mass matches</x:v>
      </x:c>
      <x:c r="D524" s="13" t="b">
        <x:f>ABS('Public Paths'!E29-VLOOKUP('Public Paths'!B29,'Root Units'!$A$6:$K$29,5,FALSE))&lt;0.000001</x:f>
        <x:v>1</x:v>
      </x:c>
      <x:c r="E524" s="58" t="b">
        <x:v>1</x:v>
      </x:c>
      <x:c r="F524" s="13" t="str">
        <x:f>IF(D524=E524,"PASS","FAIL")</x:f>
        <x:v>PASS</x:v>
      </x:c>
    </x:row>
    <x:row r="525">
      <x:c r="A525" s="13" t="str">
        <x:v>PP-24-05</x:v>
      </x:c>
      <x:c r="B525" s="13" t="str">
        <x:v>Public path</x:v>
      </x:c>
      <x:c r="C525" s="13" t="str">
        <x:v>HC-D-HC-CELL-4 keystone inventory matches</x:v>
      </x:c>
      <x:c r="D525" s="13" t="b">
        <x:f>ABS('Public Paths'!I29-'Public Paths'!E29*Controls!$B$28)&lt;0.000001</x:f>
        <x:v>1</x:v>
      </x:c>
      <x:c r="E525" s="58" t="b">
        <x:v>1</x:v>
      </x:c>
      <x:c r="F525" s="13" t="str">
        <x:f>IF(D525=E525,"PASS","FAIL")</x:f>
        <x:v>PASS</x:v>
      </x:c>
    </x:row>
    <x:row r="526">
      <x:c r="A526" s="13" t="str">
        <x:v>PP-24-06</x:v>
      </x:c>
      <x:c r="B526" s="13" t="str">
        <x:v>Public path</x:v>
      </x:c>
      <x:c r="C526" s="13" t="str">
        <x:v>HC-D-HC-CELL-4 planning passes</x:v>
      </x:c>
      <x:c r="D526" s="13" t="str">
        <x:f>'Public Paths'!Q29</x:f>
        <x:v>PASS</x:v>
      </x:c>
      <x:c r="E526" s="13" t="str">
        <x:v>PASS</x:v>
      </x:c>
      <x:c r="F526" s="13" t="str">
        <x:f>IF(D526=E526,"PASS","FAIL")</x:f>
        <x:v>PASS</x:v>
      </x:c>
    </x:row>
    <x:row r="527">
      <x:c r="A527" s="13" t="str">
        <x:v>PP-24-07</x:v>
      </x:c>
      <x:c r="B527" s="13" t="str">
        <x:v>Public path</x:v>
      </x:c>
      <x:c r="C527" s="13" t="str">
        <x:v>HC-D-HC-CELL-4 source state</x:v>
      </x:c>
      <x:c r="D527" s="13" t="str">
        <x:f>'Public Paths'!R29</x:f>
        <x:v>SOURCE EMPTY</x:v>
      </x:c>
      <x:c r="E527" s="13" t="str">
        <x:v>SOURCE EMPTY</x:v>
      </x:c>
      <x:c r="F527" s="13" t="str">
        <x:f>IF(D527=E527,"PASS","FAIL")</x:f>
        <x:v>PASS</x:v>
      </x:c>
    </x:row>
    <x:row r="528">
      <x:c r="A528" s="13" t="str">
        <x:v>PP-24-08</x:v>
      </x:c>
      <x:c r="B528" s="13" t="str">
        <x:v>Public path</x:v>
      </x:c>
      <x:c r="C528" s="13" t="str">
        <x:v>HC-D-HC-CELL-4 cell identity agrees when populated</x:v>
      </x:c>
      <x:c r="D528" s="13" t="b">
        <x:f>IF(AND('Public Paths'!K29="",'Public Paths'!L29=""),TRUE,AND('Public Paths'!K29=VLOOKUP('Public Paths'!D29,'Cell Capacity'!$A$6:$S$29,15,FALSE),'Public Paths'!L29=VLOOKUP('Public Paths'!D29,'Cell Capacity'!$A$6:$S$29,16,FALSE)))</x:f>
        <x:v>1</x:v>
      </x:c>
      <x:c r="E528" s="58" t="b">
        <x:v>1</x:v>
      </x:c>
      <x:c r="F528" s="13" t="str">
        <x:f>IF(D528=E528,"PASS","FAIL")</x:f>
        <x:v>PASS</x:v>
      </x:c>
    </x:row>
    <x:row r="529">
      <x:c r="A529" s="13" t="str">
        <x:v>PP-24-09</x:v>
      </x:c>
      <x:c r="B529" s="13" t="str">
        <x:v>Public path</x:v>
      </x:c>
      <x:c r="C529" s="13" t="str">
        <x:v>HC-D-HC-CELL-4 root mapping retained</x:v>
      </x:c>
      <x:c r="D529" s="13" t="b">
        <x:f>'Public Paths'!B29="HC-D"</x:f>
        <x:v>1</x:v>
      </x:c>
      <x:c r="E529" s="58" t="b">
        <x:v>1</x:v>
      </x:c>
      <x:c r="F529" s="13" t="str">
        <x:f>IF(D529=E529,"PASS","FAIL")</x:f>
        <x:v>PASS</x:v>
      </x:c>
    </x:row>
    <x:row r="530">
      <x:c r="A530" s="13" t="str">
        <x:v>PP-25-01</x:v>
      </x:c>
      <x:c r="B530" s="13" t="str">
        <x:v>Public path</x:v>
      </x:c>
      <x:c r="C530" s="13" t="str">
        <x:v>LF-A-LF-CELL-1 qualification unique</x:v>
      </x:c>
      <x:c r="D530" s="13" t="n">
        <x:f>COUNTIFS('Public Paths'!$A$6:$A$53,'Public Paths'!A30)</x:f>
        <x:v>1</x:v>
      </x:c>
      <x:c r="E530" s="13" t="n">
        <x:v>1</x:v>
      </x:c>
      <x:c r="F530" s="13" t="str">
        <x:f>IF(D530=E530,"PASS","FAIL")</x:f>
        <x:v>PASS</x:v>
      </x:c>
    </x:row>
    <x:row r="531">
      <x:c r="A531" s="13" t="str">
        <x:v>PP-25-02</x:v>
      </x:c>
      <x:c r="B531" s="13" t="str">
        <x:v>Public path</x:v>
      </x:c>
      <x:c r="C531" s="13" t="str">
        <x:v>LF-A-LF-CELL-1 root exists</x:v>
      </x:c>
      <x:c r="D531" s="13" t="n">
        <x:f>COUNTIFS('Root Units'!$A$6:$A$29,'Public Paths'!B30)</x:f>
        <x:v>1</x:v>
      </x:c>
      <x:c r="E531" s="13" t="n">
        <x:v>1</x:v>
      </x:c>
      <x:c r="F531" s="13" t="str">
        <x:f>IF(D531=E531,"PASS","FAIL")</x:f>
        <x:v>PASS</x:v>
      </x:c>
    </x:row>
    <x:row r="532">
      <x:c r="A532" s="13" t="str">
        <x:v>PP-25-03</x:v>
      </x:c>
      <x:c r="B532" s="13" t="str">
        <x:v>Public path</x:v>
      </x:c>
      <x:c r="C532" s="13" t="str">
        <x:v>LF-A-LF-CELL-1 cell exists</x:v>
      </x:c>
      <x:c r="D532" s="13" t="n">
        <x:f>COUNTIFS('Cell Capacity'!$A$6:$A$29,'Public Paths'!D30)</x:f>
        <x:v>1</x:v>
      </x:c>
      <x:c r="E532" s="13" t="n">
        <x:v>1</x:v>
      </x:c>
      <x:c r="F532" s="13" t="str">
        <x:f>IF(D532=E532,"PASS","FAIL")</x:f>
        <x:v>PASS</x:v>
      </x:c>
    </x:row>
    <x:row r="533">
      <x:c r="A533" s="13" t="str">
        <x:v>PP-25-04</x:v>
      </x:c>
      <x:c r="B533" s="13" t="str">
        <x:v>Public path</x:v>
      </x:c>
      <x:c r="C533" s="13" t="str">
        <x:v>LF-A-LF-CELL-1 root mass matches</x:v>
      </x:c>
      <x:c r="D533" s="13" t="b">
        <x:f>ABS('Public Paths'!E30-VLOOKUP('Public Paths'!B30,'Root Units'!$A$6:$K$29,5,FALSE))&lt;0.000001</x:f>
        <x:v>1</x:v>
      </x:c>
      <x:c r="E533" s="58" t="b">
        <x:v>1</x:v>
      </x:c>
      <x:c r="F533" s="13" t="str">
        <x:f>IF(D533=E533,"PASS","FAIL")</x:f>
        <x:v>PASS</x:v>
      </x:c>
    </x:row>
    <x:row r="534">
      <x:c r="A534" s="13" t="str">
        <x:v>PP-25-05</x:v>
      </x:c>
      <x:c r="B534" s="13" t="str">
        <x:v>Public path</x:v>
      </x:c>
      <x:c r="C534" s="13" t="str">
        <x:v>LF-A-LF-CELL-1 keystone inventory matches</x:v>
      </x:c>
      <x:c r="D534" s="13" t="b">
        <x:f>ABS('Public Paths'!I30-'Public Paths'!E30*Controls!$B$28)&lt;0.000001</x:f>
        <x:v>1</x:v>
      </x:c>
      <x:c r="E534" s="58" t="b">
        <x:v>1</x:v>
      </x:c>
      <x:c r="F534" s="13" t="str">
        <x:f>IF(D534=E534,"PASS","FAIL")</x:f>
        <x:v>PASS</x:v>
      </x:c>
    </x:row>
    <x:row r="535">
      <x:c r="A535" s="13" t="str">
        <x:v>PP-25-06</x:v>
      </x:c>
      <x:c r="B535" s="13" t="str">
        <x:v>Public path</x:v>
      </x:c>
      <x:c r="C535" s="13" t="str">
        <x:v>LF-A-LF-CELL-1 planning passes</x:v>
      </x:c>
      <x:c r="D535" s="13" t="str">
        <x:f>'Public Paths'!Q30</x:f>
        <x:v>PASS</x:v>
      </x:c>
      <x:c r="E535" s="13" t="str">
        <x:v>PASS</x:v>
      </x:c>
      <x:c r="F535" s="13" t="str">
        <x:f>IF(D535=E535,"PASS","FAIL")</x:f>
        <x:v>PASS</x:v>
      </x:c>
    </x:row>
    <x:row r="536">
      <x:c r="A536" s="13" t="str">
        <x:v>PP-25-07</x:v>
      </x:c>
      <x:c r="B536" s="13" t="str">
        <x:v>Public path</x:v>
      </x:c>
      <x:c r="C536" s="13" t="str">
        <x:v>LF-A-LF-CELL-1 source state</x:v>
      </x:c>
      <x:c r="D536" s="13" t="str">
        <x:f>'Public Paths'!R30</x:f>
        <x:v>SOURCE EMPTY</x:v>
      </x:c>
      <x:c r="E536" s="13" t="str">
        <x:v>SOURCE EMPTY</x:v>
      </x:c>
      <x:c r="F536" s="13" t="str">
        <x:f>IF(D536=E536,"PASS","FAIL")</x:f>
        <x:v>PASS</x:v>
      </x:c>
    </x:row>
    <x:row r="537">
      <x:c r="A537" s="13" t="str">
        <x:v>PP-25-08</x:v>
      </x:c>
      <x:c r="B537" s="13" t="str">
        <x:v>Public path</x:v>
      </x:c>
      <x:c r="C537" s="13" t="str">
        <x:v>LF-A-LF-CELL-1 cell identity agrees when populated</x:v>
      </x:c>
      <x:c r="D537" s="13" t="b">
        <x:f>IF(AND('Public Paths'!K30="",'Public Paths'!L30=""),TRUE,AND('Public Paths'!K30=VLOOKUP('Public Paths'!D30,'Cell Capacity'!$A$6:$S$29,15,FALSE),'Public Paths'!L30=VLOOKUP('Public Paths'!D30,'Cell Capacity'!$A$6:$S$29,16,FALSE)))</x:f>
        <x:v>1</x:v>
      </x:c>
      <x:c r="E537" s="58" t="b">
        <x:v>1</x:v>
      </x:c>
      <x:c r="F537" s="13" t="str">
        <x:f>IF(D537=E537,"PASS","FAIL")</x:f>
        <x:v>PASS</x:v>
      </x:c>
    </x:row>
    <x:row r="538">
      <x:c r="A538" s="13" t="str">
        <x:v>PP-25-09</x:v>
      </x:c>
      <x:c r="B538" s="13" t="str">
        <x:v>Public path</x:v>
      </x:c>
      <x:c r="C538" s="13" t="str">
        <x:v>LF-A-LF-CELL-1 root mapping retained</x:v>
      </x:c>
      <x:c r="D538" s="13" t="b">
        <x:f>'Public Paths'!B30="LF-A"</x:f>
        <x:v>1</x:v>
      </x:c>
      <x:c r="E538" s="58" t="b">
        <x:v>1</x:v>
      </x:c>
      <x:c r="F538" s="13" t="str">
        <x:f>IF(D538=E538,"PASS","FAIL")</x:f>
        <x:v>PASS</x:v>
      </x:c>
    </x:row>
    <x:row r="539">
      <x:c r="A539" s="13" t="str">
        <x:v>PP-26-01</x:v>
      </x:c>
      <x:c r="B539" s="13" t="str">
        <x:v>Public path</x:v>
      </x:c>
      <x:c r="C539" s="13" t="str">
        <x:v>LF-B-LF-CELL-1 qualification unique</x:v>
      </x:c>
      <x:c r="D539" s="13" t="n">
        <x:f>COUNTIFS('Public Paths'!$A$6:$A$53,'Public Paths'!A31)</x:f>
        <x:v>1</x:v>
      </x:c>
      <x:c r="E539" s="13" t="n">
        <x:v>1</x:v>
      </x:c>
      <x:c r="F539" s="13" t="str">
        <x:f>IF(D539=E539,"PASS","FAIL")</x:f>
        <x:v>PASS</x:v>
      </x:c>
    </x:row>
    <x:row r="540">
      <x:c r="A540" s="13" t="str">
        <x:v>PP-26-02</x:v>
      </x:c>
      <x:c r="B540" s="13" t="str">
        <x:v>Public path</x:v>
      </x:c>
      <x:c r="C540" s="13" t="str">
        <x:v>LF-B-LF-CELL-1 root exists</x:v>
      </x:c>
      <x:c r="D540" s="13" t="n">
        <x:f>COUNTIFS('Root Units'!$A$6:$A$29,'Public Paths'!B31)</x:f>
        <x:v>1</x:v>
      </x:c>
      <x:c r="E540" s="13" t="n">
        <x:v>1</x:v>
      </x:c>
      <x:c r="F540" s="13" t="str">
        <x:f>IF(D540=E540,"PASS","FAIL")</x:f>
        <x:v>PASS</x:v>
      </x:c>
    </x:row>
    <x:row r="541">
      <x:c r="A541" s="13" t="str">
        <x:v>PP-26-03</x:v>
      </x:c>
      <x:c r="B541" s="13" t="str">
        <x:v>Public path</x:v>
      </x:c>
      <x:c r="C541" s="13" t="str">
        <x:v>LF-B-LF-CELL-1 cell exists</x:v>
      </x:c>
      <x:c r="D541" s="13" t="n">
        <x:f>COUNTIFS('Cell Capacity'!$A$6:$A$29,'Public Paths'!D31)</x:f>
        <x:v>1</x:v>
      </x:c>
      <x:c r="E541" s="13" t="n">
        <x:v>1</x:v>
      </x:c>
      <x:c r="F541" s="13" t="str">
        <x:f>IF(D541=E541,"PASS","FAIL")</x:f>
        <x:v>PASS</x:v>
      </x:c>
    </x:row>
    <x:row r="542">
      <x:c r="A542" s="13" t="str">
        <x:v>PP-26-04</x:v>
      </x:c>
      <x:c r="B542" s="13" t="str">
        <x:v>Public path</x:v>
      </x:c>
      <x:c r="C542" s="13" t="str">
        <x:v>LF-B-LF-CELL-1 root mass matches</x:v>
      </x:c>
      <x:c r="D542" s="13" t="b">
        <x:f>ABS('Public Paths'!E31-VLOOKUP('Public Paths'!B31,'Root Units'!$A$6:$K$29,5,FALSE))&lt;0.000001</x:f>
        <x:v>1</x:v>
      </x:c>
      <x:c r="E542" s="58" t="b">
        <x:v>1</x:v>
      </x:c>
      <x:c r="F542" s="13" t="str">
        <x:f>IF(D542=E542,"PASS","FAIL")</x:f>
        <x:v>PASS</x:v>
      </x:c>
    </x:row>
    <x:row r="543">
      <x:c r="A543" s="13" t="str">
        <x:v>PP-26-05</x:v>
      </x:c>
      <x:c r="B543" s="13" t="str">
        <x:v>Public path</x:v>
      </x:c>
      <x:c r="C543" s="13" t="str">
        <x:v>LF-B-LF-CELL-1 keystone inventory matches</x:v>
      </x:c>
      <x:c r="D543" s="13" t="b">
        <x:f>ABS('Public Paths'!I31-'Public Paths'!E31*Controls!$B$28)&lt;0.000001</x:f>
        <x:v>1</x:v>
      </x:c>
      <x:c r="E543" s="58" t="b">
        <x:v>1</x:v>
      </x:c>
      <x:c r="F543" s="13" t="str">
        <x:f>IF(D543=E543,"PASS","FAIL")</x:f>
        <x:v>PASS</x:v>
      </x:c>
    </x:row>
    <x:row r="544">
      <x:c r="A544" s="13" t="str">
        <x:v>PP-26-06</x:v>
      </x:c>
      <x:c r="B544" s="13" t="str">
        <x:v>Public path</x:v>
      </x:c>
      <x:c r="C544" s="13" t="str">
        <x:v>LF-B-LF-CELL-1 planning passes</x:v>
      </x:c>
      <x:c r="D544" s="13" t="str">
        <x:f>'Public Paths'!Q31</x:f>
        <x:v>PASS</x:v>
      </x:c>
      <x:c r="E544" s="13" t="str">
        <x:v>PASS</x:v>
      </x:c>
      <x:c r="F544" s="13" t="str">
        <x:f>IF(D544=E544,"PASS","FAIL")</x:f>
        <x:v>PASS</x:v>
      </x:c>
    </x:row>
    <x:row r="545">
      <x:c r="A545" s="13" t="str">
        <x:v>PP-26-07</x:v>
      </x:c>
      <x:c r="B545" s="13" t="str">
        <x:v>Public path</x:v>
      </x:c>
      <x:c r="C545" s="13" t="str">
        <x:v>LF-B-LF-CELL-1 source state</x:v>
      </x:c>
      <x:c r="D545" s="13" t="str">
        <x:f>'Public Paths'!R31</x:f>
        <x:v>SOURCE EMPTY</x:v>
      </x:c>
      <x:c r="E545" s="13" t="str">
        <x:v>SOURCE EMPTY</x:v>
      </x:c>
      <x:c r="F545" s="13" t="str">
        <x:f>IF(D545=E545,"PASS","FAIL")</x:f>
        <x:v>PASS</x:v>
      </x:c>
    </x:row>
    <x:row r="546">
      <x:c r="A546" s="13" t="str">
        <x:v>PP-26-08</x:v>
      </x:c>
      <x:c r="B546" s="13" t="str">
        <x:v>Public path</x:v>
      </x:c>
      <x:c r="C546" s="13" t="str">
        <x:v>LF-B-LF-CELL-1 cell identity agrees when populated</x:v>
      </x:c>
      <x:c r="D546" s="13" t="b">
        <x:f>IF(AND('Public Paths'!K31="",'Public Paths'!L31=""),TRUE,AND('Public Paths'!K31=VLOOKUP('Public Paths'!D31,'Cell Capacity'!$A$6:$S$29,15,FALSE),'Public Paths'!L31=VLOOKUP('Public Paths'!D31,'Cell Capacity'!$A$6:$S$29,16,FALSE)))</x:f>
        <x:v>1</x:v>
      </x:c>
      <x:c r="E546" s="58" t="b">
        <x:v>1</x:v>
      </x:c>
      <x:c r="F546" s="13" t="str">
        <x:f>IF(D546=E546,"PASS","FAIL")</x:f>
        <x:v>PASS</x:v>
      </x:c>
    </x:row>
    <x:row r="547">
      <x:c r="A547" s="13" t="str">
        <x:v>PP-26-09</x:v>
      </x:c>
      <x:c r="B547" s="13" t="str">
        <x:v>Public path</x:v>
      </x:c>
      <x:c r="C547" s="13" t="str">
        <x:v>LF-B-LF-CELL-1 root mapping retained</x:v>
      </x:c>
      <x:c r="D547" s="13" t="b">
        <x:f>'Public Paths'!B31="LF-B"</x:f>
        <x:v>1</x:v>
      </x:c>
      <x:c r="E547" s="58" t="b">
        <x:v>1</x:v>
      </x:c>
      <x:c r="F547" s="13" t="str">
        <x:f>IF(D547=E547,"PASS","FAIL")</x:f>
        <x:v>PASS</x:v>
      </x:c>
    </x:row>
    <x:row r="548">
      <x:c r="A548" s="13" t="str">
        <x:v>PP-27-01</x:v>
      </x:c>
      <x:c r="B548" s="13" t="str">
        <x:v>Public path</x:v>
      </x:c>
      <x:c r="C548" s="13" t="str">
        <x:v>LF-C-LF-CELL-2 qualification unique</x:v>
      </x:c>
      <x:c r="D548" s="13" t="n">
        <x:f>COUNTIFS('Public Paths'!$A$6:$A$53,'Public Paths'!A32)</x:f>
        <x:v>1</x:v>
      </x:c>
      <x:c r="E548" s="13" t="n">
        <x:v>1</x:v>
      </x:c>
      <x:c r="F548" s="13" t="str">
        <x:f>IF(D548=E548,"PASS","FAIL")</x:f>
        <x:v>PASS</x:v>
      </x:c>
    </x:row>
    <x:row r="549">
      <x:c r="A549" s="13" t="str">
        <x:v>PP-27-02</x:v>
      </x:c>
      <x:c r="B549" s="13" t="str">
        <x:v>Public path</x:v>
      </x:c>
      <x:c r="C549" s="13" t="str">
        <x:v>LF-C-LF-CELL-2 root exists</x:v>
      </x:c>
      <x:c r="D549" s="13" t="n">
        <x:f>COUNTIFS('Root Units'!$A$6:$A$29,'Public Paths'!B32)</x:f>
        <x:v>1</x:v>
      </x:c>
      <x:c r="E549" s="13" t="n">
        <x:v>1</x:v>
      </x:c>
      <x:c r="F549" s="13" t="str">
        <x:f>IF(D549=E549,"PASS","FAIL")</x:f>
        <x:v>PASS</x:v>
      </x:c>
    </x:row>
    <x:row r="550">
      <x:c r="A550" s="13" t="str">
        <x:v>PP-27-03</x:v>
      </x:c>
      <x:c r="B550" s="13" t="str">
        <x:v>Public path</x:v>
      </x:c>
      <x:c r="C550" s="13" t="str">
        <x:v>LF-C-LF-CELL-2 cell exists</x:v>
      </x:c>
      <x:c r="D550" s="13" t="n">
        <x:f>COUNTIFS('Cell Capacity'!$A$6:$A$29,'Public Paths'!D32)</x:f>
        <x:v>1</x:v>
      </x:c>
      <x:c r="E550" s="13" t="n">
        <x:v>1</x:v>
      </x:c>
      <x:c r="F550" s="13" t="str">
        <x:f>IF(D550=E550,"PASS","FAIL")</x:f>
        <x:v>PASS</x:v>
      </x:c>
    </x:row>
    <x:row r="551">
      <x:c r="A551" s="13" t="str">
        <x:v>PP-27-04</x:v>
      </x:c>
      <x:c r="B551" s="13" t="str">
        <x:v>Public path</x:v>
      </x:c>
      <x:c r="C551" s="13" t="str">
        <x:v>LF-C-LF-CELL-2 root mass matches</x:v>
      </x:c>
      <x:c r="D551" s="13" t="b">
        <x:f>ABS('Public Paths'!E32-VLOOKUP('Public Paths'!B32,'Root Units'!$A$6:$K$29,5,FALSE))&lt;0.000001</x:f>
        <x:v>1</x:v>
      </x:c>
      <x:c r="E551" s="58" t="b">
        <x:v>1</x:v>
      </x:c>
      <x:c r="F551" s="13" t="str">
        <x:f>IF(D551=E551,"PASS","FAIL")</x:f>
        <x:v>PASS</x:v>
      </x:c>
    </x:row>
    <x:row r="552">
      <x:c r="A552" s="13" t="str">
        <x:v>PP-27-05</x:v>
      </x:c>
      <x:c r="B552" s="13" t="str">
        <x:v>Public path</x:v>
      </x:c>
      <x:c r="C552" s="13" t="str">
        <x:v>LF-C-LF-CELL-2 keystone inventory matches</x:v>
      </x:c>
      <x:c r="D552" s="13" t="b">
        <x:f>ABS('Public Paths'!I32-'Public Paths'!E32*Controls!$B$28)&lt;0.000001</x:f>
        <x:v>1</x:v>
      </x:c>
      <x:c r="E552" s="58" t="b">
        <x:v>1</x:v>
      </x:c>
      <x:c r="F552" s="13" t="str">
        <x:f>IF(D552=E552,"PASS","FAIL")</x:f>
        <x:v>PASS</x:v>
      </x:c>
    </x:row>
    <x:row r="553">
      <x:c r="A553" s="13" t="str">
        <x:v>PP-27-06</x:v>
      </x:c>
      <x:c r="B553" s="13" t="str">
        <x:v>Public path</x:v>
      </x:c>
      <x:c r="C553" s="13" t="str">
        <x:v>LF-C-LF-CELL-2 planning passes</x:v>
      </x:c>
      <x:c r="D553" s="13" t="str">
        <x:f>'Public Paths'!Q32</x:f>
        <x:v>PASS</x:v>
      </x:c>
      <x:c r="E553" s="13" t="str">
        <x:v>PASS</x:v>
      </x:c>
      <x:c r="F553" s="13" t="str">
        <x:f>IF(D553=E553,"PASS","FAIL")</x:f>
        <x:v>PASS</x:v>
      </x:c>
    </x:row>
    <x:row r="554">
      <x:c r="A554" s="13" t="str">
        <x:v>PP-27-07</x:v>
      </x:c>
      <x:c r="B554" s="13" t="str">
        <x:v>Public path</x:v>
      </x:c>
      <x:c r="C554" s="13" t="str">
        <x:v>LF-C-LF-CELL-2 source state</x:v>
      </x:c>
      <x:c r="D554" s="13" t="str">
        <x:f>'Public Paths'!R32</x:f>
        <x:v>SOURCE EMPTY</x:v>
      </x:c>
      <x:c r="E554" s="13" t="str">
        <x:v>SOURCE EMPTY</x:v>
      </x:c>
      <x:c r="F554" s="13" t="str">
        <x:f>IF(D554=E554,"PASS","FAIL")</x:f>
        <x:v>PASS</x:v>
      </x:c>
    </x:row>
    <x:row r="555">
      <x:c r="A555" s="13" t="str">
        <x:v>PP-27-08</x:v>
      </x:c>
      <x:c r="B555" s="13" t="str">
        <x:v>Public path</x:v>
      </x:c>
      <x:c r="C555" s="13" t="str">
        <x:v>LF-C-LF-CELL-2 cell identity agrees when populated</x:v>
      </x:c>
      <x:c r="D555" s="13" t="b">
        <x:f>IF(AND('Public Paths'!K32="",'Public Paths'!L32=""),TRUE,AND('Public Paths'!K32=VLOOKUP('Public Paths'!D32,'Cell Capacity'!$A$6:$S$29,15,FALSE),'Public Paths'!L32=VLOOKUP('Public Paths'!D32,'Cell Capacity'!$A$6:$S$29,16,FALSE)))</x:f>
        <x:v>1</x:v>
      </x:c>
      <x:c r="E555" s="58" t="b">
        <x:v>1</x:v>
      </x:c>
      <x:c r="F555" s="13" t="str">
        <x:f>IF(D555=E555,"PASS","FAIL")</x:f>
        <x:v>PASS</x:v>
      </x:c>
    </x:row>
    <x:row r="556">
      <x:c r="A556" s="13" t="str">
        <x:v>PP-27-09</x:v>
      </x:c>
      <x:c r="B556" s="13" t="str">
        <x:v>Public path</x:v>
      </x:c>
      <x:c r="C556" s="13" t="str">
        <x:v>LF-C-LF-CELL-2 root mapping retained</x:v>
      </x:c>
      <x:c r="D556" s="13" t="b">
        <x:f>'Public Paths'!B32="LF-C"</x:f>
        <x:v>1</x:v>
      </x:c>
      <x:c r="E556" s="58" t="b">
        <x:v>1</x:v>
      </x:c>
      <x:c r="F556" s="13" t="str">
        <x:f>IF(D556=E556,"PASS","FAIL")</x:f>
        <x:v>PASS</x:v>
      </x:c>
    </x:row>
    <x:row r="557">
      <x:c r="A557" s="13" t="str">
        <x:v>PP-28-01</x:v>
      </x:c>
      <x:c r="B557" s="13" t="str">
        <x:v>Public path</x:v>
      </x:c>
      <x:c r="C557" s="13" t="str">
        <x:v>LF-D-LF-CELL-2 qualification unique</x:v>
      </x:c>
      <x:c r="D557" s="13" t="n">
        <x:f>COUNTIFS('Public Paths'!$A$6:$A$53,'Public Paths'!A33)</x:f>
        <x:v>1</x:v>
      </x:c>
      <x:c r="E557" s="13" t="n">
        <x:v>1</x:v>
      </x:c>
      <x:c r="F557" s="13" t="str">
        <x:f>IF(D557=E557,"PASS","FAIL")</x:f>
        <x:v>PASS</x:v>
      </x:c>
    </x:row>
    <x:row r="558">
      <x:c r="A558" s="13" t="str">
        <x:v>PP-28-02</x:v>
      </x:c>
      <x:c r="B558" s="13" t="str">
        <x:v>Public path</x:v>
      </x:c>
      <x:c r="C558" s="13" t="str">
        <x:v>LF-D-LF-CELL-2 root exists</x:v>
      </x:c>
      <x:c r="D558" s="13" t="n">
        <x:f>COUNTIFS('Root Units'!$A$6:$A$29,'Public Paths'!B33)</x:f>
        <x:v>1</x:v>
      </x:c>
      <x:c r="E558" s="13" t="n">
        <x:v>1</x:v>
      </x:c>
      <x:c r="F558" s="13" t="str">
        <x:f>IF(D558=E558,"PASS","FAIL")</x:f>
        <x:v>PASS</x:v>
      </x:c>
    </x:row>
    <x:row r="559">
      <x:c r="A559" s="13" t="str">
        <x:v>PP-28-03</x:v>
      </x:c>
      <x:c r="B559" s="13" t="str">
        <x:v>Public path</x:v>
      </x:c>
      <x:c r="C559" s="13" t="str">
        <x:v>LF-D-LF-CELL-2 cell exists</x:v>
      </x:c>
      <x:c r="D559" s="13" t="n">
        <x:f>COUNTIFS('Cell Capacity'!$A$6:$A$29,'Public Paths'!D33)</x:f>
        <x:v>1</x:v>
      </x:c>
      <x:c r="E559" s="13" t="n">
        <x:v>1</x:v>
      </x:c>
      <x:c r="F559" s="13" t="str">
        <x:f>IF(D559=E559,"PASS","FAIL")</x:f>
        <x:v>PASS</x:v>
      </x:c>
    </x:row>
    <x:row r="560">
      <x:c r="A560" s="13" t="str">
        <x:v>PP-28-04</x:v>
      </x:c>
      <x:c r="B560" s="13" t="str">
        <x:v>Public path</x:v>
      </x:c>
      <x:c r="C560" s="13" t="str">
        <x:v>LF-D-LF-CELL-2 root mass matches</x:v>
      </x:c>
      <x:c r="D560" s="13" t="b">
        <x:f>ABS('Public Paths'!E33-VLOOKUP('Public Paths'!B33,'Root Units'!$A$6:$K$29,5,FALSE))&lt;0.000001</x:f>
        <x:v>1</x:v>
      </x:c>
      <x:c r="E560" s="58" t="b">
        <x:v>1</x:v>
      </x:c>
      <x:c r="F560" s="13" t="str">
        <x:f>IF(D560=E560,"PASS","FAIL")</x:f>
        <x:v>PASS</x:v>
      </x:c>
    </x:row>
    <x:row r="561">
      <x:c r="A561" s="13" t="str">
        <x:v>PP-28-05</x:v>
      </x:c>
      <x:c r="B561" s="13" t="str">
        <x:v>Public path</x:v>
      </x:c>
      <x:c r="C561" s="13" t="str">
        <x:v>LF-D-LF-CELL-2 keystone inventory matches</x:v>
      </x:c>
      <x:c r="D561" s="13" t="b">
        <x:f>ABS('Public Paths'!I33-'Public Paths'!E33*Controls!$B$28)&lt;0.000001</x:f>
        <x:v>1</x:v>
      </x:c>
      <x:c r="E561" s="58" t="b">
        <x:v>1</x:v>
      </x:c>
      <x:c r="F561" s="13" t="str">
        <x:f>IF(D561=E561,"PASS","FAIL")</x:f>
        <x:v>PASS</x:v>
      </x:c>
    </x:row>
    <x:row r="562">
      <x:c r="A562" s="13" t="str">
        <x:v>PP-28-06</x:v>
      </x:c>
      <x:c r="B562" s="13" t="str">
        <x:v>Public path</x:v>
      </x:c>
      <x:c r="C562" s="13" t="str">
        <x:v>LF-D-LF-CELL-2 planning passes</x:v>
      </x:c>
      <x:c r="D562" s="13" t="str">
        <x:f>'Public Paths'!Q33</x:f>
        <x:v>PASS</x:v>
      </x:c>
      <x:c r="E562" s="13" t="str">
        <x:v>PASS</x:v>
      </x:c>
      <x:c r="F562" s="13" t="str">
        <x:f>IF(D562=E562,"PASS","FAIL")</x:f>
        <x:v>PASS</x:v>
      </x:c>
    </x:row>
    <x:row r="563">
      <x:c r="A563" s="13" t="str">
        <x:v>PP-28-07</x:v>
      </x:c>
      <x:c r="B563" s="13" t="str">
        <x:v>Public path</x:v>
      </x:c>
      <x:c r="C563" s="13" t="str">
        <x:v>LF-D-LF-CELL-2 source state</x:v>
      </x:c>
      <x:c r="D563" s="13" t="str">
        <x:f>'Public Paths'!R33</x:f>
        <x:v>SOURCE EMPTY</x:v>
      </x:c>
      <x:c r="E563" s="13" t="str">
        <x:v>SOURCE EMPTY</x:v>
      </x:c>
      <x:c r="F563" s="13" t="str">
        <x:f>IF(D563=E563,"PASS","FAIL")</x:f>
        <x:v>PASS</x:v>
      </x:c>
    </x:row>
    <x:row r="564">
      <x:c r="A564" s="13" t="str">
        <x:v>PP-28-08</x:v>
      </x:c>
      <x:c r="B564" s="13" t="str">
        <x:v>Public path</x:v>
      </x:c>
      <x:c r="C564" s="13" t="str">
        <x:v>LF-D-LF-CELL-2 cell identity agrees when populated</x:v>
      </x:c>
      <x:c r="D564" s="13" t="b">
        <x:f>IF(AND('Public Paths'!K33="",'Public Paths'!L33=""),TRUE,AND('Public Paths'!K33=VLOOKUP('Public Paths'!D33,'Cell Capacity'!$A$6:$S$29,15,FALSE),'Public Paths'!L33=VLOOKUP('Public Paths'!D33,'Cell Capacity'!$A$6:$S$29,16,FALSE)))</x:f>
        <x:v>1</x:v>
      </x:c>
      <x:c r="E564" s="58" t="b">
        <x:v>1</x:v>
      </x:c>
      <x:c r="F564" s="13" t="str">
        <x:f>IF(D564=E564,"PASS","FAIL")</x:f>
        <x:v>PASS</x:v>
      </x:c>
    </x:row>
    <x:row r="565">
      <x:c r="A565" s="13" t="str">
        <x:v>PP-28-09</x:v>
      </x:c>
      <x:c r="B565" s="13" t="str">
        <x:v>Public path</x:v>
      </x:c>
      <x:c r="C565" s="13" t="str">
        <x:v>LF-D-LF-CELL-2 root mapping retained</x:v>
      </x:c>
      <x:c r="D565" s="13" t="b">
        <x:f>'Public Paths'!B33="LF-D"</x:f>
        <x:v>1</x:v>
      </x:c>
      <x:c r="E565" s="58" t="b">
        <x:v>1</x:v>
      </x:c>
      <x:c r="F565" s="13" t="str">
        <x:f>IF(D565=E565,"PASS","FAIL")</x:f>
        <x:v>PASS</x:v>
      </x:c>
    </x:row>
    <x:row r="566">
      <x:c r="A566" s="13" t="str">
        <x:v>PP-29-01</x:v>
      </x:c>
      <x:c r="B566" s="13" t="str">
        <x:v>Public path</x:v>
      </x:c>
      <x:c r="C566" s="13" t="str">
        <x:v>LF-A-LF-CELL-3 qualification unique</x:v>
      </x:c>
      <x:c r="D566" s="13" t="n">
        <x:f>COUNTIFS('Public Paths'!$A$6:$A$53,'Public Paths'!A34)</x:f>
        <x:v>1</x:v>
      </x:c>
      <x:c r="E566" s="13" t="n">
        <x:v>1</x:v>
      </x:c>
      <x:c r="F566" s="13" t="str">
        <x:f>IF(D566=E566,"PASS","FAIL")</x:f>
        <x:v>PASS</x:v>
      </x:c>
    </x:row>
    <x:row r="567">
      <x:c r="A567" s="13" t="str">
        <x:v>PP-29-02</x:v>
      </x:c>
      <x:c r="B567" s="13" t="str">
        <x:v>Public path</x:v>
      </x:c>
      <x:c r="C567" s="13" t="str">
        <x:v>LF-A-LF-CELL-3 root exists</x:v>
      </x:c>
      <x:c r="D567" s="13" t="n">
        <x:f>COUNTIFS('Root Units'!$A$6:$A$29,'Public Paths'!B34)</x:f>
        <x:v>1</x:v>
      </x:c>
      <x:c r="E567" s="13" t="n">
        <x:v>1</x:v>
      </x:c>
      <x:c r="F567" s="13" t="str">
        <x:f>IF(D567=E567,"PASS","FAIL")</x:f>
        <x:v>PASS</x:v>
      </x:c>
    </x:row>
    <x:row r="568">
      <x:c r="A568" s="13" t="str">
        <x:v>PP-29-03</x:v>
      </x:c>
      <x:c r="B568" s="13" t="str">
        <x:v>Public path</x:v>
      </x:c>
      <x:c r="C568" s="13" t="str">
        <x:v>LF-A-LF-CELL-3 cell exists</x:v>
      </x:c>
      <x:c r="D568" s="13" t="n">
        <x:f>COUNTIFS('Cell Capacity'!$A$6:$A$29,'Public Paths'!D34)</x:f>
        <x:v>1</x:v>
      </x:c>
      <x:c r="E568" s="13" t="n">
        <x:v>1</x:v>
      </x:c>
      <x:c r="F568" s="13" t="str">
        <x:f>IF(D568=E568,"PASS","FAIL")</x:f>
        <x:v>PASS</x:v>
      </x:c>
    </x:row>
    <x:row r="569">
      <x:c r="A569" s="13" t="str">
        <x:v>PP-29-04</x:v>
      </x:c>
      <x:c r="B569" s="13" t="str">
        <x:v>Public path</x:v>
      </x:c>
      <x:c r="C569" s="13" t="str">
        <x:v>LF-A-LF-CELL-3 root mass matches</x:v>
      </x:c>
      <x:c r="D569" s="13" t="b">
        <x:f>ABS('Public Paths'!E34-VLOOKUP('Public Paths'!B34,'Root Units'!$A$6:$K$29,5,FALSE))&lt;0.000001</x:f>
        <x:v>1</x:v>
      </x:c>
      <x:c r="E569" s="58" t="b">
        <x:v>1</x:v>
      </x:c>
      <x:c r="F569" s="13" t="str">
        <x:f>IF(D569=E569,"PASS","FAIL")</x:f>
        <x:v>PASS</x:v>
      </x:c>
    </x:row>
    <x:row r="570">
      <x:c r="A570" s="13" t="str">
        <x:v>PP-29-05</x:v>
      </x:c>
      <x:c r="B570" s="13" t="str">
        <x:v>Public path</x:v>
      </x:c>
      <x:c r="C570" s="13" t="str">
        <x:v>LF-A-LF-CELL-3 keystone inventory matches</x:v>
      </x:c>
      <x:c r="D570" s="13" t="b">
        <x:f>ABS('Public Paths'!I34-'Public Paths'!E34*Controls!$B$28)&lt;0.000001</x:f>
        <x:v>1</x:v>
      </x:c>
      <x:c r="E570" s="58" t="b">
        <x:v>1</x:v>
      </x:c>
      <x:c r="F570" s="13" t="str">
        <x:f>IF(D570=E570,"PASS","FAIL")</x:f>
        <x:v>PASS</x:v>
      </x:c>
    </x:row>
    <x:row r="571">
      <x:c r="A571" s="13" t="str">
        <x:v>PP-29-06</x:v>
      </x:c>
      <x:c r="B571" s="13" t="str">
        <x:v>Public path</x:v>
      </x:c>
      <x:c r="C571" s="13" t="str">
        <x:v>LF-A-LF-CELL-3 planning passes</x:v>
      </x:c>
      <x:c r="D571" s="13" t="str">
        <x:f>'Public Paths'!Q34</x:f>
        <x:v>PASS</x:v>
      </x:c>
      <x:c r="E571" s="13" t="str">
        <x:v>PASS</x:v>
      </x:c>
      <x:c r="F571" s="13" t="str">
        <x:f>IF(D571=E571,"PASS","FAIL")</x:f>
        <x:v>PASS</x:v>
      </x:c>
    </x:row>
    <x:row r="572">
      <x:c r="A572" s="13" t="str">
        <x:v>PP-29-07</x:v>
      </x:c>
      <x:c r="B572" s="13" t="str">
        <x:v>Public path</x:v>
      </x:c>
      <x:c r="C572" s="13" t="str">
        <x:v>LF-A-LF-CELL-3 source state</x:v>
      </x:c>
      <x:c r="D572" s="13" t="str">
        <x:f>'Public Paths'!R34</x:f>
        <x:v>SOURCE EMPTY</x:v>
      </x:c>
      <x:c r="E572" s="13" t="str">
        <x:v>SOURCE EMPTY</x:v>
      </x:c>
      <x:c r="F572" s="13" t="str">
        <x:f>IF(D572=E572,"PASS","FAIL")</x:f>
        <x:v>PASS</x:v>
      </x:c>
    </x:row>
    <x:row r="573">
      <x:c r="A573" s="13" t="str">
        <x:v>PP-29-08</x:v>
      </x:c>
      <x:c r="B573" s="13" t="str">
        <x:v>Public path</x:v>
      </x:c>
      <x:c r="C573" s="13" t="str">
        <x:v>LF-A-LF-CELL-3 cell identity agrees when populated</x:v>
      </x:c>
      <x:c r="D573" s="13" t="b">
        <x:f>IF(AND('Public Paths'!K34="",'Public Paths'!L34=""),TRUE,AND('Public Paths'!K34=VLOOKUP('Public Paths'!D34,'Cell Capacity'!$A$6:$S$29,15,FALSE),'Public Paths'!L34=VLOOKUP('Public Paths'!D34,'Cell Capacity'!$A$6:$S$29,16,FALSE)))</x:f>
        <x:v>1</x:v>
      </x:c>
      <x:c r="E573" s="58" t="b">
        <x:v>1</x:v>
      </x:c>
      <x:c r="F573" s="13" t="str">
        <x:f>IF(D573=E573,"PASS","FAIL")</x:f>
        <x:v>PASS</x:v>
      </x:c>
    </x:row>
    <x:row r="574">
      <x:c r="A574" s="13" t="str">
        <x:v>PP-29-09</x:v>
      </x:c>
      <x:c r="B574" s="13" t="str">
        <x:v>Public path</x:v>
      </x:c>
      <x:c r="C574" s="13" t="str">
        <x:v>LF-A-LF-CELL-3 root mapping retained</x:v>
      </x:c>
      <x:c r="D574" s="13" t="b">
        <x:f>'Public Paths'!B34="LF-A"</x:f>
        <x:v>1</x:v>
      </x:c>
      <x:c r="E574" s="58" t="b">
        <x:v>1</x:v>
      </x:c>
      <x:c r="F574" s="13" t="str">
        <x:f>IF(D574=E574,"PASS","FAIL")</x:f>
        <x:v>PASS</x:v>
      </x:c>
    </x:row>
    <x:row r="575">
      <x:c r="A575" s="13" t="str">
        <x:v>PP-30-01</x:v>
      </x:c>
      <x:c r="B575" s="13" t="str">
        <x:v>Public path</x:v>
      </x:c>
      <x:c r="C575" s="13" t="str">
        <x:v>LF-C-LF-CELL-3 qualification unique</x:v>
      </x:c>
      <x:c r="D575" s="13" t="n">
        <x:f>COUNTIFS('Public Paths'!$A$6:$A$53,'Public Paths'!A35)</x:f>
        <x:v>1</x:v>
      </x:c>
      <x:c r="E575" s="13" t="n">
        <x:v>1</x:v>
      </x:c>
      <x:c r="F575" s="13" t="str">
        <x:f>IF(D575=E575,"PASS","FAIL")</x:f>
        <x:v>PASS</x:v>
      </x:c>
    </x:row>
    <x:row r="576">
      <x:c r="A576" s="13" t="str">
        <x:v>PP-30-02</x:v>
      </x:c>
      <x:c r="B576" s="13" t="str">
        <x:v>Public path</x:v>
      </x:c>
      <x:c r="C576" s="13" t="str">
        <x:v>LF-C-LF-CELL-3 root exists</x:v>
      </x:c>
      <x:c r="D576" s="13" t="n">
        <x:f>COUNTIFS('Root Units'!$A$6:$A$29,'Public Paths'!B35)</x:f>
        <x:v>1</x:v>
      </x:c>
      <x:c r="E576" s="13" t="n">
        <x:v>1</x:v>
      </x:c>
      <x:c r="F576" s="13" t="str">
        <x:f>IF(D576=E576,"PASS","FAIL")</x:f>
        <x:v>PASS</x:v>
      </x:c>
    </x:row>
    <x:row r="577">
      <x:c r="A577" s="13" t="str">
        <x:v>PP-30-03</x:v>
      </x:c>
      <x:c r="B577" s="13" t="str">
        <x:v>Public path</x:v>
      </x:c>
      <x:c r="C577" s="13" t="str">
        <x:v>LF-C-LF-CELL-3 cell exists</x:v>
      </x:c>
      <x:c r="D577" s="13" t="n">
        <x:f>COUNTIFS('Cell Capacity'!$A$6:$A$29,'Public Paths'!D35)</x:f>
        <x:v>1</x:v>
      </x:c>
      <x:c r="E577" s="13" t="n">
        <x:v>1</x:v>
      </x:c>
      <x:c r="F577" s="13" t="str">
        <x:f>IF(D577=E577,"PASS","FAIL")</x:f>
        <x:v>PASS</x:v>
      </x:c>
    </x:row>
    <x:row r="578">
      <x:c r="A578" s="13" t="str">
        <x:v>PP-30-04</x:v>
      </x:c>
      <x:c r="B578" s="13" t="str">
        <x:v>Public path</x:v>
      </x:c>
      <x:c r="C578" s="13" t="str">
        <x:v>LF-C-LF-CELL-3 root mass matches</x:v>
      </x:c>
      <x:c r="D578" s="13" t="b">
        <x:f>ABS('Public Paths'!E35-VLOOKUP('Public Paths'!B35,'Root Units'!$A$6:$K$29,5,FALSE))&lt;0.000001</x:f>
        <x:v>1</x:v>
      </x:c>
      <x:c r="E578" s="58" t="b">
        <x:v>1</x:v>
      </x:c>
      <x:c r="F578" s="13" t="str">
        <x:f>IF(D578=E578,"PASS","FAIL")</x:f>
        <x:v>PASS</x:v>
      </x:c>
    </x:row>
    <x:row r="579">
      <x:c r="A579" s="13" t="str">
        <x:v>PP-30-05</x:v>
      </x:c>
      <x:c r="B579" s="13" t="str">
        <x:v>Public path</x:v>
      </x:c>
      <x:c r="C579" s="13" t="str">
        <x:v>LF-C-LF-CELL-3 keystone inventory matches</x:v>
      </x:c>
      <x:c r="D579" s="13" t="b">
        <x:f>ABS('Public Paths'!I35-'Public Paths'!E35*Controls!$B$28)&lt;0.000001</x:f>
        <x:v>1</x:v>
      </x:c>
      <x:c r="E579" s="58" t="b">
        <x:v>1</x:v>
      </x:c>
      <x:c r="F579" s="13" t="str">
        <x:f>IF(D579=E579,"PASS","FAIL")</x:f>
        <x:v>PASS</x:v>
      </x:c>
    </x:row>
    <x:row r="580">
      <x:c r="A580" s="13" t="str">
        <x:v>PP-30-06</x:v>
      </x:c>
      <x:c r="B580" s="13" t="str">
        <x:v>Public path</x:v>
      </x:c>
      <x:c r="C580" s="13" t="str">
        <x:v>LF-C-LF-CELL-3 planning passes</x:v>
      </x:c>
      <x:c r="D580" s="13" t="str">
        <x:f>'Public Paths'!Q35</x:f>
        <x:v>PASS</x:v>
      </x:c>
      <x:c r="E580" s="13" t="str">
        <x:v>PASS</x:v>
      </x:c>
      <x:c r="F580" s="13" t="str">
        <x:f>IF(D580=E580,"PASS","FAIL")</x:f>
        <x:v>PASS</x:v>
      </x:c>
    </x:row>
    <x:row r="581">
      <x:c r="A581" s="13" t="str">
        <x:v>PP-30-07</x:v>
      </x:c>
      <x:c r="B581" s="13" t="str">
        <x:v>Public path</x:v>
      </x:c>
      <x:c r="C581" s="13" t="str">
        <x:v>LF-C-LF-CELL-3 source state</x:v>
      </x:c>
      <x:c r="D581" s="13" t="str">
        <x:f>'Public Paths'!R35</x:f>
        <x:v>SOURCE EMPTY</x:v>
      </x:c>
      <x:c r="E581" s="13" t="str">
        <x:v>SOURCE EMPTY</x:v>
      </x:c>
      <x:c r="F581" s="13" t="str">
        <x:f>IF(D581=E581,"PASS","FAIL")</x:f>
        <x:v>PASS</x:v>
      </x:c>
    </x:row>
    <x:row r="582">
      <x:c r="A582" s="13" t="str">
        <x:v>PP-30-08</x:v>
      </x:c>
      <x:c r="B582" s="13" t="str">
        <x:v>Public path</x:v>
      </x:c>
      <x:c r="C582" s="13" t="str">
        <x:v>LF-C-LF-CELL-3 cell identity agrees when populated</x:v>
      </x:c>
      <x:c r="D582" s="13" t="b">
        <x:f>IF(AND('Public Paths'!K35="",'Public Paths'!L35=""),TRUE,AND('Public Paths'!K35=VLOOKUP('Public Paths'!D35,'Cell Capacity'!$A$6:$S$29,15,FALSE),'Public Paths'!L35=VLOOKUP('Public Paths'!D35,'Cell Capacity'!$A$6:$S$29,16,FALSE)))</x:f>
        <x:v>1</x:v>
      </x:c>
      <x:c r="E582" s="58" t="b">
        <x:v>1</x:v>
      </x:c>
      <x:c r="F582" s="13" t="str">
        <x:f>IF(D582=E582,"PASS","FAIL")</x:f>
        <x:v>PASS</x:v>
      </x:c>
    </x:row>
    <x:row r="583">
      <x:c r="A583" s="13" t="str">
        <x:v>PP-30-09</x:v>
      </x:c>
      <x:c r="B583" s="13" t="str">
        <x:v>Public path</x:v>
      </x:c>
      <x:c r="C583" s="13" t="str">
        <x:v>LF-C-LF-CELL-3 root mapping retained</x:v>
      </x:c>
      <x:c r="D583" s="13" t="b">
        <x:f>'Public Paths'!B35="LF-C"</x:f>
        <x:v>1</x:v>
      </x:c>
      <x:c r="E583" s="58" t="b">
        <x:v>1</x:v>
      </x:c>
      <x:c r="F583" s="13" t="str">
        <x:f>IF(D583=E583,"PASS","FAIL")</x:f>
        <x:v>PASS</x:v>
      </x:c>
    </x:row>
    <x:row r="584">
      <x:c r="A584" s="13" t="str">
        <x:v>PP-31-01</x:v>
      </x:c>
      <x:c r="B584" s="13" t="str">
        <x:v>Public path</x:v>
      </x:c>
      <x:c r="C584" s="13" t="str">
        <x:v>LF-B-LF-CELL-4 qualification unique</x:v>
      </x:c>
      <x:c r="D584" s="13" t="n">
        <x:f>COUNTIFS('Public Paths'!$A$6:$A$53,'Public Paths'!A36)</x:f>
        <x:v>1</x:v>
      </x:c>
      <x:c r="E584" s="13" t="n">
        <x:v>1</x:v>
      </x:c>
      <x:c r="F584" s="13" t="str">
        <x:f>IF(D584=E584,"PASS","FAIL")</x:f>
        <x:v>PASS</x:v>
      </x:c>
    </x:row>
    <x:row r="585">
      <x:c r="A585" s="13" t="str">
        <x:v>PP-31-02</x:v>
      </x:c>
      <x:c r="B585" s="13" t="str">
        <x:v>Public path</x:v>
      </x:c>
      <x:c r="C585" s="13" t="str">
        <x:v>LF-B-LF-CELL-4 root exists</x:v>
      </x:c>
      <x:c r="D585" s="13" t="n">
        <x:f>COUNTIFS('Root Units'!$A$6:$A$29,'Public Paths'!B36)</x:f>
        <x:v>1</x:v>
      </x:c>
      <x:c r="E585" s="13" t="n">
        <x:v>1</x:v>
      </x:c>
      <x:c r="F585" s="13" t="str">
        <x:f>IF(D585=E585,"PASS","FAIL")</x:f>
        <x:v>PASS</x:v>
      </x:c>
    </x:row>
    <x:row r="586">
      <x:c r="A586" s="13" t="str">
        <x:v>PP-31-03</x:v>
      </x:c>
      <x:c r="B586" s="13" t="str">
        <x:v>Public path</x:v>
      </x:c>
      <x:c r="C586" s="13" t="str">
        <x:v>LF-B-LF-CELL-4 cell exists</x:v>
      </x:c>
      <x:c r="D586" s="13" t="n">
        <x:f>COUNTIFS('Cell Capacity'!$A$6:$A$29,'Public Paths'!D36)</x:f>
        <x:v>1</x:v>
      </x:c>
      <x:c r="E586" s="13" t="n">
        <x:v>1</x:v>
      </x:c>
      <x:c r="F586" s="13" t="str">
        <x:f>IF(D586=E586,"PASS","FAIL")</x:f>
        <x:v>PASS</x:v>
      </x:c>
    </x:row>
    <x:row r="587">
      <x:c r="A587" s="13" t="str">
        <x:v>PP-31-04</x:v>
      </x:c>
      <x:c r="B587" s="13" t="str">
        <x:v>Public path</x:v>
      </x:c>
      <x:c r="C587" s="13" t="str">
        <x:v>LF-B-LF-CELL-4 root mass matches</x:v>
      </x:c>
      <x:c r="D587" s="13" t="b">
        <x:f>ABS('Public Paths'!E36-VLOOKUP('Public Paths'!B36,'Root Units'!$A$6:$K$29,5,FALSE))&lt;0.000001</x:f>
        <x:v>1</x:v>
      </x:c>
      <x:c r="E587" s="58" t="b">
        <x:v>1</x:v>
      </x:c>
      <x:c r="F587" s="13" t="str">
        <x:f>IF(D587=E587,"PASS","FAIL")</x:f>
        <x:v>PASS</x:v>
      </x:c>
    </x:row>
    <x:row r="588">
      <x:c r="A588" s="13" t="str">
        <x:v>PP-31-05</x:v>
      </x:c>
      <x:c r="B588" s="13" t="str">
        <x:v>Public path</x:v>
      </x:c>
      <x:c r="C588" s="13" t="str">
        <x:v>LF-B-LF-CELL-4 keystone inventory matches</x:v>
      </x:c>
      <x:c r="D588" s="13" t="b">
        <x:f>ABS('Public Paths'!I36-'Public Paths'!E36*Controls!$B$28)&lt;0.000001</x:f>
        <x:v>1</x:v>
      </x:c>
      <x:c r="E588" s="58" t="b">
        <x:v>1</x:v>
      </x:c>
      <x:c r="F588" s="13" t="str">
        <x:f>IF(D588=E588,"PASS","FAIL")</x:f>
        <x:v>PASS</x:v>
      </x:c>
    </x:row>
    <x:row r="589">
      <x:c r="A589" s="13" t="str">
        <x:v>PP-31-06</x:v>
      </x:c>
      <x:c r="B589" s="13" t="str">
        <x:v>Public path</x:v>
      </x:c>
      <x:c r="C589" s="13" t="str">
        <x:v>LF-B-LF-CELL-4 planning passes</x:v>
      </x:c>
      <x:c r="D589" s="13" t="str">
        <x:f>'Public Paths'!Q36</x:f>
        <x:v>PASS</x:v>
      </x:c>
      <x:c r="E589" s="13" t="str">
        <x:v>PASS</x:v>
      </x:c>
      <x:c r="F589" s="13" t="str">
        <x:f>IF(D589=E589,"PASS","FAIL")</x:f>
        <x:v>PASS</x:v>
      </x:c>
    </x:row>
    <x:row r="590">
      <x:c r="A590" s="13" t="str">
        <x:v>PP-31-07</x:v>
      </x:c>
      <x:c r="B590" s="13" t="str">
        <x:v>Public path</x:v>
      </x:c>
      <x:c r="C590" s="13" t="str">
        <x:v>LF-B-LF-CELL-4 source state</x:v>
      </x:c>
      <x:c r="D590" s="13" t="str">
        <x:f>'Public Paths'!R36</x:f>
        <x:v>SOURCE EMPTY</x:v>
      </x:c>
      <x:c r="E590" s="13" t="str">
        <x:v>SOURCE EMPTY</x:v>
      </x:c>
      <x:c r="F590" s="13" t="str">
        <x:f>IF(D590=E590,"PASS","FAIL")</x:f>
        <x:v>PASS</x:v>
      </x:c>
    </x:row>
    <x:row r="591">
      <x:c r="A591" s="13" t="str">
        <x:v>PP-31-08</x:v>
      </x:c>
      <x:c r="B591" s="13" t="str">
        <x:v>Public path</x:v>
      </x:c>
      <x:c r="C591" s="13" t="str">
        <x:v>LF-B-LF-CELL-4 cell identity agrees when populated</x:v>
      </x:c>
      <x:c r="D591" s="13" t="b">
        <x:f>IF(AND('Public Paths'!K36="",'Public Paths'!L36=""),TRUE,AND('Public Paths'!K36=VLOOKUP('Public Paths'!D36,'Cell Capacity'!$A$6:$S$29,15,FALSE),'Public Paths'!L36=VLOOKUP('Public Paths'!D36,'Cell Capacity'!$A$6:$S$29,16,FALSE)))</x:f>
        <x:v>1</x:v>
      </x:c>
      <x:c r="E591" s="58" t="b">
        <x:v>1</x:v>
      </x:c>
      <x:c r="F591" s="13" t="str">
        <x:f>IF(D591=E591,"PASS","FAIL")</x:f>
        <x:v>PASS</x:v>
      </x:c>
    </x:row>
    <x:row r="592">
      <x:c r="A592" s="13" t="str">
        <x:v>PP-31-09</x:v>
      </x:c>
      <x:c r="B592" s="13" t="str">
        <x:v>Public path</x:v>
      </x:c>
      <x:c r="C592" s="13" t="str">
        <x:v>LF-B-LF-CELL-4 root mapping retained</x:v>
      </x:c>
      <x:c r="D592" s="13" t="b">
        <x:f>'Public Paths'!B36="LF-B"</x:f>
        <x:v>1</x:v>
      </x:c>
      <x:c r="E592" s="58" t="b">
        <x:v>1</x:v>
      </x:c>
      <x:c r="F592" s="13" t="str">
        <x:f>IF(D592=E592,"PASS","FAIL")</x:f>
        <x:v>PASS</x:v>
      </x:c>
    </x:row>
    <x:row r="593">
      <x:c r="A593" s="13" t="str">
        <x:v>PP-32-01</x:v>
      </x:c>
      <x:c r="B593" s="13" t="str">
        <x:v>Public path</x:v>
      </x:c>
      <x:c r="C593" s="13" t="str">
        <x:v>LF-D-LF-CELL-4 qualification unique</x:v>
      </x:c>
      <x:c r="D593" s="13" t="n">
        <x:f>COUNTIFS('Public Paths'!$A$6:$A$53,'Public Paths'!A37)</x:f>
        <x:v>1</x:v>
      </x:c>
      <x:c r="E593" s="13" t="n">
        <x:v>1</x:v>
      </x:c>
      <x:c r="F593" s="13" t="str">
        <x:f>IF(D593=E593,"PASS","FAIL")</x:f>
        <x:v>PASS</x:v>
      </x:c>
    </x:row>
    <x:row r="594">
      <x:c r="A594" s="13" t="str">
        <x:v>PP-32-02</x:v>
      </x:c>
      <x:c r="B594" s="13" t="str">
        <x:v>Public path</x:v>
      </x:c>
      <x:c r="C594" s="13" t="str">
        <x:v>LF-D-LF-CELL-4 root exists</x:v>
      </x:c>
      <x:c r="D594" s="13" t="n">
        <x:f>COUNTIFS('Root Units'!$A$6:$A$29,'Public Paths'!B37)</x:f>
        <x:v>1</x:v>
      </x:c>
      <x:c r="E594" s="13" t="n">
        <x:v>1</x:v>
      </x:c>
      <x:c r="F594" s="13" t="str">
        <x:f>IF(D594=E594,"PASS","FAIL")</x:f>
        <x:v>PASS</x:v>
      </x:c>
    </x:row>
    <x:row r="595">
      <x:c r="A595" s="13" t="str">
        <x:v>PP-32-03</x:v>
      </x:c>
      <x:c r="B595" s="13" t="str">
        <x:v>Public path</x:v>
      </x:c>
      <x:c r="C595" s="13" t="str">
        <x:v>LF-D-LF-CELL-4 cell exists</x:v>
      </x:c>
      <x:c r="D595" s="13" t="n">
        <x:f>COUNTIFS('Cell Capacity'!$A$6:$A$29,'Public Paths'!D37)</x:f>
        <x:v>1</x:v>
      </x:c>
      <x:c r="E595" s="13" t="n">
        <x:v>1</x:v>
      </x:c>
      <x:c r="F595" s="13" t="str">
        <x:f>IF(D595=E595,"PASS","FAIL")</x:f>
        <x:v>PASS</x:v>
      </x:c>
    </x:row>
    <x:row r="596">
      <x:c r="A596" s="13" t="str">
        <x:v>PP-32-04</x:v>
      </x:c>
      <x:c r="B596" s="13" t="str">
        <x:v>Public path</x:v>
      </x:c>
      <x:c r="C596" s="13" t="str">
        <x:v>LF-D-LF-CELL-4 root mass matches</x:v>
      </x:c>
      <x:c r="D596" s="13" t="b">
        <x:f>ABS('Public Paths'!E37-VLOOKUP('Public Paths'!B37,'Root Units'!$A$6:$K$29,5,FALSE))&lt;0.000001</x:f>
        <x:v>1</x:v>
      </x:c>
      <x:c r="E596" s="58" t="b">
        <x:v>1</x:v>
      </x:c>
      <x:c r="F596" s="13" t="str">
        <x:f>IF(D596=E596,"PASS","FAIL")</x:f>
        <x:v>PASS</x:v>
      </x:c>
    </x:row>
    <x:row r="597">
      <x:c r="A597" s="13" t="str">
        <x:v>PP-32-05</x:v>
      </x:c>
      <x:c r="B597" s="13" t="str">
        <x:v>Public path</x:v>
      </x:c>
      <x:c r="C597" s="13" t="str">
        <x:v>LF-D-LF-CELL-4 keystone inventory matches</x:v>
      </x:c>
      <x:c r="D597" s="13" t="b">
        <x:f>ABS('Public Paths'!I37-'Public Paths'!E37*Controls!$B$28)&lt;0.000001</x:f>
        <x:v>1</x:v>
      </x:c>
      <x:c r="E597" s="58" t="b">
        <x:v>1</x:v>
      </x:c>
      <x:c r="F597" s="13" t="str">
        <x:f>IF(D597=E597,"PASS","FAIL")</x:f>
        <x:v>PASS</x:v>
      </x:c>
    </x:row>
    <x:row r="598">
      <x:c r="A598" s="13" t="str">
        <x:v>PP-32-06</x:v>
      </x:c>
      <x:c r="B598" s="13" t="str">
        <x:v>Public path</x:v>
      </x:c>
      <x:c r="C598" s="13" t="str">
        <x:v>LF-D-LF-CELL-4 planning passes</x:v>
      </x:c>
      <x:c r="D598" s="13" t="str">
        <x:f>'Public Paths'!Q37</x:f>
        <x:v>PASS</x:v>
      </x:c>
      <x:c r="E598" s="13" t="str">
        <x:v>PASS</x:v>
      </x:c>
      <x:c r="F598" s="13" t="str">
        <x:f>IF(D598=E598,"PASS","FAIL")</x:f>
        <x:v>PASS</x:v>
      </x:c>
    </x:row>
    <x:row r="599">
      <x:c r="A599" s="13" t="str">
        <x:v>PP-32-07</x:v>
      </x:c>
      <x:c r="B599" s="13" t="str">
        <x:v>Public path</x:v>
      </x:c>
      <x:c r="C599" s="13" t="str">
        <x:v>LF-D-LF-CELL-4 source state</x:v>
      </x:c>
      <x:c r="D599" s="13" t="str">
        <x:f>'Public Paths'!R37</x:f>
        <x:v>SOURCE EMPTY</x:v>
      </x:c>
      <x:c r="E599" s="13" t="str">
        <x:v>SOURCE EMPTY</x:v>
      </x:c>
      <x:c r="F599" s="13" t="str">
        <x:f>IF(D599=E599,"PASS","FAIL")</x:f>
        <x:v>PASS</x:v>
      </x:c>
    </x:row>
    <x:row r="600">
      <x:c r="A600" s="13" t="str">
        <x:v>PP-32-08</x:v>
      </x:c>
      <x:c r="B600" s="13" t="str">
        <x:v>Public path</x:v>
      </x:c>
      <x:c r="C600" s="13" t="str">
        <x:v>LF-D-LF-CELL-4 cell identity agrees when populated</x:v>
      </x:c>
      <x:c r="D600" s="13" t="b">
        <x:f>IF(AND('Public Paths'!K37="",'Public Paths'!L37=""),TRUE,AND('Public Paths'!K37=VLOOKUP('Public Paths'!D37,'Cell Capacity'!$A$6:$S$29,15,FALSE),'Public Paths'!L37=VLOOKUP('Public Paths'!D37,'Cell Capacity'!$A$6:$S$29,16,FALSE)))</x:f>
        <x:v>1</x:v>
      </x:c>
      <x:c r="E600" s="58" t="b">
        <x:v>1</x:v>
      </x:c>
      <x:c r="F600" s="13" t="str">
        <x:f>IF(D600=E600,"PASS","FAIL")</x:f>
        <x:v>PASS</x:v>
      </x:c>
    </x:row>
    <x:row r="601">
      <x:c r="A601" s="13" t="str">
        <x:v>PP-32-09</x:v>
      </x:c>
      <x:c r="B601" s="13" t="str">
        <x:v>Public path</x:v>
      </x:c>
      <x:c r="C601" s="13" t="str">
        <x:v>LF-D-LF-CELL-4 root mapping retained</x:v>
      </x:c>
      <x:c r="D601" s="13" t="b">
        <x:f>'Public Paths'!B37="LF-D"</x:f>
        <x:v>1</x:v>
      </x:c>
      <x:c r="E601" s="58" t="b">
        <x:v>1</x:v>
      </x:c>
      <x:c r="F601" s="13" t="str">
        <x:f>IF(D601=E601,"PASS","FAIL")</x:f>
        <x:v>PASS</x:v>
      </x:c>
    </x:row>
    <x:row r="602">
      <x:c r="A602" s="13" t="str">
        <x:v>PP-33-01</x:v>
      </x:c>
      <x:c r="B602" s="13" t="str">
        <x:v>Public path</x:v>
      </x:c>
      <x:c r="C602" s="13" t="str">
        <x:v>HU-A-HU-CELL-1 qualification unique</x:v>
      </x:c>
      <x:c r="D602" s="13" t="n">
        <x:f>COUNTIFS('Public Paths'!$A$6:$A$53,'Public Paths'!A38)</x:f>
        <x:v>1</x:v>
      </x:c>
      <x:c r="E602" s="13" t="n">
        <x:v>1</x:v>
      </x:c>
      <x:c r="F602" s="13" t="str">
        <x:f>IF(D602=E602,"PASS","FAIL")</x:f>
        <x:v>PASS</x:v>
      </x:c>
    </x:row>
    <x:row r="603">
      <x:c r="A603" s="13" t="str">
        <x:v>PP-33-02</x:v>
      </x:c>
      <x:c r="B603" s="13" t="str">
        <x:v>Public path</x:v>
      </x:c>
      <x:c r="C603" s="13" t="str">
        <x:v>HU-A-HU-CELL-1 root exists</x:v>
      </x:c>
      <x:c r="D603" s="13" t="n">
        <x:f>COUNTIFS('Root Units'!$A$6:$A$29,'Public Paths'!B38)</x:f>
        <x:v>1</x:v>
      </x:c>
      <x:c r="E603" s="13" t="n">
        <x:v>1</x:v>
      </x:c>
      <x:c r="F603" s="13" t="str">
        <x:f>IF(D603=E603,"PASS","FAIL")</x:f>
        <x:v>PASS</x:v>
      </x:c>
    </x:row>
    <x:row r="604">
      <x:c r="A604" s="13" t="str">
        <x:v>PP-33-03</x:v>
      </x:c>
      <x:c r="B604" s="13" t="str">
        <x:v>Public path</x:v>
      </x:c>
      <x:c r="C604" s="13" t="str">
        <x:v>HU-A-HU-CELL-1 cell exists</x:v>
      </x:c>
      <x:c r="D604" s="13" t="n">
        <x:f>COUNTIFS('Cell Capacity'!$A$6:$A$29,'Public Paths'!D38)</x:f>
        <x:v>1</x:v>
      </x:c>
      <x:c r="E604" s="13" t="n">
        <x:v>1</x:v>
      </x:c>
      <x:c r="F604" s="13" t="str">
        <x:f>IF(D604=E604,"PASS","FAIL")</x:f>
        <x:v>PASS</x:v>
      </x:c>
    </x:row>
    <x:row r="605">
      <x:c r="A605" s="13" t="str">
        <x:v>PP-33-04</x:v>
      </x:c>
      <x:c r="B605" s="13" t="str">
        <x:v>Public path</x:v>
      </x:c>
      <x:c r="C605" s="13" t="str">
        <x:v>HU-A-HU-CELL-1 root mass matches</x:v>
      </x:c>
      <x:c r="D605" s="13" t="b">
        <x:f>ABS('Public Paths'!E38-VLOOKUP('Public Paths'!B38,'Root Units'!$A$6:$K$29,5,FALSE))&lt;0.000001</x:f>
        <x:v>1</x:v>
      </x:c>
      <x:c r="E605" s="58" t="b">
        <x:v>1</x:v>
      </x:c>
      <x:c r="F605" s="13" t="str">
        <x:f>IF(D605=E605,"PASS","FAIL")</x:f>
        <x:v>PASS</x:v>
      </x:c>
    </x:row>
    <x:row r="606">
      <x:c r="A606" s="13" t="str">
        <x:v>PP-33-05</x:v>
      </x:c>
      <x:c r="B606" s="13" t="str">
        <x:v>Public path</x:v>
      </x:c>
      <x:c r="C606" s="13" t="str">
        <x:v>HU-A-HU-CELL-1 keystone inventory matches</x:v>
      </x:c>
      <x:c r="D606" s="13" t="b">
        <x:f>ABS('Public Paths'!I38-'Public Paths'!E38*Controls!$B$28)&lt;0.000001</x:f>
        <x:v>1</x:v>
      </x:c>
      <x:c r="E606" s="58" t="b">
        <x:v>1</x:v>
      </x:c>
      <x:c r="F606" s="13" t="str">
        <x:f>IF(D606=E606,"PASS","FAIL")</x:f>
        <x:v>PASS</x:v>
      </x:c>
    </x:row>
    <x:row r="607">
      <x:c r="A607" s="13" t="str">
        <x:v>PP-33-06</x:v>
      </x:c>
      <x:c r="B607" s="13" t="str">
        <x:v>Public path</x:v>
      </x:c>
      <x:c r="C607" s="13" t="str">
        <x:v>HU-A-HU-CELL-1 planning passes</x:v>
      </x:c>
      <x:c r="D607" s="13" t="str">
        <x:f>'Public Paths'!Q38</x:f>
        <x:v>PASS</x:v>
      </x:c>
      <x:c r="E607" s="13" t="str">
        <x:v>PASS</x:v>
      </x:c>
      <x:c r="F607" s="13" t="str">
        <x:f>IF(D607=E607,"PASS","FAIL")</x:f>
        <x:v>PASS</x:v>
      </x:c>
    </x:row>
    <x:row r="608">
      <x:c r="A608" s="13" t="str">
        <x:v>PP-33-07</x:v>
      </x:c>
      <x:c r="B608" s="13" t="str">
        <x:v>Public path</x:v>
      </x:c>
      <x:c r="C608" s="13" t="str">
        <x:v>HU-A-HU-CELL-1 source state</x:v>
      </x:c>
      <x:c r="D608" s="13" t="str">
        <x:f>'Public Paths'!R38</x:f>
        <x:v>SOURCE EMPTY</x:v>
      </x:c>
      <x:c r="E608" s="13" t="str">
        <x:v>SOURCE EMPTY</x:v>
      </x:c>
      <x:c r="F608" s="13" t="str">
        <x:f>IF(D608=E608,"PASS","FAIL")</x:f>
        <x:v>PASS</x:v>
      </x:c>
    </x:row>
    <x:row r="609">
      <x:c r="A609" s="13" t="str">
        <x:v>PP-33-08</x:v>
      </x:c>
      <x:c r="B609" s="13" t="str">
        <x:v>Public path</x:v>
      </x:c>
      <x:c r="C609" s="13" t="str">
        <x:v>HU-A-HU-CELL-1 cell identity agrees when populated</x:v>
      </x:c>
      <x:c r="D609" s="13" t="b">
        <x:f>IF(AND('Public Paths'!K38="",'Public Paths'!L38=""),TRUE,AND('Public Paths'!K38=VLOOKUP('Public Paths'!D38,'Cell Capacity'!$A$6:$S$29,15,FALSE),'Public Paths'!L38=VLOOKUP('Public Paths'!D38,'Cell Capacity'!$A$6:$S$29,16,FALSE)))</x:f>
        <x:v>1</x:v>
      </x:c>
      <x:c r="E609" s="58" t="b">
        <x:v>1</x:v>
      </x:c>
      <x:c r="F609" s="13" t="str">
        <x:f>IF(D609=E609,"PASS","FAIL")</x:f>
        <x:v>PASS</x:v>
      </x:c>
    </x:row>
    <x:row r="610">
      <x:c r="A610" s="13" t="str">
        <x:v>PP-33-09</x:v>
      </x:c>
      <x:c r="B610" s="13" t="str">
        <x:v>Public path</x:v>
      </x:c>
      <x:c r="C610" s="13" t="str">
        <x:v>HU-A-HU-CELL-1 root mapping retained</x:v>
      </x:c>
      <x:c r="D610" s="13" t="b">
        <x:f>'Public Paths'!B38="HU-A"</x:f>
        <x:v>1</x:v>
      </x:c>
      <x:c r="E610" s="58" t="b">
        <x:v>1</x:v>
      </x:c>
      <x:c r="F610" s="13" t="str">
        <x:f>IF(D610=E610,"PASS","FAIL")</x:f>
        <x:v>PASS</x:v>
      </x:c>
    </x:row>
    <x:row r="611">
      <x:c r="A611" s="13" t="str">
        <x:v>PP-34-01</x:v>
      </x:c>
      <x:c r="B611" s="13" t="str">
        <x:v>Public path</x:v>
      </x:c>
      <x:c r="C611" s="13" t="str">
        <x:v>HU-B-HU-CELL-1 qualification unique</x:v>
      </x:c>
      <x:c r="D611" s="13" t="n">
        <x:f>COUNTIFS('Public Paths'!$A$6:$A$53,'Public Paths'!A39)</x:f>
        <x:v>1</x:v>
      </x:c>
      <x:c r="E611" s="13" t="n">
        <x:v>1</x:v>
      </x:c>
      <x:c r="F611" s="13" t="str">
        <x:f>IF(D611=E611,"PASS","FAIL")</x:f>
        <x:v>PASS</x:v>
      </x:c>
    </x:row>
    <x:row r="612">
      <x:c r="A612" s="13" t="str">
        <x:v>PP-34-02</x:v>
      </x:c>
      <x:c r="B612" s="13" t="str">
        <x:v>Public path</x:v>
      </x:c>
      <x:c r="C612" s="13" t="str">
        <x:v>HU-B-HU-CELL-1 root exists</x:v>
      </x:c>
      <x:c r="D612" s="13" t="n">
        <x:f>COUNTIFS('Root Units'!$A$6:$A$29,'Public Paths'!B39)</x:f>
        <x:v>1</x:v>
      </x:c>
      <x:c r="E612" s="13" t="n">
        <x:v>1</x:v>
      </x:c>
      <x:c r="F612" s="13" t="str">
        <x:f>IF(D612=E612,"PASS","FAIL")</x:f>
        <x:v>PASS</x:v>
      </x:c>
    </x:row>
    <x:row r="613">
      <x:c r="A613" s="13" t="str">
        <x:v>PP-34-03</x:v>
      </x:c>
      <x:c r="B613" s="13" t="str">
        <x:v>Public path</x:v>
      </x:c>
      <x:c r="C613" s="13" t="str">
        <x:v>HU-B-HU-CELL-1 cell exists</x:v>
      </x:c>
      <x:c r="D613" s="13" t="n">
        <x:f>COUNTIFS('Cell Capacity'!$A$6:$A$29,'Public Paths'!D39)</x:f>
        <x:v>1</x:v>
      </x:c>
      <x:c r="E613" s="13" t="n">
        <x:v>1</x:v>
      </x:c>
      <x:c r="F613" s="13" t="str">
        <x:f>IF(D613=E613,"PASS","FAIL")</x:f>
        <x:v>PASS</x:v>
      </x:c>
    </x:row>
    <x:row r="614">
      <x:c r="A614" s="13" t="str">
        <x:v>PP-34-04</x:v>
      </x:c>
      <x:c r="B614" s="13" t="str">
        <x:v>Public path</x:v>
      </x:c>
      <x:c r="C614" s="13" t="str">
        <x:v>HU-B-HU-CELL-1 root mass matches</x:v>
      </x:c>
      <x:c r="D614" s="13" t="b">
        <x:f>ABS('Public Paths'!E39-VLOOKUP('Public Paths'!B39,'Root Units'!$A$6:$K$29,5,FALSE))&lt;0.000001</x:f>
        <x:v>1</x:v>
      </x:c>
      <x:c r="E614" s="58" t="b">
        <x:v>1</x:v>
      </x:c>
      <x:c r="F614" s="13" t="str">
        <x:f>IF(D614=E614,"PASS","FAIL")</x:f>
        <x:v>PASS</x:v>
      </x:c>
    </x:row>
    <x:row r="615">
      <x:c r="A615" s="13" t="str">
        <x:v>PP-34-05</x:v>
      </x:c>
      <x:c r="B615" s="13" t="str">
        <x:v>Public path</x:v>
      </x:c>
      <x:c r="C615" s="13" t="str">
        <x:v>HU-B-HU-CELL-1 keystone inventory matches</x:v>
      </x:c>
      <x:c r="D615" s="13" t="b">
        <x:f>ABS('Public Paths'!I39-'Public Paths'!E39*Controls!$B$28)&lt;0.000001</x:f>
        <x:v>1</x:v>
      </x:c>
      <x:c r="E615" s="58" t="b">
        <x:v>1</x:v>
      </x:c>
      <x:c r="F615" s="13" t="str">
        <x:f>IF(D615=E615,"PASS","FAIL")</x:f>
        <x:v>PASS</x:v>
      </x:c>
    </x:row>
    <x:row r="616">
      <x:c r="A616" s="13" t="str">
        <x:v>PP-34-06</x:v>
      </x:c>
      <x:c r="B616" s="13" t="str">
        <x:v>Public path</x:v>
      </x:c>
      <x:c r="C616" s="13" t="str">
        <x:v>HU-B-HU-CELL-1 planning passes</x:v>
      </x:c>
      <x:c r="D616" s="13" t="str">
        <x:f>'Public Paths'!Q39</x:f>
        <x:v>PASS</x:v>
      </x:c>
      <x:c r="E616" s="13" t="str">
        <x:v>PASS</x:v>
      </x:c>
      <x:c r="F616" s="13" t="str">
        <x:f>IF(D616=E616,"PASS","FAIL")</x:f>
        <x:v>PASS</x:v>
      </x:c>
    </x:row>
    <x:row r="617">
      <x:c r="A617" s="13" t="str">
        <x:v>PP-34-07</x:v>
      </x:c>
      <x:c r="B617" s="13" t="str">
        <x:v>Public path</x:v>
      </x:c>
      <x:c r="C617" s="13" t="str">
        <x:v>HU-B-HU-CELL-1 source state</x:v>
      </x:c>
      <x:c r="D617" s="13" t="str">
        <x:f>'Public Paths'!R39</x:f>
        <x:v>SOURCE EMPTY</x:v>
      </x:c>
      <x:c r="E617" s="13" t="str">
        <x:v>SOURCE EMPTY</x:v>
      </x:c>
      <x:c r="F617" s="13" t="str">
        <x:f>IF(D617=E617,"PASS","FAIL")</x:f>
        <x:v>PASS</x:v>
      </x:c>
    </x:row>
    <x:row r="618">
      <x:c r="A618" s="13" t="str">
        <x:v>PP-34-08</x:v>
      </x:c>
      <x:c r="B618" s="13" t="str">
        <x:v>Public path</x:v>
      </x:c>
      <x:c r="C618" s="13" t="str">
        <x:v>HU-B-HU-CELL-1 cell identity agrees when populated</x:v>
      </x:c>
      <x:c r="D618" s="13" t="b">
        <x:f>IF(AND('Public Paths'!K39="",'Public Paths'!L39=""),TRUE,AND('Public Paths'!K39=VLOOKUP('Public Paths'!D39,'Cell Capacity'!$A$6:$S$29,15,FALSE),'Public Paths'!L39=VLOOKUP('Public Paths'!D39,'Cell Capacity'!$A$6:$S$29,16,FALSE)))</x:f>
        <x:v>1</x:v>
      </x:c>
      <x:c r="E618" s="58" t="b">
        <x:v>1</x:v>
      </x:c>
      <x:c r="F618" s="13" t="str">
        <x:f>IF(D618=E618,"PASS","FAIL")</x:f>
        <x:v>PASS</x:v>
      </x:c>
    </x:row>
    <x:row r="619">
      <x:c r="A619" s="13" t="str">
        <x:v>PP-34-09</x:v>
      </x:c>
      <x:c r="B619" s="13" t="str">
        <x:v>Public path</x:v>
      </x:c>
      <x:c r="C619" s="13" t="str">
        <x:v>HU-B-HU-CELL-1 root mapping retained</x:v>
      </x:c>
      <x:c r="D619" s="13" t="b">
        <x:f>'Public Paths'!B39="HU-B"</x:f>
        <x:v>1</x:v>
      </x:c>
      <x:c r="E619" s="58" t="b">
        <x:v>1</x:v>
      </x:c>
      <x:c r="F619" s="13" t="str">
        <x:f>IF(D619=E619,"PASS","FAIL")</x:f>
        <x:v>PASS</x:v>
      </x:c>
    </x:row>
    <x:row r="620">
      <x:c r="A620" s="13" t="str">
        <x:v>PP-35-01</x:v>
      </x:c>
      <x:c r="B620" s="13" t="str">
        <x:v>Public path</x:v>
      </x:c>
      <x:c r="C620" s="13" t="str">
        <x:v>HU-C-HU-CELL-2 qualification unique</x:v>
      </x:c>
      <x:c r="D620" s="13" t="n">
        <x:f>COUNTIFS('Public Paths'!$A$6:$A$53,'Public Paths'!A40)</x:f>
        <x:v>1</x:v>
      </x:c>
      <x:c r="E620" s="13" t="n">
        <x:v>1</x:v>
      </x:c>
      <x:c r="F620" s="13" t="str">
        <x:f>IF(D620=E620,"PASS","FAIL")</x:f>
        <x:v>PASS</x:v>
      </x:c>
    </x:row>
    <x:row r="621">
      <x:c r="A621" s="13" t="str">
        <x:v>PP-35-02</x:v>
      </x:c>
      <x:c r="B621" s="13" t="str">
        <x:v>Public path</x:v>
      </x:c>
      <x:c r="C621" s="13" t="str">
        <x:v>HU-C-HU-CELL-2 root exists</x:v>
      </x:c>
      <x:c r="D621" s="13" t="n">
        <x:f>COUNTIFS('Root Units'!$A$6:$A$29,'Public Paths'!B40)</x:f>
        <x:v>1</x:v>
      </x:c>
      <x:c r="E621" s="13" t="n">
        <x:v>1</x:v>
      </x:c>
      <x:c r="F621" s="13" t="str">
        <x:f>IF(D621=E621,"PASS","FAIL")</x:f>
        <x:v>PASS</x:v>
      </x:c>
    </x:row>
    <x:row r="622">
      <x:c r="A622" s="13" t="str">
        <x:v>PP-35-03</x:v>
      </x:c>
      <x:c r="B622" s="13" t="str">
        <x:v>Public path</x:v>
      </x:c>
      <x:c r="C622" s="13" t="str">
        <x:v>HU-C-HU-CELL-2 cell exists</x:v>
      </x:c>
      <x:c r="D622" s="13" t="n">
        <x:f>COUNTIFS('Cell Capacity'!$A$6:$A$29,'Public Paths'!D40)</x:f>
        <x:v>1</x:v>
      </x:c>
      <x:c r="E622" s="13" t="n">
        <x:v>1</x:v>
      </x:c>
      <x:c r="F622" s="13" t="str">
        <x:f>IF(D622=E622,"PASS","FAIL")</x:f>
        <x:v>PASS</x:v>
      </x:c>
    </x:row>
    <x:row r="623">
      <x:c r="A623" s="13" t="str">
        <x:v>PP-35-04</x:v>
      </x:c>
      <x:c r="B623" s="13" t="str">
        <x:v>Public path</x:v>
      </x:c>
      <x:c r="C623" s="13" t="str">
        <x:v>HU-C-HU-CELL-2 root mass matches</x:v>
      </x:c>
      <x:c r="D623" s="13" t="b">
        <x:f>ABS('Public Paths'!E40-VLOOKUP('Public Paths'!B40,'Root Units'!$A$6:$K$29,5,FALSE))&lt;0.000001</x:f>
        <x:v>1</x:v>
      </x:c>
      <x:c r="E623" s="58" t="b">
        <x:v>1</x:v>
      </x:c>
      <x:c r="F623" s="13" t="str">
        <x:f>IF(D623=E623,"PASS","FAIL")</x:f>
        <x:v>PASS</x:v>
      </x:c>
    </x:row>
    <x:row r="624">
      <x:c r="A624" s="13" t="str">
        <x:v>PP-35-05</x:v>
      </x:c>
      <x:c r="B624" s="13" t="str">
        <x:v>Public path</x:v>
      </x:c>
      <x:c r="C624" s="13" t="str">
        <x:v>HU-C-HU-CELL-2 keystone inventory matches</x:v>
      </x:c>
      <x:c r="D624" s="13" t="b">
        <x:f>ABS('Public Paths'!I40-'Public Paths'!E40*Controls!$B$28)&lt;0.000001</x:f>
        <x:v>1</x:v>
      </x:c>
      <x:c r="E624" s="58" t="b">
        <x:v>1</x:v>
      </x:c>
      <x:c r="F624" s="13" t="str">
        <x:f>IF(D624=E624,"PASS","FAIL")</x:f>
        <x:v>PASS</x:v>
      </x:c>
    </x:row>
    <x:row r="625">
      <x:c r="A625" s="13" t="str">
        <x:v>PP-35-06</x:v>
      </x:c>
      <x:c r="B625" s="13" t="str">
        <x:v>Public path</x:v>
      </x:c>
      <x:c r="C625" s="13" t="str">
        <x:v>HU-C-HU-CELL-2 planning passes</x:v>
      </x:c>
      <x:c r="D625" s="13" t="str">
        <x:f>'Public Paths'!Q40</x:f>
        <x:v>PASS</x:v>
      </x:c>
      <x:c r="E625" s="13" t="str">
        <x:v>PASS</x:v>
      </x:c>
      <x:c r="F625" s="13" t="str">
        <x:f>IF(D625=E625,"PASS","FAIL")</x:f>
        <x:v>PASS</x:v>
      </x:c>
    </x:row>
    <x:row r="626">
      <x:c r="A626" s="13" t="str">
        <x:v>PP-35-07</x:v>
      </x:c>
      <x:c r="B626" s="13" t="str">
        <x:v>Public path</x:v>
      </x:c>
      <x:c r="C626" s="13" t="str">
        <x:v>HU-C-HU-CELL-2 source state</x:v>
      </x:c>
      <x:c r="D626" s="13" t="str">
        <x:f>'Public Paths'!R40</x:f>
        <x:v>SOURCE EMPTY</x:v>
      </x:c>
      <x:c r="E626" s="13" t="str">
        <x:v>SOURCE EMPTY</x:v>
      </x:c>
      <x:c r="F626" s="13" t="str">
        <x:f>IF(D626=E626,"PASS","FAIL")</x:f>
        <x:v>PASS</x:v>
      </x:c>
    </x:row>
    <x:row r="627">
      <x:c r="A627" s="13" t="str">
        <x:v>PP-35-08</x:v>
      </x:c>
      <x:c r="B627" s="13" t="str">
        <x:v>Public path</x:v>
      </x:c>
      <x:c r="C627" s="13" t="str">
        <x:v>HU-C-HU-CELL-2 cell identity agrees when populated</x:v>
      </x:c>
      <x:c r="D627" s="13" t="b">
        <x:f>IF(AND('Public Paths'!K40="",'Public Paths'!L40=""),TRUE,AND('Public Paths'!K40=VLOOKUP('Public Paths'!D40,'Cell Capacity'!$A$6:$S$29,15,FALSE),'Public Paths'!L40=VLOOKUP('Public Paths'!D40,'Cell Capacity'!$A$6:$S$29,16,FALSE)))</x:f>
        <x:v>1</x:v>
      </x:c>
      <x:c r="E627" s="58" t="b">
        <x:v>1</x:v>
      </x:c>
      <x:c r="F627" s="13" t="str">
        <x:f>IF(D627=E627,"PASS","FAIL")</x:f>
        <x:v>PASS</x:v>
      </x:c>
    </x:row>
    <x:row r="628">
      <x:c r="A628" s="13" t="str">
        <x:v>PP-35-09</x:v>
      </x:c>
      <x:c r="B628" s="13" t="str">
        <x:v>Public path</x:v>
      </x:c>
      <x:c r="C628" s="13" t="str">
        <x:v>HU-C-HU-CELL-2 root mapping retained</x:v>
      </x:c>
      <x:c r="D628" s="13" t="b">
        <x:f>'Public Paths'!B40="HU-C"</x:f>
        <x:v>1</x:v>
      </x:c>
      <x:c r="E628" s="58" t="b">
        <x:v>1</x:v>
      </x:c>
      <x:c r="F628" s="13" t="str">
        <x:f>IF(D628=E628,"PASS","FAIL")</x:f>
        <x:v>PASS</x:v>
      </x:c>
    </x:row>
    <x:row r="629">
      <x:c r="A629" s="13" t="str">
        <x:v>PP-36-01</x:v>
      </x:c>
      <x:c r="B629" s="13" t="str">
        <x:v>Public path</x:v>
      </x:c>
      <x:c r="C629" s="13" t="str">
        <x:v>HU-D-HU-CELL-2 qualification unique</x:v>
      </x:c>
      <x:c r="D629" s="13" t="n">
        <x:f>COUNTIFS('Public Paths'!$A$6:$A$53,'Public Paths'!A41)</x:f>
        <x:v>1</x:v>
      </x:c>
      <x:c r="E629" s="13" t="n">
        <x:v>1</x:v>
      </x:c>
      <x:c r="F629" s="13" t="str">
        <x:f>IF(D629=E629,"PASS","FAIL")</x:f>
        <x:v>PASS</x:v>
      </x:c>
    </x:row>
    <x:row r="630">
      <x:c r="A630" s="13" t="str">
        <x:v>PP-36-02</x:v>
      </x:c>
      <x:c r="B630" s="13" t="str">
        <x:v>Public path</x:v>
      </x:c>
      <x:c r="C630" s="13" t="str">
        <x:v>HU-D-HU-CELL-2 root exists</x:v>
      </x:c>
      <x:c r="D630" s="13" t="n">
        <x:f>COUNTIFS('Root Units'!$A$6:$A$29,'Public Paths'!B41)</x:f>
        <x:v>1</x:v>
      </x:c>
      <x:c r="E630" s="13" t="n">
        <x:v>1</x:v>
      </x:c>
      <x:c r="F630" s="13" t="str">
        <x:f>IF(D630=E630,"PASS","FAIL")</x:f>
        <x:v>PASS</x:v>
      </x:c>
    </x:row>
    <x:row r="631">
      <x:c r="A631" s="13" t="str">
        <x:v>PP-36-03</x:v>
      </x:c>
      <x:c r="B631" s="13" t="str">
        <x:v>Public path</x:v>
      </x:c>
      <x:c r="C631" s="13" t="str">
        <x:v>HU-D-HU-CELL-2 cell exists</x:v>
      </x:c>
      <x:c r="D631" s="13" t="n">
        <x:f>COUNTIFS('Cell Capacity'!$A$6:$A$29,'Public Paths'!D41)</x:f>
        <x:v>1</x:v>
      </x:c>
      <x:c r="E631" s="13" t="n">
        <x:v>1</x:v>
      </x:c>
      <x:c r="F631" s="13" t="str">
        <x:f>IF(D631=E631,"PASS","FAIL")</x:f>
        <x:v>PASS</x:v>
      </x:c>
    </x:row>
    <x:row r="632">
      <x:c r="A632" s="13" t="str">
        <x:v>PP-36-04</x:v>
      </x:c>
      <x:c r="B632" s="13" t="str">
        <x:v>Public path</x:v>
      </x:c>
      <x:c r="C632" s="13" t="str">
        <x:v>HU-D-HU-CELL-2 root mass matches</x:v>
      </x:c>
      <x:c r="D632" s="13" t="b">
        <x:f>ABS('Public Paths'!E41-VLOOKUP('Public Paths'!B41,'Root Units'!$A$6:$K$29,5,FALSE))&lt;0.000001</x:f>
        <x:v>1</x:v>
      </x:c>
      <x:c r="E632" s="58" t="b">
        <x:v>1</x:v>
      </x:c>
      <x:c r="F632" s="13" t="str">
        <x:f>IF(D632=E632,"PASS","FAIL")</x:f>
        <x:v>PASS</x:v>
      </x:c>
    </x:row>
    <x:row r="633">
      <x:c r="A633" s="13" t="str">
        <x:v>PP-36-05</x:v>
      </x:c>
      <x:c r="B633" s="13" t="str">
        <x:v>Public path</x:v>
      </x:c>
      <x:c r="C633" s="13" t="str">
        <x:v>HU-D-HU-CELL-2 keystone inventory matches</x:v>
      </x:c>
      <x:c r="D633" s="13" t="b">
        <x:f>ABS('Public Paths'!I41-'Public Paths'!E41*Controls!$B$28)&lt;0.000001</x:f>
        <x:v>1</x:v>
      </x:c>
      <x:c r="E633" s="58" t="b">
        <x:v>1</x:v>
      </x:c>
      <x:c r="F633" s="13" t="str">
        <x:f>IF(D633=E633,"PASS","FAIL")</x:f>
        <x:v>PASS</x:v>
      </x:c>
    </x:row>
    <x:row r="634">
      <x:c r="A634" s="13" t="str">
        <x:v>PP-36-06</x:v>
      </x:c>
      <x:c r="B634" s="13" t="str">
        <x:v>Public path</x:v>
      </x:c>
      <x:c r="C634" s="13" t="str">
        <x:v>HU-D-HU-CELL-2 planning passes</x:v>
      </x:c>
      <x:c r="D634" s="13" t="str">
        <x:f>'Public Paths'!Q41</x:f>
        <x:v>PASS</x:v>
      </x:c>
      <x:c r="E634" s="13" t="str">
        <x:v>PASS</x:v>
      </x:c>
      <x:c r="F634" s="13" t="str">
        <x:f>IF(D634=E634,"PASS","FAIL")</x:f>
        <x:v>PASS</x:v>
      </x:c>
    </x:row>
    <x:row r="635">
      <x:c r="A635" s="13" t="str">
        <x:v>PP-36-07</x:v>
      </x:c>
      <x:c r="B635" s="13" t="str">
        <x:v>Public path</x:v>
      </x:c>
      <x:c r="C635" s="13" t="str">
        <x:v>HU-D-HU-CELL-2 source state</x:v>
      </x:c>
      <x:c r="D635" s="13" t="str">
        <x:f>'Public Paths'!R41</x:f>
        <x:v>SOURCE EMPTY</x:v>
      </x:c>
      <x:c r="E635" s="13" t="str">
        <x:v>SOURCE EMPTY</x:v>
      </x:c>
      <x:c r="F635" s="13" t="str">
        <x:f>IF(D635=E635,"PASS","FAIL")</x:f>
        <x:v>PASS</x:v>
      </x:c>
    </x:row>
    <x:row r="636">
      <x:c r="A636" s="13" t="str">
        <x:v>PP-36-08</x:v>
      </x:c>
      <x:c r="B636" s="13" t="str">
        <x:v>Public path</x:v>
      </x:c>
      <x:c r="C636" s="13" t="str">
        <x:v>HU-D-HU-CELL-2 cell identity agrees when populated</x:v>
      </x:c>
      <x:c r="D636" s="13" t="b">
        <x:f>IF(AND('Public Paths'!K41="",'Public Paths'!L41=""),TRUE,AND('Public Paths'!K41=VLOOKUP('Public Paths'!D41,'Cell Capacity'!$A$6:$S$29,15,FALSE),'Public Paths'!L41=VLOOKUP('Public Paths'!D41,'Cell Capacity'!$A$6:$S$29,16,FALSE)))</x:f>
        <x:v>1</x:v>
      </x:c>
      <x:c r="E636" s="58" t="b">
        <x:v>1</x:v>
      </x:c>
      <x:c r="F636" s="13" t="str">
        <x:f>IF(D636=E636,"PASS","FAIL")</x:f>
        <x:v>PASS</x:v>
      </x:c>
    </x:row>
    <x:row r="637">
      <x:c r="A637" s="13" t="str">
        <x:v>PP-36-09</x:v>
      </x:c>
      <x:c r="B637" s="13" t="str">
        <x:v>Public path</x:v>
      </x:c>
      <x:c r="C637" s="13" t="str">
        <x:v>HU-D-HU-CELL-2 root mapping retained</x:v>
      </x:c>
      <x:c r="D637" s="13" t="b">
        <x:f>'Public Paths'!B41="HU-D"</x:f>
        <x:v>1</x:v>
      </x:c>
      <x:c r="E637" s="58" t="b">
        <x:v>1</x:v>
      </x:c>
      <x:c r="F637" s="13" t="str">
        <x:f>IF(D637=E637,"PASS","FAIL")</x:f>
        <x:v>PASS</x:v>
      </x:c>
    </x:row>
    <x:row r="638">
      <x:c r="A638" s="13" t="str">
        <x:v>PP-37-01</x:v>
      </x:c>
      <x:c r="B638" s="13" t="str">
        <x:v>Public path</x:v>
      </x:c>
      <x:c r="C638" s="13" t="str">
        <x:v>HU-A-HU-CELL-3 qualification unique</x:v>
      </x:c>
      <x:c r="D638" s="13" t="n">
        <x:f>COUNTIFS('Public Paths'!$A$6:$A$53,'Public Paths'!A42)</x:f>
        <x:v>1</x:v>
      </x:c>
      <x:c r="E638" s="13" t="n">
        <x:v>1</x:v>
      </x:c>
      <x:c r="F638" s="13" t="str">
        <x:f>IF(D638=E638,"PASS","FAIL")</x:f>
        <x:v>PASS</x:v>
      </x:c>
    </x:row>
    <x:row r="639">
      <x:c r="A639" s="13" t="str">
        <x:v>PP-37-02</x:v>
      </x:c>
      <x:c r="B639" s="13" t="str">
        <x:v>Public path</x:v>
      </x:c>
      <x:c r="C639" s="13" t="str">
        <x:v>HU-A-HU-CELL-3 root exists</x:v>
      </x:c>
      <x:c r="D639" s="13" t="n">
        <x:f>COUNTIFS('Root Units'!$A$6:$A$29,'Public Paths'!B42)</x:f>
        <x:v>1</x:v>
      </x:c>
      <x:c r="E639" s="13" t="n">
        <x:v>1</x:v>
      </x:c>
      <x:c r="F639" s="13" t="str">
        <x:f>IF(D639=E639,"PASS","FAIL")</x:f>
        <x:v>PASS</x:v>
      </x:c>
    </x:row>
    <x:row r="640">
      <x:c r="A640" s="13" t="str">
        <x:v>PP-37-03</x:v>
      </x:c>
      <x:c r="B640" s="13" t="str">
        <x:v>Public path</x:v>
      </x:c>
      <x:c r="C640" s="13" t="str">
        <x:v>HU-A-HU-CELL-3 cell exists</x:v>
      </x:c>
      <x:c r="D640" s="13" t="n">
        <x:f>COUNTIFS('Cell Capacity'!$A$6:$A$29,'Public Paths'!D42)</x:f>
        <x:v>1</x:v>
      </x:c>
      <x:c r="E640" s="13" t="n">
        <x:v>1</x:v>
      </x:c>
      <x:c r="F640" s="13" t="str">
        <x:f>IF(D640=E640,"PASS","FAIL")</x:f>
        <x:v>PASS</x:v>
      </x:c>
    </x:row>
    <x:row r="641">
      <x:c r="A641" s="13" t="str">
        <x:v>PP-37-04</x:v>
      </x:c>
      <x:c r="B641" s="13" t="str">
        <x:v>Public path</x:v>
      </x:c>
      <x:c r="C641" s="13" t="str">
        <x:v>HU-A-HU-CELL-3 root mass matches</x:v>
      </x:c>
      <x:c r="D641" s="13" t="b">
        <x:f>ABS('Public Paths'!E42-VLOOKUP('Public Paths'!B42,'Root Units'!$A$6:$K$29,5,FALSE))&lt;0.000001</x:f>
        <x:v>1</x:v>
      </x:c>
      <x:c r="E641" s="58" t="b">
        <x:v>1</x:v>
      </x:c>
      <x:c r="F641" s="13" t="str">
        <x:f>IF(D641=E641,"PASS","FAIL")</x:f>
        <x:v>PASS</x:v>
      </x:c>
    </x:row>
    <x:row r="642">
      <x:c r="A642" s="13" t="str">
        <x:v>PP-37-05</x:v>
      </x:c>
      <x:c r="B642" s="13" t="str">
        <x:v>Public path</x:v>
      </x:c>
      <x:c r="C642" s="13" t="str">
        <x:v>HU-A-HU-CELL-3 keystone inventory matches</x:v>
      </x:c>
      <x:c r="D642" s="13" t="b">
        <x:f>ABS('Public Paths'!I42-'Public Paths'!E42*Controls!$B$28)&lt;0.000001</x:f>
        <x:v>1</x:v>
      </x:c>
      <x:c r="E642" s="58" t="b">
        <x:v>1</x:v>
      </x:c>
      <x:c r="F642" s="13" t="str">
        <x:f>IF(D642=E642,"PASS","FAIL")</x:f>
        <x:v>PASS</x:v>
      </x:c>
    </x:row>
    <x:row r="643">
      <x:c r="A643" s="13" t="str">
        <x:v>PP-37-06</x:v>
      </x:c>
      <x:c r="B643" s="13" t="str">
        <x:v>Public path</x:v>
      </x:c>
      <x:c r="C643" s="13" t="str">
        <x:v>HU-A-HU-CELL-3 planning passes</x:v>
      </x:c>
      <x:c r="D643" s="13" t="str">
        <x:f>'Public Paths'!Q42</x:f>
        <x:v>PASS</x:v>
      </x:c>
      <x:c r="E643" s="13" t="str">
        <x:v>PASS</x:v>
      </x:c>
      <x:c r="F643" s="13" t="str">
        <x:f>IF(D643=E643,"PASS","FAIL")</x:f>
        <x:v>PASS</x:v>
      </x:c>
    </x:row>
    <x:row r="644">
      <x:c r="A644" s="13" t="str">
        <x:v>PP-37-07</x:v>
      </x:c>
      <x:c r="B644" s="13" t="str">
        <x:v>Public path</x:v>
      </x:c>
      <x:c r="C644" s="13" t="str">
        <x:v>HU-A-HU-CELL-3 source state</x:v>
      </x:c>
      <x:c r="D644" s="13" t="str">
        <x:f>'Public Paths'!R42</x:f>
        <x:v>SOURCE EMPTY</x:v>
      </x:c>
      <x:c r="E644" s="13" t="str">
        <x:v>SOURCE EMPTY</x:v>
      </x:c>
      <x:c r="F644" s="13" t="str">
        <x:f>IF(D644=E644,"PASS","FAIL")</x:f>
        <x:v>PASS</x:v>
      </x:c>
    </x:row>
    <x:row r="645">
      <x:c r="A645" s="13" t="str">
        <x:v>PP-37-08</x:v>
      </x:c>
      <x:c r="B645" s="13" t="str">
        <x:v>Public path</x:v>
      </x:c>
      <x:c r="C645" s="13" t="str">
        <x:v>HU-A-HU-CELL-3 cell identity agrees when populated</x:v>
      </x:c>
      <x:c r="D645" s="13" t="b">
        <x:f>IF(AND('Public Paths'!K42="",'Public Paths'!L42=""),TRUE,AND('Public Paths'!K42=VLOOKUP('Public Paths'!D42,'Cell Capacity'!$A$6:$S$29,15,FALSE),'Public Paths'!L42=VLOOKUP('Public Paths'!D42,'Cell Capacity'!$A$6:$S$29,16,FALSE)))</x:f>
        <x:v>1</x:v>
      </x:c>
      <x:c r="E645" s="58" t="b">
        <x:v>1</x:v>
      </x:c>
      <x:c r="F645" s="13" t="str">
        <x:f>IF(D645=E645,"PASS","FAIL")</x:f>
        <x:v>PASS</x:v>
      </x:c>
    </x:row>
    <x:row r="646">
      <x:c r="A646" s="13" t="str">
        <x:v>PP-37-09</x:v>
      </x:c>
      <x:c r="B646" s="13" t="str">
        <x:v>Public path</x:v>
      </x:c>
      <x:c r="C646" s="13" t="str">
        <x:v>HU-A-HU-CELL-3 root mapping retained</x:v>
      </x:c>
      <x:c r="D646" s="13" t="b">
        <x:f>'Public Paths'!B42="HU-A"</x:f>
        <x:v>1</x:v>
      </x:c>
      <x:c r="E646" s="58" t="b">
        <x:v>1</x:v>
      </x:c>
      <x:c r="F646" s="13" t="str">
        <x:f>IF(D646=E646,"PASS","FAIL")</x:f>
        <x:v>PASS</x:v>
      </x:c>
    </x:row>
    <x:row r="647">
      <x:c r="A647" s="13" t="str">
        <x:v>PP-38-01</x:v>
      </x:c>
      <x:c r="B647" s="13" t="str">
        <x:v>Public path</x:v>
      </x:c>
      <x:c r="C647" s="13" t="str">
        <x:v>HU-C-HU-CELL-3 qualification unique</x:v>
      </x:c>
      <x:c r="D647" s="13" t="n">
        <x:f>COUNTIFS('Public Paths'!$A$6:$A$53,'Public Paths'!A43)</x:f>
        <x:v>1</x:v>
      </x:c>
      <x:c r="E647" s="13" t="n">
        <x:v>1</x:v>
      </x:c>
      <x:c r="F647" s="13" t="str">
        <x:f>IF(D647=E647,"PASS","FAIL")</x:f>
        <x:v>PASS</x:v>
      </x:c>
    </x:row>
    <x:row r="648">
      <x:c r="A648" s="13" t="str">
        <x:v>PP-38-02</x:v>
      </x:c>
      <x:c r="B648" s="13" t="str">
        <x:v>Public path</x:v>
      </x:c>
      <x:c r="C648" s="13" t="str">
        <x:v>HU-C-HU-CELL-3 root exists</x:v>
      </x:c>
      <x:c r="D648" s="13" t="n">
        <x:f>COUNTIFS('Root Units'!$A$6:$A$29,'Public Paths'!B43)</x:f>
        <x:v>1</x:v>
      </x:c>
      <x:c r="E648" s="13" t="n">
        <x:v>1</x:v>
      </x:c>
      <x:c r="F648" s="13" t="str">
        <x:f>IF(D648=E648,"PASS","FAIL")</x:f>
        <x:v>PASS</x:v>
      </x:c>
    </x:row>
    <x:row r="649">
      <x:c r="A649" s="13" t="str">
        <x:v>PP-38-03</x:v>
      </x:c>
      <x:c r="B649" s="13" t="str">
        <x:v>Public path</x:v>
      </x:c>
      <x:c r="C649" s="13" t="str">
        <x:v>HU-C-HU-CELL-3 cell exists</x:v>
      </x:c>
      <x:c r="D649" s="13" t="n">
        <x:f>COUNTIFS('Cell Capacity'!$A$6:$A$29,'Public Paths'!D43)</x:f>
        <x:v>1</x:v>
      </x:c>
      <x:c r="E649" s="13" t="n">
        <x:v>1</x:v>
      </x:c>
      <x:c r="F649" s="13" t="str">
        <x:f>IF(D649=E649,"PASS","FAIL")</x:f>
        <x:v>PASS</x:v>
      </x:c>
    </x:row>
    <x:row r="650">
      <x:c r="A650" s="13" t="str">
        <x:v>PP-38-04</x:v>
      </x:c>
      <x:c r="B650" s="13" t="str">
        <x:v>Public path</x:v>
      </x:c>
      <x:c r="C650" s="13" t="str">
        <x:v>HU-C-HU-CELL-3 root mass matches</x:v>
      </x:c>
      <x:c r="D650" s="13" t="b">
        <x:f>ABS('Public Paths'!E43-VLOOKUP('Public Paths'!B43,'Root Units'!$A$6:$K$29,5,FALSE))&lt;0.000001</x:f>
        <x:v>1</x:v>
      </x:c>
      <x:c r="E650" s="58" t="b">
        <x:v>1</x:v>
      </x:c>
      <x:c r="F650" s="13" t="str">
        <x:f>IF(D650=E650,"PASS","FAIL")</x:f>
        <x:v>PASS</x:v>
      </x:c>
    </x:row>
    <x:row r="651">
      <x:c r="A651" s="13" t="str">
        <x:v>PP-38-05</x:v>
      </x:c>
      <x:c r="B651" s="13" t="str">
        <x:v>Public path</x:v>
      </x:c>
      <x:c r="C651" s="13" t="str">
        <x:v>HU-C-HU-CELL-3 keystone inventory matches</x:v>
      </x:c>
      <x:c r="D651" s="13" t="b">
        <x:f>ABS('Public Paths'!I43-'Public Paths'!E43*Controls!$B$28)&lt;0.000001</x:f>
        <x:v>1</x:v>
      </x:c>
      <x:c r="E651" s="58" t="b">
        <x:v>1</x:v>
      </x:c>
      <x:c r="F651" s="13" t="str">
        <x:f>IF(D651=E651,"PASS","FAIL")</x:f>
        <x:v>PASS</x:v>
      </x:c>
    </x:row>
    <x:row r="652">
      <x:c r="A652" s="13" t="str">
        <x:v>PP-38-06</x:v>
      </x:c>
      <x:c r="B652" s="13" t="str">
        <x:v>Public path</x:v>
      </x:c>
      <x:c r="C652" s="13" t="str">
        <x:v>HU-C-HU-CELL-3 planning passes</x:v>
      </x:c>
      <x:c r="D652" s="13" t="str">
        <x:f>'Public Paths'!Q43</x:f>
        <x:v>PASS</x:v>
      </x:c>
      <x:c r="E652" s="13" t="str">
        <x:v>PASS</x:v>
      </x:c>
      <x:c r="F652" s="13" t="str">
        <x:f>IF(D652=E652,"PASS","FAIL")</x:f>
        <x:v>PASS</x:v>
      </x:c>
    </x:row>
    <x:row r="653">
      <x:c r="A653" s="13" t="str">
        <x:v>PP-38-07</x:v>
      </x:c>
      <x:c r="B653" s="13" t="str">
        <x:v>Public path</x:v>
      </x:c>
      <x:c r="C653" s="13" t="str">
        <x:v>HU-C-HU-CELL-3 source state</x:v>
      </x:c>
      <x:c r="D653" s="13" t="str">
        <x:f>'Public Paths'!R43</x:f>
        <x:v>SOURCE EMPTY</x:v>
      </x:c>
      <x:c r="E653" s="13" t="str">
        <x:v>SOURCE EMPTY</x:v>
      </x:c>
      <x:c r="F653" s="13" t="str">
        <x:f>IF(D653=E653,"PASS","FAIL")</x:f>
        <x:v>PASS</x:v>
      </x:c>
    </x:row>
    <x:row r="654">
      <x:c r="A654" s="13" t="str">
        <x:v>PP-38-08</x:v>
      </x:c>
      <x:c r="B654" s="13" t="str">
        <x:v>Public path</x:v>
      </x:c>
      <x:c r="C654" s="13" t="str">
        <x:v>HU-C-HU-CELL-3 cell identity agrees when populated</x:v>
      </x:c>
      <x:c r="D654" s="13" t="b">
        <x:f>IF(AND('Public Paths'!K43="",'Public Paths'!L43=""),TRUE,AND('Public Paths'!K43=VLOOKUP('Public Paths'!D43,'Cell Capacity'!$A$6:$S$29,15,FALSE),'Public Paths'!L43=VLOOKUP('Public Paths'!D43,'Cell Capacity'!$A$6:$S$29,16,FALSE)))</x:f>
        <x:v>1</x:v>
      </x:c>
      <x:c r="E654" s="58" t="b">
        <x:v>1</x:v>
      </x:c>
      <x:c r="F654" s="13" t="str">
        <x:f>IF(D654=E654,"PASS","FAIL")</x:f>
        <x:v>PASS</x:v>
      </x:c>
    </x:row>
    <x:row r="655">
      <x:c r="A655" s="13" t="str">
        <x:v>PP-38-09</x:v>
      </x:c>
      <x:c r="B655" s="13" t="str">
        <x:v>Public path</x:v>
      </x:c>
      <x:c r="C655" s="13" t="str">
        <x:v>HU-C-HU-CELL-3 root mapping retained</x:v>
      </x:c>
      <x:c r="D655" s="13" t="b">
        <x:f>'Public Paths'!B43="HU-C"</x:f>
        <x:v>1</x:v>
      </x:c>
      <x:c r="E655" s="58" t="b">
        <x:v>1</x:v>
      </x:c>
      <x:c r="F655" s="13" t="str">
        <x:f>IF(D655=E655,"PASS","FAIL")</x:f>
        <x:v>PASS</x:v>
      </x:c>
    </x:row>
    <x:row r="656">
      <x:c r="A656" s="13" t="str">
        <x:v>PP-39-01</x:v>
      </x:c>
      <x:c r="B656" s="13" t="str">
        <x:v>Public path</x:v>
      </x:c>
      <x:c r="C656" s="13" t="str">
        <x:v>HU-B-HU-CELL-4 qualification unique</x:v>
      </x:c>
      <x:c r="D656" s="13" t="n">
        <x:f>COUNTIFS('Public Paths'!$A$6:$A$53,'Public Paths'!A44)</x:f>
        <x:v>1</x:v>
      </x:c>
      <x:c r="E656" s="13" t="n">
        <x:v>1</x:v>
      </x:c>
      <x:c r="F656" s="13" t="str">
        <x:f>IF(D656=E656,"PASS","FAIL")</x:f>
        <x:v>PASS</x:v>
      </x:c>
    </x:row>
    <x:row r="657">
      <x:c r="A657" s="13" t="str">
        <x:v>PP-39-02</x:v>
      </x:c>
      <x:c r="B657" s="13" t="str">
        <x:v>Public path</x:v>
      </x:c>
      <x:c r="C657" s="13" t="str">
        <x:v>HU-B-HU-CELL-4 root exists</x:v>
      </x:c>
      <x:c r="D657" s="13" t="n">
        <x:f>COUNTIFS('Root Units'!$A$6:$A$29,'Public Paths'!B44)</x:f>
        <x:v>1</x:v>
      </x:c>
      <x:c r="E657" s="13" t="n">
        <x:v>1</x:v>
      </x:c>
      <x:c r="F657" s="13" t="str">
        <x:f>IF(D657=E657,"PASS","FAIL")</x:f>
        <x:v>PASS</x:v>
      </x:c>
    </x:row>
    <x:row r="658">
      <x:c r="A658" s="13" t="str">
        <x:v>PP-39-03</x:v>
      </x:c>
      <x:c r="B658" s="13" t="str">
        <x:v>Public path</x:v>
      </x:c>
      <x:c r="C658" s="13" t="str">
        <x:v>HU-B-HU-CELL-4 cell exists</x:v>
      </x:c>
      <x:c r="D658" s="13" t="n">
        <x:f>COUNTIFS('Cell Capacity'!$A$6:$A$29,'Public Paths'!D44)</x:f>
        <x:v>1</x:v>
      </x:c>
      <x:c r="E658" s="13" t="n">
        <x:v>1</x:v>
      </x:c>
      <x:c r="F658" s="13" t="str">
        <x:f>IF(D658=E658,"PASS","FAIL")</x:f>
        <x:v>PASS</x:v>
      </x:c>
    </x:row>
    <x:row r="659">
      <x:c r="A659" s="13" t="str">
        <x:v>PP-39-04</x:v>
      </x:c>
      <x:c r="B659" s="13" t="str">
        <x:v>Public path</x:v>
      </x:c>
      <x:c r="C659" s="13" t="str">
        <x:v>HU-B-HU-CELL-4 root mass matches</x:v>
      </x:c>
      <x:c r="D659" s="13" t="b">
        <x:f>ABS('Public Paths'!E44-VLOOKUP('Public Paths'!B44,'Root Units'!$A$6:$K$29,5,FALSE))&lt;0.000001</x:f>
        <x:v>1</x:v>
      </x:c>
      <x:c r="E659" s="58" t="b">
        <x:v>1</x:v>
      </x:c>
      <x:c r="F659" s="13" t="str">
        <x:f>IF(D659=E659,"PASS","FAIL")</x:f>
        <x:v>PASS</x:v>
      </x:c>
    </x:row>
    <x:row r="660">
      <x:c r="A660" s="13" t="str">
        <x:v>PP-39-05</x:v>
      </x:c>
      <x:c r="B660" s="13" t="str">
        <x:v>Public path</x:v>
      </x:c>
      <x:c r="C660" s="13" t="str">
        <x:v>HU-B-HU-CELL-4 keystone inventory matches</x:v>
      </x:c>
      <x:c r="D660" s="13" t="b">
        <x:f>ABS('Public Paths'!I44-'Public Paths'!E44*Controls!$B$28)&lt;0.000001</x:f>
        <x:v>1</x:v>
      </x:c>
      <x:c r="E660" s="58" t="b">
        <x:v>1</x:v>
      </x:c>
      <x:c r="F660" s="13" t="str">
        <x:f>IF(D660=E660,"PASS","FAIL")</x:f>
        <x:v>PASS</x:v>
      </x:c>
    </x:row>
    <x:row r="661">
      <x:c r="A661" s="13" t="str">
        <x:v>PP-39-06</x:v>
      </x:c>
      <x:c r="B661" s="13" t="str">
        <x:v>Public path</x:v>
      </x:c>
      <x:c r="C661" s="13" t="str">
        <x:v>HU-B-HU-CELL-4 planning passes</x:v>
      </x:c>
      <x:c r="D661" s="13" t="str">
        <x:f>'Public Paths'!Q44</x:f>
        <x:v>PASS</x:v>
      </x:c>
      <x:c r="E661" s="13" t="str">
        <x:v>PASS</x:v>
      </x:c>
      <x:c r="F661" s="13" t="str">
        <x:f>IF(D661=E661,"PASS","FAIL")</x:f>
        <x:v>PASS</x:v>
      </x:c>
    </x:row>
    <x:row r="662">
      <x:c r="A662" s="13" t="str">
        <x:v>PP-39-07</x:v>
      </x:c>
      <x:c r="B662" s="13" t="str">
        <x:v>Public path</x:v>
      </x:c>
      <x:c r="C662" s="13" t="str">
        <x:v>HU-B-HU-CELL-4 source state</x:v>
      </x:c>
      <x:c r="D662" s="13" t="str">
        <x:f>'Public Paths'!R44</x:f>
        <x:v>SOURCE EMPTY</x:v>
      </x:c>
      <x:c r="E662" s="13" t="str">
        <x:v>SOURCE EMPTY</x:v>
      </x:c>
      <x:c r="F662" s="13" t="str">
        <x:f>IF(D662=E662,"PASS","FAIL")</x:f>
        <x:v>PASS</x:v>
      </x:c>
    </x:row>
    <x:row r="663">
      <x:c r="A663" s="13" t="str">
        <x:v>PP-39-08</x:v>
      </x:c>
      <x:c r="B663" s="13" t="str">
        <x:v>Public path</x:v>
      </x:c>
      <x:c r="C663" s="13" t="str">
        <x:v>HU-B-HU-CELL-4 cell identity agrees when populated</x:v>
      </x:c>
      <x:c r="D663" s="13" t="b">
        <x:f>IF(AND('Public Paths'!K44="",'Public Paths'!L44=""),TRUE,AND('Public Paths'!K44=VLOOKUP('Public Paths'!D44,'Cell Capacity'!$A$6:$S$29,15,FALSE),'Public Paths'!L44=VLOOKUP('Public Paths'!D44,'Cell Capacity'!$A$6:$S$29,16,FALSE)))</x:f>
        <x:v>1</x:v>
      </x:c>
      <x:c r="E663" s="58" t="b">
        <x:v>1</x:v>
      </x:c>
      <x:c r="F663" s="13" t="str">
        <x:f>IF(D663=E663,"PASS","FAIL")</x:f>
        <x:v>PASS</x:v>
      </x:c>
    </x:row>
    <x:row r="664">
      <x:c r="A664" s="13" t="str">
        <x:v>PP-39-09</x:v>
      </x:c>
      <x:c r="B664" s="13" t="str">
        <x:v>Public path</x:v>
      </x:c>
      <x:c r="C664" s="13" t="str">
        <x:v>HU-B-HU-CELL-4 root mapping retained</x:v>
      </x:c>
      <x:c r="D664" s="13" t="b">
        <x:f>'Public Paths'!B44="HU-B"</x:f>
        <x:v>1</x:v>
      </x:c>
      <x:c r="E664" s="58" t="b">
        <x:v>1</x:v>
      </x:c>
      <x:c r="F664" s="13" t="str">
        <x:f>IF(D664=E664,"PASS","FAIL")</x:f>
        <x:v>PASS</x:v>
      </x:c>
    </x:row>
    <x:row r="665">
      <x:c r="A665" s="13" t="str">
        <x:v>PP-40-01</x:v>
      </x:c>
      <x:c r="B665" s="13" t="str">
        <x:v>Public path</x:v>
      </x:c>
      <x:c r="C665" s="13" t="str">
        <x:v>HU-D-HU-CELL-4 qualification unique</x:v>
      </x:c>
      <x:c r="D665" s="13" t="n">
        <x:f>COUNTIFS('Public Paths'!$A$6:$A$53,'Public Paths'!A45)</x:f>
        <x:v>1</x:v>
      </x:c>
      <x:c r="E665" s="13" t="n">
        <x:v>1</x:v>
      </x:c>
      <x:c r="F665" s="13" t="str">
        <x:f>IF(D665=E665,"PASS","FAIL")</x:f>
        <x:v>PASS</x:v>
      </x:c>
    </x:row>
    <x:row r="666">
      <x:c r="A666" s="13" t="str">
        <x:v>PP-40-02</x:v>
      </x:c>
      <x:c r="B666" s="13" t="str">
        <x:v>Public path</x:v>
      </x:c>
      <x:c r="C666" s="13" t="str">
        <x:v>HU-D-HU-CELL-4 root exists</x:v>
      </x:c>
      <x:c r="D666" s="13" t="n">
        <x:f>COUNTIFS('Root Units'!$A$6:$A$29,'Public Paths'!B45)</x:f>
        <x:v>1</x:v>
      </x:c>
      <x:c r="E666" s="13" t="n">
        <x:v>1</x:v>
      </x:c>
      <x:c r="F666" s="13" t="str">
        <x:f>IF(D666=E666,"PASS","FAIL")</x:f>
        <x:v>PASS</x:v>
      </x:c>
    </x:row>
    <x:row r="667">
      <x:c r="A667" s="13" t="str">
        <x:v>PP-40-03</x:v>
      </x:c>
      <x:c r="B667" s="13" t="str">
        <x:v>Public path</x:v>
      </x:c>
      <x:c r="C667" s="13" t="str">
        <x:v>HU-D-HU-CELL-4 cell exists</x:v>
      </x:c>
      <x:c r="D667" s="13" t="n">
        <x:f>COUNTIFS('Cell Capacity'!$A$6:$A$29,'Public Paths'!D45)</x:f>
        <x:v>1</x:v>
      </x:c>
      <x:c r="E667" s="13" t="n">
        <x:v>1</x:v>
      </x:c>
      <x:c r="F667" s="13" t="str">
        <x:f>IF(D667=E667,"PASS","FAIL")</x:f>
        <x:v>PASS</x:v>
      </x:c>
    </x:row>
    <x:row r="668">
      <x:c r="A668" s="13" t="str">
        <x:v>PP-40-04</x:v>
      </x:c>
      <x:c r="B668" s="13" t="str">
        <x:v>Public path</x:v>
      </x:c>
      <x:c r="C668" s="13" t="str">
        <x:v>HU-D-HU-CELL-4 root mass matches</x:v>
      </x:c>
      <x:c r="D668" s="13" t="b">
        <x:f>ABS('Public Paths'!E45-VLOOKUP('Public Paths'!B45,'Root Units'!$A$6:$K$29,5,FALSE))&lt;0.000001</x:f>
        <x:v>1</x:v>
      </x:c>
      <x:c r="E668" s="58" t="b">
        <x:v>1</x:v>
      </x:c>
      <x:c r="F668" s="13" t="str">
        <x:f>IF(D668=E668,"PASS","FAIL")</x:f>
        <x:v>PASS</x:v>
      </x:c>
    </x:row>
    <x:row r="669">
      <x:c r="A669" s="13" t="str">
        <x:v>PP-40-05</x:v>
      </x:c>
      <x:c r="B669" s="13" t="str">
        <x:v>Public path</x:v>
      </x:c>
      <x:c r="C669" s="13" t="str">
        <x:v>HU-D-HU-CELL-4 keystone inventory matches</x:v>
      </x:c>
      <x:c r="D669" s="13" t="b">
        <x:f>ABS('Public Paths'!I45-'Public Paths'!E45*Controls!$B$28)&lt;0.000001</x:f>
        <x:v>1</x:v>
      </x:c>
      <x:c r="E669" s="58" t="b">
        <x:v>1</x:v>
      </x:c>
      <x:c r="F669" s="13" t="str">
        <x:f>IF(D669=E669,"PASS","FAIL")</x:f>
        <x:v>PASS</x:v>
      </x:c>
    </x:row>
    <x:row r="670">
      <x:c r="A670" s="13" t="str">
        <x:v>PP-40-06</x:v>
      </x:c>
      <x:c r="B670" s="13" t="str">
        <x:v>Public path</x:v>
      </x:c>
      <x:c r="C670" s="13" t="str">
        <x:v>HU-D-HU-CELL-4 planning passes</x:v>
      </x:c>
      <x:c r="D670" s="13" t="str">
        <x:f>'Public Paths'!Q45</x:f>
        <x:v>PASS</x:v>
      </x:c>
      <x:c r="E670" s="13" t="str">
        <x:v>PASS</x:v>
      </x:c>
      <x:c r="F670" s="13" t="str">
        <x:f>IF(D670=E670,"PASS","FAIL")</x:f>
        <x:v>PASS</x:v>
      </x:c>
    </x:row>
    <x:row r="671">
      <x:c r="A671" s="13" t="str">
        <x:v>PP-40-07</x:v>
      </x:c>
      <x:c r="B671" s="13" t="str">
        <x:v>Public path</x:v>
      </x:c>
      <x:c r="C671" s="13" t="str">
        <x:v>HU-D-HU-CELL-4 source state</x:v>
      </x:c>
      <x:c r="D671" s="13" t="str">
        <x:f>'Public Paths'!R45</x:f>
        <x:v>SOURCE EMPTY</x:v>
      </x:c>
      <x:c r="E671" s="13" t="str">
        <x:v>SOURCE EMPTY</x:v>
      </x:c>
      <x:c r="F671" s="13" t="str">
        <x:f>IF(D671=E671,"PASS","FAIL")</x:f>
        <x:v>PASS</x:v>
      </x:c>
    </x:row>
    <x:row r="672">
      <x:c r="A672" s="13" t="str">
        <x:v>PP-40-08</x:v>
      </x:c>
      <x:c r="B672" s="13" t="str">
        <x:v>Public path</x:v>
      </x:c>
      <x:c r="C672" s="13" t="str">
        <x:v>HU-D-HU-CELL-4 cell identity agrees when populated</x:v>
      </x:c>
      <x:c r="D672" s="13" t="b">
        <x:f>IF(AND('Public Paths'!K45="",'Public Paths'!L45=""),TRUE,AND('Public Paths'!K45=VLOOKUP('Public Paths'!D45,'Cell Capacity'!$A$6:$S$29,15,FALSE),'Public Paths'!L45=VLOOKUP('Public Paths'!D45,'Cell Capacity'!$A$6:$S$29,16,FALSE)))</x:f>
        <x:v>1</x:v>
      </x:c>
      <x:c r="E672" s="58" t="b">
        <x:v>1</x:v>
      </x:c>
      <x:c r="F672" s="13" t="str">
        <x:f>IF(D672=E672,"PASS","FAIL")</x:f>
        <x:v>PASS</x:v>
      </x:c>
    </x:row>
    <x:row r="673">
      <x:c r="A673" s="13" t="str">
        <x:v>PP-40-09</x:v>
      </x:c>
      <x:c r="B673" s="13" t="str">
        <x:v>Public path</x:v>
      </x:c>
      <x:c r="C673" s="13" t="str">
        <x:v>HU-D-HU-CELL-4 root mapping retained</x:v>
      </x:c>
      <x:c r="D673" s="13" t="b">
        <x:f>'Public Paths'!B45="HU-D"</x:f>
        <x:v>1</x:v>
      </x:c>
      <x:c r="E673" s="58" t="b">
        <x:v>1</x:v>
      </x:c>
      <x:c r="F673" s="13" t="str">
        <x:f>IF(D673=E673,"PASS","FAIL")</x:f>
        <x:v>PASS</x:v>
      </x:c>
    </x:row>
    <x:row r="674">
      <x:c r="A674" s="13" t="str">
        <x:v>PP-41-01</x:v>
      </x:c>
      <x:c r="B674" s="13" t="str">
        <x:v>Public path</x:v>
      </x:c>
      <x:c r="C674" s="13" t="str">
        <x:v>RT-A-RT-CELL-1 qualification unique</x:v>
      </x:c>
      <x:c r="D674" s="13" t="n">
        <x:f>COUNTIFS('Public Paths'!$A$6:$A$53,'Public Paths'!A46)</x:f>
        <x:v>1</x:v>
      </x:c>
      <x:c r="E674" s="13" t="n">
        <x:v>1</x:v>
      </x:c>
      <x:c r="F674" s="13" t="str">
        <x:f>IF(D674=E674,"PASS","FAIL")</x:f>
        <x:v>PASS</x:v>
      </x:c>
    </x:row>
    <x:row r="675">
      <x:c r="A675" s="13" t="str">
        <x:v>PP-41-02</x:v>
      </x:c>
      <x:c r="B675" s="13" t="str">
        <x:v>Public path</x:v>
      </x:c>
      <x:c r="C675" s="13" t="str">
        <x:v>RT-A-RT-CELL-1 root exists</x:v>
      </x:c>
      <x:c r="D675" s="13" t="n">
        <x:f>COUNTIFS('Root Units'!$A$6:$A$29,'Public Paths'!B46)</x:f>
        <x:v>1</x:v>
      </x:c>
      <x:c r="E675" s="13" t="n">
        <x:v>1</x:v>
      </x:c>
      <x:c r="F675" s="13" t="str">
        <x:f>IF(D675=E675,"PASS","FAIL")</x:f>
        <x:v>PASS</x:v>
      </x:c>
    </x:row>
    <x:row r="676">
      <x:c r="A676" s="13" t="str">
        <x:v>PP-41-03</x:v>
      </x:c>
      <x:c r="B676" s="13" t="str">
        <x:v>Public path</x:v>
      </x:c>
      <x:c r="C676" s="13" t="str">
        <x:v>RT-A-RT-CELL-1 cell exists</x:v>
      </x:c>
      <x:c r="D676" s="13" t="n">
        <x:f>COUNTIFS('Cell Capacity'!$A$6:$A$29,'Public Paths'!D46)</x:f>
        <x:v>1</x:v>
      </x:c>
      <x:c r="E676" s="13" t="n">
        <x:v>1</x:v>
      </x:c>
      <x:c r="F676" s="13" t="str">
        <x:f>IF(D676=E676,"PASS","FAIL")</x:f>
        <x:v>PASS</x:v>
      </x:c>
    </x:row>
    <x:row r="677">
      <x:c r="A677" s="13" t="str">
        <x:v>PP-41-04</x:v>
      </x:c>
      <x:c r="B677" s="13" t="str">
        <x:v>Public path</x:v>
      </x:c>
      <x:c r="C677" s="13" t="str">
        <x:v>RT-A-RT-CELL-1 root mass matches</x:v>
      </x:c>
      <x:c r="D677" s="13" t="b">
        <x:f>ABS('Public Paths'!E46-VLOOKUP('Public Paths'!B46,'Root Units'!$A$6:$K$29,5,FALSE))&lt;0.000001</x:f>
        <x:v>1</x:v>
      </x:c>
      <x:c r="E677" s="58" t="b">
        <x:v>1</x:v>
      </x:c>
      <x:c r="F677" s="13" t="str">
        <x:f>IF(D677=E677,"PASS","FAIL")</x:f>
        <x:v>PASS</x:v>
      </x:c>
    </x:row>
    <x:row r="678">
      <x:c r="A678" s="13" t="str">
        <x:v>PP-41-05</x:v>
      </x:c>
      <x:c r="B678" s="13" t="str">
        <x:v>Public path</x:v>
      </x:c>
      <x:c r="C678" s="13" t="str">
        <x:v>RT-A-RT-CELL-1 keystone inventory matches</x:v>
      </x:c>
      <x:c r="D678" s="13" t="b">
        <x:f>ABS('Public Paths'!I46-'Public Paths'!E46*Controls!$B$28)&lt;0.000001</x:f>
        <x:v>1</x:v>
      </x:c>
      <x:c r="E678" s="58" t="b">
        <x:v>1</x:v>
      </x:c>
      <x:c r="F678" s="13" t="str">
        <x:f>IF(D678=E678,"PASS","FAIL")</x:f>
        <x:v>PASS</x:v>
      </x:c>
    </x:row>
    <x:row r="679">
      <x:c r="A679" s="13" t="str">
        <x:v>PP-41-06</x:v>
      </x:c>
      <x:c r="B679" s="13" t="str">
        <x:v>Public path</x:v>
      </x:c>
      <x:c r="C679" s="13" t="str">
        <x:v>RT-A-RT-CELL-1 planning passes</x:v>
      </x:c>
      <x:c r="D679" s="13" t="str">
        <x:f>'Public Paths'!Q46</x:f>
        <x:v>PASS</x:v>
      </x:c>
      <x:c r="E679" s="13" t="str">
        <x:v>PASS</x:v>
      </x:c>
      <x:c r="F679" s="13" t="str">
        <x:f>IF(D679=E679,"PASS","FAIL")</x:f>
        <x:v>PASS</x:v>
      </x:c>
    </x:row>
    <x:row r="680">
      <x:c r="A680" s="13" t="str">
        <x:v>PP-41-07</x:v>
      </x:c>
      <x:c r="B680" s="13" t="str">
        <x:v>Public path</x:v>
      </x:c>
      <x:c r="C680" s="13" t="str">
        <x:v>RT-A-RT-CELL-1 source state</x:v>
      </x:c>
      <x:c r="D680" s="13" t="str">
        <x:f>'Public Paths'!R46</x:f>
        <x:v>SOURCE EMPTY</x:v>
      </x:c>
      <x:c r="E680" s="13" t="str">
        <x:v>SOURCE EMPTY</x:v>
      </x:c>
      <x:c r="F680" s="13" t="str">
        <x:f>IF(D680=E680,"PASS","FAIL")</x:f>
        <x:v>PASS</x:v>
      </x:c>
    </x:row>
    <x:row r="681">
      <x:c r="A681" s="13" t="str">
        <x:v>PP-41-08</x:v>
      </x:c>
      <x:c r="B681" s="13" t="str">
        <x:v>Public path</x:v>
      </x:c>
      <x:c r="C681" s="13" t="str">
        <x:v>RT-A-RT-CELL-1 cell identity agrees when populated</x:v>
      </x:c>
      <x:c r="D681" s="13" t="b">
        <x:f>IF(AND('Public Paths'!K46="",'Public Paths'!L46=""),TRUE,AND('Public Paths'!K46=VLOOKUP('Public Paths'!D46,'Cell Capacity'!$A$6:$S$29,15,FALSE),'Public Paths'!L46=VLOOKUP('Public Paths'!D46,'Cell Capacity'!$A$6:$S$29,16,FALSE)))</x:f>
        <x:v>1</x:v>
      </x:c>
      <x:c r="E681" s="58" t="b">
        <x:v>1</x:v>
      </x:c>
      <x:c r="F681" s="13" t="str">
        <x:f>IF(D681=E681,"PASS","FAIL")</x:f>
        <x:v>PASS</x:v>
      </x:c>
    </x:row>
    <x:row r="682">
      <x:c r="A682" s="13" t="str">
        <x:v>PP-41-09</x:v>
      </x:c>
      <x:c r="B682" s="13" t="str">
        <x:v>Public path</x:v>
      </x:c>
      <x:c r="C682" s="13" t="str">
        <x:v>RT-A-RT-CELL-1 root mapping retained</x:v>
      </x:c>
      <x:c r="D682" s="13" t="b">
        <x:f>'Public Paths'!B46="RT-A"</x:f>
        <x:v>1</x:v>
      </x:c>
      <x:c r="E682" s="58" t="b">
        <x:v>1</x:v>
      </x:c>
      <x:c r="F682" s="13" t="str">
        <x:f>IF(D682=E682,"PASS","FAIL")</x:f>
        <x:v>PASS</x:v>
      </x:c>
    </x:row>
    <x:row r="683">
      <x:c r="A683" s="13" t="str">
        <x:v>PP-42-01</x:v>
      </x:c>
      <x:c r="B683" s="13" t="str">
        <x:v>Public path</x:v>
      </x:c>
      <x:c r="C683" s="13" t="str">
        <x:v>RT-B-RT-CELL-1 qualification unique</x:v>
      </x:c>
      <x:c r="D683" s="13" t="n">
        <x:f>COUNTIFS('Public Paths'!$A$6:$A$53,'Public Paths'!A47)</x:f>
        <x:v>1</x:v>
      </x:c>
      <x:c r="E683" s="13" t="n">
        <x:v>1</x:v>
      </x:c>
      <x:c r="F683" s="13" t="str">
        <x:f>IF(D683=E683,"PASS","FAIL")</x:f>
        <x:v>PASS</x:v>
      </x:c>
    </x:row>
    <x:row r="684">
      <x:c r="A684" s="13" t="str">
        <x:v>PP-42-02</x:v>
      </x:c>
      <x:c r="B684" s="13" t="str">
        <x:v>Public path</x:v>
      </x:c>
      <x:c r="C684" s="13" t="str">
        <x:v>RT-B-RT-CELL-1 root exists</x:v>
      </x:c>
      <x:c r="D684" s="13" t="n">
        <x:f>COUNTIFS('Root Units'!$A$6:$A$29,'Public Paths'!B47)</x:f>
        <x:v>1</x:v>
      </x:c>
      <x:c r="E684" s="13" t="n">
        <x:v>1</x:v>
      </x:c>
      <x:c r="F684" s="13" t="str">
        <x:f>IF(D684=E684,"PASS","FAIL")</x:f>
        <x:v>PASS</x:v>
      </x:c>
    </x:row>
    <x:row r="685">
      <x:c r="A685" s="13" t="str">
        <x:v>PP-42-03</x:v>
      </x:c>
      <x:c r="B685" s="13" t="str">
        <x:v>Public path</x:v>
      </x:c>
      <x:c r="C685" s="13" t="str">
        <x:v>RT-B-RT-CELL-1 cell exists</x:v>
      </x:c>
      <x:c r="D685" s="13" t="n">
        <x:f>COUNTIFS('Cell Capacity'!$A$6:$A$29,'Public Paths'!D47)</x:f>
        <x:v>1</x:v>
      </x:c>
      <x:c r="E685" s="13" t="n">
        <x:v>1</x:v>
      </x:c>
      <x:c r="F685" s="13" t="str">
        <x:f>IF(D685=E685,"PASS","FAIL")</x:f>
        <x:v>PASS</x:v>
      </x:c>
    </x:row>
    <x:row r="686">
      <x:c r="A686" s="13" t="str">
        <x:v>PP-42-04</x:v>
      </x:c>
      <x:c r="B686" s="13" t="str">
        <x:v>Public path</x:v>
      </x:c>
      <x:c r="C686" s="13" t="str">
        <x:v>RT-B-RT-CELL-1 root mass matches</x:v>
      </x:c>
      <x:c r="D686" s="13" t="b">
        <x:f>ABS('Public Paths'!E47-VLOOKUP('Public Paths'!B47,'Root Units'!$A$6:$K$29,5,FALSE))&lt;0.000001</x:f>
        <x:v>1</x:v>
      </x:c>
      <x:c r="E686" s="58" t="b">
        <x:v>1</x:v>
      </x:c>
      <x:c r="F686" s="13" t="str">
        <x:f>IF(D686=E686,"PASS","FAIL")</x:f>
        <x:v>PASS</x:v>
      </x:c>
    </x:row>
    <x:row r="687">
      <x:c r="A687" s="13" t="str">
        <x:v>PP-42-05</x:v>
      </x:c>
      <x:c r="B687" s="13" t="str">
        <x:v>Public path</x:v>
      </x:c>
      <x:c r="C687" s="13" t="str">
        <x:v>RT-B-RT-CELL-1 keystone inventory matches</x:v>
      </x:c>
      <x:c r="D687" s="13" t="b">
        <x:f>ABS('Public Paths'!I47-'Public Paths'!E47*Controls!$B$28)&lt;0.000001</x:f>
        <x:v>1</x:v>
      </x:c>
      <x:c r="E687" s="58" t="b">
        <x:v>1</x:v>
      </x:c>
      <x:c r="F687" s="13" t="str">
        <x:f>IF(D687=E687,"PASS","FAIL")</x:f>
        <x:v>PASS</x:v>
      </x:c>
    </x:row>
    <x:row r="688">
      <x:c r="A688" s="13" t="str">
        <x:v>PP-42-06</x:v>
      </x:c>
      <x:c r="B688" s="13" t="str">
        <x:v>Public path</x:v>
      </x:c>
      <x:c r="C688" s="13" t="str">
        <x:v>RT-B-RT-CELL-1 planning passes</x:v>
      </x:c>
      <x:c r="D688" s="13" t="str">
        <x:f>'Public Paths'!Q47</x:f>
        <x:v>PASS</x:v>
      </x:c>
      <x:c r="E688" s="13" t="str">
        <x:v>PASS</x:v>
      </x:c>
      <x:c r="F688" s="13" t="str">
        <x:f>IF(D688=E688,"PASS","FAIL")</x:f>
        <x:v>PASS</x:v>
      </x:c>
    </x:row>
    <x:row r="689">
      <x:c r="A689" s="13" t="str">
        <x:v>PP-42-07</x:v>
      </x:c>
      <x:c r="B689" s="13" t="str">
        <x:v>Public path</x:v>
      </x:c>
      <x:c r="C689" s="13" t="str">
        <x:v>RT-B-RT-CELL-1 source state</x:v>
      </x:c>
      <x:c r="D689" s="13" t="str">
        <x:f>'Public Paths'!R47</x:f>
        <x:v>SOURCE EMPTY</x:v>
      </x:c>
      <x:c r="E689" s="13" t="str">
        <x:v>SOURCE EMPTY</x:v>
      </x:c>
      <x:c r="F689" s="13" t="str">
        <x:f>IF(D689=E689,"PASS","FAIL")</x:f>
        <x:v>PASS</x:v>
      </x:c>
    </x:row>
    <x:row r="690">
      <x:c r="A690" s="13" t="str">
        <x:v>PP-42-08</x:v>
      </x:c>
      <x:c r="B690" s="13" t="str">
        <x:v>Public path</x:v>
      </x:c>
      <x:c r="C690" s="13" t="str">
        <x:v>RT-B-RT-CELL-1 cell identity agrees when populated</x:v>
      </x:c>
      <x:c r="D690" s="13" t="b">
        <x:f>IF(AND('Public Paths'!K47="",'Public Paths'!L47=""),TRUE,AND('Public Paths'!K47=VLOOKUP('Public Paths'!D47,'Cell Capacity'!$A$6:$S$29,15,FALSE),'Public Paths'!L47=VLOOKUP('Public Paths'!D47,'Cell Capacity'!$A$6:$S$29,16,FALSE)))</x:f>
        <x:v>1</x:v>
      </x:c>
      <x:c r="E690" s="58" t="b">
        <x:v>1</x:v>
      </x:c>
      <x:c r="F690" s="13" t="str">
        <x:f>IF(D690=E690,"PASS","FAIL")</x:f>
        <x:v>PASS</x:v>
      </x:c>
    </x:row>
    <x:row r="691">
      <x:c r="A691" s="13" t="str">
        <x:v>PP-42-09</x:v>
      </x:c>
      <x:c r="B691" s="13" t="str">
        <x:v>Public path</x:v>
      </x:c>
      <x:c r="C691" s="13" t="str">
        <x:v>RT-B-RT-CELL-1 root mapping retained</x:v>
      </x:c>
      <x:c r="D691" s="13" t="b">
        <x:f>'Public Paths'!B47="RT-B"</x:f>
        <x:v>1</x:v>
      </x:c>
      <x:c r="E691" s="58" t="b">
        <x:v>1</x:v>
      </x:c>
      <x:c r="F691" s="13" t="str">
        <x:f>IF(D691=E691,"PASS","FAIL")</x:f>
        <x:v>PASS</x:v>
      </x:c>
    </x:row>
    <x:row r="692">
      <x:c r="A692" s="13" t="str">
        <x:v>PP-43-01</x:v>
      </x:c>
      <x:c r="B692" s="13" t="str">
        <x:v>Public path</x:v>
      </x:c>
      <x:c r="C692" s="13" t="str">
        <x:v>RT-C-RT-CELL-2 qualification unique</x:v>
      </x:c>
      <x:c r="D692" s="13" t="n">
        <x:f>COUNTIFS('Public Paths'!$A$6:$A$53,'Public Paths'!A48)</x:f>
        <x:v>1</x:v>
      </x:c>
      <x:c r="E692" s="13" t="n">
        <x:v>1</x:v>
      </x:c>
      <x:c r="F692" s="13" t="str">
        <x:f>IF(D692=E692,"PASS","FAIL")</x:f>
        <x:v>PASS</x:v>
      </x:c>
    </x:row>
    <x:row r="693">
      <x:c r="A693" s="13" t="str">
        <x:v>PP-43-02</x:v>
      </x:c>
      <x:c r="B693" s="13" t="str">
        <x:v>Public path</x:v>
      </x:c>
      <x:c r="C693" s="13" t="str">
        <x:v>RT-C-RT-CELL-2 root exists</x:v>
      </x:c>
      <x:c r="D693" s="13" t="n">
        <x:f>COUNTIFS('Root Units'!$A$6:$A$29,'Public Paths'!B48)</x:f>
        <x:v>1</x:v>
      </x:c>
      <x:c r="E693" s="13" t="n">
        <x:v>1</x:v>
      </x:c>
      <x:c r="F693" s="13" t="str">
        <x:f>IF(D693=E693,"PASS","FAIL")</x:f>
        <x:v>PASS</x:v>
      </x:c>
    </x:row>
    <x:row r="694">
      <x:c r="A694" s="13" t="str">
        <x:v>PP-43-03</x:v>
      </x:c>
      <x:c r="B694" s="13" t="str">
        <x:v>Public path</x:v>
      </x:c>
      <x:c r="C694" s="13" t="str">
        <x:v>RT-C-RT-CELL-2 cell exists</x:v>
      </x:c>
      <x:c r="D694" s="13" t="n">
        <x:f>COUNTIFS('Cell Capacity'!$A$6:$A$29,'Public Paths'!D48)</x:f>
        <x:v>1</x:v>
      </x:c>
      <x:c r="E694" s="13" t="n">
        <x:v>1</x:v>
      </x:c>
      <x:c r="F694" s="13" t="str">
        <x:f>IF(D694=E694,"PASS","FAIL")</x:f>
        <x:v>PASS</x:v>
      </x:c>
    </x:row>
    <x:row r="695">
      <x:c r="A695" s="13" t="str">
        <x:v>PP-43-04</x:v>
      </x:c>
      <x:c r="B695" s="13" t="str">
        <x:v>Public path</x:v>
      </x:c>
      <x:c r="C695" s="13" t="str">
        <x:v>RT-C-RT-CELL-2 root mass matches</x:v>
      </x:c>
      <x:c r="D695" s="13" t="b">
        <x:f>ABS('Public Paths'!E48-VLOOKUP('Public Paths'!B48,'Root Units'!$A$6:$K$29,5,FALSE))&lt;0.000001</x:f>
        <x:v>1</x:v>
      </x:c>
      <x:c r="E695" s="58" t="b">
        <x:v>1</x:v>
      </x:c>
      <x:c r="F695" s="13" t="str">
        <x:f>IF(D695=E695,"PASS","FAIL")</x:f>
        <x:v>PASS</x:v>
      </x:c>
    </x:row>
    <x:row r="696">
      <x:c r="A696" s="13" t="str">
        <x:v>PP-43-05</x:v>
      </x:c>
      <x:c r="B696" s="13" t="str">
        <x:v>Public path</x:v>
      </x:c>
      <x:c r="C696" s="13" t="str">
        <x:v>RT-C-RT-CELL-2 keystone inventory matches</x:v>
      </x:c>
      <x:c r="D696" s="13" t="b">
        <x:f>ABS('Public Paths'!I48-'Public Paths'!E48*Controls!$B$28)&lt;0.000001</x:f>
        <x:v>1</x:v>
      </x:c>
      <x:c r="E696" s="58" t="b">
        <x:v>1</x:v>
      </x:c>
      <x:c r="F696" s="13" t="str">
        <x:f>IF(D696=E696,"PASS","FAIL")</x:f>
        <x:v>PASS</x:v>
      </x:c>
    </x:row>
    <x:row r="697">
      <x:c r="A697" s="13" t="str">
        <x:v>PP-43-06</x:v>
      </x:c>
      <x:c r="B697" s="13" t="str">
        <x:v>Public path</x:v>
      </x:c>
      <x:c r="C697" s="13" t="str">
        <x:v>RT-C-RT-CELL-2 planning passes</x:v>
      </x:c>
      <x:c r="D697" s="13" t="str">
        <x:f>'Public Paths'!Q48</x:f>
        <x:v>PASS</x:v>
      </x:c>
      <x:c r="E697" s="13" t="str">
        <x:v>PASS</x:v>
      </x:c>
      <x:c r="F697" s="13" t="str">
        <x:f>IF(D697=E697,"PASS","FAIL")</x:f>
        <x:v>PASS</x:v>
      </x:c>
    </x:row>
    <x:row r="698">
      <x:c r="A698" s="13" t="str">
        <x:v>PP-43-07</x:v>
      </x:c>
      <x:c r="B698" s="13" t="str">
        <x:v>Public path</x:v>
      </x:c>
      <x:c r="C698" s="13" t="str">
        <x:v>RT-C-RT-CELL-2 source state</x:v>
      </x:c>
      <x:c r="D698" s="13" t="str">
        <x:f>'Public Paths'!R48</x:f>
        <x:v>SOURCE EMPTY</x:v>
      </x:c>
      <x:c r="E698" s="13" t="str">
        <x:v>SOURCE EMPTY</x:v>
      </x:c>
      <x:c r="F698" s="13" t="str">
        <x:f>IF(D698=E698,"PASS","FAIL")</x:f>
        <x:v>PASS</x:v>
      </x:c>
    </x:row>
    <x:row r="699">
      <x:c r="A699" s="13" t="str">
        <x:v>PP-43-08</x:v>
      </x:c>
      <x:c r="B699" s="13" t="str">
        <x:v>Public path</x:v>
      </x:c>
      <x:c r="C699" s="13" t="str">
        <x:v>RT-C-RT-CELL-2 cell identity agrees when populated</x:v>
      </x:c>
      <x:c r="D699" s="13" t="b">
        <x:f>IF(AND('Public Paths'!K48="",'Public Paths'!L48=""),TRUE,AND('Public Paths'!K48=VLOOKUP('Public Paths'!D48,'Cell Capacity'!$A$6:$S$29,15,FALSE),'Public Paths'!L48=VLOOKUP('Public Paths'!D48,'Cell Capacity'!$A$6:$S$29,16,FALSE)))</x:f>
        <x:v>1</x:v>
      </x:c>
      <x:c r="E699" s="58" t="b">
        <x:v>1</x:v>
      </x:c>
      <x:c r="F699" s="13" t="str">
        <x:f>IF(D699=E699,"PASS","FAIL")</x:f>
        <x:v>PASS</x:v>
      </x:c>
    </x:row>
    <x:row r="700">
      <x:c r="A700" s="13" t="str">
        <x:v>PP-43-09</x:v>
      </x:c>
      <x:c r="B700" s="13" t="str">
        <x:v>Public path</x:v>
      </x:c>
      <x:c r="C700" s="13" t="str">
        <x:v>RT-C-RT-CELL-2 root mapping retained</x:v>
      </x:c>
      <x:c r="D700" s="13" t="b">
        <x:f>'Public Paths'!B48="RT-C"</x:f>
        <x:v>1</x:v>
      </x:c>
      <x:c r="E700" s="58" t="b">
        <x:v>1</x:v>
      </x:c>
      <x:c r="F700" s="13" t="str">
        <x:f>IF(D700=E700,"PASS","FAIL")</x:f>
        <x:v>PASS</x:v>
      </x:c>
    </x:row>
    <x:row r="701">
      <x:c r="A701" s="13" t="str">
        <x:v>PP-44-01</x:v>
      </x:c>
      <x:c r="B701" s="13" t="str">
        <x:v>Public path</x:v>
      </x:c>
      <x:c r="C701" s="13" t="str">
        <x:v>RT-D-RT-CELL-2 qualification unique</x:v>
      </x:c>
      <x:c r="D701" s="13" t="n">
        <x:f>COUNTIFS('Public Paths'!$A$6:$A$53,'Public Paths'!A49)</x:f>
        <x:v>1</x:v>
      </x:c>
      <x:c r="E701" s="13" t="n">
        <x:v>1</x:v>
      </x:c>
      <x:c r="F701" s="13" t="str">
        <x:f>IF(D701=E701,"PASS","FAIL")</x:f>
        <x:v>PASS</x:v>
      </x:c>
    </x:row>
    <x:row r="702">
      <x:c r="A702" s="13" t="str">
        <x:v>PP-44-02</x:v>
      </x:c>
      <x:c r="B702" s="13" t="str">
        <x:v>Public path</x:v>
      </x:c>
      <x:c r="C702" s="13" t="str">
        <x:v>RT-D-RT-CELL-2 root exists</x:v>
      </x:c>
      <x:c r="D702" s="13" t="n">
        <x:f>COUNTIFS('Root Units'!$A$6:$A$29,'Public Paths'!B49)</x:f>
        <x:v>1</x:v>
      </x:c>
      <x:c r="E702" s="13" t="n">
        <x:v>1</x:v>
      </x:c>
      <x:c r="F702" s="13" t="str">
        <x:f>IF(D702=E702,"PASS","FAIL")</x:f>
        <x:v>PASS</x:v>
      </x:c>
    </x:row>
    <x:row r="703">
      <x:c r="A703" s="13" t="str">
        <x:v>PP-44-03</x:v>
      </x:c>
      <x:c r="B703" s="13" t="str">
        <x:v>Public path</x:v>
      </x:c>
      <x:c r="C703" s="13" t="str">
        <x:v>RT-D-RT-CELL-2 cell exists</x:v>
      </x:c>
      <x:c r="D703" s="13" t="n">
        <x:f>COUNTIFS('Cell Capacity'!$A$6:$A$29,'Public Paths'!D49)</x:f>
        <x:v>1</x:v>
      </x:c>
      <x:c r="E703" s="13" t="n">
        <x:v>1</x:v>
      </x:c>
      <x:c r="F703" s="13" t="str">
        <x:f>IF(D703=E703,"PASS","FAIL")</x:f>
        <x:v>PASS</x:v>
      </x:c>
    </x:row>
    <x:row r="704">
      <x:c r="A704" s="13" t="str">
        <x:v>PP-44-04</x:v>
      </x:c>
      <x:c r="B704" s="13" t="str">
        <x:v>Public path</x:v>
      </x:c>
      <x:c r="C704" s="13" t="str">
        <x:v>RT-D-RT-CELL-2 root mass matches</x:v>
      </x:c>
      <x:c r="D704" s="13" t="b">
        <x:f>ABS('Public Paths'!E49-VLOOKUP('Public Paths'!B49,'Root Units'!$A$6:$K$29,5,FALSE))&lt;0.000001</x:f>
        <x:v>1</x:v>
      </x:c>
      <x:c r="E704" s="58" t="b">
        <x:v>1</x:v>
      </x:c>
      <x:c r="F704" s="13" t="str">
        <x:f>IF(D704=E704,"PASS","FAIL")</x:f>
        <x:v>PASS</x:v>
      </x:c>
    </x:row>
    <x:row r="705">
      <x:c r="A705" s="13" t="str">
        <x:v>PP-44-05</x:v>
      </x:c>
      <x:c r="B705" s="13" t="str">
        <x:v>Public path</x:v>
      </x:c>
      <x:c r="C705" s="13" t="str">
        <x:v>RT-D-RT-CELL-2 keystone inventory matches</x:v>
      </x:c>
      <x:c r="D705" s="13" t="b">
        <x:f>ABS('Public Paths'!I49-'Public Paths'!E49*Controls!$B$28)&lt;0.000001</x:f>
        <x:v>1</x:v>
      </x:c>
      <x:c r="E705" s="58" t="b">
        <x:v>1</x:v>
      </x:c>
      <x:c r="F705" s="13" t="str">
        <x:f>IF(D705=E705,"PASS","FAIL")</x:f>
        <x:v>PASS</x:v>
      </x:c>
    </x:row>
    <x:row r="706">
      <x:c r="A706" s="13" t="str">
        <x:v>PP-44-06</x:v>
      </x:c>
      <x:c r="B706" s="13" t="str">
        <x:v>Public path</x:v>
      </x:c>
      <x:c r="C706" s="13" t="str">
        <x:v>RT-D-RT-CELL-2 planning passes</x:v>
      </x:c>
      <x:c r="D706" s="13" t="str">
        <x:f>'Public Paths'!Q49</x:f>
        <x:v>PASS</x:v>
      </x:c>
      <x:c r="E706" s="13" t="str">
        <x:v>PASS</x:v>
      </x:c>
      <x:c r="F706" s="13" t="str">
        <x:f>IF(D706=E706,"PASS","FAIL")</x:f>
        <x:v>PASS</x:v>
      </x:c>
    </x:row>
    <x:row r="707">
      <x:c r="A707" s="13" t="str">
        <x:v>PP-44-07</x:v>
      </x:c>
      <x:c r="B707" s="13" t="str">
        <x:v>Public path</x:v>
      </x:c>
      <x:c r="C707" s="13" t="str">
        <x:v>RT-D-RT-CELL-2 source state</x:v>
      </x:c>
      <x:c r="D707" s="13" t="str">
        <x:f>'Public Paths'!R49</x:f>
        <x:v>SOURCE EMPTY</x:v>
      </x:c>
      <x:c r="E707" s="13" t="str">
        <x:v>SOURCE EMPTY</x:v>
      </x:c>
      <x:c r="F707" s="13" t="str">
        <x:f>IF(D707=E707,"PASS","FAIL")</x:f>
        <x:v>PASS</x:v>
      </x:c>
    </x:row>
    <x:row r="708">
      <x:c r="A708" s="13" t="str">
        <x:v>PP-44-08</x:v>
      </x:c>
      <x:c r="B708" s="13" t="str">
        <x:v>Public path</x:v>
      </x:c>
      <x:c r="C708" s="13" t="str">
        <x:v>RT-D-RT-CELL-2 cell identity agrees when populated</x:v>
      </x:c>
      <x:c r="D708" s="13" t="b">
        <x:f>IF(AND('Public Paths'!K49="",'Public Paths'!L49=""),TRUE,AND('Public Paths'!K49=VLOOKUP('Public Paths'!D49,'Cell Capacity'!$A$6:$S$29,15,FALSE),'Public Paths'!L49=VLOOKUP('Public Paths'!D49,'Cell Capacity'!$A$6:$S$29,16,FALSE)))</x:f>
        <x:v>1</x:v>
      </x:c>
      <x:c r="E708" s="58" t="b">
        <x:v>1</x:v>
      </x:c>
      <x:c r="F708" s="13" t="str">
        <x:f>IF(D708=E708,"PASS","FAIL")</x:f>
        <x:v>PASS</x:v>
      </x:c>
    </x:row>
    <x:row r="709">
      <x:c r="A709" s="13" t="str">
        <x:v>PP-44-09</x:v>
      </x:c>
      <x:c r="B709" s="13" t="str">
        <x:v>Public path</x:v>
      </x:c>
      <x:c r="C709" s="13" t="str">
        <x:v>RT-D-RT-CELL-2 root mapping retained</x:v>
      </x:c>
      <x:c r="D709" s="13" t="b">
        <x:f>'Public Paths'!B49="RT-D"</x:f>
        <x:v>1</x:v>
      </x:c>
      <x:c r="E709" s="58" t="b">
        <x:v>1</x:v>
      </x:c>
      <x:c r="F709" s="13" t="str">
        <x:f>IF(D709=E709,"PASS","FAIL")</x:f>
        <x:v>PASS</x:v>
      </x:c>
    </x:row>
    <x:row r="710">
      <x:c r="A710" s="13" t="str">
        <x:v>PP-45-01</x:v>
      </x:c>
      <x:c r="B710" s="13" t="str">
        <x:v>Public path</x:v>
      </x:c>
      <x:c r="C710" s="13" t="str">
        <x:v>RT-A-RT-CELL-3 qualification unique</x:v>
      </x:c>
      <x:c r="D710" s="13" t="n">
        <x:f>COUNTIFS('Public Paths'!$A$6:$A$53,'Public Paths'!A50)</x:f>
        <x:v>1</x:v>
      </x:c>
      <x:c r="E710" s="13" t="n">
        <x:v>1</x:v>
      </x:c>
      <x:c r="F710" s="13" t="str">
        <x:f>IF(D710=E710,"PASS","FAIL")</x:f>
        <x:v>PASS</x:v>
      </x:c>
    </x:row>
    <x:row r="711">
      <x:c r="A711" s="13" t="str">
        <x:v>PP-45-02</x:v>
      </x:c>
      <x:c r="B711" s="13" t="str">
        <x:v>Public path</x:v>
      </x:c>
      <x:c r="C711" s="13" t="str">
        <x:v>RT-A-RT-CELL-3 root exists</x:v>
      </x:c>
      <x:c r="D711" s="13" t="n">
        <x:f>COUNTIFS('Root Units'!$A$6:$A$29,'Public Paths'!B50)</x:f>
        <x:v>1</x:v>
      </x:c>
      <x:c r="E711" s="13" t="n">
        <x:v>1</x:v>
      </x:c>
      <x:c r="F711" s="13" t="str">
        <x:f>IF(D711=E711,"PASS","FAIL")</x:f>
        <x:v>PASS</x:v>
      </x:c>
    </x:row>
    <x:row r="712">
      <x:c r="A712" s="13" t="str">
        <x:v>PP-45-03</x:v>
      </x:c>
      <x:c r="B712" s="13" t="str">
        <x:v>Public path</x:v>
      </x:c>
      <x:c r="C712" s="13" t="str">
        <x:v>RT-A-RT-CELL-3 cell exists</x:v>
      </x:c>
      <x:c r="D712" s="13" t="n">
        <x:f>COUNTIFS('Cell Capacity'!$A$6:$A$29,'Public Paths'!D50)</x:f>
        <x:v>1</x:v>
      </x:c>
      <x:c r="E712" s="13" t="n">
        <x:v>1</x:v>
      </x:c>
      <x:c r="F712" s="13" t="str">
        <x:f>IF(D712=E712,"PASS","FAIL")</x:f>
        <x:v>PASS</x:v>
      </x:c>
    </x:row>
    <x:row r="713">
      <x:c r="A713" s="13" t="str">
        <x:v>PP-45-04</x:v>
      </x:c>
      <x:c r="B713" s="13" t="str">
        <x:v>Public path</x:v>
      </x:c>
      <x:c r="C713" s="13" t="str">
        <x:v>RT-A-RT-CELL-3 root mass matches</x:v>
      </x:c>
      <x:c r="D713" s="13" t="b">
        <x:f>ABS('Public Paths'!E50-VLOOKUP('Public Paths'!B50,'Root Units'!$A$6:$K$29,5,FALSE))&lt;0.000001</x:f>
        <x:v>1</x:v>
      </x:c>
      <x:c r="E713" s="58" t="b">
        <x:v>1</x:v>
      </x:c>
      <x:c r="F713" s="13" t="str">
        <x:f>IF(D713=E713,"PASS","FAIL")</x:f>
        <x:v>PASS</x:v>
      </x:c>
    </x:row>
    <x:row r="714">
      <x:c r="A714" s="13" t="str">
        <x:v>PP-45-05</x:v>
      </x:c>
      <x:c r="B714" s="13" t="str">
        <x:v>Public path</x:v>
      </x:c>
      <x:c r="C714" s="13" t="str">
        <x:v>RT-A-RT-CELL-3 keystone inventory matches</x:v>
      </x:c>
      <x:c r="D714" s="13" t="b">
        <x:f>ABS('Public Paths'!I50-'Public Paths'!E50*Controls!$B$28)&lt;0.000001</x:f>
        <x:v>1</x:v>
      </x:c>
      <x:c r="E714" s="58" t="b">
        <x:v>1</x:v>
      </x:c>
      <x:c r="F714" s="13" t="str">
        <x:f>IF(D714=E714,"PASS","FAIL")</x:f>
        <x:v>PASS</x:v>
      </x:c>
    </x:row>
    <x:row r="715">
      <x:c r="A715" s="13" t="str">
        <x:v>PP-45-06</x:v>
      </x:c>
      <x:c r="B715" s="13" t="str">
        <x:v>Public path</x:v>
      </x:c>
      <x:c r="C715" s="13" t="str">
        <x:v>RT-A-RT-CELL-3 planning passes</x:v>
      </x:c>
      <x:c r="D715" s="13" t="str">
        <x:f>'Public Paths'!Q50</x:f>
        <x:v>PASS</x:v>
      </x:c>
      <x:c r="E715" s="13" t="str">
        <x:v>PASS</x:v>
      </x:c>
      <x:c r="F715" s="13" t="str">
        <x:f>IF(D715=E715,"PASS","FAIL")</x:f>
        <x:v>PASS</x:v>
      </x:c>
    </x:row>
    <x:row r="716">
      <x:c r="A716" s="13" t="str">
        <x:v>PP-45-07</x:v>
      </x:c>
      <x:c r="B716" s="13" t="str">
        <x:v>Public path</x:v>
      </x:c>
      <x:c r="C716" s="13" t="str">
        <x:v>RT-A-RT-CELL-3 source state</x:v>
      </x:c>
      <x:c r="D716" s="13" t="str">
        <x:f>'Public Paths'!R50</x:f>
        <x:v>SOURCE EMPTY</x:v>
      </x:c>
      <x:c r="E716" s="13" t="str">
        <x:v>SOURCE EMPTY</x:v>
      </x:c>
      <x:c r="F716" s="13" t="str">
        <x:f>IF(D716=E716,"PASS","FAIL")</x:f>
        <x:v>PASS</x:v>
      </x:c>
    </x:row>
    <x:row r="717">
      <x:c r="A717" s="13" t="str">
        <x:v>PP-45-08</x:v>
      </x:c>
      <x:c r="B717" s="13" t="str">
        <x:v>Public path</x:v>
      </x:c>
      <x:c r="C717" s="13" t="str">
        <x:v>RT-A-RT-CELL-3 cell identity agrees when populated</x:v>
      </x:c>
      <x:c r="D717" s="13" t="b">
        <x:f>IF(AND('Public Paths'!K50="",'Public Paths'!L50=""),TRUE,AND('Public Paths'!K50=VLOOKUP('Public Paths'!D50,'Cell Capacity'!$A$6:$S$29,15,FALSE),'Public Paths'!L50=VLOOKUP('Public Paths'!D50,'Cell Capacity'!$A$6:$S$29,16,FALSE)))</x:f>
        <x:v>1</x:v>
      </x:c>
      <x:c r="E717" s="58" t="b">
        <x:v>1</x:v>
      </x:c>
      <x:c r="F717" s="13" t="str">
        <x:f>IF(D717=E717,"PASS","FAIL")</x:f>
        <x:v>PASS</x:v>
      </x:c>
    </x:row>
    <x:row r="718">
      <x:c r="A718" s="13" t="str">
        <x:v>PP-45-09</x:v>
      </x:c>
      <x:c r="B718" s="13" t="str">
        <x:v>Public path</x:v>
      </x:c>
      <x:c r="C718" s="13" t="str">
        <x:v>RT-A-RT-CELL-3 root mapping retained</x:v>
      </x:c>
      <x:c r="D718" s="13" t="b">
        <x:f>'Public Paths'!B50="RT-A"</x:f>
        <x:v>1</x:v>
      </x:c>
      <x:c r="E718" s="58" t="b">
        <x:v>1</x:v>
      </x:c>
      <x:c r="F718" s="13" t="str">
        <x:f>IF(D718=E718,"PASS","FAIL")</x:f>
        <x:v>PASS</x:v>
      </x:c>
    </x:row>
    <x:row r="719">
      <x:c r="A719" s="13" t="str">
        <x:v>PP-46-01</x:v>
      </x:c>
      <x:c r="B719" s="13" t="str">
        <x:v>Public path</x:v>
      </x:c>
      <x:c r="C719" s="13" t="str">
        <x:v>RT-C-RT-CELL-3 qualification unique</x:v>
      </x:c>
      <x:c r="D719" s="13" t="n">
        <x:f>COUNTIFS('Public Paths'!$A$6:$A$53,'Public Paths'!A51)</x:f>
        <x:v>1</x:v>
      </x:c>
      <x:c r="E719" s="13" t="n">
        <x:v>1</x:v>
      </x:c>
      <x:c r="F719" s="13" t="str">
        <x:f>IF(D719=E719,"PASS","FAIL")</x:f>
        <x:v>PASS</x:v>
      </x:c>
    </x:row>
    <x:row r="720">
      <x:c r="A720" s="13" t="str">
        <x:v>PP-46-02</x:v>
      </x:c>
      <x:c r="B720" s="13" t="str">
        <x:v>Public path</x:v>
      </x:c>
      <x:c r="C720" s="13" t="str">
        <x:v>RT-C-RT-CELL-3 root exists</x:v>
      </x:c>
      <x:c r="D720" s="13" t="n">
        <x:f>COUNTIFS('Root Units'!$A$6:$A$29,'Public Paths'!B51)</x:f>
        <x:v>1</x:v>
      </x:c>
      <x:c r="E720" s="13" t="n">
        <x:v>1</x:v>
      </x:c>
      <x:c r="F720" s="13" t="str">
        <x:f>IF(D720=E720,"PASS","FAIL")</x:f>
        <x:v>PASS</x:v>
      </x:c>
    </x:row>
    <x:row r="721">
      <x:c r="A721" s="13" t="str">
        <x:v>PP-46-03</x:v>
      </x:c>
      <x:c r="B721" s="13" t="str">
        <x:v>Public path</x:v>
      </x:c>
      <x:c r="C721" s="13" t="str">
        <x:v>RT-C-RT-CELL-3 cell exists</x:v>
      </x:c>
      <x:c r="D721" s="13" t="n">
        <x:f>COUNTIFS('Cell Capacity'!$A$6:$A$29,'Public Paths'!D51)</x:f>
        <x:v>1</x:v>
      </x:c>
      <x:c r="E721" s="13" t="n">
        <x:v>1</x:v>
      </x:c>
      <x:c r="F721" s="13" t="str">
        <x:f>IF(D721=E721,"PASS","FAIL")</x:f>
        <x:v>PASS</x:v>
      </x:c>
    </x:row>
    <x:row r="722">
      <x:c r="A722" s="13" t="str">
        <x:v>PP-46-04</x:v>
      </x:c>
      <x:c r="B722" s="13" t="str">
        <x:v>Public path</x:v>
      </x:c>
      <x:c r="C722" s="13" t="str">
        <x:v>RT-C-RT-CELL-3 root mass matches</x:v>
      </x:c>
      <x:c r="D722" s="13" t="b">
        <x:f>ABS('Public Paths'!E51-VLOOKUP('Public Paths'!B51,'Root Units'!$A$6:$K$29,5,FALSE))&lt;0.000001</x:f>
        <x:v>1</x:v>
      </x:c>
      <x:c r="E722" s="58" t="b">
        <x:v>1</x:v>
      </x:c>
      <x:c r="F722" s="13" t="str">
        <x:f>IF(D722=E722,"PASS","FAIL")</x:f>
        <x:v>PASS</x:v>
      </x:c>
    </x:row>
    <x:row r="723">
      <x:c r="A723" s="13" t="str">
        <x:v>PP-46-05</x:v>
      </x:c>
      <x:c r="B723" s="13" t="str">
        <x:v>Public path</x:v>
      </x:c>
      <x:c r="C723" s="13" t="str">
        <x:v>RT-C-RT-CELL-3 keystone inventory matches</x:v>
      </x:c>
      <x:c r="D723" s="13" t="b">
        <x:f>ABS('Public Paths'!I51-'Public Paths'!E51*Controls!$B$28)&lt;0.000001</x:f>
        <x:v>1</x:v>
      </x:c>
      <x:c r="E723" s="58" t="b">
        <x:v>1</x:v>
      </x:c>
      <x:c r="F723" s="13" t="str">
        <x:f>IF(D723=E723,"PASS","FAIL")</x:f>
        <x:v>PASS</x:v>
      </x:c>
    </x:row>
    <x:row r="724">
      <x:c r="A724" s="13" t="str">
        <x:v>PP-46-06</x:v>
      </x:c>
      <x:c r="B724" s="13" t="str">
        <x:v>Public path</x:v>
      </x:c>
      <x:c r="C724" s="13" t="str">
        <x:v>RT-C-RT-CELL-3 planning passes</x:v>
      </x:c>
      <x:c r="D724" s="13" t="str">
        <x:f>'Public Paths'!Q51</x:f>
        <x:v>PASS</x:v>
      </x:c>
      <x:c r="E724" s="13" t="str">
        <x:v>PASS</x:v>
      </x:c>
      <x:c r="F724" s="13" t="str">
        <x:f>IF(D724=E724,"PASS","FAIL")</x:f>
        <x:v>PASS</x:v>
      </x:c>
    </x:row>
    <x:row r="725">
      <x:c r="A725" s="13" t="str">
        <x:v>PP-46-07</x:v>
      </x:c>
      <x:c r="B725" s="13" t="str">
        <x:v>Public path</x:v>
      </x:c>
      <x:c r="C725" s="13" t="str">
        <x:v>RT-C-RT-CELL-3 source state</x:v>
      </x:c>
      <x:c r="D725" s="13" t="str">
        <x:f>'Public Paths'!R51</x:f>
        <x:v>SOURCE EMPTY</x:v>
      </x:c>
      <x:c r="E725" s="13" t="str">
        <x:v>SOURCE EMPTY</x:v>
      </x:c>
      <x:c r="F725" s="13" t="str">
        <x:f>IF(D725=E725,"PASS","FAIL")</x:f>
        <x:v>PASS</x:v>
      </x:c>
    </x:row>
    <x:row r="726">
      <x:c r="A726" s="13" t="str">
        <x:v>PP-46-08</x:v>
      </x:c>
      <x:c r="B726" s="13" t="str">
        <x:v>Public path</x:v>
      </x:c>
      <x:c r="C726" s="13" t="str">
        <x:v>RT-C-RT-CELL-3 cell identity agrees when populated</x:v>
      </x:c>
      <x:c r="D726" s="13" t="b">
        <x:f>IF(AND('Public Paths'!K51="",'Public Paths'!L51=""),TRUE,AND('Public Paths'!K51=VLOOKUP('Public Paths'!D51,'Cell Capacity'!$A$6:$S$29,15,FALSE),'Public Paths'!L51=VLOOKUP('Public Paths'!D51,'Cell Capacity'!$A$6:$S$29,16,FALSE)))</x:f>
        <x:v>1</x:v>
      </x:c>
      <x:c r="E726" s="58" t="b">
        <x:v>1</x:v>
      </x:c>
      <x:c r="F726" s="13" t="str">
        <x:f>IF(D726=E726,"PASS","FAIL")</x:f>
        <x:v>PASS</x:v>
      </x:c>
    </x:row>
    <x:row r="727">
      <x:c r="A727" s="13" t="str">
        <x:v>PP-46-09</x:v>
      </x:c>
      <x:c r="B727" s="13" t="str">
        <x:v>Public path</x:v>
      </x:c>
      <x:c r="C727" s="13" t="str">
        <x:v>RT-C-RT-CELL-3 root mapping retained</x:v>
      </x:c>
      <x:c r="D727" s="13" t="b">
        <x:f>'Public Paths'!B51="RT-C"</x:f>
        <x:v>1</x:v>
      </x:c>
      <x:c r="E727" s="58" t="b">
        <x:v>1</x:v>
      </x:c>
      <x:c r="F727" s="13" t="str">
        <x:f>IF(D727=E727,"PASS","FAIL")</x:f>
        <x:v>PASS</x:v>
      </x:c>
    </x:row>
    <x:row r="728">
      <x:c r="A728" s="13" t="str">
        <x:v>PP-47-01</x:v>
      </x:c>
      <x:c r="B728" s="13" t="str">
        <x:v>Public path</x:v>
      </x:c>
      <x:c r="C728" s="13" t="str">
        <x:v>RT-B-RT-CELL-4 qualification unique</x:v>
      </x:c>
      <x:c r="D728" s="13" t="n">
        <x:f>COUNTIFS('Public Paths'!$A$6:$A$53,'Public Paths'!A52)</x:f>
        <x:v>1</x:v>
      </x:c>
      <x:c r="E728" s="13" t="n">
        <x:v>1</x:v>
      </x:c>
      <x:c r="F728" s="13" t="str">
        <x:f>IF(D728=E728,"PASS","FAIL")</x:f>
        <x:v>PASS</x:v>
      </x:c>
    </x:row>
    <x:row r="729">
      <x:c r="A729" s="13" t="str">
        <x:v>PP-47-02</x:v>
      </x:c>
      <x:c r="B729" s="13" t="str">
        <x:v>Public path</x:v>
      </x:c>
      <x:c r="C729" s="13" t="str">
        <x:v>RT-B-RT-CELL-4 root exists</x:v>
      </x:c>
      <x:c r="D729" s="13" t="n">
        <x:f>COUNTIFS('Root Units'!$A$6:$A$29,'Public Paths'!B52)</x:f>
        <x:v>1</x:v>
      </x:c>
      <x:c r="E729" s="13" t="n">
        <x:v>1</x:v>
      </x:c>
      <x:c r="F729" s="13" t="str">
        <x:f>IF(D729=E729,"PASS","FAIL")</x:f>
        <x:v>PASS</x:v>
      </x:c>
    </x:row>
    <x:row r="730">
      <x:c r="A730" s="13" t="str">
        <x:v>PP-47-03</x:v>
      </x:c>
      <x:c r="B730" s="13" t="str">
        <x:v>Public path</x:v>
      </x:c>
      <x:c r="C730" s="13" t="str">
        <x:v>RT-B-RT-CELL-4 cell exists</x:v>
      </x:c>
      <x:c r="D730" s="13" t="n">
        <x:f>COUNTIFS('Cell Capacity'!$A$6:$A$29,'Public Paths'!D52)</x:f>
        <x:v>1</x:v>
      </x:c>
      <x:c r="E730" s="13" t="n">
        <x:v>1</x:v>
      </x:c>
      <x:c r="F730" s="13" t="str">
        <x:f>IF(D730=E730,"PASS","FAIL")</x:f>
        <x:v>PASS</x:v>
      </x:c>
    </x:row>
    <x:row r="731">
      <x:c r="A731" s="13" t="str">
        <x:v>PP-47-04</x:v>
      </x:c>
      <x:c r="B731" s="13" t="str">
        <x:v>Public path</x:v>
      </x:c>
      <x:c r="C731" s="13" t="str">
        <x:v>RT-B-RT-CELL-4 root mass matches</x:v>
      </x:c>
      <x:c r="D731" s="13" t="b">
        <x:f>ABS('Public Paths'!E52-VLOOKUP('Public Paths'!B52,'Root Units'!$A$6:$K$29,5,FALSE))&lt;0.000001</x:f>
        <x:v>1</x:v>
      </x:c>
      <x:c r="E731" s="58" t="b">
        <x:v>1</x:v>
      </x:c>
      <x:c r="F731" s="13" t="str">
        <x:f>IF(D731=E731,"PASS","FAIL")</x:f>
        <x:v>PASS</x:v>
      </x:c>
    </x:row>
    <x:row r="732">
      <x:c r="A732" s="13" t="str">
        <x:v>PP-47-05</x:v>
      </x:c>
      <x:c r="B732" s="13" t="str">
        <x:v>Public path</x:v>
      </x:c>
      <x:c r="C732" s="13" t="str">
        <x:v>RT-B-RT-CELL-4 keystone inventory matches</x:v>
      </x:c>
      <x:c r="D732" s="13" t="b">
        <x:f>ABS('Public Paths'!I52-'Public Paths'!E52*Controls!$B$28)&lt;0.000001</x:f>
        <x:v>1</x:v>
      </x:c>
      <x:c r="E732" s="58" t="b">
        <x:v>1</x:v>
      </x:c>
      <x:c r="F732" s="13" t="str">
        <x:f>IF(D732=E732,"PASS","FAIL")</x:f>
        <x:v>PASS</x:v>
      </x:c>
    </x:row>
    <x:row r="733">
      <x:c r="A733" s="13" t="str">
        <x:v>PP-47-06</x:v>
      </x:c>
      <x:c r="B733" s="13" t="str">
        <x:v>Public path</x:v>
      </x:c>
      <x:c r="C733" s="13" t="str">
        <x:v>RT-B-RT-CELL-4 planning passes</x:v>
      </x:c>
      <x:c r="D733" s="13" t="str">
        <x:f>'Public Paths'!Q52</x:f>
        <x:v>PASS</x:v>
      </x:c>
      <x:c r="E733" s="13" t="str">
        <x:v>PASS</x:v>
      </x:c>
      <x:c r="F733" s="13" t="str">
        <x:f>IF(D733=E733,"PASS","FAIL")</x:f>
        <x:v>PASS</x:v>
      </x:c>
    </x:row>
    <x:row r="734">
      <x:c r="A734" s="13" t="str">
        <x:v>PP-47-07</x:v>
      </x:c>
      <x:c r="B734" s="13" t="str">
        <x:v>Public path</x:v>
      </x:c>
      <x:c r="C734" s="13" t="str">
        <x:v>RT-B-RT-CELL-4 source state</x:v>
      </x:c>
      <x:c r="D734" s="13" t="str">
        <x:f>'Public Paths'!R52</x:f>
        <x:v>SOURCE EMPTY</x:v>
      </x:c>
      <x:c r="E734" s="13" t="str">
        <x:v>SOURCE EMPTY</x:v>
      </x:c>
      <x:c r="F734" s="13" t="str">
        <x:f>IF(D734=E734,"PASS","FAIL")</x:f>
        <x:v>PASS</x:v>
      </x:c>
    </x:row>
    <x:row r="735">
      <x:c r="A735" s="13" t="str">
        <x:v>PP-47-08</x:v>
      </x:c>
      <x:c r="B735" s="13" t="str">
        <x:v>Public path</x:v>
      </x:c>
      <x:c r="C735" s="13" t="str">
        <x:v>RT-B-RT-CELL-4 cell identity agrees when populated</x:v>
      </x:c>
      <x:c r="D735" s="13" t="b">
        <x:f>IF(AND('Public Paths'!K52="",'Public Paths'!L52=""),TRUE,AND('Public Paths'!K52=VLOOKUP('Public Paths'!D52,'Cell Capacity'!$A$6:$S$29,15,FALSE),'Public Paths'!L52=VLOOKUP('Public Paths'!D52,'Cell Capacity'!$A$6:$S$29,16,FALSE)))</x:f>
        <x:v>1</x:v>
      </x:c>
      <x:c r="E735" s="58" t="b">
        <x:v>1</x:v>
      </x:c>
      <x:c r="F735" s="13" t="str">
        <x:f>IF(D735=E735,"PASS","FAIL")</x:f>
        <x:v>PASS</x:v>
      </x:c>
    </x:row>
    <x:row r="736">
      <x:c r="A736" s="13" t="str">
        <x:v>PP-47-09</x:v>
      </x:c>
      <x:c r="B736" s="13" t="str">
        <x:v>Public path</x:v>
      </x:c>
      <x:c r="C736" s="13" t="str">
        <x:v>RT-B-RT-CELL-4 root mapping retained</x:v>
      </x:c>
      <x:c r="D736" s="13" t="b">
        <x:f>'Public Paths'!B52="RT-B"</x:f>
        <x:v>1</x:v>
      </x:c>
      <x:c r="E736" s="58" t="b">
        <x:v>1</x:v>
      </x:c>
      <x:c r="F736" s="13" t="str">
        <x:f>IF(D736=E736,"PASS","FAIL")</x:f>
        <x:v>PASS</x:v>
      </x:c>
    </x:row>
    <x:row r="737">
      <x:c r="A737" s="13" t="str">
        <x:v>PP-48-01</x:v>
      </x:c>
      <x:c r="B737" s="13" t="str">
        <x:v>Public path</x:v>
      </x:c>
      <x:c r="C737" s="13" t="str">
        <x:v>RT-D-RT-CELL-4 qualification unique</x:v>
      </x:c>
      <x:c r="D737" s="13" t="n">
        <x:f>COUNTIFS('Public Paths'!$A$6:$A$53,'Public Paths'!A53)</x:f>
        <x:v>1</x:v>
      </x:c>
      <x:c r="E737" s="13" t="n">
        <x:v>1</x:v>
      </x:c>
      <x:c r="F737" s="13" t="str">
        <x:f>IF(D737=E737,"PASS","FAIL")</x:f>
        <x:v>PASS</x:v>
      </x:c>
    </x:row>
    <x:row r="738">
      <x:c r="A738" s="13" t="str">
        <x:v>PP-48-02</x:v>
      </x:c>
      <x:c r="B738" s="13" t="str">
        <x:v>Public path</x:v>
      </x:c>
      <x:c r="C738" s="13" t="str">
        <x:v>RT-D-RT-CELL-4 root exists</x:v>
      </x:c>
      <x:c r="D738" s="13" t="n">
        <x:f>COUNTIFS('Root Units'!$A$6:$A$29,'Public Paths'!B53)</x:f>
        <x:v>1</x:v>
      </x:c>
      <x:c r="E738" s="13" t="n">
        <x:v>1</x:v>
      </x:c>
      <x:c r="F738" s="13" t="str">
        <x:f>IF(D738=E738,"PASS","FAIL")</x:f>
        <x:v>PASS</x:v>
      </x:c>
    </x:row>
    <x:row r="739">
      <x:c r="A739" s="13" t="str">
        <x:v>PP-48-03</x:v>
      </x:c>
      <x:c r="B739" s="13" t="str">
        <x:v>Public path</x:v>
      </x:c>
      <x:c r="C739" s="13" t="str">
        <x:v>RT-D-RT-CELL-4 cell exists</x:v>
      </x:c>
      <x:c r="D739" s="13" t="n">
        <x:f>COUNTIFS('Cell Capacity'!$A$6:$A$29,'Public Paths'!D53)</x:f>
        <x:v>1</x:v>
      </x:c>
      <x:c r="E739" s="13" t="n">
        <x:v>1</x:v>
      </x:c>
      <x:c r="F739" s="13" t="str">
        <x:f>IF(D739=E739,"PASS","FAIL")</x:f>
        <x:v>PASS</x:v>
      </x:c>
    </x:row>
    <x:row r="740">
      <x:c r="A740" s="13" t="str">
        <x:v>PP-48-04</x:v>
      </x:c>
      <x:c r="B740" s="13" t="str">
        <x:v>Public path</x:v>
      </x:c>
      <x:c r="C740" s="13" t="str">
        <x:v>RT-D-RT-CELL-4 root mass matches</x:v>
      </x:c>
      <x:c r="D740" s="13" t="b">
        <x:f>ABS('Public Paths'!E53-VLOOKUP('Public Paths'!B53,'Root Units'!$A$6:$K$29,5,FALSE))&lt;0.000001</x:f>
        <x:v>1</x:v>
      </x:c>
      <x:c r="E740" s="58" t="b">
        <x:v>1</x:v>
      </x:c>
      <x:c r="F740" s="13" t="str">
        <x:f>IF(D740=E740,"PASS","FAIL")</x:f>
        <x:v>PASS</x:v>
      </x:c>
    </x:row>
    <x:row r="741">
      <x:c r="A741" s="13" t="str">
        <x:v>PP-48-05</x:v>
      </x:c>
      <x:c r="B741" s="13" t="str">
        <x:v>Public path</x:v>
      </x:c>
      <x:c r="C741" s="13" t="str">
        <x:v>RT-D-RT-CELL-4 keystone inventory matches</x:v>
      </x:c>
      <x:c r="D741" s="13" t="b">
        <x:f>ABS('Public Paths'!I53-'Public Paths'!E53*Controls!$B$28)&lt;0.000001</x:f>
        <x:v>1</x:v>
      </x:c>
      <x:c r="E741" s="58" t="b">
        <x:v>1</x:v>
      </x:c>
      <x:c r="F741" s="13" t="str">
        <x:f>IF(D741=E741,"PASS","FAIL")</x:f>
        <x:v>PASS</x:v>
      </x:c>
    </x:row>
    <x:row r="742">
      <x:c r="A742" s="13" t="str">
        <x:v>PP-48-06</x:v>
      </x:c>
      <x:c r="B742" s="13" t="str">
        <x:v>Public path</x:v>
      </x:c>
      <x:c r="C742" s="13" t="str">
        <x:v>RT-D-RT-CELL-4 planning passes</x:v>
      </x:c>
      <x:c r="D742" s="13" t="str">
        <x:f>'Public Paths'!Q53</x:f>
        <x:v>PASS</x:v>
      </x:c>
      <x:c r="E742" s="13" t="str">
        <x:v>PASS</x:v>
      </x:c>
      <x:c r="F742" s="13" t="str">
        <x:f>IF(D742=E742,"PASS","FAIL")</x:f>
        <x:v>PASS</x:v>
      </x:c>
    </x:row>
    <x:row r="743">
      <x:c r="A743" s="13" t="str">
        <x:v>PP-48-07</x:v>
      </x:c>
      <x:c r="B743" s="13" t="str">
        <x:v>Public path</x:v>
      </x:c>
      <x:c r="C743" s="13" t="str">
        <x:v>RT-D-RT-CELL-4 source state</x:v>
      </x:c>
      <x:c r="D743" s="13" t="str">
        <x:f>'Public Paths'!R53</x:f>
        <x:v>SOURCE EMPTY</x:v>
      </x:c>
      <x:c r="E743" s="13" t="str">
        <x:v>SOURCE EMPTY</x:v>
      </x:c>
      <x:c r="F743" s="13" t="str">
        <x:f>IF(D743=E743,"PASS","FAIL")</x:f>
        <x:v>PASS</x:v>
      </x:c>
    </x:row>
    <x:row r="744">
      <x:c r="A744" s="13" t="str">
        <x:v>PP-48-08</x:v>
      </x:c>
      <x:c r="B744" s="13" t="str">
        <x:v>Public path</x:v>
      </x:c>
      <x:c r="C744" s="13" t="str">
        <x:v>RT-D-RT-CELL-4 cell identity agrees when populated</x:v>
      </x:c>
      <x:c r="D744" s="13" t="b">
        <x:f>IF(AND('Public Paths'!K53="",'Public Paths'!L53=""),TRUE,AND('Public Paths'!K53=VLOOKUP('Public Paths'!D53,'Cell Capacity'!$A$6:$S$29,15,FALSE),'Public Paths'!L53=VLOOKUP('Public Paths'!D53,'Cell Capacity'!$A$6:$S$29,16,FALSE)))</x:f>
        <x:v>1</x:v>
      </x:c>
      <x:c r="E744" s="58" t="b">
        <x:v>1</x:v>
      </x:c>
      <x:c r="F744" s="13" t="str">
        <x:f>IF(D744=E744,"PASS","FAIL")</x:f>
        <x:v>PASS</x:v>
      </x:c>
    </x:row>
    <x:row r="745">
      <x:c r="A745" s="13" t="str">
        <x:v>PP-48-09</x:v>
      </x:c>
      <x:c r="B745" s="13" t="str">
        <x:v>Public path</x:v>
      </x:c>
      <x:c r="C745" s="13" t="str">
        <x:v>RT-D-RT-CELL-4 root mapping retained</x:v>
      </x:c>
      <x:c r="D745" s="13" t="b">
        <x:f>'Public Paths'!B53="RT-D"</x:f>
        <x:v>1</x:v>
      </x:c>
      <x:c r="E745" s="58" t="b">
        <x:v>1</x:v>
      </x:c>
      <x:c r="F745" s="13" t="str">
        <x:f>IF(D745=E745,"PASS","FAIL")</x:f>
        <x:v>PASS</x:v>
      </x:c>
    </x:row>
    <x:row r="746">
      <x:c r="A746" s="13" t="str">
        <x:v>RX-TE-A-01</x:v>
      </x:c>
      <x:c r="B746" s="13" t="str">
        <x:v>Root path</x:v>
      </x:c>
      <x:c r="C746" s="13" t="str">
        <x:v>TE-A has exactly two public paths</x:v>
      </x:c>
      <x:c r="D746" s="13" t="n">
        <x:f>COUNTIFS('Public Paths'!$B$6:$B$53,"TE-A")</x:f>
        <x:v>2</x:v>
      </x:c>
      <x:c r="E746" s="13" t="n">
        <x:v>2</x:v>
      </x:c>
      <x:c r="F746" s="13" t="str">
        <x:f>IF(D746=E746,"PASS","FAIL")</x:f>
        <x:v>PASS</x:v>
      </x:c>
    </x:row>
    <x:row r="747">
      <x:c r="A747" s="13" t="str">
        <x:v>RX-TE-A-02</x:v>
      </x:c>
      <x:c r="B747" s="13" t="str">
        <x:v>Root path</x:v>
      </x:c>
      <x:c r="C747" s="13" t="str">
        <x:v>TE-A paths use different cells</x:v>
      </x:c>
      <x:c r="D747" s="13" t="b">
        <x:f>'Public Paths'!D6&lt;&gt;'Public Paths'!D10</x:f>
        <x:v>1</x:v>
      </x:c>
      <x:c r="E747" s="58" t="b">
        <x:v>1</x:v>
      </x:c>
      <x:c r="F747" s="13" t="str">
        <x:f>IF(D747=E747,"PASS","FAIL")</x:f>
        <x:v>PASS</x:v>
      </x:c>
    </x:row>
    <x:row r="748">
      <x:c r="A748" s="13" t="str">
        <x:v>RX-TE-A-03</x:v>
      </x:c>
      <x:c r="B748" s="13" t="str">
        <x:v>Root path</x:v>
      </x:c>
      <x:c r="C748" s="13" t="str">
        <x:v>TE-A sites and operators separate when populated</x:v>
      </x:c>
      <x:c r="D748" s="13" t="b">
        <x:f>IF(COUNTA('Public Paths'!K6:L6,'Public Paths'!K10:L10)=0,TRUE,AND('Public Paths'!K6&lt;&gt;'Public Paths'!K10,'Public Paths'!L6&lt;&gt;'Public Paths'!L10))</x:f>
        <x:v>1</x:v>
      </x:c>
      <x:c r="E748" s="58" t="b">
        <x:v>1</x:v>
      </x:c>
      <x:c r="F748" s="13" t="str">
        <x:f>IF(D748=E748,"PASS","FAIL")</x:f>
        <x:v>PASS</x:v>
      </x:c>
    </x:row>
    <x:row r="749">
      <x:c r="A749" s="13" t="str">
        <x:v>RX-TE-B-01</x:v>
      </x:c>
      <x:c r="B749" s="13" t="str">
        <x:v>Root path</x:v>
      </x:c>
      <x:c r="C749" s="13" t="str">
        <x:v>TE-B has exactly two public paths</x:v>
      </x:c>
      <x:c r="D749" s="13" t="n">
        <x:f>COUNTIFS('Public Paths'!$B$6:$B$53,"TE-B")</x:f>
        <x:v>2</x:v>
      </x:c>
      <x:c r="E749" s="13" t="n">
        <x:v>2</x:v>
      </x:c>
      <x:c r="F749" s="13" t="str">
        <x:f>IF(D749=E749,"PASS","FAIL")</x:f>
        <x:v>PASS</x:v>
      </x:c>
    </x:row>
    <x:row r="750">
      <x:c r="A750" s="13" t="str">
        <x:v>RX-TE-B-02</x:v>
      </x:c>
      <x:c r="B750" s="13" t="str">
        <x:v>Root path</x:v>
      </x:c>
      <x:c r="C750" s="13" t="str">
        <x:v>TE-B paths use different cells</x:v>
      </x:c>
      <x:c r="D750" s="13" t="b">
        <x:f>'Public Paths'!D7&lt;&gt;'Public Paths'!D12</x:f>
        <x:v>1</x:v>
      </x:c>
      <x:c r="E750" s="58" t="b">
        <x:v>1</x:v>
      </x:c>
      <x:c r="F750" s="13" t="str">
        <x:f>IF(D750=E750,"PASS","FAIL")</x:f>
        <x:v>PASS</x:v>
      </x:c>
    </x:row>
    <x:row r="751">
      <x:c r="A751" s="13" t="str">
        <x:v>RX-TE-B-03</x:v>
      </x:c>
      <x:c r="B751" s="13" t="str">
        <x:v>Root path</x:v>
      </x:c>
      <x:c r="C751" s="13" t="str">
        <x:v>TE-B sites and operators separate when populated</x:v>
      </x:c>
      <x:c r="D751" s="13" t="b">
        <x:f>IF(COUNTA('Public Paths'!K7:L7,'Public Paths'!K12:L12)=0,TRUE,AND('Public Paths'!K7&lt;&gt;'Public Paths'!K12,'Public Paths'!L7&lt;&gt;'Public Paths'!L12))</x:f>
        <x:v>1</x:v>
      </x:c>
      <x:c r="E751" s="58" t="b">
        <x:v>1</x:v>
      </x:c>
      <x:c r="F751" s="13" t="str">
        <x:f>IF(D751=E751,"PASS","FAIL")</x:f>
        <x:v>PASS</x:v>
      </x:c>
    </x:row>
    <x:row r="752">
      <x:c r="A752" s="13" t="str">
        <x:v>RX-TE-C-01</x:v>
      </x:c>
      <x:c r="B752" s="13" t="str">
        <x:v>Root path</x:v>
      </x:c>
      <x:c r="C752" s="13" t="str">
        <x:v>TE-C has exactly two public paths</x:v>
      </x:c>
      <x:c r="D752" s="13" t="n">
        <x:f>COUNTIFS('Public Paths'!$B$6:$B$53,"TE-C")</x:f>
        <x:v>2</x:v>
      </x:c>
      <x:c r="E752" s="13" t="n">
        <x:v>2</x:v>
      </x:c>
      <x:c r="F752" s="13" t="str">
        <x:f>IF(D752=E752,"PASS","FAIL")</x:f>
        <x:v>PASS</x:v>
      </x:c>
    </x:row>
    <x:row r="753">
      <x:c r="A753" s="13" t="str">
        <x:v>RX-TE-C-02</x:v>
      </x:c>
      <x:c r="B753" s="13" t="str">
        <x:v>Root path</x:v>
      </x:c>
      <x:c r="C753" s="13" t="str">
        <x:v>TE-C paths use different cells</x:v>
      </x:c>
      <x:c r="D753" s="13" t="b">
        <x:f>'Public Paths'!D8&lt;&gt;'Public Paths'!D11</x:f>
        <x:v>1</x:v>
      </x:c>
      <x:c r="E753" s="58" t="b">
        <x:v>1</x:v>
      </x:c>
      <x:c r="F753" s="13" t="str">
        <x:f>IF(D753=E753,"PASS","FAIL")</x:f>
        <x:v>PASS</x:v>
      </x:c>
    </x:row>
    <x:row r="754">
      <x:c r="A754" s="13" t="str">
        <x:v>RX-TE-C-03</x:v>
      </x:c>
      <x:c r="B754" s="13" t="str">
        <x:v>Root path</x:v>
      </x:c>
      <x:c r="C754" s="13" t="str">
        <x:v>TE-C sites and operators separate when populated</x:v>
      </x:c>
      <x:c r="D754" s="13" t="b">
        <x:f>IF(COUNTA('Public Paths'!K8:L8,'Public Paths'!K11:L11)=0,TRUE,AND('Public Paths'!K8&lt;&gt;'Public Paths'!K11,'Public Paths'!L8&lt;&gt;'Public Paths'!L11))</x:f>
        <x:v>1</x:v>
      </x:c>
      <x:c r="E754" s="58" t="b">
        <x:v>1</x:v>
      </x:c>
      <x:c r="F754" s="13" t="str">
        <x:f>IF(D754=E754,"PASS","FAIL")</x:f>
        <x:v>PASS</x:v>
      </x:c>
    </x:row>
    <x:row r="755">
      <x:c r="A755" s="13" t="str">
        <x:v>RX-TE-D-01</x:v>
      </x:c>
      <x:c r="B755" s="13" t="str">
        <x:v>Root path</x:v>
      </x:c>
      <x:c r="C755" s="13" t="str">
        <x:v>TE-D has exactly two public paths</x:v>
      </x:c>
      <x:c r="D755" s="13" t="n">
        <x:f>COUNTIFS('Public Paths'!$B$6:$B$53,"TE-D")</x:f>
        <x:v>2</x:v>
      </x:c>
      <x:c r="E755" s="13" t="n">
        <x:v>2</x:v>
      </x:c>
      <x:c r="F755" s="13" t="str">
        <x:f>IF(D755=E755,"PASS","FAIL")</x:f>
        <x:v>PASS</x:v>
      </x:c>
    </x:row>
    <x:row r="756">
      <x:c r="A756" s="13" t="str">
        <x:v>RX-TE-D-02</x:v>
      </x:c>
      <x:c r="B756" s="13" t="str">
        <x:v>Root path</x:v>
      </x:c>
      <x:c r="C756" s="13" t="str">
        <x:v>TE-D paths use different cells</x:v>
      </x:c>
      <x:c r="D756" s="13" t="b">
        <x:f>'Public Paths'!D9&lt;&gt;'Public Paths'!D13</x:f>
        <x:v>1</x:v>
      </x:c>
      <x:c r="E756" s="58" t="b">
        <x:v>1</x:v>
      </x:c>
      <x:c r="F756" s="13" t="str">
        <x:f>IF(D756=E756,"PASS","FAIL")</x:f>
        <x:v>PASS</x:v>
      </x:c>
    </x:row>
    <x:row r="757">
      <x:c r="A757" s="13" t="str">
        <x:v>RX-TE-D-03</x:v>
      </x:c>
      <x:c r="B757" s="13" t="str">
        <x:v>Root path</x:v>
      </x:c>
      <x:c r="C757" s="13" t="str">
        <x:v>TE-D sites and operators separate when populated</x:v>
      </x:c>
      <x:c r="D757" s="13" t="b">
        <x:f>IF(COUNTA('Public Paths'!K9:L9,'Public Paths'!K13:L13)=0,TRUE,AND('Public Paths'!K9&lt;&gt;'Public Paths'!K13,'Public Paths'!L9&lt;&gt;'Public Paths'!L13))</x:f>
        <x:v>1</x:v>
      </x:c>
      <x:c r="E757" s="58" t="b">
        <x:v>1</x:v>
      </x:c>
      <x:c r="F757" s="13" t="str">
        <x:f>IF(D757=E757,"PASS","FAIL")</x:f>
        <x:v>PASS</x:v>
      </x:c>
    </x:row>
    <x:row r="758">
      <x:c r="A758" s="13" t="str">
        <x:v>RX-CT-A-01</x:v>
      </x:c>
      <x:c r="B758" s="13" t="str">
        <x:v>Root path</x:v>
      </x:c>
      <x:c r="C758" s="13" t="str">
        <x:v>CT-A has exactly two public paths</x:v>
      </x:c>
      <x:c r="D758" s="13" t="n">
        <x:f>COUNTIFS('Public Paths'!$B$6:$B$53,"CT-A")</x:f>
        <x:v>2</x:v>
      </x:c>
      <x:c r="E758" s="13" t="n">
        <x:v>2</x:v>
      </x:c>
      <x:c r="F758" s="13" t="str">
        <x:f>IF(D758=E758,"PASS","FAIL")</x:f>
        <x:v>PASS</x:v>
      </x:c>
    </x:row>
    <x:row r="759">
      <x:c r="A759" s="13" t="str">
        <x:v>RX-CT-A-02</x:v>
      </x:c>
      <x:c r="B759" s="13" t="str">
        <x:v>Root path</x:v>
      </x:c>
      <x:c r="C759" s="13" t="str">
        <x:v>CT-A paths use different cells</x:v>
      </x:c>
      <x:c r="D759" s="13" t="b">
        <x:f>'Public Paths'!D14&lt;&gt;'Public Paths'!D18</x:f>
        <x:v>1</x:v>
      </x:c>
      <x:c r="E759" s="58" t="b">
        <x:v>1</x:v>
      </x:c>
      <x:c r="F759" s="13" t="str">
        <x:f>IF(D759=E759,"PASS","FAIL")</x:f>
        <x:v>PASS</x:v>
      </x:c>
    </x:row>
    <x:row r="760">
      <x:c r="A760" s="13" t="str">
        <x:v>RX-CT-A-03</x:v>
      </x:c>
      <x:c r="B760" s="13" t="str">
        <x:v>Root path</x:v>
      </x:c>
      <x:c r="C760" s="13" t="str">
        <x:v>CT-A sites and operators separate when populated</x:v>
      </x:c>
      <x:c r="D760" s="13" t="b">
        <x:f>IF(COUNTA('Public Paths'!K14:L14,'Public Paths'!K18:L18)=0,TRUE,AND('Public Paths'!K14&lt;&gt;'Public Paths'!K18,'Public Paths'!L14&lt;&gt;'Public Paths'!L18))</x:f>
        <x:v>1</x:v>
      </x:c>
      <x:c r="E760" s="58" t="b">
        <x:v>1</x:v>
      </x:c>
      <x:c r="F760" s="13" t="str">
        <x:f>IF(D760=E760,"PASS","FAIL")</x:f>
        <x:v>PASS</x:v>
      </x:c>
    </x:row>
    <x:row r="761">
      <x:c r="A761" s="13" t="str">
        <x:v>RX-CT-B-01</x:v>
      </x:c>
      <x:c r="B761" s="13" t="str">
        <x:v>Root path</x:v>
      </x:c>
      <x:c r="C761" s="13" t="str">
        <x:v>CT-B has exactly two public paths</x:v>
      </x:c>
      <x:c r="D761" s="13" t="n">
        <x:f>COUNTIFS('Public Paths'!$B$6:$B$53,"CT-B")</x:f>
        <x:v>2</x:v>
      </x:c>
      <x:c r="E761" s="13" t="n">
        <x:v>2</x:v>
      </x:c>
      <x:c r="F761" s="13" t="str">
        <x:f>IF(D761=E761,"PASS","FAIL")</x:f>
        <x:v>PASS</x:v>
      </x:c>
    </x:row>
    <x:row r="762">
      <x:c r="A762" s="13" t="str">
        <x:v>RX-CT-B-02</x:v>
      </x:c>
      <x:c r="B762" s="13" t="str">
        <x:v>Root path</x:v>
      </x:c>
      <x:c r="C762" s="13" t="str">
        <x:v>CT-B paths use different cells</x:v>
      </x:c>
      <x:c r="D762" s="13" t="b">
        <x:f>'Public Paths'!D15&lt;&gt;'Public Paths'!D20</x:f>
        <x:v>1</x:v>
      </x:c>
      <x:c r="E762" s="58" t="b">
        <x:v>1</x:v>
      </x:c>
      <x:c r="F762" s="13" t="str">
        <x:f>IF(D762=E762,"PASS","FAIL")</x:f>
        <x:v>PASS</x:v>
      </x:c>
    </x:row>
    <x:row r="763">
      <x:c r="A763" s="13" t="str">
        <x:v>RX-CT-B-03</x:v>
      </x:c>
      <x:c r="B763" s="13" t="str">
        <x:v>Root path</x:v>
      </x:c>
      <x:c r="C763" s="13" t="str">
        <x:v>CT-B sites and operators separate when populated</x:v>
      </x:c>
      <x:c r="D763" s="13" t="b">
        <x:f>IF(COUNTA('Public Paths'!K15:L15,'Public Paths'!K20:L20)=0,TRUE,AND('Public Paths'!K15&lt;&gt;'Public Paths'!K20,'Public Paths'!L15&lt;&gt;'Public Paths'!L20))</x:f>
        <x:v>1</x:v>
      </x:c>
      <x:c r="E763" s="58" t="b">
        <x:v>1</x:v>
      </x:c>
      <x:c r="F763" s="13" t="str">
        <x:f>IF(D763=E763,"PASS","FAIL")</x:f>
        <x:v>PASS</x:v>
      </x:c>
    </x:row>
    <x:row r="764">
      <x:c r="A764" s="13" t="str">
        <x:v>RX-CT-C-01</x:v>
      </x:c>
      <x:c r="B764" s="13" t="str">
        <x:v>Root path</x:v>
      </x:c>
      <x:c r="C764" s="13" t="str">
        <x:v>CT-C has exactly two public paths</x:v>
      </x:c>
      <x:c r="D764" s="13" t="n">
        <x:f>COUNTIFS('Public Paths'!$B$6:$B$53,"CT-C")</x:f>
        <x:v>2</x:v>
      </x:c>
      <x:c r="E764" s="13" t="n">
        <x:v>2</x:v>
      </x:c>
      <x:c r="F764" s="13" t="str">
        <x:f>IF(D764=E764,"PASS","FAIL")</x:f>
        <x:v>PASS</x:v>
      </x:c>
    </x:row>
    <x:row r="765">
      <x:c r="A765" s="13" t="str">
        <x:v>RX-CT-C-02</x:v>
      </x:c>
      <x:c r="B765" s="13" t="str">
        <x:v>Root path</x:v>
      </x:c>
      <x:c r="C765" s="13" t="str">
        <x:v>CT-C paths use different cells</x:v>
      </x:c>
      <x:c r="D765" s="13" t="b">
        <x:f>'Public Paths'!D16&lt;&gt;'Public Paths'!D19</x:f>
        <x:v>1</x:v>
      </x:c>
      <x:c r="E765" s="58" t="b">
        <x:v>1</x:v>
      </x:c>
      <x:c r="F765" s="13" t="str">
        <x:f>IF(D765=E765,"PASS","FAIL")</x:f>
        <x:v>PASS</x:v>
      </x:c>
    </x:row>
    <x:row r="766">
      <x:c r="A766" s="13" t="str">
        <x:v>RX-CT-C-03</x:v>
      </x:c>
      <x:c r="B766" s="13" t="str">
        <x:v>Root path</x:v>
      </x:c>
      <x:c r="C766" s="13" t="str">
        <x:v>CT-C sites and operators separate when populated</x:v>
      </x:c>
      <x:c r="D766" s="13" t="b">
        <x:f>IF(COUNTA('Public Paths'!K16:L16,'Public Paths'!K19:L19)=0,TRUE,AND('Public Paths'!K16&lt;&gt;'Public Paths'!K19,'Public Paths'!L16&lt;&gt;'Public Paths'!L19))</x:f>
        <x:v>1</x:v>
      </x:c>
      <x:c r="E766" s="58" t="b">
        <x:v>1</x:v>
      </x:c>
      <x:c r="F766" s="13" t="str">
        <x:f>IF(D766=E766,"PASS","FAIL")</x:f>
        <x:v>PASS</x:v>
      </x:c>
    </x:row>
    <x:row r="767">
      <x:c r="A767" s="13" t="str">
        <x:v>RX-CT-D-01</x:v>
      </x:c>
      <x:c r="B767" s="13" t="str">
        <x:v>Root path</x:v>
      </x:c>
      <x:c r="C767" s="13" t="str">
        <x:v>CT-D has exactly two public paths</x:v>
      </x:c>
      <x:c r="D767" s="13" t="n">
        <x:f>COUNTIFS('Public Paths'!$B$6:$B$53,"CT-D")</x:f>
        <x:v>2</x:v>
      </x:c>
      <x:c r="E767" s="13" t="n">
        <x:v>2</x:v>
      </x:c>
      <x:c r="F767" s="13" t="str">
        <x:f>IF(D767=E767,"PASS","FAIL")</x:f>
        <x:v>PASS</x:v>
      </x:c>
    </x:row>
    <x:row r="768">
      <x:c r="A768" s="13" t="str">
        <x:v>RX-CT-D-02</x:v>
      </x:c>
      <x:c r="B768" s="13" t="str">
        <x:v>Root path</x:v>
      </x:c>
      <x:c r="C768" s="13" t="str">
        <x:v>CT-D paths use different cells</x:v>
      </x:c>
      <x:c r="D768" s="13" t="b">
        <x:f>'Public Paths'!D17&lt;&gt;'Public Paths'!D21</x:f>
        <x:v>1</x:v>
      </x:c>
      <x:c r="E768" s="58" t="b">
        <x:v>1</x:v>
      </x:c>
      <x:c r="F768" s="13" t="str">
        <x:f>IF(D768=E768,"PASS","FAIL")</x:f>
        <x:v>PASS</x:v>
      </x:c>
    </x:row>
    <x:row r="769">
      <x:c r="A769" s="13" t="str">
        <x:v>RX-CT-D-03</x:v>
      </x:c>
      <x:c r="B769" s="13" t="str">
        <x:v>Root path</x:v>
      </x:c>
      <x:c r="C769" s="13" t="str">
        <x:v>CT-D sites and operators separate when populated</x:v>
      </x:c>
      <x:c r="D769" s="13" t="b">
        <x:f>IF(COUNTA('Public Paths'!K17:L17,'Public Paths'!K21:L21)=0,TRUE,AND('Public Paths'!K17&lt;&gt;'Public Paths'!K21,'Public Paths'!L17&lt;&gt;'Public Paths'!L21))</x:f>
        <x:v>1</x:v>
      </x:c>
      <x:c r="E769" s="58" t="b">
        <x:v>1</x:v>
      </x:c>
      <x:c r="F769" s="13" t="str">
        <x:f>IF(D769=E769,"PASS","FAIL")</x:f>
        <x:v>PASS</x:v>
      </x:c>
    </x:row>
    <x:row r="770">
      <x:c r="A770" s="13" t="str">
        <x:v>RX-HC-A-01</x:v>
      </x:c>
      <x:c r="B770" s="13" t="str">
        <x:v>Root path</x:v>
      </x:c>
      <x:c r="C770" s="13" t="str">
        <x:v>HC-A has exactly two public paths</x:v>
      </x:c>
      <x:c r="D770" s="13" t="n">
        <x:f>COUNTIFS('Public Paths'!$B$6:$B$53,"HC-A")</x:f>
        <x:v>2</x:v>
      </x:c>
      <x:c r="E770" s="13" t="n">
        <x:v>2</x:v>
      </x:c>
      <x:c r="F770" s="13" t="str">
        <x:f>IF(D770=E770,"PASS","FAIL")</x:f>
        <x:v>PASS</x:v>
      </x:c>
    </x:row>
    <x:row r="771">
      <x:c r="A771" s="13" t="str">
        <x:v>RX-HC-A-02</x:v>
      </x:c>
      <x:c r="B771" s="13" t="str">
        <x:v>Root path</x:v>
      </x:c>
      <x:c r="C771" s="13" t="str">
        <x:v>HC-A paths use different cells</x:v>
      </x:c>
      <x:c r="D771" s="13" t="b">
        <x:f>'Public Paths'!D22&lt;&gt;'Public Paths'!D26</x:f>
        <x:v>1</x:v>
      </x:c>
      <x:c r="E771" s="58" t="b">
        <x:v>1</x:v>
      </x:c>
      <x:c r="F771" s="13" t="str">
        <x:f>IF(D771=E771,"PASS","FAIL")</x:f>
        <x:v>PASS</x:v>
      </x:c>
    </x:row>
    <x:row r="772">
      <x:c r="A772" s="13" t="str">
        <x:v>RX-HC-A-03</x:v>
      </x:c>
      <x:c r="B772" s="13" t="str">
        <x:v>Root path</x:v>
      </x:c>
      <x:c r="C772" s="13" t="str">
        <x:v>HC-A sites and operators separate when populated</x:v>
      </x:c>
      <x:c r="D772" s="13" t="b">
        <x:f>IF(COUNTA('Public Paths'!K22:L22,'Public Paths'!K26:L26)=0,TRUE,AND('Public Paths'!K22&lt;&gt;'Public Paths'!K26,'Public Paths'!L22&lt;&gt;'Public Paths'!L26))</x:f>
        <x:v>1</x:v>
      </x:c>
      <x:c r="E772" s="58" t="b">
        <x:v>1</x:v>
      </x:c>
      <x:c r="F772" s="13" t="str">
        <x:f>IF(D772=E772,"PASS","FAIL")</x:f>
        <x:v>PASS</x:v>
      </x:c>
    </x:row>
    <x:row r="773">
      <x:c r="A773" s="13" t="str">
        <x:v>RX-HC-B-01</x:v>
      </x:c>
      <x:c r="B773" s="13" t="str">
        <x:v>Root path</x:v>
      </x:c>
      <x:c r="C773" s="13" t="str">
        <x:v>HC-B has exactly two public paths</x:v>
      </x:c>
      <x:c r="D773" s="13" t="n">
        <x:f>COUNTIFS('Public Paths'!$B$6:$B$53,"HC-B")</x:f>
        <x:v>2</x:v>
      </x:c>
      <x:c r="E773" s="13" t="n">
        <x:v>2</x:v>
      </x:c>
      <x:c r="F773" s="13" t="str">
        <x:f>IF(D773=E773,"PASS","FAIL")</x:f>
        <x:v>PASS</x:v>
      </x:c>
    </x:row>
    <x:row r="774">
      <x:c r="A774" s="13" t="str">
        <x:v>RX-HC-B-02</x:v>
      </x:c>
      <x:c r="B774" s="13" t="str">
        <x:v>Root path</x:v>
      </x:c>
      <x:c r="C774" s="13" t="str">
        <x:v>HC-B paths use different cells</x:v>
      </x:c>
      <x:c r="D774" s="13" t="b">
        <x:f>'Public Paths'!D23&lt;&gt;'Public Paths'!D28</x:f>
        <x:v>1</x:v>
      </x:c>
      <x:c r="E774" s="58" t="b">
        <x:v>1</x:v>
      </x:c>
      <x:c r="F774" s="13" t="str">
        <x:f>IF(D774=E774,"PASS","FAIL")</x:f>
        <x:v>PASS</x:v>
      </x:c>
    </x:row>
    <x:row r="775">
      <x:c r="A775" s="13" t="str">
        <x:v>RX-HC-B-03</x:v>
      </x:c>
      <x:c r="B775" s="13" t="str">
        <x:v>Root path</x:v>
      </x:c>
      <x:c r="C775" s="13" t="str">
        <x:v>HC-B sites and operators separate when populated</x:v>
      </x:c>
      <x:c r="D775" s="13" t="b">
        <x:f>IF(COUNTA('Public Paths'!K23:L23,'Public Paths'!K28:L28)=0,TRUE,AND('Public Paths'!K23&lt;&gt;'Public Paths'!K28,'Public Paths'!L23&lt;&gt;'Public Paths'!L28))</x:f>
        <x:v>1</x:v>
      </x:c>
      <x:c r="E775" s="58" t="b">
        <x:v>1</x:v>
      </x:c>
      <x:c r="F775" s="13" t="str">
        <x:f>IF(D775=E775,"PASS","FAIL")</x:f>
        <x:v>PASS</x:v>
      </x:c>
    </x:row>
    <x:row r="776">
      <x:c r="A776" s="13" t="str">
        <x:v>RX-HC-C-01</x:v>
      </x:c>
      <x:c r="B776" s="13" t="str">
        <x:v>Root path</x:v>
      </x:c>
      <x:c r="C776" s="13" t="str">
        <x:v>HC-C has exactly two public paths</x:v>
      </x:c>
      <x:c r="D776" s="13" t="n">
        <x:f>COUNTIFS('Public Paths'!$B$6:$B$53,"HC-C")</x:f>
        <x:v>2</x:v>
      </x:c>
      <x:c r="E776" s="13" t="n">
        <x:v>2</x:v>
      </x:c>
      <x:c r="F776" s="13" t="str">
        <x:f>IF(D776=E776,"PASS","FAIL")</x:f>
        <x:v>PASS</x:v>
      </x:c>
    </x:row>
    <x:row r="777">
      <x:c r="A777" s="13" t="str">
        <x:v>RX-HC-C-02</x:v>
      </x:c>
      <x:c r="B777" s="13" t="str">
        <x:v>Root path</x:v>
      </x:c>
      <x:c r="C777" s="13" t="str">
        <x:v>HC-C paths use different cells</x:v>
      </x:c>
      <x:c r="D777" s="13" t="b">
        <x:f>'Public Paths'!D24&lt;&gt;'Public Paths'!D27</x:f>
        <x:v>1</x:v>
      </x:c>
      <x:c r="E777" s="58" t="b">
        <x:v>1</x:v>
      </x:c>
      <x:c r="F777" s="13" t="str">
        <x:f>IF(D777=E777,"PASS","FAIL")</x:f>
        <x:v>PASS</x:v>
      </x:c>
    </x:row>
    <x:row r="778">
      <x:c r="A778" s="13" t="str">
        <x:v>RX-HC-C-03</x:v>
      </x:c>
      <x:c r="B778" s="13" t="str">
        <x:v>Root path</x:v>
      </x:c>
      <x:c r="C778" s="13" t="str">
        <x:v>HC-C sites and operators separate when populated</x:v>
      </x:c>
      <x:c r="D778" s="13" t="b">
        <x:f>IF(COUNTA('Public Paths'!K24:L24,'Public Paths'!K27:L27)=0,TRUE,AND('Public Paths'!K24&lt;&gt;'Public Paths'!K27,'Public Paths'!L24&lt;&gt;'Public Paths'!L27))</x:f>
        <x:v>1</x:v>
      </x:c>
      <x:c r="E778" s="58" t="b">
        <x:v>1</x:v>
      </x:c>
      <x:c r="F778" s="13" t="str">
        <x:f>IF(D778=E778,"PASS","FAIL")</x:f>
        <x:v>PASS</x:v>
      </x:c>
    </x:row>
    <x:row r="779">
      <x:c r="A779" s="13" t="str">
        <x:v>RX-HC-D-01</x:v>
      </x:c>
      <x:c r="B779" s="13" t="str">
        <x:v>Root path</x:v>
      </x:c>
      <x:c r="C779" s="13" t="str">
        <x:v>HC-D has exactly two public paths</x:v>
      </x:c>
      <x:c r="D779" s="13" t="n">
        <x:f>COUNTIFS('Public Paths'!$B$6:$B$53,"HC-D")</x:f>
        <x:v>2</x:v>
      </x:c>
      <x:c r="E779" s="13" t="n">
        <x:v>2</x:v>
      </x:c>
      <x:c r="F779" s="13" t="str">
        <x:f>IF(D779=E779,"PASS","FAIL")</x:f>
        <x:v>PASS</x:v>
      </x:c>
    </x:row>
    <x:row r="780">
      <x:c r="A780" s="13" t="str">
        <x:v>RX-HC-D-02</x:v>
      </x:c>
      <x:c r="B780" s="13" t="str">
        <x:v>Root path</x:v>
      </x:c>
      <x:c r="C780" s="13" t="str">
        <x:v>HC-D paths use different cells</x:v>
      </x:c>
      <x:c r="D780" s="13" t="b">
        <x:f>'Public Paths'!D25&lt;&gt;'Public Paths'!D29</x:f>
        <x:v>1</x:v>
      </x:c>
      <x:c r="E780" s="58" t="b">
        <x:v>1</x:v>
      </x:c>
      <x:c r="F780" s="13" t="str">
        <x:f>IF(D780=E780,"PASS","FAIL")</x:f>
        <x:v>PASS</x:v>
      </x:c>
    </x:row>
    <x:row r="781">
      <x:c r="A781" s="13" t="str">
        <x:v>RX-HC-D-03</x:v>
      </x:c>
      <x:c r="B781" s="13" t="str">
        <x:v>Root path</x:v>
      </x:c>
      <x:c r="C781" s="13" t="str">
        <x:v>HC-D sites and operators separate when populated</x:v>
      </x:c>
      <x:c r="D781" s="13" t="b">
        <x:f>IF(COUNTA('Public Paths'!K25:L25,'Public Paths'!K29:L29)=0,TRUE,AND('Public Paths'!K25&lt;&gt;'Public Paths'!K29,'Public Paths'!L25&lt;&gt;'Public Paths'!L29))</x:f>
        <x:v>1</x:v>
      </x:c>
      <x:c r="E781" s="58" t="b">
        <x:v>1</x:v>
      </x:c>
      <x:c r="F781" s="13" t="str">
        <x:f>IF(D781=E781,"PASS","FAIL")</x:f>
        <x:v>PASS</x:v>
      </x:c>
    </x:row>
    <x:row r="782">
      <x:c r="A782" s="13" t="str">
        <x:v>RX-LF-A-01</x:v>
      </x:c>
      <x:c r="B782" s="13" t="str">
        <x:v>Root path</x:v>
      </x:c>
      <x:c r="C782" s="13" t="str">
        <x:v>LF-A has exactly two public paths</x:v>
      </x:c>
      <x:c r="D782" s="13" t="n">
        <x:f>COUNTIFS('Public Paths'!$B$6:$B$53,"LF-A")</x:f>
        <x:v>2</x:v>
      </x:c>
      <x:c r="E782" s="13" t="n">
        <x:v>2</x:v>
      </x:c>
      <x:c r="F782" s="13" t="str">
        <x:f>IF(D782=E782,"PASS","FAIL")</x:f>
        <x:v>PASS</x:v>
      </x:c>
    </x:row>
    <x:row r="783">
      <x:c r="A783" s="13" t="str">
        <x:v>RX-LF-A-02</x:v>
      </x:c>
      <x:c r="B783" s="13" t="str">
        <x:v>Root path</x:v>
      </x:c>
      <x:c r="C783" s="13" t="str">
        <x:v>LF-A paths use different cells</x:v>
      </x:c>
      <x:c r="D783" s="13" t="b">
        <x:f>'Public Paths'!D30&lt;&gt;'Public Paths'!D34</x:f>
        <x:v>1</x:v>
      </x:c>
      <x:c r="E783" s="58" t="b">
        <x:v>1</x:v>
      </x:c>
      <x:c r="F783" s="13" t="str">
        <x:f>IF(D783=E783,"PASS","FAIL")</x:f>
        <x:v>PASS</x:v>
      </x:c>
    </x:row>
    <x:row r="784">
      <x:c r="A784" s="13" t="str">
        <x:v>RX-LF-A-03</x:v>
      </x:c>
      <x:c r="B784" s="13" t="str">
        <x:v>Root path</x:v>
      </x:c>
      <x:c r="C784" s="13" t="str">
        <x:v>LF-A sites and operators separate when populated</x:v>
      </x:c>
      <x:c r="D784" s="13" t="b">
        <x:f>IF(COUNTA('Public Paths'!K30:L30,'Public Paths'!K34:L34)=0,TRUE,AND('Public Paths'!K30&lt;&gt;'Public Paths'!K34,'Public Paths'!L30&lt;&gt;'Public Paths'!L34))</x:f>
        <x:v>1</x:v>
      </x:c>
      <x:c r="E784" s="58" t="b">
        <x:v>1</x:v>
      </x:c>
      <x:c r="F784" s="13" t="str">
        <x:f>IF(D784=E784,"PASS","FAIL")</x:f>
        <x:v>PASS</x:v>
      </x:c>
    </x:row>
    <x:row r="785">
      <x:c r="A785" s="13" t="str">
        <x:v>RX-LF-B-01</x:v>
      </x:c>
      <x:c r="B785" s="13" t="str">
        <x:v>Root path</x:v>
      </x:c>
      <x:c r="C785" s="13" t="str">
        <x:v>LF-B has exactly two public paths</x:v>
      </x:c>
      <x:c r="D785" s="13" t="n">
        <x:f>COUNTIFS('Public Paths'!$B$6:$B$53,"LF-B")</x:f>
        <x:v>2</x:v>
      </x:c>
      <x:c r="E785" s="13" t="n">
        <x:v>2</x:v>
      </x:c>
      <x:c r="F785" s="13" t="str">
        <x:f>IF(D785=E785,"PASS","FAIL")</x:f>
        <x:v>PASS</x:v>
      </x:c>
    </x:row>
    <x:row r="786">
      <x:c r="A786" s="13" t="str">
        <x:v>RX-LF-B-02</x:v>
      </x:c>
      <x:c r="B786" s="13" t="str">
        <x:v>Root path</x:v>
      </x:c>
      <x:c r="C786" s="13" t="str">
        <x:v>LF-B paths use different cells</x:v>
      </x:c>
      <x:c r="D786" s="13" t="b">
        <x:f>'Public Paths'!D31&lt;&gt;'Public Paths'!D36</x:f>
        <x:v>1</x:v>
      </x:c>
      <x:c r="E786" s="58" t="b">
        <x:v>1</x:v>
      </x:c>
      <x:c r="F786" s="13" t="str">
        <x:f>IF(D786=E786,"PASS","FAIL")</x:f>
        <x:v>PASS</x:v>
      </x:c>
    </x:row>
    <x:row r="787">
      <x:c r="A787" s="13" t="str">
        <x:v>RX-LF-B-03</x:v>
      </x:c>
      <x:c r="B787" s="13" t="str">
        <x:v>Root path</x:v>
      </x:c>
      <x:c r="C787" s="13" t="str">
        <x:v>LF-B sites and operators separate when populated</x:v>
      </x:c>
      <x:c r="D787" s="13" t="b">
        <x:f>IF(COUNTA('Public Paths'!K31:L31,'Public Paths'!K36:L36)=0,TRUE,AND('Public Paths'!K31&lt;&gt;'Public Paths'!K36,'Public Paths'!L31&lt;&gt;'Public Paths'!L36))</x:f>
        <x:v>1</x:v>
      </x:c>
      <x:c r="E787" s="58" t="b">
        <x:v>1</x:v>
      </x:c>
      <x:c r="F787" s="13" t="str">
        <x:f>IF(D787=E787,"PASS","FAIL")</x:f>
        <x:v>PASS</x:v>
      </x:c>
    </x:row>
    <x:row r="788">
      <x:c r="A788" s="13" t="str">
        <x:v>RX-LF-C-01</x:v>
      </x:c>
      <x:c r="B788" s="13" t="str">
        <x:v>Root path</x:v>
      </x:c>
      <x:c r="C788" s="13" t="str">
        <x:v>LF-C has exactly two public paths</x:v>
      </x:c>
      <x:c r="D788" s="13" t="n">
        <x:f>COUNTIFS('Public Paths'!$B$6:$B$53,"LF-C")</x:f>
        <x:v>2</x:v>
      </x:c>
      <x:c r="E788" s="13" t="n">
        <x:v>2</x:v>
      </x:c>
      <x:c r="F788" s="13" t="str">
        <x:f>IF(D788=E788,"PASS","FAIL")</x:f>
        <x:v>PASS</x:v>
      </x:c>
    </x:row>
    <x:row r="789">
      <x:c r="A789" s="13" t="str">
        <x:v>RX-LF-C-02</x:v>
      </x:c>
      <x:c r="B789" s="13" t="str">
        <x:v>Root path</x:v>
      </x:c>
      <x:c r="C789" s="13" t="str">
        <x:v>LF-C paths use different cells</x:v>
      </x:c>
      <x:c r="D789" s="13" t="b">
        <x:f>'Public Paths'!D32&lt;&gt;'Public Paths'!D35</x:f>
        <x:v>1</x:v>
      </x:c>
      <x:c r="E789" s="58" t="b">
        <x:v>1</x:v>
      </x:c>
      <x:c r="F789" s="13" t="str">
        <x:f>IF(D789=E789,"PASS","FAIL")</x:f>
        <x:v>PASS</x:v>
      </x:c>
    </x:row>
    <x:row r="790">
      <x:c r="A790" s="13" t="str">
        <x:v>RX-LF-C-03</x:v>
      </x:c>
      <x:c r="B790" s="13" t="str">
        <x:v>Root path</x:v>
      </x:c>
      <x:c r="C790" s="13" t="str">
        <x:v>LF-C sites and operators separate when populated</x:v>
      </x:c>
      <x:c r="D790" s="13" t="b">
        <x:f>IF(COUNTA('Public Paths'!K32:L32,'Public Paths'!K35:L35)=0,TRUE,AND('Public Paths'!K32&lt;&gt;'Public Paths'!K35,'Public Paths'!L32&lt;&gt;'Public Paths'!L35))</x:f>
        <x:v>1</x:v>
      </x:c>
      <x:c r="E790" s="58" t="b">
        <x:v>1</x:v>
      </x:c>
      <x:c r="F790" s="13" t="str">
        <x:f>IF(D790=E790,"PASS","FAIL")</x:f>
        <x:v>PASS</x:v>
      </x:c>
    </x:row>
    <x:row r="791">
      <x:c r="A791" s="13" t="str">
        <x:v>RX-LF-D-01</x:v>
      </x:c>
      <x:c r="B791" s="13" t="str">
        <x:v>Root path</x:v>
      </x:c>
      <x:c r="C791" s="13" t="str">
        <x:v>LF-D has exactly two public paths</x:v>
      </x:c>
      <x:c r="D791" s="13" t="n">
        <x:f>COUNTIFS('Public Paths'!$B$6:$B$53,"LF-D")</x:f>
        <x:v>2</x:v>
      </x:c>
      <x:c r="E791" s="13" t="n">
        <x:v>2</x:v>
      </x:c>
      <x:c r="F791" s="13" t="str">
        <x:f>IF(D791=E791,"PASS","FAIL")</x:f>
        <x:v>PASS</x:v>
      </x:c>
    </x:row>
    <x:row r="792">
      <x:c r="A792" s="13" t="str">
        <x:v>RX-LF-D-02</x:v>
      </x:c>
      <x:c r="B792" s="13" t="str">
        <x:v>Root path</x:v>
      </x:c>
      <x:c r="C792" s="13" t="str">
        <x:v>LF-D paths use different cells</x:v>
      </x:c>
      <x:c r="D792" s="13" t="b">
        <x:f>'Public Paths'!D33&lt;&gt;'Public Paths'!D37</x:f>
        <x:v>1</x:v>
      </x:c>
      <x:c r="E792" s="58" t="b">
        <x:v>1</x:v>
      </x:c>
      <x:c r="F792" s="13" t="str">
        <x:f>IF(D792=E792,"PASS","FAIL")</x:f>
        <x:v>PASS</x:v>
      </x:c>
    </x:row>
    <x:row r="793">
      <x:c r="A793" s="13" t="str">
        <x:v>RX-LF-D-03</x:v>
      </x:c>
      <x:c r="B793" s="13" t="str">
        <x:v>Root path</x:v>
      </x:c>
      <x:c r="C793" s="13" t="str">
        <x:v>LF-D sites and operators separate when populated</x:v>
      </x:c>
      <x:c r="D793" s="13" t="b">
        <x:f>IF(COUNTA('Public Paths'!K33:L33,'Public Paths'!K37:L37)=0,TRUE,AND('Public Paths'!K33&lt;&gt;'Public Paths'!K37,'Public Paths'!L33&lt;&gt;'Public Paths'!L37))</x:f>
        <x:v>1</x:v>
      </x:c>
      <x:c r="E793" s="58" t="b">
        <x:v>1</x:v>
      </x:c>
      <x:c r="F793" s="13" t="str">
        <x:f>IF(D793=E793,"PASS","FAIL")</x:f>
        <x:v>PASS</x:v>
      </x:c>
    </x:row>
    <x:row r="794">
      <x:c r="A794" s="13" t="str">
        <x:v>RX-HU-A-01</x:v>
      </x:c>
      <x:c r="B794" s="13" t="str">
        <x:v>Root path</x:v>
      </x:c>
      <x:c r="C794" s="13" t="str">
        <x:v>HU-A has exactly two public paths</x:v>
      </x:c>
      <x:c r="D794" s="13" t="n">
        <x:f>COUNTIFS('Public Paths'!$B$6:$B$53,"HU-A")</x:f>
        <x:v>2</x:v>
      </x:c>
      <x:c r="E794" s="13" t="n">
        <x:v>2</x:v>
      </x:c>
      <x:c r="F794" s="13" t="str">
        <x:f>IF(D794=E794,"PASS","FAIL")</x:f>
        <x:v>PASS</x:v>
      </x:c>
    </x:row>
    <x:row r="795">
      <x:c r="A795" s="13" t="str">
        <x:v>RX-HU-A-02</x:v>
      </x:c>
      <x:c r="B795" s="13" t="str">
        <x:v>Root path</x:v>
      </x:c>
      <x:c r="C795" s="13" t="str">
        <x:v>HU-A paths use different cells</x:v>
      </x:c>
      <x:c r="D795" s="13" t="b">
        <x:f>'Public Paths'!D38&lt;&gt;'Public Paths'!D42</x:f>
        <x:v>1</x:v>
      </x:c>
      <x:c r="E795" s="58" t="b">
        <x:v>1</x:v>
      </x:c>
      <x:c r="F795" s="13" t="str">
        <x:f>IF(D795=E795,"PASS","FAIL")</x:f>
        <x:v>PASS</x:v>
      </x:c>
    </x:row>
    <x:row r="796">
      <x:c r="A796" s="13" t="str">
        <x:v>RX-HU-A-03</x:v>
      </x:c>
      <x:c r="B796" s="13" t="str">
        <x:v>Root path</x:v>
      </x:c>
      <x:c r="C796" s="13" t="str">
        <x:v>HU-A sites and operators separate when populated</x:v>
      </x:c>
      <x:c r="D796" s="13" t="b">
        <x:f>IF(COUNTA('Public Paths'!K38:L38,'Public Paths'!K42:L42)=0,TRUE,AND('Public Paths'!K38&lt;&gt;'Public Paths'!K42,'Public Paths'!L38&lt;&gt;'Public Paths'!L42))</x:f>
        <x:v>1</x:v>
      </x:c>
      <x:c r="E796" s="58" t="b">
        <x:v>1</x:v>
      </x:c>
      <x:c r="F796" s="13" t="str">
        <x:f>IF(D796=E796,"PASS","FAIL")</x:f>
        <x:v>PASS</x:v>
      </x:c>
    </x:row>
    <x:row r="797">
      <x:c r="A797" s="13" t="str">
        <x:v>RX-HU-B-01</x:v>
      </x:c>
      <x:c r="B797" s="13" t="str">
        <x:v>Root path</x:v>
      </x:c>
      <x:c r="C797" s="13" t="str">
        <x:v>HU-B has exactly two public paths</x:v>
      </x:c>
      <x:c r="D797" s="13" t="n">
        <x:f>COUNTIFS('Public Paths'!$B$6:$B$53,"HU-B")</x:f>
        <x:v>2</x:v>
      </x:c>
      <x:c r="E797" s="13" t="n">
        <x:v>2</x:v>
      </x:c>
      <x:c r="F797" s="13" t="str">
        <x:f>IF(D797=E797,"PASS","FAIL")</x:f>
        <x:v>PASS</x:v>
      </x:c>
    </x:row>
    <x:row r="798">
      <x:c r="A798" s="13" t="str">
        <x:v>RX-HU-B-02</x:v>
      </x:c>
      <x:c r="B798" s="13" t="str">
        <x:v>Root path</x:v>
      </x:c>
      <x:c r="C798" s="13" t="str">
        <x:v>HU-B paths use different cells</x:v>
      </x:c>
      <x:c r="D798" s="13" t="b">
        <x:f>'Public Paths'!D39&lt;&gt;'Public Paths'!D44</x:f>
        <x:v>1</x:v>
      </x:c>
      <x:c r="E798" s="58" t="b">
        <x:v>1</x:v>
      </x:c>
      <x:c r="F798" s="13" t="str">
        <x:f>IF(D798=E798,"PASS","FAIL")</x:f>
        <x:v>PASS</x:v>
      </x:c>
    </x:row>
    <x:row r="799">
      <x:c r="A799" s="13" t="str">
        <x:v>RX-HU-B-03</x:v>
      </x:c>
      <x:c r="B799" s="13" t="str">
        <x:v>Root path</x:v>
      </x:c>
      <x:c r="C799" s="13" t="str">
        <x:v>HU-B sites and operators separate when populated</x:v>
      </x:c>
      <x:c r="D799" s="13" t="b">
        <x:f>IF(COUNTA('Public Paths'!K39:L39,'Public Paths'!K44:L44)=0,TRUE,AND('Public Paths'!K39&lt;&gt;'Public Paths'!K44,'Public Paths'!L39&lt;&gt;'Public Paths'!L44))</x:f>
        <x:v>1</x:v>
      </x:c>
      <x:c r="E799" s="58" t="b">
        <x:v>1</x:v>
      </x:c>
      <x:c r="F799" s="13" t="str">
        <x:f>IF(D799=E799,"PASS","FAIL")</x:f>
        <x:v>PASS</x:v>
      </x:c>
    </x:row>
    <x:row r="800">
      <x:c r="A800" s="13" t="str">
        <x:v>RX-HU-C-01</x:v>
      </x:c>
      <x:c r="B800" s="13" t="str">
        <x:v>Root path</x:v>
      </x:c>
      <x:c r="C800" s="13" t="str">
        <x:v>HU-C has exactly two public paths</x:v>
      </x:c>
      <x:c r="D800" s="13" t="n">
        <x:f>COUNTIFS('Public Paths'!$B$6:$B$53,"HU-C")</x:f>
        <x:v>2</x:v>
      </x:c>
      <x:c r="E800" s="13" t="n">
        <x:v>2</x:v>
      </x:c>
      <x:c r="F800" s="13" t="str">
        <x:f>IF(D800=E800,"PASS","FAIL")</x:f>
        <x:v>PASS</x:v>
      </x:c>
    </x:row>
    <x:row r="801">
      <x:c r="A801" s="13" t="str">
        <x:v>RX-HU-C-02</x:v>
      </x:c>
      <x:c r="B801" s="13" t="str">
        <x:v>Root path</x:v>
      </x:c>
      <x:c r="C801" s="13" t="str">
        <x:v>HU-C paths use different cells</x:v>
      </x:c>
      <x:c r="D801" s="13" t="b">
        <x:f>'Public Paths'!D40&lt;&gt;'Public Paths'!D43</x:f>
        <x:v>1</x:v>
      </x:c>
      <x:c r="E801" s="58" t="b">
        <x:v>1</x:v>
      </x:c>
      <x:c r="F801" s="13" t="str">
        <x:f>IF(D801=E801,"PASS","FAIL")</x:f>
        <x:v>PASS</x:v>
      </x:c>
    </x:row>
    <x:row r="802">
      <x:c r="A802" s="13" t="str">
        <x:v>RX-HU-C-03</x:v>
      </x:c>
      <x:c r="B802" s="13" t="str">
        <x:v>Root path</x:v>
      </x:c>
      <x:c r="C802" s="13" t="str">
        <x:v>HU-C sites and operators separate when populated</x:v>
      </x:c>
      <x:c r="D802" s="13" t="b">
        <x:f>IF(COUNTA('Public Paths'!K40:L40,'Public Paths'!K43:L43)=0,TRUE,AND('Public Paths'!K40&lt;&gt;'Public Paths'!K43,'Public Paths'!L40&lt;&gt;'Public Paths'!L43))</x:f>
        <x:v>1</x:v>
      </x:c>
      <x:c r="E802" s="58" t="b">
        <x:v>1</x:v>
      </x:c>
      <x:c r="F802" s="13" t="str">
        <x:f>IF(D802=E802,"PASS","FAIL")</x:f>
        <x:v>PASS</x:v>
      </x:c>
    </x:row>
    <x:row r="803">
      <x:c r="A803" s="13" t="str">
        <x:v>RX-HU-D-01</x:v>
      </x:c>
      <x:c r="B803" s="13" t="str">
        <x:v>Root path</x:v>
      </x:c>
      <x:c r="C803" s="13" t="str">
        <x:v>HU-D has exactly two public paths</x:v>
      </x:c>
      <x:c r="D803" s="13" t="n">
        <x:f>COUNTIFS('Public Paths'!$B$6:$B$53,"HU-D")</x:f>
        <x:v>2</x:v>
      </x:c>
      <x:c r="E803" s="13" t="n">
        <x:v>2</x:v>
      </x:c>
      <x:c r="F803" s="13" t="str">
        <x:f>IF(D803=E803,"PASS","FAIL")</x:f>
        <x:v>PASS</x:v>
      </x:c>
    </x:row>
    <x:row r="804">
      <x:c r="A804" s="13" t="str">
        <x:v>RX-HU-D-02</x:v>
      </x:c>
      <x:c r="B804" s="13" t="str">
        <x:v>Root path</x:v>
      </x:c>
      <x:c r="C804" s="13" t="str">
        <x:v>HU-D paths use different cells</x:v>
      </x:c>
      <x:c r="D804" s="13" t="b">
        <x:f>'Public Paths'!D41&lt;&gt;'Public Paths'!D45</x:f>
        <x:v>1</x:v>
      </x:c>
      <x:c r="E804" s="58" t="b">
        <x:v>1</x:v>
      </x:c>
      <x:c r="F804" s="13" t="str">
        <x:f>IF(D804=E804,"PASS","FAIL")</x:f>
        <x:v>PASS</x:v>
      </x:c>
    </x:row>
    <x:row r="805">
      <x:c r="A805" s="13" t="str">
        <x:v>RX-HU-D-03</x:v>
      </x:c>
      <x:c r="B805" s="13" t="str">
        <x:v>Root path</x:v>
      </x:c>
      <x:c r="C805" s="13" t="str">
        <x:v>HU-D sites and operators separate when populated</x:v>
      </x:c>
      <x:c r="D805" s="13" t="b">
        <x:f>IF(COUNTA('Public Paths'!K41:L41,'Public Paths'!K45:L45)=0,TRUE,AND('Public Paths'!K41&lt;&gt;'Public Paths'!K45,'Public Paths'!L41&lt;&gt;'Public Paths'!L45))</x:f>
        <x:v>1</x:v>
      </x:c>
      <x:c r="E805" s="58" t="b">
        <x:v>1</x:v>
      </x:c>
      <x:c r="F805" s="13" t="str">
        <x:f>IF(D805=E805,"PASS","FAIL")</x:f>
        <x:v>PASS</x:v>
      </x:c>
    </x:row>
    <x:row r="806">
      <x:c r="A806" s="13" t="str">
        <x:v>RX-RT-A-01</x:v>
      </x:c>
      <x:c r="B806" s="13" t="str">
        <x:v>Root path</x:v>
      </x:c>
      <x:c r="C806" s="13" t="str">
        <x:v>RT-A has exactly two public paths</x:v>
      </x:c>
      <x:c r="D806" s="13" t="n">
        <x:f>COUNTIFS('Public Paths'!$B$6:$B$53,"RT-A")</x:f>
        <x:v>2</x:v>
      </x:c>
      <x:c r="E806" s="13" t="n">
        <x:v>2</x:v>
      </x:c>
      <x:c r="F806" s="13" t="str">
        <x:f>IF(D806=E806,"PASS","FAIL")</x:f>
        <x:v>PASS</x:v>
      </x:c>
    </x:row>
    <x:row r="807">
      <x:c r="A807" s="13" t="str">
        <x:v>RX-RT-A-02</x:v>
      </x:c>
      <x:c r="B807" s="13" t="str">
        <x:v>Root path</x:v>
      </x:c>
      <x:c r="C807" s="13" t="str">
        <x:v>RT-A paths use different cells</x:v>
      </x:c>
      <x:c r="D807" s="13" t="b">
        <x:f>'Public Paths'!D46&lt;&gt;'Public Paths'!D50</x:f>
        <x:v>1</x:v>
      </x:c>
      <x:c r="E807" s="58" t="b">
        <x:v>1</x:v>
      </x:c>
      <x:c r="F807" s="13" t="str">
        <x:f>IF(D807=E807,"PASS","FAIL")</x:f>
        <x:v>PASS</x:v>
      </x:c>
    </x:row>
    <x:row r="808">
      <x:c r="A808" s="13" t="str">
        <x:v>RX-RT-A-03</x:v>
      </x:c>
      <x:c r="B808" s="13" t="str">
        <x:v>Root path</x:v>
      </x:c>
      <x:c r="C808" s="13" t="str">
        <x:v>RT-A sites and operators separate when populated</x:v>
      </x:c>
      <x:c r="D808" s="13" t="b">
        <x:f>IF(COUNTA('Public Paths'!K46:L46,'Public Paths'!K50:L50)=0,TRUE,AND('Public Paths'!K46&lt;&gt;'Public Paths'!K50,'Public Paths'!L46&lt;&gt;'Public Paths'!L50))</x:f>
        <x:v>1</x:v>
      </x:c>
      <x:c r="E808" s="58" t="b">
        <x:v>1</x:v>
      </x:c>
      <x:c r="F808" s="13" t="str">
        <x:f>IF(D808=E808,"PASS","FAIL")</x:f>
        <x:v>PASS</x:v>
      </x:c>
    </x:row>
    <x:row r="809">
      <x:c r="A809" s="13" t="str">
        <x:v>RX-RT-B-01</x:v>
      </x:c>
      <x:c r="B809" s="13" t="str">
        <x:v>Root path</x:v>
      </x:c>
      <x:c r="C809" s="13" t="str">
        <x:v>RT-B has exactly two public paths</x:v>
      </x:c>
      <x:c r="D809" s="13" t="n">
        <x:f>COUNTIFS('Public Paths'!$B$6:$B$53,"RT-B")</x:f>
        <x:v>2</x:v>
      </x:c>
      <x:c r="E809" s="13" t="n">
        <x:v>2</x:v>
      </x:c>
      <x:c r="F809" s="13" t="str">
        <x:f>IF(D809=E809,"PASS","FAIL")</x:f>
        <x:v>PASS</x:v>
      </x:c>
    </x:row>
    <x:row r="810">
      <x:c r="A810" s="13" t="str">
        <x:v>RX-RT-B-02</x:v>
      </x:c>
      <x:c r="B810" s="13" t="str">
        <x:v>Root path</x:v>
      </x:c>
      <x:c r="C810" s="13" t="str">
        <x:v>RT-B paths use different cells</x:v>
      </x:c>
      <x:c r="D810" s="13" t="b">
        <x:f>'Public Paths'!D47&lt;&gt;'Public Paths'!D52</x:f>
        <x:v>1</x:v>
      </x:c>
      <x:c r="E810" s="58" t="b">
        <x:v>1</x:v>
      </x:c>
      <x:c r="F810" s="13" t="str">
        <x:f>IF(D810=E810,"PASS","FAIL")</x:f>
        <x:v>PASS</x:v>
      </x:c>
    </x:row>
    <x:row r="811">
      <x:c r="A811" s="13" t="str">
        <x:v>RX-RT-B-03</x:v>
      </x:c>
      <x:c r="B811" s="13" t="str">
        <x:v>Root path</x:v>
      </x:c>
      <x:c r="C811" s="13" t="str">
        <x:v>RT-B sites and operators separate when populated</x:v>
      </x:c>
      <x:c r="D811" s="13" t="b">
        <x:f>IF(COUNTA('Public Paths'!K47:L47,'Public Paths'!K52:L52)=0,TRUE,AND('Public Paths'!K47&lt;&gt;'Public Paths'!K52,'Public Paths'!L47&lt;&gt;'Public Paths'!L52))</x:f>
        <x:v>1</x:v>
      </x:c>
      <x:c r="E811" s="58" t="b">
        <x:v>1</x:v>
      </x:c>
      <x:c r="F811" s="13" t="str">
        <x:f>IF(D811=E811,"PASS","FAIL")</x:f>
        <x:v>PASS</x:v>
      </x:c>
    </x:row>
    <x:row r="812">
      <x:c r="A812" s="13" t="str">
        <x:v>RX-RT-C-01</x:v>
      </x:c>
      <x:c r="B812" s="13" t="str">
        <x:v>Root path</x:v>
      </x:c>
      <x:c r="C812" s="13" t="str">
        <x:v>RT-C has exactly two public paths</x:v>
      </x:c>
      <x:c r="D812" s="13" t="n">
        <x:f>COUNTIFS('Public Paths'!$B$6:$B$53,"RT-C")</x:f>
        <x:v>2</x:v>
      </x:c>
      <x:c r="E812" s="13" t="n">
        <x:v>2</x:v>
      </x:c>
      <x:c r="F812" s="13" t="str">
        <x:f>IF(D812=E812,"PASS","FAIL")</x:f>
        <x:v>PASS</x:v>
      </x:c>
    </x:row>
    <x:row r="813">
      <x:c r="A813" s="13" t="str">
        <x:v>RX-RT-C-02</x:v>
      </x:c>
      <x:c r="B813" s="13" t="str">
        <x:v>Root path</x:v>
      </x:c>
      <x:c r="C813" s="13" t="str">
        <x:v>RT-C paths use different cells</x:v>
      </x:c>
      <x:c r="D813" s="13" t="b">
        <x:f>'Public Paths'!D48&lt;&gt;'Public Paths'!D51</x:f>
        <x:v>1</x:v>
      </x:c>
      <x:c r="E813" s="58" t="b">
        <x:v>1</x:v>
      </x:c>
      <x:c r="F813" s="13" t="str">
        <x:f>IF(D813=E813,"PASS","FAIL")</x:f>
        <x:v>PASS</x:v>
      </x:c>
    </x:row>
    <x:row r="814">
      <x:c r="A814" s="13" t="str">
        <x:v>RX-RT-C-03</x:v>
      </x:c>
      <x:c r="B814" s="13" t="str">
        <x:v>Root path</x:v>
      </x:c>
      <x:c r="C814" s="13" t="str">
        <x:v>RT-C sites and operators separate when populated</x:v>
      </x:c>
      <x:c r="D814" s="13" t="b">
        <x:f>IF(COUNTA('Public Paths'!K48:L48,'Public Paths'!K51:L51)=0,TRUE,AND('Public Paths'!K48&lt;&gt;'Public Paths'!K51,'Public Paths'!L48&lt;&gt;'Public Paths'!L51))</x:f>
        <x:v>1</x:v>
      </x:c>
      <x:c r="E814" s="58" t="b">
        <x:v>1</x:v>
      </x:c>
      <x:c r="F814" s="13" t="str">
        <x:f>IF(D814=E814,"PASS","FAIL")</x:f>
        <x:v>PASS</x:v>
      </x:c>
    </x:row>
    <x:row r="815">
      <x:c r="A815" s="13" t="str">
        <x:v>RX-RT-D-01</x:v>
      </x:c>
      <x:c r="B815" s="13" t="str">
        <x:v>Root path</x:v>
      </x:c>
      <x:c r="C815" s="13" t="str">
        <x:v>RT-D has exactly two public paths</x:v>
      </x:c>
      <x:c r="D815" s="13" t="n">
        <x:f>COUNTIFS('Public Paths'!$B$6:$B$53,"RT-D")</x:f>
        <x:v>2</x:v>
      </x:c>
      <x:c r="E815" s="13" t="n">
        <x:v>2</x:v>
      </x:c>
      <x:c r="F815" s="13" t="str">
        <x:f>IF(D815=E815,"PASS","FAIL")</x:f>
        <x:v>PASS</x:v>
      </x:c>
    </x:row>
    <x:row r="816">
      <x:c r="A816" s="13" t="str">
        <x:v>RX-RT-D-02</x:v>
      </x:c>
      <x:c r="B816" s="13" t="str">
        <x:v>Root path</x:v>
      </x:c>
      <x:c r="C816" s="13" t="str">
        <x:v>RT-D paths use different cells</x:v>
      </x:c>
      <x:c r="D816" s="13" t="b">
        <x:f>'Public Paths'!D49&lt;&gt;'Public Paths'!D53</x:f>
        <x:v>1</x:v>
      </x:c>
      <x:c r="E816" s="58" t="b">
        <x:v>1</x:v>
      </x:c>
      <x:c r="F816" s="13" t="str">
        <x:f>IF(D816=E816,"PASS","FAIL")</x:f>
        <x:v>PASS</x:v>
      </x:c>
    </x:row>
    <x:row r="817">
      <x:c r="A817" s="13" t="str">
        <x:v>RX-RT-D-03</x:v>
      </x:c>
      <x:c r="B817" s="13" t="str">
        <x:v>Root path</x:v>
      </x:c>
      <x:c r="C817" s="13" t="str">
        <x:v>RT-D sites and operators separate when populated</x:v>
      </x:c>
      <x:c r="D817" s="13" t="b">
        <x:f>IF(COUNTA('Public Paths'!K49:L49,'Public Paths'!K53:L53)=0,TRUE,AND('Public Paths'!K49&lt;&gt;'Public Paths'!K53,'Public Paths'!L49&lt;&gt;'Public Paths'!L53))</x:f>
        <x:v>1</x:v>
      </x:c>
      <x:c r="E817" s="58" t="b">
        <x:v>1</x:v>
      </x:c>
      <x:c r="F817" s="13" t="str">
        <x:f>IF(D817=E817,"PASS","FAIL")</x:f>
        <x:v>PASS</x:v>
      </x:c>
    </x:row>
    <x:row r="818">
      <x:c r="A818" s="13" t="str">
        <x:v>CC-1-01</x:v>
      </x:c>
      <x:c r="B818" s="13" t="str">
        <x:v>Cell capacity</x:v>
      </x:c>
      <x:c r="C818" s="13" t="str">
        <x:v>TE-CELL-1 has two paths</x:v>
      </x:c>
      <x:c r="D818" s="13" t="n">
        <x:f>'Cell Capacity'!E6</x:f>
        <x:v>2</x:v>
      </x:c>
      <x:c r="E818" s="13" t="n">
        <x:v>2</x:v>
      </x:c>
      <x:c r="F818" s="13" t="str">
        <x:f>IF(D818=E818,"PASS","FAIL")</x:f>
        <x:v>PASS</x:v>
      </x:c>
    </x:row>
    <x:row r="819">
      <x:c r="A819" s="13" t="str">
        <x:v>CC-1-02</x:v>
      </x:c>
      <x:c r="B819" s="13" t="str">
        <x:v>Cell capacity</x:v>
      </x:c>
      <x:c r="C819" s="13" t="str">
        <x:v>TE-CELL-1 governing rate is maximum</x:v>
      </x:c>
      <x:c r="D819" s="13" t="b">
        <x:f>ABS('Cell Capacity'!H6-MAX('Cell Capacity'!F6:G6))&lt;0.000001</x:f>
        <x:v>1</x:v>
      </x:c>
      <x:c r="E819" s="58" t="b">
        <x:v>1</x:v>
      </x:c>
      <x:c r="F819" s="13" t="str">
        <x:f>IF(D819=E819,"PASS","FAIL")</x:f>
        <x:v>PASS</x:v>
      </x:c>
    </x:row>
    <x:row r="820">
      <x:c r="A820" s="13" t="str">
        <x:v>CC-1-03</x:v>
      </x:c>
      <x:c r="B820" s="13" t="str">
        <x:v>Cell capacity</x:v>
      </x:c>
      <x:c r="C820" s="13" t="str">
        <x:v>TE-CELL-1 six bays</x:v>
      </x:c>
      <x:c r="D820" s="13" t="n">
        <x:f>'Cell Capacity'!I6</x:f>
        <x:v>6</x:v>
      </x:c>
      <x:c r="E820" s="13" t="n">
        <x:v>6</x:v>
      </x:c>
      <x:c r="F820" s="13" t="str">
        <x:f>IF(D820=E820,"PASS","FAIL")</x:f>
        <x:v>PASS</x:v>
      </x:c>
    </x:row>
    <x:row r="821">
      <x:c r="A821" s="13" t="str">
        <x:v>CC-1-04</x:v>
      </x:c>
      <x:c r="B821" s="13" t="str">
        <x:v>Cell capacity</x:v>
      </x:c>
      <x:c r="C821" s="13" t="str">
        <x:v>TE-CELL-1 quarter-rate bays</x:v>
      </x:c>
      <x:c r="D821" s="13" t="n">
        <x:f>'Cell Capacity'!J6</x:f>
        <x:v>0.25</x:v>
      </x:c>
      <x:c r="E821" s="13" t="n">
        <x:v>0.25</x:v>
      </x:c>
      <x:c r="F821" s="13" t="str">
        <x:f>IF(D821=E821,"PASS","FAIL")</x:f>
        <x:v>PASS</x:v>
      </x:c>
    </x:row>
    <x:row r="822">
      <x:c r="A822" s="13" t="str">
        <x:v>CC-1-05</x:v>
      </x:c>
      <x:c r="B822" s="13" t="str">
        <x:v>Cell capacity</x:v>
      </x:c>
      <x:c r="C822" s="13" t="str">
        <x:v>TE-CELL-1 closes after bay loss</x:v>
      </x:c>
      <x:c r="D822" s="13" t="b">
        <x:f>'Cell Capacity'!L6&gt;='Cell Capacity'!H6</x:f>
        <x:v>1</x:v>
      </x:c>
      <x:c r="E822" s="58" t="b">
        <x:v>1</x:v>
      </x:c>
      <x:c r="F822" s="13" t="str">
        <x:f>IF(D822=E822,"PASS","FAIL")</x:f>
        <x:v>PASS</x:v>
      </x:c>
    </x:row>
    <x:row r="823">
      <x:c r="A823" s="13" t="str">
        <x:v>CC-1-06</x:v>
      </x:c>
      <x:c r="B823" s="13" t="str">
        <x:v>Cell capacity</x:v>
      </x:c>
      <x:c r="C823" s="13" t="str">
        <x:v>TE-CELL-1 planning passes</x:v>
      </x:c>
      <x:c r="D823" s="13" t="str">
        <x:f>'Cell Capacity'!N6</x:f>
        <x:v>PASS</x:v>
      </x:c>
      <x:c r="E823" s="13" t="str">
        <x:v>PASS</x:v>
      </x:c>
      <x:c r="F823" s="13" t="str">
        <x:f>IF(D823=E823,"PASS","FAIL")</x:f>
        <x:v>PASS</x:v>
      </x:c>
    </x:row>
    <x:row r="824">
      <x:c r="A824" s="13" t="str">
        <x:v>CC-1-07</x:v>
      </x:c>
      <x:c r="B824" s="13" t="str">
        <x:v>Cell capacity</x:v>
      </x:c>
      <x:c r="C824" s="13" t="str">
        <x:v>TE-CELL-1 implementation state empty</x:v>
      </x:c>
      <x:c r="D824" s="13" t="str">
        <x:f>'Cell Capacity'!S6</x:f>
        <x:v>SOURCE EMPTY</x:v>
      </x:c>
      <x:c r="E824" s="13" t="str">
        <x:v>SOURCE EMPTY</x:v>
      </x:c>
      <x:c r="F824" s="13" t="str">
        <x:f>IF(D824=E824,"PASS","FAIL")</x:f>
        <x:v>PASS</x:v>
      </x:c>
    </x:row>
    <x:row r="825">
      <x:c r="A825" s="13" t="str">
        <x:v>CC-1-08</x:v>
      </x:c>
      <x:c r="B825" s="13" t="str">
        <x:v>Cell capacity</x:v>
      </x:c>
      <x:c r="C825" s="13" t="str">
        <x:v>TE-CELL-1 has six bay records</x:v>
      </x:c>
      <x:c r="D825" s="13" t="n">
        <x:f>COUNTIFS('Bay Register'!$B$6:$B$149,'Cell Capacity'!A6)</x:f>
        <x:v>6</x:v>
      </x:c>
      <x:c r="E825" s="13" t="n">
        <x:v>6</x:v>
      </x:c>
      <x:c r="F825" s="13" t="str">
        <x:f>IF(D825=E825,"PASS","FAIL")</x:f>
        <x:v>PASS</x:v>
      </x:c>
    </x:row>
    <x:row r="826">
      <x:c r="A826" s="13" t="str">
        <x:v>CC-1-09</x:v>
      </x:c>
      <x:c r="B826" s="13" t="str">
        <x:v>Cell capacity</x:v>
      </x:c>
      <x:c r="C826" s="13" t="str">
        <x:v>TE-CELL-1 site unique when populated</x:v>
      </x:c>
      <x:c r="D826" s="13" t="b">
        <x:f>IF('Cell Capacity'!O6="",TRUE,COUNTIFS('Cell Capacity'!$O$6:$O$29,'Cell Capacity'!O6)=1)</x:f>
        <x:v>1</x:v>
      </x:c>
      <x:c r="E826" s="58" t="b">
        <x:v>1</x:v>
      </x:c>
      <x:c r="F826" s="13" t="str">
        <x:f>IF(D826=E826,"PASS","FAIL")</x:f>
        <x:v>PASS</x:v>
      </x:c>
    </x:row>
    <x:row r="827">
      <x:c r="A827" s="13" t="str">
        <x:v>CC-2-01</x:v>
      </x:c>
      <x:c r="B827" s="13" t="str">
        <x:v>Cell capacity</x:v>
      </x:c>
      <x:c r="C827" s="13" t="str">
        <x:v>TE-CELL-2 has two paths</x:v>
      </x:c>
      <x:c r="D827" s="13" t="n">
        <x:f>'Cell Capacity'!E7</x:f>
        <x:v>2</x:v>
      </x:c>
      <x:c r="E827" s="13" t="n">
        <x:v>2</x:v>
      </x:c>
      <x:c r="F827" s="13" t="str">
        <x:f>IF(D827=E827,"PASS","FAIL")</x:f>
        <x:v>PASS</x:v>
      </x:c>
    </x:row>
    <x:row r="828">
      <x:c r="A828" s="13" t="str">
        <x:v>CC-2-02</x:v>
      </x:c>
      <x:c r="B828" s="13" t="str">
        <x:v>Cell capacity</x:v>
      </x:c>
      <x:c r="C828" s="13" t="str">
        <x:v>TE-CELL-2 governing rate is maximum</x:v>
      </x:c>
      <x:c r="D828" s="13" t="b">
        <x:f>ABS('Cell Capacity'!H7-MAX('Cell Capacity'!F7:G7))&lt;0.000001</x:f>
        <x:v>1</x:v>
      </x:c>
      <x:c r="E828" s="58" t="b">
        <x:v>1</x:v>
      </x:c>
      <x:c r="F828" s="13" t="str">
        <x:f>IF(D828=E828,"PASS","FAIL")</x:f>
        <x:v>PASS</x:v>
      </x:c>
    </x:row>
    <x:row r="829">
      <x:c r="A829" s="13" t="str">
        <x:v>CC-2-03</x:v>
      </x:c>
      <x:c r="B829" s="13" t="str">
        <x:v>Cell capacity</x:v>
      </x:c>
      <x:c r="C829" s="13" t="str">
        <x:v>TE-CELL-2 six bays</x:v>
      </x:c>
      <x:c r="D829" s="13" t="n">
        <x:f>'Cell Capacity'!I7</x:f>
        <x:v>6</x:v>
      </x:c>
      <x:c r="E829" s="13" t="n">
        <x:v>6</x:v>
      </x:c>
      <x:c r="F829" s="13" t="str">
        <x:f>IF(D829=E829,"PASS","FAIL")</x:f>
        <x:v>PASS</x:v>
      </x:c>
    </x:row>
    <x:row r="830">
      <x:c r="A830" s="13" t="str">
        <x:v>CC-2-04</x:v>
      </x:c>
      <x:c r="B830" s="13" t="str">
        <x:v>Cell capacity</x:v>
      </x:c>
      <x:c r="C830" s="13" t="str">
        <x:v>TE-CELL-2 quarter-rate bays</x:v>
      </x:c>
      <x:c r="D830" s="13" t="n">
        <x:f>'Cell Capacity'!J7</x:f>
        <x:v>0.25</x:v>
      </x:c>
      <x:c r="E830" s="13" t="n">
        <x:v>0.25</x:v>
      </x:c>
      <x:c r="F830" s="13" t="str">
        <x:f>IF(D830=E830,"PASS","FAIL")</x:f>
        <x:v>PASS</x:v>
      </x:c>
    </x:row>
    <x:row r="831">
      <x:c r="A831" s="13" t="str">
        <x:v>CC-2-05</x:v>
      </x:c>
      <x:c r="B831" s="13" t="str">
        <x:v>Cell capacity</x:v>
      </x:c>
      <x:c r="C831" s="13" t="str">
        <x:v>TE-CELL-2 closes after bay loss</x:v>
      </x:c>
      <x:c r="D831" s="13" t="b">
        <x:f>'Cell Capacity'!L7&gt;='Cell Capacity'!H7</x:f>
        <x:v>1</x:v>
      </x:c>
      <x:c r="E831" s="58" t="b">
        <x:v>1</x:v>
      </x:c>
      <x:c r="F831" s="13" t="str">
        <x:f>IF(D831=E831,"PASS","FAIL")</x:f>
        <x:v>PASS</x:v>
      </x:c>
    </x:row>
    <x:row r="832">
      <x:c r="A832" s="13" t="str">
        <x:v>CC-2-06</x:v>
      </x:c>
      <x:c r="B832" s="13" t="str">
        <x:v>Cell capacity</x:v>
      </x:c>
      <x:c r="C832" s="13" t="str">
        <x:v>TE-CELL-2 planning passes</x:v>
      </x:c>
      <x:c r="D832" s="13" t="str">
        <x:f>'Cell Capacity'!N7</x:f>
        <x:v>PASS</x:v>
      </x:c>
      <x:c r="E832" s="13" t="str">
        <x:v>PASS</x:v>
      </x:c>
      <x:c r="F832" s="13" t="str">
        <x:f>IF(D832=E832,"PASS","FAIL")</x:f>
        <x:v>PASS</x:v>
      </x:c>
    </x:row>
    <x:row r="833">
      <x:c r="A833" s="13" t="str">
        <x:v>CC-2-07</x:v>
      </x:c>
      <x:c r="B833" s="13" t="str">
        <x:v>Cell capacity</x:v>
      </x:c>
      <x:c r="C833" s="13" t="str">
        <x:v>TE-CELL-2 implementation state empty</x:v>
      </x:c>
      <x:c r="D833" s="13" t="str">
        <x:f>'Cell Capacity'!S7</x:f>
        <x:v>SOURCE EMPTY</x:v>
      </x:c>
      <x:c r="E833" s="13" t="str">
        <x:v>SOURCE EMPTY</x:v>
      </x:c>
      <x:c r="F833" s="13" t="str">
        <x:f>IF(D833=E833,"PASS","FAIL")</x:f>
        <x:v>PASS</x:v>
      </x:c>
    </x:row>
    <x:row r="834">
      <x:c r="A834" s="13" t="str">
        <x:v>CC-2-08</x:v>
      </x:c>
      <x:c r="B834" s="13" t="str">
        <x:v>Cell capacity</x:v>
      </x:c>
      <x:c r="C834" s="13" t="str">
        <x:v>TE-CELL-2 has six bay records</x:v>
      </x:c>
      <x:c r="D834" s="13" t="n">
        <x:f>COUNTIFS('Bay Register'!$B$6:$B$149,'Cell Capacity'!A7)</x:f>
        <x:v>6</x:v>
      </x:c>
      <x:c r="E834" s="13" t="n">
        <x:v>6</x:v>
      </x:c>
      <x:c r="F834" s="13" t="str">
        <x:f>IF(D834=E834,"PASS","FAIL")</x:f>
        <x:v>PASS</x:v>
      </x:c>
    </x:row>
    <x:row r="835">
      <x:c r="A835" s="13" t="str">
        <x:v>CC-2-09</x:v>
      </x:c>
      <x:c r="B835" s="13" t="str">
        <x:v>Cell capacity</x:v>
      </x:c>
      <x:c r="C835" s="13" t="str">
        <x:v>TE-CELL-2 site unique when populated</x:v>
      </x:c>
      <x:c r="D835" s="13" t="b">
        <x:f>IF('Cell Capacity'!O7="",TRUE,COUNTIFS('Cell Capacity'!$O$6:$O$29,'Cell Capacity'!O7)=1)</x:f>
        <x:v>1</x:v>
      </x:c>
      <x:c r="E835" s="58" t="b">
        <x:v>1</x:v>
      </x:c>
      <x:c r="F835" s="13" t="str">
        <x:f>IF(D835=E835,"PASS","FAIL")</x:f>
        <x:v>PASS</x:v>
      </x:c>
    </x:row>
    <x:row r="836">
      <x:c r="A836" s="13" t="str">
        <x:v>CC-3-01</x:v>
      </x:c>
      <x:c r="B836" s="13" t="str">
        <x:v>Cell capacity</x:v>
      </x:c>
      <x:c r="C836" s="13" t="str">
        <x:v>TE-CELL-3 has two paths</x:v>
      </x:c>
      <x:c r="D836" s="13" t="n">
        <x:f>'Cell Capacity'!E8</x:f>
        <x:v>2</x:v>
      </x:c>
      <x:c r="E836" s="13" t="n">
        <x:v>2</x:v>
      </x:c>
      <x:c r="F836" s="13" t="str">
        <x:f>IF(D836=E836,"PASS","FAIL")</x:f>
        <x:v>PASS</x:v>
      </x:c>
    </x:row>
    <x:row r="837">
      <x:c r="A837" s="13" t="str">
        <x:v>CC-3-02</x:v>
      </x:c>
      <x:c r="B837" s="13" t="str">
        <x:v>Cell capacity</x:v>
      </x:c>
      <x:c r="C837" s="13" t="str">
        <x:v>TE-CELL-3 governing rate is maximum</x:v>
      </x:c>
      <x:c r="D837" s="13" t="b">
        <x:f>ABS('Cell Capacity'!H8-MAX('Cell Capacity'!F8:G8))&lt;0.000001</x:f>
        <x:v>1</x:v>
      </x:c>
      <x:c r="E837" s="58" t="b">
        <x:v>1</x:v>
      </x:c>
      <x:c r="F837" s="13" t="str">
        <x:f>IF(D837=E837,"PASS","FAIL")</x:f>
        <x:v>PASS</x:v>
      </x:c>
    </x:row>
    <x:row r="838">
      <x:c r="A838" s="13" t="str">
        <x:v>CC-3-03</x:v>
      </x:c>
      <x:c r="B838" s="13" t="str">
        <x:v>Cell capacity</x:v>
      </x:c>
      <x:c r="C838" s="13" t="str">
        <x:v>TE-CELL-3 six bays</x:v>
      </x:c>
      <x:c r="D838" s="13" t="n">
        <x:f>'Cell Capacity'!I8</x:f>
        <x:v>6</x:v>
      </x:c>
      <x:c r="E838" s="13" t="n">
        <x:v>6</x:v>
      </x:c>
      <x:c r="F838" s="13" t="str">
        <x:f>IF(D838=E838,"PASS","FAIL")</x:f>
        <x:v>PASS</x:v>
      </x:c>
    </x:row>
    <x:row r="839">
      <x:c r="A839" s="13" t="str">
        <x:v>CC-3-04</x:v>
      </x:c>
      <x:c r="B839" s="13" t="str">
        <x:v>Cell capacity</x:v>
      </x:c>
      <x:c r="C839" s="13" t="str">
        <x:v>TE-CELL-3 quarter-rate bays</x:v>
      </x:c>
      <x:c r="D839" s="13" t="n">
        <x:f>'Cell Capacity'!J8</x:f>
        <x:v>0.25</x:v>
      </x:c>
      <x:c r="E839" s="13" t="n">
        <x:v>0.25</x:v>
      </x:c>
      <x:c r="F839" s="13" t="str">
        <x:f>IF(D839=E839,"PASS","FAIL")</x:f>
        <x:v>PASS</x:v>
      </x:c>
    </x:row>
    <x:row r="840">
      <x:c r="A840" s="13" t="str">
        <x:v>CC-3-05</x:v>
      </x:c>
      <x:c r="B840" s="13" t="str">
        <x:v>Cell capacity</x:v>
      </x:c>
      <x:c r="C840" s="13" t="str">
        <x:v>TE-CELL-3 closes after bay loss</x:v>
      </x:c>
      <x:c r="D840" s="13" t="b">
        <x:f>'Cell Capacity'!L8&gt;='Cell Capacity'!H8</x:f>
        <x:v>1</x:v>
      </x:c>
      <x:c r="E840" s="58" t="b">
        <x:v>1</x:v>
      </x:c>
      <x:c r="F840" s="13" t="str">
        <x:f>IF(D840=E840,"PASS","FAIL")</x:f>
        <x:v>PASS</x:v>
      </x:c>
    </x:row>
    <x:row r="841">
      <x:c r="A841" s="13" t="str">
        <x:v>CC-3-06</x:v>
      </x:c>
      <x:c r="B841" s="13" t="str">
        <x:v>Cell capacity</x:v>
      </x:c>
      <x:c r="C841" s="13" t="str">
        <x:v>TE-CELL-3 planning passes</x:v>
      </x:c>
      <x:c r="D841" s="13" t="str">
        <x:f>'Cell Capacity'!N8</x:f>
        <x:v>PASS</x:v>
      </x:c>
      <x:c r="E841" s="13" t="str">
        <x:v>PASS</x:v>
      </x:c>
      <x:c r="F841" s="13" t="str">
        <x:f>IF(D841=E841,"PASS","FAIL")</x:f>
        <x:v>PASS</x:v>
      </x:c>
    </x:row>
    <x:row r="842">
      <x:c r="A842" s="13" t="str">
        <x:v>CC-3-07</x:v>
      </x:c>
      <x:c r="B842" s="13" t="str">
        <x:v>Cell capacity</x:v>
      </x:c>
      <x:c r="C842" s="13" t="str">
        <x:v>TE-CELL-3 implementation state empty</x:v>
      </x:c>
      <x:c r="D842" s="13" t="str">
        <x:f>'Cell Capacity'!S8</x:f>
        <x:v>SOURCE EMPTY</x:v>
      </x:c>
      <x:c r="E842" s="13" t="str">
        <x:v>SOURCE EMPTY</x:v>
      </x:c>
      <x:c r="F842" s="13" t="str">
        <x:f>IF(D842=E842,"PASS","FAIL")</x:f>
        <x:v>PASS</x:v>
      </x:c>
    </x:row>
    <x:row r="843">
      <x:c r="A843" s="13" t="str">
        <x:v>CC-3-08</x:v>
      </x:c>
      <x:c r="B843" s="13" t="str">
        <x:v>Cell capacity</x:v>
      </x:c>
      <x:c r="C843" s="13" t="str">
        <x:v>TE-CELL-3 has six bay records</x:v>
      </x:c>
      <x:c r="D843" s="13" t="n">
        <x:f>COUNTIFS('Bay Register'!$B$6:$B$149,'Cell Capacity'!A8)</x:f>
        <x:v>6</x:v>
      </x:c>
      <x:c r="E843" s="13" t="n">
        <x:v>6</x:v>
      </x:c>
      <x:c r="F843" s="13" t="str">
        <x:f>IF(D843=E843,"PASS","FAIL")</x:f>
        <x:v>PASS</x:v>
      </x:c>
    </x:row>
    <x:row r="844">
      <x:c r="A844" s="13" t="str">
        <x:v>CC-3-09</x:v>
      </x:c>
      <x:c r="B844" s="13" t="str">
        <x:v>Cell capacity</x:v>
      </x:c>
      <x:c r="C844" s="13" t="str">
        <x:v>TE-CELL-3 site unique when populated</x:v>
      </x:c>
      <x:c r="D844" s="13" t="b">
        <x:f>IF('Cell Capacity'!O8="",TRUE,COUNTIFS('Cell Capacity'!$O$6:$O$29,'Cell Capacity'!O8)=1)</x:f>
        <x:v>1</x:v>
      </x:c>
      <x:c r="E844" s="58" t="b">
        <x:v>1</x:v>
      </x:c>
      <x:c r="F844" s="13" t="str">
        <x:f>IF(D844=E844,"PASS","FAIL")</x:f>
        <x:v>PASS</x:v>
      </x:c>
    </x:row>
    <x:row r="845">
      <x:c r="A845" s="13" t="str">
        <x:v>CC-4-01</x:v>
      </x:c>
      <x:c r="B845" s="13" t="str">
        <x:v>Cell capacity</x:v>
      </x:c>
      <x:c r="C845" s="13" t="str">
        <x:v>TE-CELL-4 has two paths</x:v>
      </x:c>
      <x:c r="D845" s="13" t="n">
        <x:f>'Cell Capacity'!E9</x:f>
        <x:v>2</x:v>
      </x:c>
      <x:c r="E845" s="13" t="n">
        <x:v>2</x:v>
      </x:c>
      <x:c r="F845" s="13" t="str">
        <x:f>IF(D845=E845,"PASS","FAIL")</x:f>
        <x:v>PASS</x:v>
      </x:c>
    </x:row>
    <x:row r="846">
      <x:c r="A846" s="13" t="str">
        <x:v>CC-4-02</x:v>
      </x:c>
      <x:c r="B846" s="13" t="str">
        <x:v>Cell capacity</x:v>
      </x:c>
      <x:c r="C846" s="13" t="str">
        <x:v>TE-CELL-4 governing rate is maximum</x:v>
      </x:c>
      <x:c r="D846" s="13" t="b">
        <x:f>ABS('Cell Capacity'!H9-MAX('Cell Capacity'!F9:G9))&lt;0.000001</x:f>
        <x:v>1</x:v>
      </x:c>
      <x:c r="E846" s="58" t="b">
        <x:v>1</x:v>
      </x:c>
      <x:c r="F846" s="13" t="str">
        <x:f>IF(D846=E846,"PASS","FAIL")</x:f>
        <x:v>PASS</x:v>
      </x:c>
    </x:row>
    <x:row r="847">
      <x:c r="A847" s="13" t="str">
        <x:v>CC-4-03</x:v>
      </x:c>
      <x:c r="B847" s="13" t="str">
        <x:v>Cell capacity</x:v>
      </x:c>
      <x:c r="C847" s="13" t="str">
        <x:v>TE-CELL-4 six bays</x:v>
      </x:c>
      <x:c r="D847" s="13" t="n">
        <x:f>'Cell Capacity'!I9</x:f>
        <x:v>6</x:v>
      </x:c>
      <x:c r="E847" s="13" t="n">
        <x:v>6</x:v>
      </x:c>
      <x:c r="F847" s="13" t="str">
        <x:f>IF(D847=E847,"PASS","FAIL")</x:f>
        <x:v>PASS</x:v>
      </x:c>
    </x:row>
    <x:row r="848">
      <x:c r="A848" s="13" t="str">
        <x:v>CC-4-04</x:v>
      </x:c>
      <x:c r="B848" s="13" t="str">
        <x:v>Cell capacity</x:v>
      </x:c>
      <x:c r="C848" s="13" t="str">
        <x:v>TE-CELL-4 quarter-rate bays</x:v>
      </x:c>
      <x:c r="D848" s="13" t="n">
        <x:f>'Cell Capacity'!J9</x:f>
        <x:v>0.25</x:v>
      </x:c>
      <x:c r="E848" s="13" t="n">
        <x:v>0.25</x:v>
      </x:c>
      <x:c r="F848" s="13" t="str">
        <x:f>IF(D848=E848,"PASS","FAIL")</x:f>
        <x:v>PASS</x:v>
      </x:c>
    </x:row>
    <x:row r="849">
      <x:c r="A849" s="13" t="str">
        <x:v>CC-4-05</x:v>
      </x:c>
      <x:c r="B849" s="13" t="str">
        <x:v>Cell capacity</x:v>
      </x:c>
      <x:c r="C849" s="13" t="str">
        <x:v>TE-CELL-4 closes after bay loss</x:v>
      </x:c>
      <x:c r="D849" s="13" t="b">
        <x:f>'Cell Capacity'!L9&gt;='Cell Capacity'!H9</x:f>
        <x:v>1</x:v>
      </x:c>
      <x:c r="E849" s="58" t="b">
        <x:v>1</x:v>
      </x:c>
      <x:c r="F849" s="13" t="str">
        <x:f>IF(D849=E849,"PASS","FAIL")</x:f>
        <x:v>PASS</x:v>
      </x:c>
    </x:row>
    <x:row r="850">
      <x:c r="A850" s="13" t="str">
        <x:v>CC-4-06</x:v>
      </x:c>
      <x:c r="B850" s="13" t="str">
        <x:v>Cell capacity</x:v>
      </x:c>
      <x:c r="C850" s="13" t="str">
        <x:v>TE-CELL-4 planning passes</x:v>
      </x:c>
      <x:c r="D850" s="13" t="str">
        <x:f>'Cell Capacity'!N9</x:f>
        <x:v>PASS</x:v>
      </x:c>
      <x:c r="E850" s="13" t="str">
        <x:v>PASS</x:v>
      </x:c>
      <x:c r="F850" s="13" t="str">
        <x:f>IF(D850=E850,"PASS","FAIL")</x:f>
        <x:v>PASS</x:v>
      </x:c>
    </x:row>
    <x:row r="851">
      <x:c r="A851" s="13" t="str">
        <x:v>CC-4-07</x:v>
      </x:c>
      <x:c r="B851" s="13" t="str">
        <x:v>Cell capacity</x:v>
      </x:c>
      <x:c r="C851" s="13" t="str">
        <x:v>TE-CELL-4 implementation state empty</x:v>
      </x:c>
      <x:c r="D851" s="13" t="str">
        <x:f>'Cell Capacity'!S9</x:f>
        <x:v>SOURCE EMPTY</x:v>
      </x:c>
      <x:c r="E851" s="13" t="str">
        <x:v>SOURCE EMPTY</x:v>
      </x:c>
      <x:c r="F851" s="13" t="str">
        <x:f>IF(D851=E851,"PASS","FAIL")</x:f>
        <x:v>PASS</x:v>
      </x:c>
    </x:row>
    <x:row r="852">
      <x:c r="A852" s="13" t="str">
        <x:v>CC-4-08</x:v>
      </x:c>
      <x:c r="B852" s="13" t="str">
        <x:v>Cell capacity</x:v>
      </x:c>
      <x:c r="C852" s="13" t="str">
        <x:v>TE-CELL-4 has six bay records</x:v>
      </x:c>
      <x:c r="D852" s="13" t="n">
        <x:f>COUNTIFS('Bay Register'!$B$6:$B$149,'Cell Capacity'!A9)</x:f>
        <x:v>6</x:v>
      </x:c>
      <x:c r="E852" s="13" t="n">
        <x:v>6</x:v>
      </x:c>
      <x:c r="F852" s="13" t="str">
        <x:f>IF(D852=E852,"PASS","FAIL")</x:f>
        <x:v>PASS</x:v>
      </x:c>
    </x:row>
    <x:row r="853">
      <x:c r="A853" s="13" t="str">
        <x:v>CC-4-09</x:v>
      </x:c>
      <x:c r="B853" s="13" t="str">
        <x:v>Cell capacity</x:v>
      </x:c>
      <x:c r="C853" s="13" t="str">
        <x:v>TE-CELL-4 site unique when populated</x:v>
      </x:c>
      <x:c r="D853" s="13" t="b">
        <x:f>IF('Cell Capacity'!O9="",TRUE,COUNTIFS('Cell Capacity'!$O$6:$O$29,'Cell Capacity'!O9)=1)</x:f>
        <x:v>1</x:v>
      </x:c>
      <x:c r="E853" s="58" t="b">
        <x:v>1</x:v>
      </x:c>
      <x:c r="F853" s="13" t="str">
        <x:f>IF(D853=E853,"PASS","FAIL")</x:f>
        <x:v>PASS</x:v>
      </x:c>
    </x:row>
    <x:row r="854">
      <x:c r="A854" s="13" t="str">
        <x:v>CC-5-01</x:v>
      </x:c>
      <x:c r="B854" s="13" t="str">
        <x:v>Cell capacity</x:v>
      </x:c>
      <x:c r="C854" s="13" t="str">
        <x:v>CT-CELL-1 has two paths</x:v>
      </x:c>
      <x:c r="D854" s="13" t="n">
        <x:f>'Cell Capacity'!E10</x:f>
        <x:v>2</x:v>
      </x:c>
      <x:c r="E854" s="13" t="n">
        <x:v>2</x:v>
      </x:c>
      <x:c r="F854" s="13" t="str">
        <x:f>IF(D854=E854,"PASS","FAIL")</x:f>
        <x:v>PASS</x:v>
      </x:c>
    </x:row>
    <x:row r="855">
      <x:c r="A855" s="13" t="str">
        <x:v>CC-5-02</x:v>
      </x:c>
      <x:c r="B855" s="13" t="str">
        <x:v>Cell capacity</x:v>
      </x:c>
      <x:c r="C855" s="13" t="str">
        <x:v>CT-CELL-1 governing rate is maximum</x:v>
      </x:c>
      <x:c r="D855" s="13" t="b">
        <x:f>ABS('Cell Capacity'!H10-MAX('Cell Capacity'!F10:G10))&lt;0.000001</x:f>
        <x:v>1</x:v>
      </x:c>
      <x:c r="E855" s="58" t="b">
        <x:v>1</x:v>
      </x:c>
      <x:c r="F855" s="13" t="str">
        <x:f>IF(D855=E855,"PASS","FAIL")</x:f>
        <x:v>PASS</x:v>
      </x:c>
    </x:row>
    <x:row r="856">
      <x:c r="A856" s="13" t="str">
        <x:v>CC-5-03</x:v>
      </x:c>
      <x:c r="B856" s="13" t="str">
        <x:v>Cell capacity</x:v>
      </x:c>
      <x:c r="C856" s="13" t="str">
        <x:v>CT-CELL-1 six bays</x:v>
      </x:c>
      <x:c r="D856" s="13" t="n">
        <x:f>'Cell Capacity'!I10</x:f>
        <x:v>6</x:v>
      </x:c>
      <x:c r="E856" s="13" t="n">
        <x:v>6</x:v>
      </x:c>
      <x:c r="F856" s="13" t="str">
        <x:f>IF(D856=E856,"PASS","FAIL")</x:f>
        <x:v>PASS</x:v>
      </x:c>
    </x:row>
    <x:row r="857">
      <x:c r="A857" s="13" t="str">
        <x:v>CC-5-04</x:v>
      </x:c>
      <x:c r="B857" s="13" t="str">
        <x:v>Cell capacity</x:v>
      </x:c>
      <x:c r="C857" s="13" t="str">
        <x:v>CT-CELL-1 quarter-rate bays</x:v>
      </x:c>
      <x:c r="D857" s="13" t="n">
        <x:f>'Cell Capacity'!J10</x:f>
        <x:v>0.25</x:v>
      </x:c>
      <x:c r="E857" s="13" t="n">
        <x:v>0.25</x:v>
      </x:c>
      <x:c r="F857" s="13" t="str">
        <x:f>IF(D857=E857,"PASS","FAIL")</x:f>
        <x:v>PASS</x:v>
      </x:c>
    </x:row>
    <x:row r="858">
      <x:c r="A858" s="13" t="str">
        <x:v>CC-5-05</x:v>
      </x:c>
      <x:c r="B858" s="13" t="str">
        <x:v>Cell capacity</x:v>
      </x:c>
      <x:c r="C858" s="13" t="str">
        <x:v>CT-CELL-1 closes after bay loss</x:v>
      </x:c>
      <x:c r="D858" s="13" t="b">
        <x:f>'Cell Capacity'!L10&gt;='Cell Capacity'!H10</x:f>
        <x:v>1</x:v>
      </x:c>
      <x:c r="E858" s="58" t="b">
        <x:v>1</x:v>
      </x:c>
      <x:c r="F858" s="13" t="str">
        <x:f>IF(D858=E858,"PASS","FAIL")</x:f>
        <x:v>PASS</x:v>
      </x:c>
    </x:row>
    <x:row r="859">
      <x:c r="A859" s="13" t="str">
        <x:v>CC-5-06</x:v>
      </x:c>
      <x:c r="B859" s="13" t="str">
        <x:v>Cell capacity</x:v>
      </x:c>
      <x:c r="C859" s="13" t="str">
        <x:v>CT-CELL-1 planning passes</x:v>
      </x:c>
      <x:c r="D859" s="13" t="str">
        <x:f>'Cell Capacity'!N10</x:f>
        <x:v>PASS</x:v>
      </x:c>
      <x:c r="E859" s="13" t="str">
        <x:v>PASS</x:v>
      </x:c>
      <x:c r="F859" s="13" t="str">
        <x:f>IF(D859=E859,"PASS","FAIL")</x:f>
        <x:v>PASS</x:v>
      </x:c>
    </x:row>
    <x:row r="860">
      <x:c r="A860" s="13" t="str">
        <x:v>CC-5-07</x:v>
      </x:c>
      <x:c r="B860" s="13" t="str">
        <x:v>Cell capacity</x:v>
      </x:c>
      <x:c r="C860" s="13" t="str">
        <x:v>CT-CELL-1 implementation state empty</x:v>
      </x:c>
      <x:c r="D860" s="13" t="str">
        <x:f>'Cell Capacity'!S10</x:f>
        <x:v>SOURCE EMPTY</x:v>
      </x:c>
      <x:c r="E860" s="13" t="str">
        <x:v>SOURCE EMPTY</x:v>
      </x:c>
      <x:c r="F860" s="13" t="str">
        <x:f>IF(D860=E860,"PASS","FAIL")</x:f>
        <x:v>PASS</x:v>
      </x:c>
    </x:row>
    <x:row r="861">
      <x:c r="A861" s="13" t="str">
        <x:v>CC-5-08</x:v>
      </x:c>
      <x:c r="B861" s="13" t="str">
        <x:v>Cell capacity</x:v>
      </x:c>
      <x:c r="C861" s="13" t="str">
        <x:v>CT-CELL-1 has six bay records</x:v>
      </x:c>
      <x:c r="D861" s="13" t="n">
        <x:f>COUNTIFS('Bay Register'!$B$6:$B$149,'Cell Capacity'!A10)</x:f>
        <x:v>6</x:v>
      </x:c>
      <x:c r="E861" s="13" t="n">
        <x:v>6</x:v>
      </x:c>
      <x:c r="F861" s="13" t="str">
        <x:f>IF(D861=E861,"PASS","FAIL")</x:f>
        <x:v>PASS</x:v>
      </x:c>
    </x:row>
    <x:row r="862">
      <x:c r="A862" s="13" t="str">
        <x:v>CC-5-09</x:v>
      </x:c>
      <x:c r="B862" s="13" t="str">
        <x:v>Cell capacity</x:v>
      </x:c>
      <x:c r="C862" s="13" t="str">
        <x:v>CT-CELL-1 site unique when populated</x:v>
      </x:c>
      <x:c r="D862" s="13" t="b">
        <x:f>IF('Cell Capacity'!O10="",TRUE,COUNTIFS('Cell Capacity'!$O$6:$O$29,'Cell Capacity'!O10)=1)</x:f>
        <x:v>1</x:v>
      </x:c>
      <x:c r="E862" s="58" t="b">
        <x:v>1</x:v>
      </x:c>
      <x:c r="F862" s="13" t="str">
        <x:f>IF(D862=E862,"PASS","FAIL")</x:f>
        <x:v>PASS</x:v>
      </x:c>
    </x:row>
    <x:row r="863">
      <x:c r="A863" s="13" t="str">
        <x:v>CC-6-01</x:v>
      </x:c>
      <x:c r="B863" s="13" t="str">
        <x:v>Cell capacity</x:v>
      </x:c>
      <x:c r="C863" s="13" t="str">
        <x:v>CT-CELL-2 has two paths</x:v>
      </x:c>
      <x:c r="D863" s="13" t="n">
        <x:f>'Cell Capacity'!E11</x:f>
        <x:v>2</x:v>
      </x:c>
      <x:c r="E863" s="13" t="n">
        <x:v>2</x:v>
      </x:c>
      <x:c r="F863" s="13" t="str">
        <x:f>IF(D863=E863,"PASS","FAIL")</x:f>
        <x:v>PASS</x:v>
      </x:c>
    </x:row>
    <x:row r="864">
      <x:c r="A864" s="13" t="str">
        <x:v>CC-6-02</x:v>
      </x:c>
      <x:c r="B864" s="13" t="str">
        <x:v>Cell capacity</x:v>
      </x:c>
      <x:c r="C864" s="13" t="str">
        <x:v>CT-CELL-2 governing rate is maximum</x:v>
      </x:c>
      <x:c r="D864" s="13" t="b">
        <x:f>ABS('Cell Capacity'!H11-MAX('Cell Capacity'!F11:G11))&lt;0.000001</x:f>
        <x:v>1</x:v>
      </x:c>
      <x:c r="E864" s="58" t="b">
        <x:v>1</x:v>
      </x:c>
      <x:c r="F864" s="13" t="str">
        <x:f>IF(D864=E864,"PASS","FAIL")</x:f>
        <x:v>PASS</x:v>
      </x:c>
    </x:row>
    <x:row r="865">
      <x:c r="A865" s="13" t="str">
        <x:v>CC-6-03</x:v>
      </x:c>
      <x:c r="B865" s="13" t="str">
        <x:v>Cell capacity</x:v>
      </x:c>
      <x:c r="C865" s="13" t="str">
        <x:v>CT-CELL-2 six bays</x:v>
      </x:c>
      <x:c r="D865" s="13" t="n">
        <x:f>'Cell Capacity'!I11</x:f>
        <x:v>6</x:v>
      </x:c>
      <x:c r="E865" s="13" t="n">
        <x:v>6</x:v>
      </x:c>
      <x:c r="F865" s="13" t="str">
        <x:f>IF(D865=E865,"PASS","FAIL")</x:f>
        <x:v>PASS</x:v>
      </x:c>
    </x:row>
    <x:row r="866">
      <x:c r="A866" s="13" t="str">
        <x:v>CC-6-04</x:v>
      </x:c>
      <x:c r="B866" s="13" t="str">
        <x:v>Cell capacity</x:v>
      </x:c>
      <x:c r="C866" s="13" t="str">
        <x:v>CT-CELL-2 quarter-rate bays</x:v>
      </x:c>
      <x:c r="D866" s="13" t="n">
        <x:f>'Cell Capacity'!J11</x:f>
        <x:v>0.25</x:v>
      </x:c>
      <x:c r="E866" s="13" t="n">
        <x:v>0.25</x:v>
      </x:c>
      <x:c r="F866" s="13" t="str">
        <x:f>IF(D866=E866,"PASS","FAIL")</x:f>
        <x:v>PASS</x:v>
      </x:c>
    </x:row>
    <x:row r="867">
      <x:c r="A867" s="13" t="str">
        <x:v>CC-6-05</x:v>
      </x:c>
      <x:c r="B867" s="13" t="str">
        <x:v>Cell capacity</x:v>
      </x:c>
      <x:c r="C867" s="13" t="str">
        <x:v>CT-CELL-2 closes after bay loss</x:v>
      </x:c>
      <x:c r="D867" s="13" t="b">
        <x:f>'Cell Capacity'!L11&gt;='Cell Capacity'!H11</x:f>
        <x:v>1</x:v>
      </x:c>
      <x:c r="E867" s="58" t="b">
        <x:v>1</x:v>
      </x:c>
      <x:c r="F867" s="13" t="str">
        <x:f>IF(D867=E867,"PASS","FAIL")</x:f>
        <x:v>PASS</x:v>
      </x:c>
    </x:row>
    <x:row r="868">
      <x:c r="A868" s="13" t="str">
        <x:v>CC-6-06</x:v>
      </x:c>
      <x:c r="B868" s="13" t="str">
        <x:v>Cell capacity</x:v>
      </x:c>
      <x:c r="C868" s="13" t="str">
        <x:v>CT-CELL-2 planning passes</x:v>
      </x:c>
      <x:c r="D868" s="13" t="str">
        <x:f>'Cell Capacity'!N11</x:f>
        <x:v>PASS</x:v>
      </x:c>
      <x:c r="E868" s="13" t="str">
        <x:v>PASS</x:v>
      </x:c>
      <x:c r="F868" s="13" t="str">
        <x:f>IF(D868=E868,"PASS","FAIL")</x:f>
        <x:v>PASS</x:v>
      </x:c>
    </x:row>
    <x:row r="869">
      <x:c r="A869" s="13" t="str">
        <x:v>CC-6-07</x:v>
      </x:c>
      <x:c r="B869" s="13" t="str">
        <x:v>Cell capacity</x:v>
      </x:c>
      <x:c r="C869" s="13" t="str">
        <x:v>CT-CELL-2 implementation state empty</x:v>
      </x:c>
      <x:c r="D869" s="13" t="str">
        <x:f>'Cell Capacity'!S11</x:f>
        <x:v>SOURCE EMPTY</x:v>
      </x:c>
      <x:c r="E869" s="13" t="str">
        <x:v>SOURCE EMPTY</x:v>
      </x:c>
      <x:c r="F869" s="13" t="str">
        <x:f>IF(D869=E869,"PASS","FAIL")</x:f>
        <x:v>PASS</x:v>
      </x:c>
    </x:row>
    <x:row r="870">
      <x:c r="A870" s="13" t="str">
        <x:v>CC-6-08</x:v>
      </x:c>
      <x:c r="B870" s="13" t="str">
        <x:v>Cell capacity</x:v>
      </x:c>
      <x:c r="C870" s="13" t="str">
        <x:v>CT-CELL-2 has six bay records</x:v>
      </x:c>
      <x:c r="D870" s="13" t="n">
        <x:f>COUNTIFS('Bay Register'!$B$6:$B$149,'Cell Capacity'!A11)</x:f>
        <x:v>6</x:v>
      </x:c>
      <x:c r="E870" s="13" t="n">
        <x:v>6</x:v>
      </x:c>
      <x:c r="F870" s="13" t="str">
        <x:f>IF(D870=E870,"PASS","FAIL")</x:f>
        <x:v>PASS</x:v>
      </x:c>
    </x:row>
    <x:row r="871">
      <x:c r="A871" s="13" t="str">
        <x:v>CC-6-09</x:v>
      </x:c>
      <x:c r="B871" s="13" t="str">
        <x:v>Cell capacity</x:v>
      </x:c>
      <x:c r="C871" s="13" t="str">
        <x:v>CT-CELL-2 site unique when populated</x:v>
      </x:c>
      <x:c r="D871" s="13" t="b">
        <x:f>IF('Cell Capacity'!O11="",TRUE,COUNTIFS('Cell Capacity'!$O$6:$O$29,'Cell Capacity'!O11)=1)</x:f>
        <x:v>1</x:v>
      </x:c>
      <x:c r="E871" s="58" t="b">
        <x:v>1</x:v>
      </x:c>
      <x:c r="F871" s="13" t="str">
        <x:f>IF(D871=E871,"PASS","FAIL")</x:f>
        <x:v>PASS</x:v>
      </x:c>
    </x:row>
    <x:row r="872">
      <x:c r="A872" s="13" t="str">
        <x:v>CC-7-01</x:v>
      </x:c>
      <x:c r="B872" s="13" t="str">
        <x:v>Cell capacity</x:v>
      </x:c>
      <x:c r="C872" s="13" t="str">
        <x:v>CT-CELL-3 has two paths</x:v>
      </x:c>
      <x:c r="D872" s="13" t="n">
        <x:f>'Cell Capacity'!E12</x:f>
        <x:v>2</x:v>
      </x:c>
      <x:c r="E872" s="13" t="n">
        <x:v>2</x:v>
      </x:c>
      <x:c r="F872" s="13" t="str">
        <x:f>IF(D872=E872,"PASS","FAIL")</x:f>
        <x:v>PASS</x:v>
      </x:c>
    </x:row>
    <x:row r="873">
      <x:c r="A873" s="13" t="str">
        <x:v>CC-7-02</x:v>
      </x:c>
      <x:c r="B873" s="13" t="str">
        <x:v>Cell capacity</x:v>
      </x:c>
      <x:c r="C873" s="13" t="str">
        <x:v>CT-CELL-3 governing rate is maximum</x:v>
      </x:c>
      <x:c r="D873" s="13" t="b">
        <x:f>ABS('Cell Capacity'!H12-MAX('Cell Capacity'!F12:G12))&lt;0.000001</x:f>
        <x:v>1</x:v>
      </x:c>
      <x:c r="E873" s="58" t="b">
        <x:v>1</x:v>
      </x:c>
      <x:c r="F873" s="13" t="str">
        <x:f>IF(D873=E873,"PASS","FAIL")</x:f>
        <x:v>PASS</x:v>
      </x:c>
    </x:row>
    <x:row r="874">
      <x:c r="A874" s="13" t="str">
        <x:v>CC-7-03</x:v>
      </x:c>
      <x:c r="B874" s="13" t="str">
        <x:v>Cell capacity</x:v>
      </x:c>
      <x:c r="C874" s="13" t="str">
        <x:v>CT-CELL-3 six bays</x:v>
      </x:c>
      <x:c r="D874" s="13" t="n">
        <x:f>'Cell Capacity'!I12</x:f>
        <x:v>6</x:v>
      </x:c>
      <x:c r="E874" s="13" t="n">
        <x:v>6</x:v>
      </x:c>
      <x:c r="F874" s="13" t="str">
        <x:f>IF(D874=E874,"PASS","FAIL")</x:f>
        <x:v>PASS</x:v>
      </x:c>
    </x:row>
    <x:row r="875">
      <x:c r="A875" s="13" t="str">
        <x:v>CC-7-04</x:v>
      </x:c>
      <x:c r="B875" s="13" t="str">
        <x:v>Cell capacity</x:v>
      </x:c>
      <x:c r="C875" s="13" t="str">
        <x:v>CT-CELL-3 quarter-rate bays</x:v>
      </x:c>
      <x:c r="D875" s="13" t="n">
        <x:f>'Cell Capacity'!J12</x:f>
        <x:v>0.25</x:v>
      </x:c>
      <x:c r="E875" s="13" t="n">
        <x:v>0.25</x:v>
      </x:c>
      <x:c r="F875" s="13" t="str">
        <x:f>IF(D875=E875,"PASS","FAIL")</x:f>
        <x:v>PASS</x:v>
      </x:c>
    </x:row>
    <x:row r="876">
      <x:c r="A876" s="13" t="str">
        <x:v>CC-7-05</x:v>
      </x:c>
      <x:c r="B876" s="13" t="str">
        <x:v>Cell capacity</x:v>
      </x:c>
      <x:c r="C876" s="13" t="str">
        <x:v>CT-CELL-3 closes after bay loss</x:v>
      </x:c>
      <x:c r="D876" s="13" t="b">
        <x:f>'Cell Capacity'!L12&gt;='Cell Capacity'!H12</x:f>
        <x:v>1</x:v>
      </x:c>
      <x:c r="E876" s="58" t="b">
        <x:v>1</x:v>
      </x:c>
      <x:c r="F876" s="13" t="str">
        <x:f>IF(D876=E876,"PASS","FAIL")</x:f>
        <x:v>PASS</x:v>
      </x:c>
    </x:row>
    <x:row r="877">
      <x:c r="A877" s="13" t="str">
        <x:v>CC-7-06</x:v>
      </x:c>
      <x:c r="B877" s="13" t="str">
        <x:v>Cell capacity</x:v>
      </x:c>
      <x:c r="C877" s="13" t="str">
        <x:v>CT-CELL-3 planning passes</x:v>
      </x:c>
      <x:c r="D877" s="13" t="str">
        <x:f>'Cell Capacity'!N12</x:f>
        <x:v>PASS</x:v>
      </x:c>
      <x:c r="E877" s="13" t="str">
        <x:v>PASS</x:v>
      </x:c>
      <x:c r="F877" s="13" t="str">
        <x:f>IF(D877=E877,"PASS","FAIL")</x:f>
        <x:v>PASS</x:v>
      </x:c>
    </x:row>
    <x:row r="878">
      <x:c r="A878" s="13" t="str">
        <x:v>CC-7-07</x:v>
      </x:c>
      <x:c r="B878" s="13" t="str">
        <x:v>Cell capacity</x:v>
      </x:c>
      <x:c r="C878" s="13" t="str">
        <x:v>CT-CELL-3 implementation state empty</x:v>
      </x:c>
      <x:c r="D878" s="13" t="str">
        <x:f>'Cell Capacity'!S12</x:f>
        <x:v>SOURCE EMPTY</x:v>
      </x:c>
      <x:c r="E878" s="13" t="str">
        <x:v>SOURCE EMPTY</x:v>
      </x:c>
      <x:c r="F878" s="13" t="str">
        <x:f>IF(D878=E878,"PASS","FAIL")</x:f>
        <x:v>PASS</x:v>
      </x:c>
    </x:row>
    <x:row r="879">
      <x:c r="A879" s="13" t="str">
        <x:v>CC-7-08</x:v>
      </x:c>
      <x:c r="B879" s="13" t="str">
        <x:v>Cell capacity</x:v>
      </x:c>
      <x:c r="C879" s="13" t="str">
        <x:v>CT-CELL-3 has six bay records</x:v>
      </x:c>
      <x:c r="D879" s="13" t="n">
        <x:f>COUNTIFS('Bay Register'!$B$6:$B$149,'Cell Capacity'!A12)</x:f>
        <x:v>6</x:v>
      </x:c>
      <x:c r="E879" s="13" t="n">
        <x:v>6</x:v>
      </x:c>
      <x:c r="F879" s="13" t="str">
        <x:f>IF(D879=E879,"PASS","FAIL")</x:f>
        <x:v>PASS</x:v>
      </x:c>
    </x:row>
    <x:row r="880">
      <x:c r="A880" s="13" t="str">
        <x:v>CC-7-09</x:v>
      </x:c>
      <x:c r="B880" s="13" t="str">
        <x:v>Cell capacity</x:v>
      </x:c>
      <x:c r="C880" s="13" t="str">
        <x:v>CT-CELL-3 site unique when populated</x:v>
      </x:c>
      <x:c r="D880" s="13" t="b">
        <x:f>IF('Cell Capacity'!O12="",TRUE,COUNTIFS('Cell Capacity'!$O$6:$O$29,'Cell Capacity'!O12)=1)</x:f>
        <x:v>1</x:v>
      </x:c>
      <x:c r="E880" s="58" t="b">
        <x:v>1</x:v>
      </x:c>
      <x:c r="F880" s="13" t="str">
        <x:f>IF(D880=E880,"PASS","FAIL")</x:f>
        <x:v>PASS</x:v>
      </x:c>
    </x:row>
    <x:row r="881">
      <x:c r="A881" s="13" t="str">
        <x:v>CC-8-01</x:v>
      </x:c>
      <x:c r="B881" s="13" t="str">
        <x:v>Cell capacity</x:v>
      </x:c>
      <x:c r="C881" s="13" t="str">
        <x:v>CT-CELL-4 has two paths</x:v>
      </x:c>
      <x:c r="D881" s="13" t="n">
        <x:f>'Cell Capacity'!E13</x:f>
        <x:v>2</x:v>
      </x:c>
      <x:c r="E881" s="13" t="n">
        <x:v>2</x:v>
      </x:c>
      <x:c r="F881" s="13" t="str">
        <x:f>IF(D881=E881,"PASS","FAIL")</x:f>
        <x:v>PASS</x:v>
      </x:c>
    </x:row>
    <x:row r="882">
      <x:c r="A882" s="13" t="str">
        <x:v>CC-8-02</x:v>
      </x:c>
      <x:c r="B882" s="13" t="str">
        <x:v>Cell capacity</x:v>
      </x:c>
      <x:c r="C882" s="13" t="str">
        <x:v>CT-CELL-4 governing rate is maximum</x:v>
      </x:c>
      <x:c r="D882" s="13" t="b">
        <x:f>ABS('Cell Capacity'!H13-MAX('Cell Capacity'!F13:G13))&lt;0.000001</x:f>
        <x:v>1</x:v>
      </x:c>
      <x:c r="E882" s="58" t="b">
        <x:v>1</x:v>
      </x:c>
      <x:c r="F882" s="13" t="str">
        <x:f>IF(D882=E882,"PASS","FAIL")</x:f>
        <x:v>PASS</x:v>
      </x:c>
    </x:row>
    <x:row r="883">
      <x:c r="A883" s="13" t="str">
        <x:v>CC-8-03</x:v>
      </x:c>
      <x:c r="B883" s="13" t="str">
        <x:v>Cell capacity</x:v>
      </x:c>
      <x:c r="C883" s="13" t="str">
        <x:v>CT-CELL-4 six bays</x:v>
      </x:c>
      <x:c r="D883" s="13" t="n">
        <x:f>'Cell Capacity'!I13</x:f>
        <x:v>6</x:v>
      </x:c>
      <x:c r="E883" s="13" t="n">
        <x:v>6</x:v>
      </x:c>
      <x:c r="F883" s="13" t="str">
        <x:f>IF(D883=E883,"PASS","FAIL")</x:f>
        <x:v>PASS</x:v>
      </x:c>
    </x:row>
    <x:row r="884">
      <x:c r="A884" s="13" t="str">
        <x:v>CC-8-04</x:v>
      </x:c>
      <x:c r="B884" s="13" t="str">
        <x:v>Cell capacity</x:v>
      </x:c>
      <x:c r="C884" s="13" t="str">
        <x:v>CT-CELL-4 quarter-rate bays</x:v>
      </x:c>
      <x:c r="D884" s="13" t="n">
        <x:f>'Cell Capacity'!J13</x:f>
        <x:v>0.25</x:v>
      </x:c>
      <x:c r="E884" s="13" t="n">
        <x:v>0.25</x:v>
      </x:c>
      <x:c r="F884" s="13" t="str">
        <x:f>IF(D884=E884,"PASS","FAIL")</x:f>
        <x:v>PASS</x:v>
      </x:c>
    </x:row>
    <x:row r="885">
      <x:c r="A885" s="13" t="str">
        <x:v>CC-8-05</x:v>
      </x:c>
      <x:c r="B885" s="13" t="str">
        <x:v>Cell capacity</x:v>
      </x:c>
      <x:c r="C885" s="13" t="str">
        <x:v>CT-CELL-4 closes after bay loss</x:v>
      </x:c>
      <x:c r="D885" s="13" t="b">
        <x:f>'Cell Capacity'!L13&gt;='Cell Capacity'!H13</x:f>
        <x:v>1</x:v>
      </x:c>
      <x:c r="E885" s="58" t="b">
        <x:v>1</x:v>
      </x:c>
      <x:c r="F885" s="13" t="str">
        <x:f>IF(D885=E885,"PASS","FAIL")</x:f>
        <x:v>PASS</x:v>
      </x:c>
    </x:row>
    <x:row r="886">
      <x:c r="A886" s="13" t="str">
        <x:v>CC-8-06</x:v>
      </x:c>
      <x:c r="B886" s="13" t="str">
        <x:v>Cell capacity</x:v>
      </x:c>
      <x:c r="C886" s="13" t="str">
        <x:v>CT-CELL-4 planning passes</x:v>
      </x:c>
      <x:c r="D886" s="13" t="str">
        <x:f>'Cell Capacity'!N13</x:f>
        <x:v>PASS</x:v>
      </x:c>
      <x:c r="E886" s="13" t="str">
        <x:v>PASS</x:v>
      </x:c>
      <x:c r="F886" s="13" t="str">
        <x:f>IF(D886=E886,"PASS","FAIL")</x:f>
        <x:v>PASS</x:v>
      </x:c>
    </x:row>
    <x:row r="887">
      <x:c r="A887" s="13" t="str">
        <x:v>CC-8-07</x:v>
      </x:c>
      <x:c r="B887" s="13" t="str">
        <x:v>Cell capacity</x:v>
      </x:c>
      <x:c r="C887" s="13" t="str">
        <x:v>CT-CELL-4 implementation state empty</x:v>
      </x:c>
      <x:c r="D887" s="13" t="str">
        <x:f>'Cell Capacity'!S13</x:f>
        <x:v>SOURCE EMPTY</x:v>
      </x:c>
      <x:c r="E887" s="13" t="str">
        <x:v>SOURCE EMPTY</x:v>
      </x:c>
      <x:c r="F887" s="13" t="str">
        <x:f>IF(D887=E887,"PASS","FAIL")</x:f>
        <x:v>PASS</x:v>
      </x:c>
    </x:row>
    <x:row r="888">
      <x:c r="A888" s="13" t="str">
        <x:v>CC-8-08</x:v>
      </x:c>
      <x:c r="B888" s="13" t="str">
        <x:v>Cell capacity</x:v>
      </x:c>
      <x:c r="C888" s="13" t="str">
        <x:v>CT-CELL-4 has six bay records</x:v>
      </x:c>
      <x:c r="D888" s="13" t="n">
        <x:f>COUNTIFS('Bay Register'!$B$6:$B$149,'Cell Capacity'!A13)</x:f>
        <x:v>6</x:v>
      </x:c>
      <x:c r="E888" s="13" t="n">
        <x:v>6</x:v>
      </x:c>
      <x:c r="F888" s="13" t="str">
        <x:f>IF(D888=E888,"PASS","FAIL")</x:f>
        <x:v>PASS</x:v>
      </x:c>
    </x:row>
    <x:row r="889">
      <x:c r="A889" s="13" t="str">
        <x:v>CC-8-09</x:v>
      </x:c>
      <x:c r="B889" s="13" t="str">
        <x:v>Cell capacity</x:v>
      </x:c>
      <x:c r="C889" s="13" t="str">
        <x:v>CT-CELL-4 site unique when populated</x:v>
      </x:c>
      <x:c r="D889" s="13" t="b">
        <x:f>IF('Cell Capacity'!O13="",TRUE,COUNTIFS('Cell Capacity'!$O$6:$O$29,'Cell Capacity'!O13)=1)</x:f>
        <x:v>1</x:v>
      </x:c>
      <x:c r="E889" s="58" t="b">
        <x:v>1</x:v>
      </x:c>
      <x:c r="F889" s="13" t="str">
        <x:f>IF(D889=E889,"PASS","FAIL")</x:f>
        <x:v>PASS</x:v>
      </x:c>
    </x:row>
    <x:row r="890">
      <x:c r="A890" s="13" t="str">
        <x:v>CC-9-01</x:v>
      </x:c>
      <x:c r="B890" s="13" t="str">
        <x:v>Cell capacity</x:v>
      </x:c>
      <x:c r="C890" s="13" t="str">
        <x:v>HC-CELL-1 has two paths</x:v>
      </x:c>
      <x:c r="D890" s="13" t="n">
        <x:f>'Cell Capacity'!E14</x:f>
        <x:v>2</x:v>
      </x:c>
      <x:c r="E890" s="13" t="n">
        <x:v>2</x:v>
      </x:c>
      <x:c r="F890" s="13" t="str">
        <x:f>IF(D890=E890,"PASS","FAIL")</x:f>
        <x:v>PASS</x:v>
      </x:c>
    </x:row>
    <x:row r="891">
      <x:c r="A891" s="13" t="str">
        <x:v>CC-9-02</x:v>
      </x:c>
      <x:c r="B891" s="13" t="str">
        <x:v>Cell capacity</x:v>
      </x:c>
      <x:c r="C891" s="13" t="str">
        <x:v>HC-CELL-1 governing rate is maximum</x:v>
      </x:c>
      <x:c r="D891" s="13" t="b">
        <x:f>ABS('Cell Capacity'!H14-MAX('Cell Capacity'!F14:G14))&lt;0.000001</x:f>
        <x:v>1</x:v>
      </x:c>
      <x:c r="E891" s="58" t="b">
        <x:v>1</x:v>
      </x:c>
      <x:c r="F891" s="13" t="str">
        <x:f>IF(D891=E891,"PASS","FAIL")</x:f>
        <x:v>PASS</x:v>
      </x:c>
    </x:row>
    <x:row r="892">
      <x:c r="A892" s="13" t="str">
        <x:v>CC-9-03</x:v>
      </x:c>
      <x:c r="B892" s="13" t="str">
        <x:v>Cell capacity</x:v>
      </x:c>
      <x:c r="C892" s="13" t="str">
        <x:v>HC-CELL-1 six bays</x:v>
      </x:c>
      <x:c r="D892" s="13" t="n">
        <x:f>'Cell Capacity'!I14</x:f>
        <x:v>6</x:v>
      </x:c>
      <x:c r="E892" s="13" t="n">
        <x:v>6</x:v>
      </x:c>
      <x:c r="F892" s="13" t="str">
        <x:f>IF(D892=E892,"PASS","FAIL")</x:f>
        <x:v>PASS</x:v>
      </x:c>
    </x:row>
    <x:row r="893">
      <x:c r="A893" s="13" t="str">
        <x:v>CC-9-04</x:v>
      </x:c>
      <x:c r="B893" s="13" t="str">
        <x:v>Cell capacity</x:v>
      </x:c>
      <x:c r="C893" s="13" t="str">
        <x:v>HC-CELL-1 quarter-rate bays</x:v>
      </x:c>
      <x:c r="D893" s="13" t="n">
        <x:f>'Cell Capacity'!J14</x:f>
        <x:v>0.25</x:v>
      </x:c>
      <x:c r="E893" s="13" t="n">
        <x:v>0.25</x:v>
      </x:c>
      <x:c r="F893" s="13" t="str">
        <x:f>IF(D893=E893,"PASS","FAIL")</x:f>
        <x:v>PASS</x:v>
      </x:c>
    </x:row>
    <x:row r="894">
      <x:c r="A894" s="13" t="str">
        <x:v>CC-9-05</x:v>
      </x:c>
      <x:c r="B894" s="13" t="str">
        <x:v>Cell capacity</x:v>
      </x:c>
      <x:c r="C894" s="13" t="str">
        <x:v>HC-CELL-1 closes after bay loss</x:v>
      </x:c>
      <x:c r="D894" s="13" t="b">
        <x:f>'Cell Capacity'!L14&gt;='Cell Capacity'!H14</x:f>
        <x:v>1</x:v>
      </x:c>
      <x:c r="E894" s="58" t="b">
        <x:v>1</x:v>
      </x:c>
      <x:c r="F894" s="13" t="str">
        <x:f>IF(D894=E894,"PASS","FAIL")</x:f>
        <x:v>PASS</x:v>
      </x:c>
    </x:row>
    <x:row r="895">
      <x:c r="A895" s="13" t="str">
        <x:v>CC-9-06</x:v>
      </x:c>
      <x:c r="B895" s="13" t="str">
        <x:v>Cell capacity</x:v>
      </x:c>
      <x:c r="C895" s="13" t="str">
        <x:v>HC-CELL-1 planning passes</x:v>
      </x:c>
      <x:c r="D895" s="13" t="str">
        <x:f>'Cell Capacity'!N14</x:f>
        <x:v>PASS</x:v>
      </x:c>
      <x:c r="E895" s="13" t="str">
        <x:v>PASS</x:v>
      </x:c>
      <x:c r="F895" s="13" t="str">
        <x:f>IF(D895=E895,"PASS","FAIL")</x:f>
        <x:v>PASS</x:v>
      </x:c>
    </x:row>
    <x:row r="896">
      <x:c r="A896" s="13" t="str">
        <x:v>CC-9-07</x:v>
      </x:c>
      <x:c r="B896" s="13" t="str">
        <x:v>Cell capacity</x:v>
      </x:c>
      <x:c r="C896" s="13" t="str">
        <x:v>HC-CELL-1 implementation state empty</x:v>
      </x:c>
      <x:c r="D896" s="13" t="str">
        <x:f>'Cell Capacity'!S14</x:f>
        <x:v>SOURCE EMPTY</x:v>
      </x:c>
      <x:c r="E896" s="13" t="str">
        <x:v>SOURCE EMPTY</x:v>
      </x:c>
      <x:c r="F896" s="13" t="str">
        <x:f>IF(D896=E896,"PASS","FAIL")</x:f>
        <x:v>PASS</x:v>
      </x:c>
    </x:row>
    <x:row r="897">
      <x:c r="A897" s="13" t="str">
        <x:v>CC-9-08</x:v>
      </x:c>
      <x:c r="B897" s="13" t="str">
        <x:v>Cell capacity</x:v>
      </x:c>
      <x:c r="C897" s="13" t="str">
        <x:v>HC-CELL-1 has six bay records</x:v>
      </x:c>
      <x:c r="D897" s="13" t="n">
        <x:f>COUNTIFS('Bay Register'!$B$6:$B$149,'Cell Capacity'!A14)</x:f>
        <x:v>6</x:v>
      </x:c>
      <x:c r="E897" s="13" t="n">
        <x:v>6</x:v>
      </x:c>
      <x:c r="F897" s="13" t="str">
        <x:f>IF(D897=E897,"PASS","FAIL")</x:f>
        <x:v>PASS</x:v>
      </x:c>
    </x:row>
    <x:row r="898">
      <x:c r="A898" s="13" t="str">
        <x:v>CC-9-09</x:v>
      </x:c>
      <x:c r="B898" s="13" t="str">
        <x:v>Cell capacity</x:v>
      </x:c>
      <x:c r="C898" s="13" t="str">
        <x:v>HC-CELL-1 site unique when populated</x:v>
      </x:c>
      <x:c r="D898" s="13" t="b">
        <x:f>IF('Cell Capacity'!O14="",TRUE,COUNTIFS('Cell Capacity'!$O$6:$O$29,'Cell Capacity'!O14)=1)</x:f>
        <x:v>1</x:v>
      </x:c>
      <x:c r="E898" s="58" t="b">
        <x:v>1</x:v>
      </x:c>
      <x:c r="F898" s="13" t="str">
        <x:f>IF(D898=E898,"PASS","FAIL")</x:f>
        <x:v>PASS</x:v>
      </x:c>
    </x:row>
    <x:row r="899">
      <x:c r="A899" s="13" t="str">
        <x:v>CC-10-01</x:v>
      </x:c>
      <x:c r="B899" s="13" t="str">
        <x:v>Cell capacity</x:v>
      </x:c>
      <x:c r="C899" s="13" t="str">
        <x:v>HC-CELL-2 has two paths</x:v>
      </x:c>
      <x:c r="D899" s="13" t="n">
        <x:f>'Cell Capacity'!E15</x:f>
        <x:v>2</x:v>
      </x:c>
      <x:c r="E899" s="13" t="n">
        <x:v>2</x:v>
      </x:c>
      <x:c r="F899" s="13" t="str">
        <x:f>IF(D899=E899,"PASS","FAIL")</x:f>
        <x:v>PASS</x:v>
      </x:c>
    </x:row>
    <x:row r="900">
      <x:c r="A900" s="13" t="str">
        <x:v>CC-10-02</x:v>
      </x:c>
      <x:c r="B900" s="13" t="str">
        <x:v>Cell capacity</x:v>
      </x:c>
      <x:c r="C900" s="13" t="str">
        <x:v>HC-CELL-2 governing rate is maximum</x:v>
      </x:c>
      <x:c r="D900" s="13" t="b">
        <x:f>ABS('Cell Capacity'!H15-MAX('Cell Capacity'!F15:G15))&lt;0.000001</x:f>
        <x:v>1</x:v>
      </x:c>
      <x:c r="E900" s="58" t="b">
        <x:v>1</x:v>
      </x:c>
      <x:c r="F900" s="13" t="str">
        <x:f>IF(D900=E900,"PASS","FAIL")</x:f>
        <x:v>PASS</x:v>
      </x:c>
    </x:row>
    <x:row r="901">
      <x:c r="A901" s="13" t="str">
        <x:v>CC-10-03</x:v>
      </x:c>
      <x:c r="B901" s="13" t="str">
        <x:v>Cell capacity</x:v>
      </x:c>
      <x:c r="C901" s="13" t="str">
        <x:v>HC-CELL-2 six bays</x:v>
      </x:c>
      <x:c r="D901" s="13" t="n">
        <x:f>'Cell Capacity'!I15</x:f>
        <x:v>6</x:v>
      </x:c>
      <x:c r="E901" s="13" t="n">
        <x:v>6</x:v>
      </x:c>
      <x:c r="F901" s="13" t="str">
        <x:f>IF(D901=E901,"PASS","FAIL")</x:f>
        <x:v>PASS</x:v>
      </x:c>
    </x:row>
    <x:row r="902">
      <x:c r="A902" s="13" t="str">
        <x:v>CC-10-04</x:v>
      </x:c>
      <x:c r="B902" s="13" t="str">
        <x:v>Cell capacity</x:v>
      </x:c>
      <x:c r="C902" s="13" t="str">
        <x:v>HC-CELL-2 quarter-rate bays</x:v>
      </x:c>
      <x:c r="D902" s="13" t="n">
        <x:f>'Cell Capacity'!J15</x:f>
        <x:v>0.25</x:v>
      </x:c>
      <x:c r="E902" s="13" t="n">
        <x:v>0.25</x:v>
      </x:c>
      <x:c r="F902" s="13" t="str">
        <x:f>IF(D902=E902,"PASS","FAIL")</x:f>
        <x:v>PASS</x:v>
      </x:c>
    </x:row>
    <x:row r="903">
      <x:c r="A903" s="13" t="str">
        <x:v>CC-10-05</x:v>
      </x:c>
      <x:c r="B903" s="13" t="str">
        <x:v>Cell capacity</x:v>
      </x:c>
      <x:c r="C903" s="13" t="str">
        <x:v>HC-CELL-2 closes after bay loss</x:v>
      </x:c>
      <x:c r="D903" s="13" t="b">
        <x:f>'Cell Capacity'!L15&gt;='Cell Capacity'!H15</x:f>
        <x:v>1</x:v>
      </x:c>
      <x:c r="E903" s="58" t="b">
        <x:v>1</x:v>
      </x:c>
      <x:c r="F903" s="13" t="str">
        <x:f>IF(D903=E903,"PASS","FAIL")</x:f>
        <x:v>PASS</x:v>
      </x:c>
    </x:row>
    <x:row r="904">
      <x:c r="A904" s="13" t="str">
        <x:v>CC-10-06</x:v>
      </x:c>
      <x:c r="B904" s="13" t="str">
        <x:v>Cell capacity</x:v>
      </x:c>
      <x:c r="C904" s="13" t="str">
        <x:v>HC-CELL-2 planning passes</x:v>
      </x:c>
      <x:c r="D904" s="13" t="str">
        <x:f>'Cell Capacity'!N15</x:f>
        <x:v>PASS</x:v>
      </x:c>
      <x:c r="E904" s="13" t="str">
        <x:v>PASS</x:v>
      </x:c>
      <x:c r="F904" s="13" t="str">
        <x:f>IF(D904=E904,"PASS","FAIL")</x:f>
        <x:v>PASS</x:v>
      </x:c>
    </x:row>
    <x:row r="905">
      <x:c r="A905" s="13" t="str">
        <x:v>CC-10-07</x:v>
      </x:c>
      <x:c r="B905" s="13" t="str">
        <x:v>Cell capacity</x:v>
      </x:c>
      <x:c r="C905" s="13" t="str">
        <x:v>HC-CELL-2 implementation state empty</x:v>
      </x:c>
      <x:c r="D905" s="13" t="str">
        <x:f>'Cell Capacity'!S15</x:f>
        <x:v>SOURCE EMPTY</x:v>
      </x:c>
      <x:c r="E905" s="13" t="str">
        <x:v>SOURCE EMPTY</x:v>
      </x:c>
      <x:c r="F905" s="13" t="str">
        <x:f>IF(D905=E905,"PASS","FAIL")</x:f>
        <x:v>PASS</x:v>
      </x:c>
    </x:row>
    <x:row r="906">
      <x:c r="A906" s="13" t="str">
        <x:v>CC-10-08</x:v>
      </x:c>
      <x:c r="B906" s="13" t="str">
        <x:v>Cell capacity</x:v>
      </x:c>
      <x:c r="C906" s="13" t="str">
        <x:v>HC-CELL-2 has six bay records</x:v>
      </x:c>
      <x:c r="D906" s="13" t="n">
        <x:f>COUNTIFS('Bay Register'!$B$6:$B$149,'Cell Capacity'!A15)</x:f>
        <x:v>6</x:v>
      </x:c>
      <x:c r="E906" s="13" t="n">
        <x:v>6</x:v>
      </x:c>
      <x:c r="F906" s="13" t="str">
        <x:f>IF(D906=E906,"PASS","FAIL")</x:f>
        <x:v>PASS</x:v>
      </x:c>
    </x:row>
    <x:row r="907">
      <x:c r="A907" s="13" t="str">
        <x:v>CC-10-09</x:v>
      </x:c>
      <x:c r="B907" s="13" t="str">
        <x:v>Cell capacity</x:v>
      </x:c>
      <x:c r="C907" s="13" t="str">
        <x:v>HC-CELL-2 site unique when populated</x:v>
      </x:c>
      <x:c r="D907" s="13" t="b">
        <x:f>IF('Cell Capacity'!O15="",TRUE,COUNTIFS('Cell Capacity'!$O$6:$O$29,'Cell Capacity'!O15)=1)</x:f>
        <x:v>1</x:v>
      </x:c>
      <x:c r="E907" s="58" t="b">
        <x:v>1</x:v>
      </x:c>
      <x:c r="F907" s="13" t="str">
        <x:f>IF(D907=E907,"PASS","FAIL")</x:f>
        <x:v>PASS</x:v>
      </x:c>
    </x:row>
    <x:row r="908">
      <x:c r="A908" s="13" t="str">
        <x:v>CC-11-01</x:v>
      </x:c>
      <x:c r="B908" s="13" t="str">
        <x:v>Cell capacity</x:v>
      </x:c>
      <x:c r="C908" s="13" t="str">
        <x:v>HC-CELL-3 has two paths</x:v>
      </x:c>
      <x:c r="D908" s="13" t="n">
        <x:f>'Cell Capacity'!E16</x:f>
        <x:v>2</x:v>
      </x:c>
      <x:c r="E908" s="13" t="n">
        <x:v>2</x:v>
      </x:c>
      <x:c r="F908" s="13" t="str">
        <x:f>IF(D908=E908,"PASS","FAIL")</x:f>
        <x:v>PASS</x:v>
      </x:c>
    </x:row>
    <x:row r="909">
      <x:c r="A909" s="13" t="str">
        <x:v>CC-11-02</x:v>
      </x:c>
      <x:c r="B909" s="13" t="str">
        <x:v>Cell capacity</x:v>
      </x:c>
      <x:c r="C909" s="13" t="str">
        <x:v>HC-CELL-3 governing rate is maximum</x:v>
      </x:c>
      <x:c r="D909" s="13" t="b">
        <x:f>ABS('Cell Capacity'!H16-MAX('Cell Capacity'!F16:G16))&lt;0.000001</x:f>
        <x:v>1</x:v>
      </x:c>
      <x:c r="E909" s="58" t="b">
        <x:v>1</x:v>
      </x:c>
      <x:c r="F909" s="13" t="str">
        <x:f>IF(D909=E909,"PASS","FAIL")</x:f>
        <x:v>PASS</x:v>
      </x:c>
    </x:row>
    <x:row r="910">
      <x:c r="A910" s="13" t="str">
        <x:v>CC-11-03</x:v>
      </x:c>
      <x:c r="B910" s="13" t="str">
        <x:v>Cell capacity</x:v>
      </x:c>
      <x:c r="C910" s="13" t="str">
        <x:v>HC-CELL-3 six bays</x:v>
      </x:c>
      <x:c r="D910" s="13" t="n">
        <x:f>'Cell Capacity'!I16</x:f>
        <x:v>6</x:v>
      </x:c>
      <x:c r="E910" s="13" t="n">
        <x:v>6</x:v>
      </x:c>
      <x:c r="F910" s="13" t="str">
        <x:f>IF(D910=E910,"PASS","FAIL")</x:f>
        <x:v>PASS</x:v>
      </x:c>
    </x:row>
    <x:row r="911">
      <x:c r="A911" s="13" t="str">
        <x:v>CC-11-04</x:v>
      </x:c>
      <x:c r="B911" s="13" t="str">
        <x:v>Cell capacity</x:v>
      </x:c>
      <x:c r="C911" s="13" t="str">
        <x:v>HC-CELL-3 quarter-rate bays</x:v>
      </x:c>
      <x:c r="D911" s="13" t="n">
        <x:f>'Cell Capacity'!J16</x:f>
        <x:v>0.25</x:v>
      </x:c>
      <x:c r="E911" s="13" t="n">
        <x:v>0.25</x:v>
      </x:c>
      <x:c r="F911" s="13" t="str">
        <x:f>IF(D911=E911,"PASS","FAIL")</x:f>
        <x:v>PASS</x:v>
      </x:c>
    </x:row>
    <x:row r="912">
      <x:c r="A912" s="13" t="str">
        <x:v>CC-11-05</x:v>
      </x:c>
      <x:c r="B912" s="13" t="str">
        <x:v>Cell capacity</x:v>
      </x:c>
      <x:c r="C912" s="13" t="str">
        <x:v>HC-CELL-3 closes after bay loss</x:v>
      </x:c>
      <x:c r="D912" s="13" t="b">
        <x:f>'Cell Capacity'!L16&gt;='Cell Capacity'!H16</x:f>
        <x:v>1</x:v>
      </x:c>
      <x:c r="E912" s="58" t="b">
        <x:v>1</x:v>
      </x:c>
      <x:c r="F912" s="13" t="str">
        <x:f>IF(D912=E912,"PASS","FAIL")</x:f>
        <x:v>PASS</x:v>
      </x:c>
    </x:row>
    <x:row r="913">
      <x:c r="A913" s="13" t="str">
        <x:v>CC-11-06</x:v>
      </x:c>
      <x:c r="B913" s="13" t="str">
        <x:v>Cell capacity</x:v>
      </x:c>
      <x:c r="C913" s="13" t="str">
        <x:v>HC-CELL-3 planning passes</x:v>
      </x:c>
      <x:c r="D913" s="13" t="str">
        <x:f>'Cell Capacity'!N16</x:f>
        <x:v>PASS</x:v>
      </x:c>
      <x:c r="E913" s="13" t="str">
        <x:v>PASS</x:v>
      </x:c>
      <x:c r="F913" s="13" t="str">
        <x:f>IF(D913=E913,"PASS","FAIL")</x:f>
        <x:v>PASS</x:v>
      </x:c>
    </x:row>
    <x:row r="914">
      <x:c r="A914" s="13" t="str">
        <x:v>CC-11-07</x:v>
      </x:c>
      <x:c r="B914" s="13" t="str">
        <x:v>Cell capacity</x:v>
      </x:c>
      <x:c r="C914" s="13" t="str">
        <x:v>HC-CELL-3 implementation state empty</x:v>
      </x:c>
      <x:c r="D914" s="13" t="str">
        <x:f>'Cell Capacity'!S16</x:f>
        <x:v>SOURCE EMPTY</x:v>
      </x:c>
      <x:c r="E914" s="13" t="str">
        <x:v>SOURCE EMPTY</x:v>
      </x:c>
      <x:c r="F914" s="13" t="str">
        <x:f>IF(D914=E914,"PASS","FAIL")</x:f>
        <x:v>PASS</x:v>
      </x:c>
    </x:row>
    <x:row r="915">
      <x:c r="A915" s="13" t="str">
        <x:v>CC-11-08</x:v>
      </x:c>
      <x:c r="B915" s="13" t="str">
        <x:v>Cell capacity</x:v>
      </x:c>
      <x:c r="C915" s="13" t="str">
        <x:v>HC-CELL-3 has six bay records</x:v>
      </x:c>
      <x:c r="D915" s="13" t="n">
        <x:f>COUNTIFS('Bay Register'!$B$6:$B$149,'Cell Capacity'!A16)</x:f>
        <x:v>6</x:v>
      </x:c>
      <x:c r="E915" s="13" t="n">
        <x:v>6</x:v>
      </x:c>
      <x:c r="F915" s="13" t="str">
        <x:f>IF(D915=E915,"PASS","FAIL")</x:f>
        <x:v>PASS</x:v>
      </x:c>
    </x:row>
    <x:row r="916">
      <x:c r="A916" s="13" t="str">
        <x:v>CC-11-09</x:v>
      </x:c>
      <x:c r="B916" s="13" t="str">
        <x:v>Cell capacity</x:v>
      </x:c>
      <x:c r="C916" s="13" t="str">
        <x:v>HC-CELL-3 site unique when populated</x:v>
      </x:c>
      <x:c r="D916" s="13" t="b">
        <x:f>IF('Cell Capacity'!O16="",TRUE,COUNTIFS('Cell Capacity'!$O$6:$O$29,'Cell Capacity'!O16)=1)</x:f>
        <x:v>1</x:v>
      </x:c>
      <x:c r="E916" s="58" t="b">
        <x:v>1</x:v>
      </x:c>
      <x:c r="F916" s="13" t="str">
        <x:f>IF(D916=E916,"PASS","FAIL")</x:f>
        <x:v>PASS</x:v>
      </x:c>
    </x:row>
    <x:row r="917">
      <x:c r="A917" s="13" t="str">
        <x:v>CC-12-01</x:v>
      </x:c>
      <x:c r="B917" s="13" t="str">
        <x:v>Cell capacity</x:v>
      </x:c>
      <x:c r="C917" s="13" t="str">
        <x:v>HC-CELL-4 has two paths</x:v>
      </x:c>
      <x:c r="D917" s="13" t="n">
        <x:f>'Cell Capacity'!E17</x:f>
        <x:v>2</x:v>
      </x:c>
      <x:c r="E917" s="13" t="n">
        <x:v>2</x:v>
      </x:c>
      <x:c r="F917" s="13" t="str">
        <x:f>IF(D917=E917,"PASS","FAIL")</x:f>
        <x:v>PASS</x:v>
      </x:c>
    </x:row>
    <x:row r="918">
      <x:c r="A918" s="13" t="str">
        <x:v>CC-12-02</x:v>
      </x:c>
      <x:c r="B918" s="13" t="str">
        <x:v>Cell capacity</x:v>
      </x:c>
      <x:c r="C918" s="13" t="str">
        <x:v>HC-CELL-4 governing rate is maximum</x:v>
      </x:c>
      <x:c r="D918" s="13" t="b">
        <x:f>ABS('Cell Capacity'!H17-MAX('Cell Capacity'!F17:G17))&lt;0.000001</x:f>
        <x:v>1</x:v>
      </x:c>
      <x:c r="E918" s="58" t="b">
        <x:v>1</x:v>
      </x:c>
      <x:c r="F918" s="13" t="str">
        <x:f>IF(D918=E918,"PASS","FAIL")</x:f>
        <x:v>PASS</x:v>
      </x:c>
    </x:row>
    <x:row r="919">
      <x:c r="A919" s="13" t="str">
        <x:v>CC-12-03</x:v>
      </x:c>
      <x:c r="B919" s="13" t="str">
        <x:v>Cell capacity</x:v>
      </x:c>
      <x:c r="C919" s="13" t="str">
        <x:v>HC-CELL-4 six bays</x:v>
      </x:c>
      <x:c r="D919" s="13" t="n">
        <x:f>'Cell Capacity'!I17</x:f>
        <x:v>6</x:v>
      </x:c>
      <x:c r="E919" s="13" t="n">
        <x:v>6</x:v>
      </x:c>
      <x:c r="F919" s="13" t="str">
        <x:f>IF(D919=E919,"PASS","FAIL")</x:f>
        <x:v>PASS</x:v>
      </x:c>
    </x:row>
    <x:row r="920">
      <x:c r="A920" s="13" t="str">
        <x:v>CC-12-04</x:v>
      </x:c>
      <x:c r="B920" s="13" t="str">
        <x:v>Cell capacity</x:v>
      </x:c>
      <x:c r="C920" s="13" t="str">
        <x:v>HC-CELL-4 quarter-rate bays</x:v>
      </x:c>
      <x:c r="D920" s="13" t="n">
        <x:f>'Cell Capacity'!J17</x:f>
        <x:v>0.25</x:v>
      </x:c>
      <x:c r="E920" s="13" t="n">
        <x:v>0.25</x:v>
      </x:c>
      <x:c r="F920" s="13" t="str">
        <x:f>IF(D920=E920,"PASS","FAIL")</x:f>
        <x:v>PASS</x:v>
      </x:c>
    </x:row>
    <x:row r="921">
      <x:c r="A921" s="13" t="str">
        <x:v>CC-12-05</x:v>
      </x:c>
      <x:c r="B921" s="13" t="str">
        <x:v>Cell capacity</x:v>
      </x:c>
      <x:c r="C921" s="13" t="str">
        <x:v>HC-CELL-4 closes after bay loss</x:v>
      </x:c>
      <x:c r="D921" s="13" t="b">
        <x:f>'Cell Capacity'!L17&gt;='Cell Capacity'!H17</x:f>
        <x:v>1</x:v>
      </x:c>
      <x:c r="E921" s="58" t="b">
        <x:v>1</x:v>
      </x:c>
      <x:c r="F921" s="13" t="str">
        <x:f>IF(D921=E921,"PASS","FAIL")</x:f>
        <x:v>PASS</x:v>
      </x:c>
    </x:row>
    <x:row r="922">
      <x:c r="A922" s="13" t="str">
        <x:v>CC-12-06</x:v>
      </x:c>
      <x:c r="B922" s="13" t="str">
        <x:v>Cell capacity</x:v>
      </x:c>
      <x:c r="C922" s="13" t="str">
        <x:v>HC-CELL-4 planning passes</x:v>
      </x:c>
      <x:c r="D922" s="13" t="str">
        <x:f>'Cell Capacity'!N17</x:f>
        <x:v>PASS</x:v>
      </x:c>
      <x:c r="E922" s="13" t="str">
        <x:v>PASS</x:v>
      </x:c>
      <x:c r="F922" s="13" t="str">
        <x:f>IF(D922=E922,"PASS","FAIL")</x:f>
        <x:v>PASS</x:v>
      </x:c>
    </x:row>
    <x:row r="923">
      <x:c r="A923" s="13" t="str">
        <x:v>CC-12-07</x:v>
      </x:c>
      <x:c r="B923" s="13" t="str">
        <x:v>Cell capacity</x:v>
      </x:c>
      <x:c r="C923" s="13" t="str">
        <x:v>HC-CELL-4 implementation state empty</x:v>
      </x:c>
      <x:c r="D923" s="13" t="str">
        <x:f>'Cell Capacity'!S17</x:f>
        <x:v>SOURCE EMPTY</x:v>
      </x:c>
      <x:c r="E923" s="13" t="str">
        <x:v>SOURCE EMPTY</x:v>
      </x:c>
      <x:c r="F923" s="13" t="str">
        <x:f>IF(D923=E923,"PASS","FAIL")</x:f>
        <x:v>PASS</x:v>
      </x:c>
    </x:row>
    <x:row r="924">
      <x:c r="A924" s="13" t="str">
        <x:v>CC-12-08</x:v>
      </x:c>
      <x:c r="B924" s="13" t="str">
        <x:v>Cell capacity</x:v>
      </x:c>
      <x:c r="C924" s="13" t="str">
        <x:v>HC-CELL-4 has six bay records</x:v>
      </x:c>
      <x:c r="D924" s="13" t="n">
        <x:f>COUNTIFS('Bay Register'!$B$6:$B$149,'Cell Capacity'!A17)</x:f>
        <x:v>6</x:v>
      </x:c>
      <x:c r="E924" s="13" t="n">
        <x:v>6</x:v>
      </x:c>
      <x:c r="F924" s="13" t="str">
        <x:f>IF(D924=E924,"PASS","FAIL")</x:f>
        <x:v>PASS</x:v>
      </x:c>
    </x:row>
    <x:row r="925">
      <x:c r="A925" s="13" t="str">
        <x:v>CC-12-09</x:v>
      </x:c>
      <x:c r="B925" s="13" t="str">
        <x:v>Cell capacity</x:v>
      </x:c>
      <x:c r="C925" s="13" t="str">
        <x:v>HC-CELL-4 site unique when populated</x:v>
      </x:c>
      <x:c r="D925" s="13" t="b">
        <x:f>IF('Cell Capacity'!O17="",TRUE,COUNTIFS('Cell Capacity'!$O$6:$O$29,'Cell Capacity'!O17)=1)</x:f>
        <x:v>1</x:v>
      </x:c>
      <x:c r="E925" s="58" t="b">
        <x:v>1</x:v>
      </x:c>
      <x:c r="F925" s="13" t="str">
        <x:f>IF(D925=E925,"PASS","FAIL")</x:f>
        <x:v>PASS</x:v>
      </x:c>
    </x:row>
    <x:row r="926">
      <x:c r="A926" s="13" t="str">
        <x:v>CC-13-01</x:v>
      </x:c>
      <x:c r="B926" s="13" t="str">
        <x:v>Cell capacity</x:v>
      </x:c>
      <x:c r="C926" s="13" t="str">
        <x:v>LF-CELL-1 has two paths</x:v>
      </x:c>
      <x:c r="D926" s="13" t="n">
        <x:f>'Cell Capacity'!E18</x:f>
        <x:v>2</x:v>
      </x:c>
      <x:c r="E926" s="13" t="n">
        <x:v>2</x:v>
      </x:c>
      <x:c r="F926" s="13" t="str">
        <x:f>IF(D926=E926,"PASS","FAIL")</x:f>
        <x:v>PASS</x:v>
      </x:c>
    </x:row>
    <x:row r="927">
      <x:c r="A927" s="13" t="str">
        <x:v>CC-13-02</x:v>
      </x:c>
      <x:c r="B927" s="13" t="str">
        <x:v>Cell capacity</x:v>
      </x:c>
      <x:c r="C927" s="13" t="str">
        <x:v>LF-CELL-1 governing rate is maximum</x:v>
      </x:c>
      <x:c r="D927" s="13" t="b">
        <x:f>ABS('Cell Capacity'!H18-MAX('Cell Capacity'!F18:G18))&lt;0.000001</x:f>
        <x:v>1</x:v>
      </x:c>
      <x:c r="E927" s="58" t="b">
        <x:v>1</x:v>
      </x:c>
      <x:c r="F927" s="13" t="str">
        <x:f>IF(D927=E927,"PASS","FAIL")</x:f>
        <x:v>PASS</x:v>
      </x:c>
    </x:row>
    <x:row r="928">
      <x:c r="A928" s="13" t="str">
        <x:v>CC-13-03</x:v>
      </x:c>
      <x:c r="B928" s="13" t="str">
        <x:v>Cell capacity</x:v>
      </x:c>
      <x:c r="C928" s="13" t="str">
        <x:v>LF-CELL-1 six bays</x:v>
      </x:c>
      <x:c r="D928" s="13" t="n">
        <x:f>'Cell Capacity'!I18</x:f>
        <x:v>6</x:v>
      </x:c>
      <x:c r="E928" s="13" t="n">
        <x:v>6</x:v>
      </x:c>
      <x:c r="F928" s="13" t="str">
        <x:f>IF(D928=E928,"PASS","FAIL")</x:f>
        <x:v>PASS</x:v>
      </x:c>
    </x:row>
    <x:row r="929">
      <x:c r="A929" s="13" t="str">
        <x:v>CC-13-04</x:v>
      </x:c>
      <x:c r="B929" s="13" t="str">
        <x:v>Cell capacity</x:v>
      </x:c>
      <x:c r="C929" s="13" t="str">
        <x:v>LF-CELL-1 quarter-rate bays</x:v>
      </x:c>
      <x:c r="D929" s="13" t="n">
        <x:f>'Cell Capacity'!J18</x:f>
        <x:v>0.25</x:v>
      </x:c>
      <x:c r="E929" s="13" t="n">
        <x:v>0.25</x:v>
      </x:c>
      <x:c r="F929" s="13" t="str">
        <x:f>IF(D929=E929,"PASS","FAIL")</x:f>
        <x:v>PASS</x:v>
      </x:c>
    </x:row>
    <x:row r="930">
      <x:c r="A930" s="13" t="str">
        <x:v>CC-13-05</x:v>
      </x:c>
      <x:c r="B930" s="13" t="str">
        <x:v>Cell capacity</x:v>
      </x:c>
      <x:c r="C930" s="13" t="str">
        <x:v>LF-CELL-1 closes after bay loss</x:v>
      </x:c>
      <x:c r="D930" s="13" t="b">
        <x:f>'Cell Capacity'!L18&gt;='Cell Capacity'!H18</x:f>
        <x:v>1</x:v>
      </x:c>
      <x:c r="E930" s="58" t="b">
        <x:v>1</x:v>
      </x:c>
      <x:c r="F930" s="13" t="str">
        <x:f>IF(D930=E930,"PASS","FAIL")</x:f>
        <x:v>PASS</x:v>
      </x:c>
    </x:row>
    <x:row r="931">
      <x:c r="A931" s="13" t="str">
        <x:v>CC-13-06</x:v>
      </x:c>
      <x:c r="B931" s="13" t="str">
        <x:v>Cell capacity</x:v>
      </x:c>
      <x:c r="C931" s="13" t="str">
        <x:v>LF-CELL-1 planning passes</x:v>
      </x:c>
      <x:c r="D931" s="13" t="str">
        <x:f>'Cell Capacity'!N18</x:f>
        <x:v>PASS</x:v>
      </x:c>
      <x:c r="E931" s="13" t="str">
        <x:v>PASS</x:v>
      </x:c>
      <x:c r="F931" s="13" t="str">
        <x:f>IF(D931=E931,"PASS","FAIL")</x:f>
        <x:v>PASS</x:v>
      </x:c>
    </x:row>
    <x:row r="932">
      <x:c r="A932" s="13" t="str">
        <x:v>CC-13-07</x:v>
      </x:c>
      <x:c r="B932" s="13" t="str">
        <x:v>Cell capacity</x:v>
      </x:c>
      <x:c r="C932" s="13" t="str">
        <x:v>LF-CELL-1 implementation state empty</x:v>
      </x:c>
      <x:c r="D932" s="13" t="str">
        <x:f>'Cell Capacity'!S18</x:f>
        <x:v>SOURCE EMPTY</x:v>
      </x:c>
      <x:c r="E932" s="13" t="str">
        <x:v>SOURCE EMPTY</x:v>
      </x:c>
      <x:c r="F932" s="13" t="str">
        <x:f>IF(D932=E932,"PASS","FAIL")</x:f>
        <x:v>PASS</x:v>
      </x:c>
    </x:row>
    <x:row r="933">
      <x:c r="A933" s="13" t="str">
        <x:v>CC-13-08</x:v>
      </x:c>
      <x:c r="B933" s="13" t="str">
        <x:v>Cell capacity</x:v>
      </x:c>
      <x:c r="C933" s="13" t="str">
        <x:v>LF-CELL-1 has six bay records</x:v>
      </x:c>
      <x:c r="D933" s="13" t="n">
        <x:f>COUNTIFS('Bay Register'!$B$6:$B$149,'Cell Capacity'!A18)</x:f>
        <x:v>6</x:v>
      </x:c>
      <x:c r="E933" s="13" t="n">
        <x:v>6</x:v>
      </x:c>
      <x:c r="F933" s="13" t="str">
        <x:f>IF(D933=E933,"PASS","FAIL")</x:f>
        <x:v>PASS</x:v>
      </x:c>
    </x:row>
    <x:row r="934">
      <x:c r="A934" s="13" t="str">
        <x:v>CC-13-09</x:v>
      </x:c>
      <x:c r="B934" s="13" t="str">
        <x:v>Cell capacity</x:v>
      </x:c>
      <x:c r="C934" s="13" t="str">
        <x:v>LF-CELL-1 site unique when populated</x:v>
      </x:c>
      <x:c r="D934" s="13" t="b">
        <x:f>IF('Cell Capacity'!O18="",TRUE,COUNTIFS('Cell Capacity'!$O$6:$O$29,'Cell Capacity'!O18)=1)</x:f>
        <x:v>1</x:v>
      </x:c>
      <x:c r="E934" s="58" t="b">
        <x:v>1</x:v>
      </x:c>
      <x:c r="F934" s="13" t="str">
        <x:f>IF(D934=E934,"PASS","FAIL")</x:f>
        <x:v>PASS</x:v>
      </x:c>
    </x:row>
    <x:row r="935">
      <x:c r="A935" s="13" t="str">
        <x:v>CC-14-01</x:v>
      </x:c>
      <x:c r="B935" s="13" t="str">
        <x:v>Cell capacity</x:v>
      </x:c>
      <x:c r="C935" s="13" t="str">
        <x:v>LF-CELL-2 has two paths</x:v>
      </x:c>
      <x:c r="D935" s="13" t="n">
        <x:f>'Cell Capacity'!E19</x:f>
        <x:v>2</x:v>
      </x:c>
      <x:c r="E935" s="13" t="n">
        <x:v>2</x:v>
      </x:c>
      <x:c r="F935" s="13" t="str">
        <x:f>IF(D935=E935,"PASS","FAIL")</x:f>
        <x:v>PASS</x:v>
      </x:c>
    </x:row>
    <x:row r="936">
      <x:c r="A936" s="13" t="str">
        <x:v>CC-14-02</x:v>
      </x:c>
      <x:c r="B936" s="13" t="str">
        <x:v>Cell capacity</x:v>
      </x:c>
      <x:c r="C936" s="13" t="str">
        <x:v>LF-CELL-2 governing rate is maximum</x:v>
      </x:c>
      <x:c r="D936" s="13" t="b">
        <x:f>ABS('Cell Capacity'!H19-MAX('Cell Capacity'!F19:G19))&lt;0.000001</x:f>
        <x:v>1</x:v>
      </x:c>
      <x:c r="E936" s="58" t="b">
        <x:v>1</x:v>
      </x:c>
      <x:c r="F936" s="13" t="str">
        <x:f>IF(D936=E936,"PASS","FAIL")</x:f>
        <x:v>PASS</x:v>
      </x:c>
    </x:row>
    <x:row r="937">
      <x:c r="A937" s="13" t="str">
        <x:v>CC-14-03</x:v>
      </x:c>
      <x:c r="B937" s="13" t="str">
        <x:v>Cell capacity</x:v>
      </x:c>
      <x:c r="C937" s="13" t="str">
        <x:v>LF-CELL-2 six bays</x:v>
      </x:c>
      <x:c r="D937" s="13" t="n">
        <x:f>'Cell Capacity'!I19</x:f>
        <x:v>6</x:v>
      </x:c>
      <x:c r="E937" s="13" t="n">
        <x:v>6</x:v>
      </x:c>
      <x:c r="F937" s="13" t="str">
        <x:f>IF(D937=E937,"PASS","FAIL")</x:f>
        <x:v>PASS</x:v>
      </x:c>
    </x:row>
    <x:row r="938">
      <x:c r="A938" s="13" t="str">
        <x:v>CC-14-04</x:v>
      </x:c>
      <x:c r="B938" s="13" t="str">
        <x:v>Cell capacity</x:v>
      </x:c>
      <x:c r="C938" s="13" t="str">
        <x:v>LF-CELL-2 quarter-rate bays</x:v>
      </x:c>
      <x:c r="D938" s="13" t="n">
        <x:f>'Cell Capacity'!J19</x:f>
        <x:v>0.25</x:v>
      </x:c>
      <x:c r="E938" s="13" t="n">
        <x:v>0.25</x:v>
      </x:c>
      <x:c r="F938" s="13" t="str">
        <x:f>IF(D938=E938,"PASS","FAIL")</x:f>
        <x:v>PASS</x:v>
      </x:c>
    </x:row>
    <x:row r="939">
      <x:c r="A939" s="13" t="str">
        <x:v>CC-14-05</x:v>
      </x:c>
      <x:c r="B939" s="13" t="str">
        <x:v>Cell capacity</x:v>
      </x:c>
      <x:c r="C939" s="13" t="str">
        <x:v>LF-CELL-2 closes after bay loss</x:v>
      </x:c>
      <x:c r="D939" s="13" t="b">
        <x:f>'Cell Capacity'!L19&gt;='Cell Capacity'!H19</x:f>
        <x:v>1</x:v>
      </x:c>
      <x:c r="E939" s="58" t="b">
        <x:v>1</x:v>
      </x:c>
      <x:c r="F939" s="13" t="str">
        <x:f>IF(D939=E939,"PASS","FAIL")</x:f>
        <x:v>PASS</x:v>
      </x:c>
    </x:row>
    <x:row r="940">
      <x:c r="A940" s="13" t="str">
        <x:v>CC-14-06</x:v>
      </x:c>
      <x:c r="B940" s="13" t="str">
        <x:v>Cell capacity</x:v>
      </x:c>
      <x:c r="C940" s="13" t="str">
        <x:v>LF-CELL-2 planning passes</x:v>
      </x:c>
      <x:c r="D940" s="13" t="str">
        <x:f>'Cell Capacity'!N19</x:f>
        <x:v>PASS</x:v>
      </x:c>
      <x:c r="E940" s="13" t="str">
        <x:v>PASS</x:v>
      </x:c>
      <x:c r="F940" s="13" t="str">
        <x:f>IF(D940=E940,"PASS","FAIL")</x:f>
        <x:v>PASS</x:v>
      </x:c>
    </x:row>
    <x:row r="941">
      <x:c r="A941" s="13" t="str">
        <x:v>CC-14-07</x:v>
      </x:c>
      <x:c r="B941" s="13" t="str">
        <x:v>Cell capacity</x:v>
      </x:c>
      <x:c r="C941" s="13" t="str">
        <x:v>LF-CELL-2 implementation state empty</x:v>
      </x:c>
      <x:c r="D941" s="13" t="str">
        <x:f>'Cell Capacity'!S19</x:f>
        <x:v>SOURCE EMPTY</x:v>
      </x:c>
      <x:c r="E941" s="13" t="str">
        <x:v>SOURCE EMPTY</x:v>
      </x:c>
      <x:c r="F941" s="13" t="str">
        <x:f>IF(D941=E941,"PASS","FAIL")</x:f>
        <x:v>PASS</x:v>
      </x:c>
    </x:row>
    <x:row r="942">
      <x:c r="A942" s="13" t="str">
        <x:v>CC-14-08</x:v>
      </x:c>
      <x:c r="B942" s="13" t="str">
        <x:v>Cell capacity</x:v>
      </x:c>
      <x:c r="C942" s="13" t="str">
        <x:v>LF-CELL-2 has six bay records</x:v>
      </x:c>
      <x:c r="D942" s="13" t="n">
        <x:f>COUNTIFS('Bay Register'!$B$6:$B$149,'Cell Capacity'!A19)</x:f>
        <x:v>6</x:v>
      </x:c>
      <x:c r="E942" s="13" t="n">
        <x:v>6</x:v>
      </x:c>
      <x:c r="F942" s="13" t="str">
        <x:f>IF(D942=E942,"PASS","FAIL")</x:f>
        <x:v>PASS</x:v>
      </x:c>
    </x:row>
    <x:row r="943">
      <x:c r="A943" s="13" t="str">
        <x:v>CC-14-09</x:v>
      </x:c>
      <x:c r="B943" s="13" t="str">
        <x:v>Cell capacity</x:v>
      </x:c>
      <x:c r="C943" s="13" t="str">
        <x:v>LF-CELL-2 site unique when populated</x:v>
      </x:c>
      <x:c r="D943" s="13" t="b">
        <x:f>IF('Cell Capacity'!O19="",TRUE,COUNTIFS('Cell Capacity'!$O$6:$O$29,'Cell Capacity'!O19)=1)</x:f>
        <x:v>1</x:v>
      </x:c>
      <x:c r="E943" s="58" t="b">
        <x:v>1</x:v>
      </x:c>
      <x:c r="F943" s="13" t="str">
        <x:f>IF(D943=E943,"PASS","FAIL")</x:f>
        <x:v>PASS</x:v>
      </x:c>
    </x:row>
    <x:row r="944">
      <x:c r="A944" s="13" t="str">
        <x:v>CC-15-01</x:v>
      </x:c>
      <x:c r="B944" s="13" t="str">
        <x:v>Cell capacity</x:v>
      </x:c>
      <x:c r="C944" s="13" t="str">
        <x:v>LF-CELL-3 has two paths</x:v>
      </x:c>
      <x:c r="D944" s="13" t="n">
        <x:f>'Cell Capacity'!E20</x:f>
        <x:v>2</x:v>
      </x:c>
      <x:c r="E944" s="13" t="n">
        <x:v>2</x:v>
      </x:c>
      <x:c r="F944" s="13" t="str">
        <x:f>IF(D944=E944,"PASS","FAIL")</x:f>
        <x:v>PASS</x:v>
      </x:c>
    </x:row>
    <x:row r="945">
      <x:c r="A945" s="13" t="str">
        <x:v>CC-15-02</x:v>
      </x:c>
      <x:c r="B945" s="13" t="str">
        <x:v>Cell capacity</x:v>
      </x:c>
      <x:c r="C945" s="13" t="str">
        <x:v>LF-CELL-3 governing rate is maximum</x:v>
      </x:c>
      <x:c r="D945" s="13" t="b">
        <x:f>ABS('Cell Capacity'!H20-MAX('Cell Capacity'!F20:G20))&lt;0.000001</x:f>
        <x:v>1</x:v>
      </x:c>
      <x:c r="E945" s="58" t="b">
        <x:v>1</x:v>
      </x:c>
      <x:c r="F945" s="13" t="str">
        <x:f>IF(D945=E945,"PASS","FAIL")</x:f>
        <x:v>PASS</x:v>
      </x:c>
    </x:row>
    <x:row r="946">
      <x:c r="A946" s="13" t="str">
        <x:v>CC-15-03</x:v>
      </x:c>
      <x:c r="B946" s="13" t="str">
        <x:v>Cell capacity</x:v>
      </x:c>
      <x:c r="C946" s="13" t="str">
        <x:v>LF-CELL-3 six bays</x:v>
      </x:c>
      <x:c r="D946" s="13" t="n">
        <x:f>'Cell Capacity'!I20</x:f>
        <x:v>6</x:v>
      </x:c>
      <x:c r="E946" s="13" t="n">
        <x:v>6</x:v>
      </x:c>
      <x:c r="F946" s="13" t="str">
        <x:f>IF(D946=E946,"PASS","FAIL")</x:f>
        <x:v>PASS</x:v>
      </x:c>
    </x:row>
    <x:row r="947">
      <x:c r="A947" s="13" t="str">
        <x:v>CC-15-04</x:v>
      </x:c>
      <x:c r="B947" s="13" t="str">
        <x:v>Cell capacity</x:v>
      </x:c>
      <x:c r="C947" s="13" t="str">
        <x:v>LF-CELL-3 quarter-rate bays</x:v>
      </x:c>
      <x:c r="D947" s="13" t="n">
        <x:f>'Cell Capacity'!J20</x:f>
        <x:v>0.25</x:v>
      </x:c>
      <x:c r="E947" s="13" t="n">
        <x:v>0.25</x:v>
      </x:c>
      <x:c r="F947" s="13" t="str">
        <x:f>IF(D947=E947,"PASS","FAIL")</x:f>
        <x:v>PASS</x:v>
      </x:c>
    </x:row>
    <x:row r="948">
      <x:c r="A948" s="13" t="str">
        <x:v>CC-15-05</x:v>
      </x:c>
      <x:c r="B948" s="13" t="str">
        <x:v>Cell capacity</x:v>
      </x:c>
      <x:c r="C948" s="13" t="str">
        <x:v>LF-CELL-3 closes after bay loss</x:v>
      </x:c>
      <x:c r="D948" s="13" t="b">
        <x:f>'Cell Capacity'!L20&gt;='Cell Capacity'!H20</x:f>
        <x:v>1</x:v>
      </x:c>
      <x:c r="E948" s="58" t="b">
        <x:v>1</x:v>
      </x:c>
      <x:c r="F948" s="13" t="str">
        <x:f>IF(D948=E948,"PASS","FAIL")</x:f>
        <x:v>PASS</x:v>
      </x:c>
    </x:row>
    <x:row r="949">
      <x:c r="A949" s="13" t="str">
        <x:v>CC-15-06</x:v>
      </x:c>
      <x:c r="B949" s="13" t="str">
        <x:v>Cell capacity</x:v>
      </x:c>
      <x:c r="C949" s="13" t="str">
        <x:v>LF-CELL-3 planning passes</x:v>
      </x:c>
      <x:c r="D949" s="13" t="str">
        <x:f>'Cell Capacity'!N20</x:f>
        <x:v>PASS</x:v>
      </x:c>
      <x:c r="E949" s="13" t="str">
        <x:v>PASS</x:v>
      </x:c>
      <x:c r="F949" s="13" t="str">
        <x:f>IF(D949=E949,"PASS","FAIL")</x:f>
        <x:v>PASS</x:v>
      </x:c>
    </x:row>
    <x:row r="950">
      <x:c r="A950" s="13" t="str">
        <x:v>CC-15-07</x:v>
      </x:c>
      <x:c r="B950" s="13" t="str">
        <x:v>Cell capacity</x:v>
      </x:c>
      <x:c r="C950" s="13" t="str">
        <x:v>LF-CELL-3 implementation state empty</x:v>
      </x:c>
      <x:c r="D950" s="13" t="str">
        <x:f>'Cell Capacity'!S20</x:f>
        <x:v>SOURCE EMPTY</x:v>
      </x:c>
      <x:c r="E950" s="13" t="str">
        <x:v>SOURCE EMPTY</x:v>
      </x:c>
      <x:c r="F950" s="13" t="str">
        <x:f>IF(D950=E950,"PASS","FAIL")</x:f>
        <x:v>PASS</x:v>
      </x:c>
    </x:row>
    <x:row r="951">
      <x:c r="A951" s="13" t="str">
        <x:v>CC-15-08</x:v>
      </x:c>
      <x:c r="B951" s="13" t="str">
        <x:v>Cell capacity</x:v>
      </x:c>
      <x:c r="C951" s="13" t="str">
        <x:v>LF-CELL-3 has six bay records</x:v>
      </x:c>
      <x:c r="D951" s="13" t="n">
        <x:f>COUNTIFS('Bay Register'!$B$6:$B$149,'Cell Capacity'!A20)</x:f>
        <x:v>6</x:v>
      </x:c>
      <x:c r="E951" s="13" t="n">
        <x:v>6</x:v>
      </x:c>
      <x:c r="F951" s="13" t="str">
        <x:f>IF(D951=E951,"PASS","FAIL")</x:f>
        <x:v>PASS</x:v>
      </x:c>
    </x:row>
    <x:row r="952">
      <x:c r="A952" s="13" t="str">
        <x:v>CC-15-09</x:v>
      </x:c>
      <x:c r="B952" s="13" t="str">
        <x:v>Cell capacity</x:v>
      </x:c>
      <x:c r="C952" s="13" t="str">
        <x:v>LF-CELL-3 site unique when populated</x:v>
      </x:c>
      <x:c r="D952" s="13" t="b">
        <x:f>IF('Cell Capacity'!O20="",TRUE,COUNTIFS('Cell Capacity'!$O$6:$O$29,'Cell Capacity'!O20)=1)</x:f>
        <x:v>1</x:v>
      </x:c>
      <x:c r="E952" s="58" t="b">
        <x:v>1</x:v>
      </x:c>
      <x:c r="F952" s="13" t="str">
        <x:f>IF(D952=E952,"PASS","FAIL")</x:f>
        <x:v>PASS</x:v>
      </x:c>
    </x:row>
    <x:row r="953">
      <x:c r="A953" s="13" t="str">
        <x:v>CC-16-01</x:v>
      </x:c>
      <x:c r="B953" s="13" t="str">
        <x:v>Cell capacity</x:v>
      </x:c>
      <x:c r="C953" s="13" t="str">
        <x:v>LF-CELL-4 has two paths</x:v>
      </x:c>
      <x:c r="D953" s="13" t="n">
        <x:f>'Cell Capacity'!E21</x:f>
        <x:v>2</x:v>
      </x:c>
      <x:c r="E953" s="13" t="n">
        <x:v>2</x:v>
      </x:c>
      <x:c r="F953" s="13" t="str">
        <x:f>IF(D953=E953,"PASS","FAIL")</x:f>
        <x:v>PASS</x:v>
      </x:c>
    </x:row>
    <x:row r="954">
      <x:c r="A954" s="13" t="str">
        <x:v>CC-16-02</x:v>
      </x:c>
      <x:c r="B954" s="13" t="str">
        <x:v>Cell capacity</x:v>
      </x:c>
      <x:c r="C954" s="13" t="str">
        <x:v>LF-CELL-4 governing rate is maximum</x:v>
      </x:c>
      <x:c r="D954" s="13" t="b">
        <x:f>ABS('Cell Capacity'!H21-MAX('Cell Capacity'!F21:G21))&lt;0.000001</x:f>
        <x:v>1</x:v>
      </x:c>
      <x:c r="E954" s="58" t="b">
        <x:v>1</x:v>
      </x:c>
      <x:c r="F954" s="13" t="str">
        <x:f>IF(D954=E954,"PASS","FAIL")</x:f>
        <x:v>PASS</x:v>
      </x:c>
    </x:row>
    <x:row r="955">
      <x:c r="A955" s="13" t="str">
        <x:v>CC-16-03</x:v>
      </x:c>
      <x:c r="B955" s="13" t="str">
        <x:v>Cell capacity</x:v>
      </x:c>
      <x:c r="C955" s="13" t="str">
        <x:v>LF-CELL-4 six bays</x:v>
      </x:c>
      <x:c r="D955" s="13" t="n">
        <x:f>'Cell Capacity'!I21</x:f>
        <x:v>6</x:v>
      </x:c>
      <x:c r="E955" s="13" t="n">
        <x:v>6</x:v>
      </x:c>
      <x:c r="F955" s="13" t="str">
        <x:f>IF(D955=E955,"PASS","FAIL")</x:f>
        <x:v>PASS</x:v>
      </x:c>
    </x:row>
    <x:row r="956">
      <x:c r="A956" s="13" t="str">
        <x:v>CC-16-04</x:v>
      </x:c>
      <x:c r="B956" s="13" t="str">
        <x:v>Cell capacity</x:v>
      </x:c>
      <x:c r="C956" s="13" t="str">
        <x:v>LF-CELL-4 quarter-rate bays</x:v>
      </x:c>
      <x:c r="D956" s="13" t="n">
        <x:f>'Cell Capacity'!J21</x:f>
        <x:v>0.25</x:v>
      </x:c>
      <x:c r="E956" s="13" t="n">
        <x:v>0.25</x:v>
      </x:c>
      <x:c r="F956" s="13" t="str">
        <x:f>IF(D956=E956,"PASS","FAIL")</x:f>
        <x:v>PASS</x:v>
      </x:c>
    </x:row>
    <x:row r="957">
      <x:c r="A957" s="13" t="str">
        <x:v>CC-16-05</x:v>
      </x:c>
      <x:c r="B957" s="13" t="str">
        <x:v>Cell capacity</x:v>
      </x:c>
      <x:c r="C957" s="13" t="str">
        <x:v>LF-CELL-4 closes after bay loss</x:v>
      </x:c>
      <x:c r="D957" s="13" t="b">
        <x:f>'Cell Capacity'!L21&gt;='Cell Capacity'!H21</x:f>
        <x:v>1</x:v>
      </x:c>
      <x:c r="E957" s="58" t="b">
        <x:v>1</x:v>
      </x:c>
      <x:c r="F957" s="13" t="str">
        <x:f>IF(D957=E957,"PASS","FAIL")</x:f>
        <x:v>PASS</x:v>
      </x:c>
    </x:row>
    <x:row r="958">
      <x:c r="A958" s="13" t="str">
        <x:v>CC-16-06</x:v>
      </x:c>
      <x:c r="B958" s="13" t="str">
        <x:v>Cell capacity</x:v>
      </x:c>
      <x:c r="C958" s="13" t="str">
        <x:v>LF-CELL-4 planning passes</x:v>
      </x:c>
      <x:c r="D958" s="13" t="str">
        <x:f>'Cell Capacity'!N21</x:f>
        <x:v>PASS</x:v>
      </x:c>
      <x:c r="E958" s="13" t="str">
        <x:v>PASS</x:v>
      </x:c>
      <x:c r="F958" s="13" t="str">
        <x:f>IF(D958=E958,"PASS","FAIL")</x:f>
        <x:v>PASS</x:v>
      </x:c>
    </x:row>
    <x:row r="959">
      <x:c r="A959" s="13" t="str">
        <x:v>CC-16-07</x:v>
      </x:c>
      <x:c r="B959" s="13" t="str">
        <x:v>Cell capacity</x:v>
      </x:c>
      <x:c r="C959" s="13" t="str">
        <x:v>LF-CELL-4 implementation state empty</x:v>
      </x:c>
      <x:c r="D959" s="13" t="str">
        <x:f>'Cell Capacity'!S21</x:f>
        <x:v>SOURCE EMPTY</x:v>
      </x:c>
      <x:c r="E959" s="13" t="str">
        <x:v>SOURCE EMPTY</x:v>
      </x:c>
      <x:c r="F959" s="13" t="str">
        <x:f>IF(D959=E959,"PASS","FAIL")</x:f>
        <x:v>PASS</x:v>
      </x:c>
    </x:row>
    <x:row r="960">
      <x:c r="A960" s="13" t="str">
        <x:v>CC-16-08</x:v>
      </x:c>
      <x:c r="B960" s="13" t="str">
        <x:v>Cell capacity</x:v>
      </x:c>
      <x:c r="C960" s="13" t="str">
        <x:v>LF-CELL-4 has six bay records</x:v>
      </x:c>
      <x:c r="D960" s="13" t="n">
        <x:f>COUNTIFS('Bay Register'!$B$6:$B$149,'Cell Capacity'!A21)</x:f>
        <x:v>6</x:v>
      </x:c>
      <x:c r="E960" s="13" t="n">
        <x:v>6</x:v>
      </x:c>
      <x:c r="F960" s="13" t="str">
        <x:f>IF(D960=E960,"PASS","FAIL")</x:f>
        <x:v>PASS</x:v>
      </x:c>
    </x:row>
    <x:row r="961">
      <x:c r="A961" s="13" t="str">
        <x:v>CC-16-09</x:v>
      </x:c>
      <x:c r="B961" s="13" t="str">
        <x:v>Cell capacity</x:v>
      </x:c>
      <x:c r="C961" s="13" t="str">
        <x:v>LF-CELL-4 site unique when populated</x:v>
      </x:c>
      <x:c r="D961" s="13" t="b">
        <x:f>IF('Cell Capacity'!O21="",TRUE,COUNTIFS('Cell Capacity'!$O$6:$O$29,'Cell Capacity'!O21)=1)</x:f>
        <x:v>1</x:v>
      </x:c>
      <x:c r="E961" s="58" t="b">
        <x:v>1</x:v>
      </x:c>
      <x:c r="F961" s="13" t="str">
        <x:f>IF(D961=E961,"PASS","FAIL")</x:f>
        <x:v>PASS</x:v>
      </x:c>
    </x:row>
    <x:row r="962">
      <x:c r="A962" s="13" t="str">
        <x:v>CC-17-01</x:v>
      </x:c>
      <x:c r="B962" s="13" t="str">
        <x:v>Cell capacity</x:v>
      </x:c>
      <x:c r="C962" s="13" t="str">
        <x:v>HU-CELL-1 has two paths</x:v>
      </x:c>
      <x:c r="D962" s="13" t="n">
        <x:f>'Cell Capacity'!E22</x:f>
        <x:v>2</x:v>
      </x:c>
      <x:c r="E962" s="13" t="n">
        <x:v>2</x:v>
      </x:c>
      <x:c r="F962" s="13" t="str">
        <x:f>IF(D962=E962,"PASS","FAIL")</x:f>
        <x:v>PASS</x:v>
      </x:c>
    </x:row>
    <x:row r="963">
      <x:c r="A963" s="13" t="str">
        <x:v>CC-17-02</x:v>
      </x:c>
      <x:c r="B963" s="13" t="str">
        <x:v>Cell capacity</x:v>
      </x:c>
      <x:c r="C963" s="13" t="str">
        <x:v>HU-CELL-1 governing rate is maximum</x:v>
      </x:c>
      <x:c r="D963" s="13" t="b">
        <x:f>ABS('Cell Capacity'!H22-MAX('Cell Capacity'!F22:G22))&lt;0.000001</x:f>
        <x:v>1</x:v>
      </x:c>
      <x:c r="E963" s="58" t="b">
        <x:v>1</x:v>
      </x:c>
      <x:c r="F963" s="13" t="str">
        <x:f>IF(D963=E963,"PASS","FAIL")</x:f>
        <x:v>PASS</x:v>
      </x:c>
    </x:row>
    <x:row r="964">
      <x:c r="A964" s="13" t="str">
        <x:v>CC-17-03</x:v>
      </x:c>
      <x:c r="B964" s="13" t="str">
        <x:v>Cell capacity</x:v>
      </x:c>
      <x:c r="C964" s="13" t="str">
        <x:v>HU-CELL-1 six bays</x:v>
      </x:c>
      <x:c r="D964" s="13" t="n">
        <x:f>'Cell Capacity'!I22</x:f>
        <x:v>6</x:v>
      </x:c>
      <x:c r="E964" s="13" t="n">
        <x:v>6</x:v>
      </x:c>
      <x:c r="F964" s="13" t="str">
        <x:f>IF(D964=E964,"PASS","FAIL")</x:f>
        <x:v>PASS</x:v>
      </x:c>
    </x:row>
    <x:row r="965">
      <x:c r="A965" s="13" t="str">
        <x:v>CC-17-04</x:v>
      </x:c>
      <x:c r="B965" s="13" t="str">
        <x:v>Cell capacity</x:v>
      </x:c>
      <x:c r="C965" s="13" t="str">
        <x:v>HU-CELL-1 quarter-rate bays</x:v>
      </x:c>
      <x:c r="D965" s="13" t="n">
        <x:f>'Cell Capacity'!J22</x:f>
        <x:v>0.25</x:v>
      </x:c>
      <x:c r="E965" s="13" t="n">
        <x:v>0.25</x:v>
      </x:c>
      <x:c r="F965" s="13" t="str">
        <x:f>IF(D965=E965,"PASS","FAIL")</x:f>
        <x:v>PASS</x:v>
      </x:c>
    </x:row>
    <x:row r="966">
      <x:c r="A966" s="13" t="str">
        <x:v>CC-17-05</x:v>
      </x:c>
      <x:c r="B966" s="13" t="str">
        <x:v>Cell capacity</x:v>
      </x:c>
      <x:c r="C966" s="13" t="str">
        <x:v>HU-CELL-1 closes after bay loss</x:v>
      </x:c>
      <x:c r="D966" s="13" t="b">
        <x:f>'Cell Capacity'!L22&gt;='Cell Capacity'!H22</x:f>
        <x:v>1</x:v>
      </x:c>
      <x:c r="E966" s="58" t="b">
        <x:v>1</x:v>
      </x:c>
      <x:c r="F966" s="13" t="str">
        <x:f>IF(D966=E966,"PASS","FAIL")</x:f>
        <x:v>PASS</x:v>
      </x:c>
    </x:row>
    <x:row r="967">
      <x:c r="A967" s="13" t="str">
        <x:v>CC-17-06</x:v>
      </x:c>
      <x:c r="B967" s="13" t="str">
        <x:v>Cell capacity</x:v>
      </x:c>
      <x:c r="C967" s="13" t="str">
        <x:v>HU-CELL-1 planning passes</x:v>
      </x:c>
      <x:c r="D967" s="13" t="str">
        <x:f>'Cell Capacity'!N22</x:f>
        <x:v>PASS</x:v>
      </x:c>
      <x:c r="E967" s="13" t="str">
        <x:v>PASS</x:v>
      </x:c>
      <x:c r="F967" s="13" t="str">
        <x:f>IF(D967=E967,"PASS","FAIL")</x:f>
        <x:v>PASS</x:v>
      </x:c>
    </x:row>
    <x:row r="968">
      <x:c r="A968" s="13" t="str">
        <x:v>CC-17-07</x:v>
      </x:c>
      <x:c r="B968" s="13" t="str">
        <x:v>Cell capacity</x:v>
      </x:c>
      <x:c r="C968" s="13" t="str">
        <x:v>HU-CELL-1 implementation state empty</x:v>
      </x:c>
      <x:c r="D968" s="13" t="str">
        <x:f>'Cell Capacity'!S22</x:f>
        <x:v>SOURCE EMPTY</x:v>
      </x:c>
      <x:c r="E968" s="13" t="str">
        <x:v>SOURCE EMPTY</x:v>
      </x:c>
      <x:c r="F968" s="13" t="str">
        <x:f>IF(D968=E968,"PASS","FAIL")</x:f>
        <x:v>PASS</x:v>
      </x:c>
    </x:row>
    <x:row r="969">
      <x:c r="A969" s="13" t="str">
        <x:v>CC-17-08</x:v>
      </x:c>
      <x:c r="B969" s="13" t="str">
        <x:v>Cell capacity</x:v>
      </x:c>
      <x:c r="C969" s="13" t="str">
        <x:v>HU-CELL-1 has six bay records</x:v>
      </x:c>
      <x:c r="D969" s="13" t="n">
        <x:f>COUNTIFS('Bay Register'!$B$6:$B$149,'Cell Capacity'!A22)</x:f>
        <x:v>6</x:v>
      </x:c>
      <x:c r="E969" s="13" t="n">
        <x:v>6</x:v>
      </x:c>
      <x:c r="F969" s="13" t="str">
        <x:f>IF(D969=E969,"PASS","FAIL")</x:f>
        <x:v>PASS</x:v>
      </x:c>
    </x:row>
    <x:row r="970">
      <x:c r="A970" s="13" t="str">
        <x:v>CC-17-09</x:v>
      </x:c>
      <x:c r="B970" s="13" t="str">
        <x:v>Cell capacity</x:v>
      </x:c>
      <x:c r="C970" s="13" t="str">
        <x:v>HU-CELL-1 site unique when populated</x:v>
      </x:c>
      <x:c r="D970" s="13" t="b">
        <x:f>IF('Cell Capacity'!O22="",TRUE,COUNTIFS('Cell Capacity'!$O$6:$O$29,'Cell Capacity'!O22)=1)</x:f>
        <x:v>1</x:v>
      </x:c>
      <x:c r="E970" s="58" t="b">
        <x:v>1</x:v>
      </x:c>
      <x:c r="F970" s="13" t="str">
        <x:f>IF(D970=E970,"PASS","FAIL")</x:f>
        <x:v>PASS</x:v>
      </x:c>
    </x:row>
    <x:row r="971">
      <x:c r="A971" s="13" t="str">
        <x:v>CC-18-01</x:v>
      </x:c>
      <x:c r="B971" s="13" t="str">
        <x:v>Cell capacity</x:v>
      </x:c>
      <x:c r="C971" s="13" t="str">
        <x:v>HU-CELL-2 has two paths</x:v>
      </x:c>
      <x:c r="D971" s="13" t="n">
        <x:f>'Cell Capacity'!E23</x:f>
        <x:v>2</x:v>
      </x:c>
      <x:c r="E971" s="13" t="n">
        <x:v>2</x:v>
      </x:c>
      <x:c r="F971" s="13" t="str">
        <x:f>IF(D971=E971,"PASS","FAIL")</x:f>
        <x:v>PASS</x:v>
      </x:c>
    </x:row>
    <x:row r="972">
      <x:c r="A972" s="13" t="str">
        <x:v>CC-18-02</x:v>
      </x:c>
      <x:c r="B972" s="13" t="str">
        <x:v>Cell capacity</x:v>
      </x:c>
      <x:c r="C972" s="13" t="str">
        <x:v>HU-CELL-2 governing rate is maximum</x:v>
      </x:c>
      <x:c r="D972" s="13" t="b">
        <x:f>ABS('Cell Capacity'!H23-MAX('Cell Capacity'!F23:G23))&lt;0.000001</x:f>
        <x:v>1</x:v>
      </x:c>
      <x:c r="E972" s="58" t="b">
        <x:v>1</x:v>
      </x:c>
      <x:c r="F972" s="13" t="str">
        <x:f>IF(D972=E972,"PASS","FAIL")</x:f>
        <x:v>PASS</x:v>
      </x:c>
    </x:row>
    <x:row r="973">
      <x:c r="A973" s="13" t="str">
        <x:v>CC-18-03</x:v>
      </x:c>
      <x:c r="B973" s="13" t="str">
        <x:v>Cell capacity</x:v>
      </x:c>
      <x:c r="C973" s="13" t="str">
        <x:v>HU-CELL-2 six bays</x:v>
      </x:c>
      <x:c r="D973" s="13" t="n">
        <x:f>'Cell Capacity'!I23</x:f>
        <x:v>6</x:v>
      </x:c>
      <x:c r="E973" s="13" t="n">
        <x:v>6</x:v>
      </x:c>
      <x:c r="F973" s="13" t="str">
        <x:f>IF(D973=E973,"PASS","FAIL")</x:f>
        <x:v>PASS</x:v>
      </x:c>
    </x:row>
    <x:row r="974">
      <x:c r="A974" s="13" t="str">
        <x:v>CC-18-04</x:v>
      </x:c>
      <x:c r="B974" s="13" t="str">
        <x:v>Cell capacity</x:v>
      </x:c>
      <x:c r="C974" s="13" t="str">
        <x:v>HU-CELL-2 quarter-rate bays</x:v>
      </x:c>
      <x:c r="D974" s="13" t="n">
        <x:f>'Cell Capacity'!J23</x:f>
        <x:v>0.25</x:v>
      </x:c>
      <x:c r="E974" s="13" t="n">
        <x:v>0.25</x:v>
      </x:c>
      <x:c r="F974" s="13" t="str">
        <x:f>IF(D974=E974,"PASS","FAIL")</x:f>
        <x:v>PASS</x:v>
      </x:c>
    </x:row>
    <x:row r="975">
      <x:c r="A975" s="13" t="str">
        <x:v>CC-18-05</x:v>
      </x:c>
      <x:c r="B975" s="13" t="str">
        <x:v>Cell capacity</x:v>
      </x:c>
      <x:c r="C975" s="13" t="str">
        <x:v>HU-CELL-2 closes after bay loss</x:v>
      </x:c>
      <x:c r="D975" s="13" t="b">
        <x:f>'Cell Capacity'!L23&gt;='Cell Capacity'!H23</x:f>
        <x:v>1</x:v>
      </x:c>
      <x:c r="E975" s="58" t="b">
        <x:v>1</x:v>
      </x:c>
      <x:c r="F975" s="13" t="str">
        <x:f>IF(D975=E975,"PASS","FAIL")</x:f>
        <x:v>PASS</x:v>
      </x:c>
    </x:row>
    <x:row r="976">
      <x:c r="A976" s="13" t="str">
        <x:v>CC-18-06</x:v>
      </x:c>
      <x:c r="B976" s="13" t="str">
        <x:v>Cell capacity</x:v>
      </x:c>
      <x:c r="C976" s="13" t="str">
        <x:v>HU-CELL-2 planning passes</x:v>
      </x:c>
      <x:c r="D976" s="13" t="str">
        <x:f>'Cell Capacity'!N23</x:f>
        <x:v>PASS</x:v>
      </x:c>
      <x:c r="E976" s="13" t="str">
        <x:v>PASS</x:v>
      </x:c>
      <x:c r="F976" s="13" t="str">
        <x:f>IF(D976=E976,"PASS","FAIL")</x:f>
        <x:v>PASS</x:v>
      </x:c>
    </x:row>
    <x:row r="977">
      <x:c r="A977" s="13" t="str">
        <x:v>CC-18-07</x:v>
      </x:c>
      <x:c r="B977" s="13" t="str">
        <x:v>Cell capacity</x:v>
      </x:c>
      <x:c r="C977" s="13" t="str">
        <x:v>HU-CELL-2 implementation state empty</x:v>
      </x:c>
      <x:c r="D977" s="13" t="str">
        <x:f>'Cell Capacity'!S23</x:f>
        <x:v>SOURCE EMPTY</x:v>
      </x:c>
      <x:c r="E977" s="13" t="str">
        <x:v>SOURCE EMPTY</x:v>
      </x:c>
      <x:c r="F977" s="13" t="str">
        <x:f>IF(D977=E977,"PASS","FAIL")</x:f>
        <x:v>PASS</x:v>
      </x:c>
    </x:row>
    <x:row r="978">
      <x:c r="A978" s="13" t="str">
        <x:v>CC-18-08</x:v>
      </x:c>
      <x:c r="B978" s="13" t="str">
        <x:v>Cell capacity</x:v>
      </x:c>
      <x:c r="C978" s="13" t="str">
        <x:v>HU-CELL-2 has six bay records</x:v>
      </x:c>
      <x:c r="D978" s="13" t="n">
        <x:f>COUNTIFS('Bay Register'!$B$6:$B$149,'Cell Capacity'!A23)</x:f>
        <x:v>6</x:v>
      </x:c>
      <x:c r="E978" s="13" t="n">
        <x:v>6</x:v>
      </x:c>
      <x:c r="F978" s="13" t="str">
        <x:f>IF(D978=E978,"PASS","FAIL")</x:f>
        <x:v>PASS</x:v>
      </x:c>
    </x:row>
    <x:row r="979">
      <x:c r="A979" s="13" t="str">
        <x:v>CC-18-09</x:v>
      </x:c>
      <x:c r="B979" s="13" t="str">
        <x:v>Cell capacity</x:v>
      </x:c>
      <x:c r="C979" s="13" t="str">
        <x:v>HU-CELL-2 site unique when populated</x:v>
      </x:c>
      <x:c r="D979" s="13" t="b">
        <x:f>IF('Cell Capacity'!O23="",TRUE,COUNTIFS('Cell Capacity'!$O$6:$O$29,'Cell Capacity'!O23)=1)</x:f>
        <x:v>1</x:v>
      </x:c>
      <x:c r="E979" s="58" t="b">
        <x:v>1</x:v>
      </x:c>
      <x:c r="F979" s="13" t="str">
        <x:f>IF(D979=E979,"PASS","FAIL")</x:f>
        <x:v>PASS</x:v>
      </x:c>
    </x:row>
    <x:row r="980">
      <x:c r="A980" s="13" t="str">
        <x:v>CC-19-01</x:v>
      </x:c>
      <x:c r="B980" s="13" t="str">
        <x:v>Cell capacity</x:v>
      </x:c>
      <x:c r="C980" s="13" t="str">
        <x:v>HU-CELL-3 has two paths</x:v>
      </x:c>
      <x:c r="D980" s="13" t="n">
        <x:f>'Cell Capacity'!E24</x:f>
        <x:v>2</x:v>
      </x:c>
      <x:c r="E980" s="13" t="n">
        <x:v>2</x:v>
      </x:c>
      <x:c r="F980" s="13" t="str">
        <x:f>IF(D980=E980,"PASS","FAIL")</x:f>
        <x:v>PASS</x:v>
      </x:c>
    </x:row>
    <x:row r="981">
      <x:c r="A981" s="13" t="str">
        <x:v>CC-19-02</x:v>
      </x:c>
      <x:c r="B981" s="13" t="str">
        <x:v>Cell capacity</x:v>
      </x:c>
      <x:c r="C981" s="13" t="str">
        <x:v>HU-CELL-3 governing rate is maximum</x:v>
      </x:c>
      <x:c r="D981" s="13" t="b">
        <x:f>ABS('Cell Capacity'!H24-MAX('Cell Capacity'!F24:G24))&lt;0.000001</x:f>
        <x:v>1</x:v>
      </x:c>
      <x:c r="E981" s="58" t="b">
        <x:v>1</x:v>
      </x:c>
      <x:c r="F981" s="13" t="str">
        <x:f>IF(D981=E981,"PASS","FAIL")</x:f>
        <x:v>PASS</x:v>
      </x:c>
    </x:row>
    <x:row r="982">
      <x:c r="A982" s="13" t="str">
        <x:v>CC-19-03</x:v>
      </x:c>
      <x:c r="B982" s="13" t="str">
        <x:v>Cell capacity</x:v>
      </x:c>
      <x:c r="C982" s="13" t="str">
        <x:v>HU-CELL-3 six bays</x:v>
      </x:c>
      <x:c r="D982" s="13" t="n">
        <x:f>'Cell Capacity'!I24</x:f>
        <x:v>6</x:v>
      </x:c>
      <x:c r="E982" s="13" t="n">
        <x:v>6</x:v>
      </x:c>
      <x:c r="F982" s="13" t="str">
        <x:f>IF(D982=E982,"PASS","FAIL")</x:f>
        <x:v>PASS</x:v>
      </x:c>
    </x:row>
    <x:row r="983">
      <x:c r="A983" s="13" t="str">
        <x:v>CC-19-04</x:v>
      </x:c>
      <x:c r="B983" s="13" t="str">
        <x:v>Cell capacity</x:v>
      </x:c>
      <x:c r="C983" s="13" t="str">
        <x:v>HU-CELL-3 quarter-rate bays</x:v>
      </x:c>
      <x:c r="D983" s="13" t="n">
        <x:f>'Cell Capacity'!J24</x:f>
        <x:v>0.25</x:v>
      </x:c>
      <x:c r="E983" s="13" t="n">
        <x:v>0.25</x:v>
      </x:c>
      <x:c r="F983" s="13" t="str">
        <x:f>IF(D983=E983,"PASS","FAIL")</x:f>
        <x:v>PASS</x:v>
      </x:c>
    </x:row>
    <x:row r="984">
      <x:c r="A984" s="13" t="str">
        <x:v>CC-19-05</x:v>
      </x:c>
      <x:c r="B984" s="13" t="str">
        <x:v>Cell capacity</x:v>
      </x:c>
      <x:c r="C984" s="13" t="str">
        <x:v>HU-CELL-3 closes after bay loss</x:v>
      </x:c>
      <x:c r="D984" s="13" t="b">
        <x:f>'Cell Capacity'!L24&gt;='Cell Capacity'!H24</x:f>
        <x:v>1</x:v>
      </x:c>
      <x:c r="E984" s="58" t="b">
        <x:v>1</x:v>
      </x:c>
      <x:c r="F984" s="13" t="str">
        <x:f>IF(D984=E984,"PASS","FAIL")</x:f>
        <x:v>PASS</x:v>
      </x:c>
    </x:row>
    <x:row r="985">
      <x:c r="A985" s="13" t="str">
        <x:v>CC-19-06</x:v>
      </x:c>
      <x:c r="B985" s="13" t="str">
        <x:v>Cell capacity</x:v>
      </x:c>
      <x:c r="C985" s="13" t="str">
        <x:v>HU-CELL-3 planning passes</x:v>
      </x:c>
      <x:c r="D985" s="13" t="str">
        <x:f>'Cell Capacity'!N24</x:f>
        <x:v>PASS</x:v>
      </x:c>
      <x:c r="E985" s="13" t="str">
        <x:v>PASS</x:v>
      </x:c>
      <x:c r="F985" s="13" t="str">
        <x:f>IF(D985=E985,"PASS","FAIL")</x:f>
        <x:v>PASS</x:v>
      </x:c>
    </x:row>
    <x:row r="986">
      <x:c r="A986" s="13" t="str">
        <x:v>CC-19-07</x:v>
      </x:c>
      <x:c r="B986" s="13" t="str">
        <x:v>Cell capacity</x:v>
      </x:c>
      <x:c r="C986" s="13" t="str">
        <x:v>HU-CELL-3 implementation state empty</x:v>
      </x:c>
      <x:c r="D986" s="13" t="str">
        <x:f>'Cell Capacity'!S24</x:f>
        <x:v>SOURCE EMPTY</x:v>
      </x:c>
      <x:c r="E986" s="13" t="str">
        <x:v>SOURCE EMPTY</x:v>
      </x:c>
      <x:c r="F986" s="13" t="str">
        <x:f>IF(D986=E986,"PASS","FAIL")</x:f>
        <x:v>PASS</x:v>
      </x:c>
    </x:row>
    <x:row r="987">
      <x:c r="A987" s="13" t="str">
        <x:v>CC-19-08</x:v>
      </x:c>
      <x:c r="B987" s="13" t="str">
        <x:v>Cell capacity</x:v>
      </x:c>
      <x:c r="C987" s="13" t="str">
        <x:v>HU-CELL-3 has six bay records</x:v>
      </x:c>
      <x:c r="D987" s="13" t="n">
        <x:f>COUNTIFS('Bay Register'!$B$6:$B$149,'Cell Capacity'!A24)</x:f>
        <x:v>6</x:v>
      </x:c>
      <x:c r="E987" s="13" t="n">
        <x:v>6</x:v>
      </x:c>
      <x:c r="F987" s="13" t="str">
        <x:f>IF(D987=E987,"PASS","FAIL")</x:f>
        <x:v>PASS</x:v>
      </x:c>
    </x:row>
    <x:row r="988">
      <x:c r="A988" s="13" t="str">
        <x:v>CC-19-09</x:v>
      </x:c>
      <x:c r="B988" s="13" t="str">
        <x:v>Cell capacity</x:v>
      </x:c>
      <x:c r="C988" s="13" t="str">
        <x:v>HU-CELL-3 site unique when populated</x:v>
      </x:c>
      <x:c r="D988" s="13" t="b">
        <x:f>IF('Cell Capacity'!O24="",TRUE,COUNTIFS('Cell Capacity'!$O$6:$O$29,'Cell Capacity'!O24)=1)</x:f>
        <x:v>1</x:v>
      </x:c>
      <x:c r="E988" s="58" t="b">
        <x:v>1</x:v>
      </x:c>
      <x:c r="F988" s="13" t="str">
        <x:f>IF(D988=E988,"PASS","FAIL")</x:f>
        <x:v>PASS</x:v>
      </x:c>
    </x:row>
    <x:row r="989">
      <x:c r="A989" s="13" t="str">
        <x:v>CC-20-01</x:v>
      </x:c>
      <x:c r="B989" s="13" t="str">
        <x:v>Cell capacity</x:v>
      </x:c>
      <x:c r="C989" s="13" t="str">
        <x:v>HU-CELL-4 has two paths</x:v>
      </x:c>
      <x:c r="D989" s="13" t="n">
        <x:f>'Cell Capacity'!E25</x:f>
        <x:v>2</x:v>
      </x:c>
      <x:c r="E989" s="13" t="n">
        <x:v>2</x:v>
      </x:c>
      <x:c r="F989" s="13" t="str">
        <x:f>IF(D989=E989,"PASS","FAIL")</x:f>
        <x:v>PASS</x:v>
      </x:c>
    </x:row>
    <x:row r="990">
      <x:c r="A990" s="13" t="str">
        <x:v>CC-20-02</x:v>
      </x:c>
      <x:c r="B990" s="13" t="str">
        <x:v>Cell capacity</x:v>
      </x:c>
      <x:c r="C990" s="13" t="str">
        <x:v>HU-CELL-4 governing rate is maximum</x:v>
      </x:c>
      <x:c r="D990" s="13" t="b">
        <x:f>ABS('Cell Capacity'!H25-MAX('Cell Capacity'!F25:G25))&lt;0.000001</x:f>
        <x:v>1</x:v>
      </x:c>
      <x:c r="E990" s="58" t="b">
        <x:v>1</x:v>
      </x:c>
      <x:c r="F990" s="13" t="str">
        <x:f>IF(D990=E990,"PASS","FAIL")</x:f>
        <x:v>PASS</x:v>
      </x:c>
    </x:row>
    <x:row r="991">
      <x:c r="A991" s="13" t="str">
        <x:v>CC-20-03</x:v>
      </x:c>
      <x:c r="B991" s="13" t="str">
        <x:v>Cell capacity</x:v>
      </x:c>
      <x:c r="C991" s="13" t="str">
        <x:v>HU-CELL-4 six bays</x:v>
      </x:c>
      <x:c r="D991" s="13" t="n">
        <x:f>'Cell Capacity'!I25</x:f>
        <x:v>6</x:v>
      </x:c>
      <x:c r="E991" s="13" t="n">
        <x:v>6</x:v>
      </x:c>
      <x:c r="F991" s="13" t="str">
        <x:f>IF(D991=E991,"PASS","FAIL")</x:f>
        <x:v>PASS</x:v>
      </x:c>
    </x:row>
    <x:row r="992">
      <x:c r="A992" s="13" t="str">
        <x:v>CC-20-04</x:v>
      </x:c>
      <x:c r="B992" s="13" t="str">
        <x:v>Cell capacity</x:v>
      </x:c>
      <x:c r="C992" s="13" t="str">
        <x:v>HU-CELL-4 quarter-rate bays</x:v>
      </x:c>
      <x:c r="D992" s="13" t="n">
        <x:f>'Cell Capacity'!J25</x:f>
        <x:v>0.25</x:v>
      </x:c>
      <x:c r="E992" s="13" t="n">
        <x:v>0.25</x:v>
      </x:c>
      <x:c r="F992" s="13" t="str">
        <x:f>IF(D992=E992,"PASS","FAIL")</x:f>
        <x:v>PASS</x:v>
      </x:c>
    </x:row>
    <x:row r="993">
      <x:c r="A993" s="13" t="str">
        <x:v>CC-20-05</x:v>
      </x:c>
      <x:c r="B993" s="13" t="str">
        <x:v>Cell capacity</x:v>
      </x:c>
      <x:c r="C993" s="13" t="str">
        <x:v>HU-CELL-4 closes after bay loss</x:v>
      </x:c>
      <x:c r="D993" s="13" t="b">
        <x:f>'Cell Capacity'!L25&gt;='Cell Capacity'!H25</x:f>
        <x:v>1</x:v>
      </x:c>
      <x:c r="E993" s="58" t="b">
        <x:v>1</x:v>
      </x:c>
      <x:c r="F993" s="13" t="str">
        <x:f>IF(D993=E993,"PASS","FAIL")</x:f>
        <x:v>PASS</x:v>
      </x:c>
    </x:row>
    <x:row r="994">
      <x:c r="A994" s="13" t="str">
        <x:v>CC-20-06</x:v>
      </x:c>
      <x:c r="B994" s="13" t="str">
        <x:v>Cell capacity</x:v>
      </x:c>
      <x:c r="C994" s="13" t="str">
        <x:v>HU-CELL-4 planning passes</x:v>
      </x:c>
      <x:c r="D994" s="13" t="str">
        <x:f>'Cell Capacity'!N25</x:f>
        <x:v>PASS</x:v>
      </x:c>
      <x:c r="E994" s="13" t="str">
        <x:v>PASS</x:v>
      </x:c>
      <x:c r="F994" s="13" t="str">
        <x:f>IF(D994=E994,"PASS","FAIL")</x:f>
        <x:v>PASS</x:v>
      </x:c>
    </x:row>
    <x:row r="995">
      <x:c r="A995" s="13" t="str">
        <x:v>CC-20-07</x:v>
      </x:c>
      <x:c r="B995" s="13" t="str">
        <x:v>Cell capacity</x:v>
      </x:c>
      <x:c r="C995" s="13" t="str">
        <x:v>HU-CELL-4 implementation state empty</x:v>
      </x:c>
      <x:c r="D995" s="13" t="str">
        <x:f>'Cell Capacity'!S25</x:f>
        <x:v>SOURCE EMPTY</x:v>
      </x:c>
      <x:c r="E995" s="13" t="str">
        <x:v>SOURCE EMPTY</x:v>
      </x:c>
      <x:c r="F995" s="13" t="str">
        <x:f>IF(D995=E995,"PASS","FAIL")</x:f>
        <x:v>PASS</x:v>
      </x:c>
    </x:row>
    <x:row r="996">
      <x:c r="A996" s="13" t="str">
        <x:v>CC-20-08</x:v>
      </x:c>
      <x:c r="B996" s="13" t="str">
        <x:v>Cell capacity</x:v>
      </x:c>
      <x:c r="C996" s="13" t="str">
        <x:v>HU-CELL-4 has six bay records</x:v>
      </x:c>
      <x:c r="D996" s="13" t="n">
        <x:f>COUNTIFS('Bay Register'!$B$6:$B$149,'Cell Capacity'!A25)</x:f>
        <x:v>6</x:v>
      </x:c>
      <x:c r="E996" s="13" t="n">
        <x:v>6</x:v>
      </x:c>
      <x:c r="F996" s="13" t="str">
        <x:f>IF(D996=E996,"PASS","FAIL")</x:f>
        <x:v>PASS</x:v>
      </x:c>
    </x:row>
    <x:row r="997">
      <x:c r="A997" s="13" t="str">
        <x:v>CC-20-09</x:v>
      </x:c>
      <x:c r="B997" s="13" t="str">
        <x:v>Cell capacity</x:v>
      </x:c>
      <x:c r="C997" s="13" t="str">
        <x:v>HU-CELL-4 site unique when populated</x:v>
      </x:c>
      <x:c r="D997" s="13" t="b">
        <x:f>IF('Cell Capacity'!O25="",TRUE,COUNTIFS('Cell Capacity'!$O$6:$O$29,'Cell Capacity'!O25)=1)</x:f>
        <x:v>1</x:v>
      </x:c>
      <x:c r="E997" s="58" t="b">
        <x:v>1</x:v>
      </x:c>
      <x:c r="F997" s="13" t="str">
        <x:f>IF(D997=E997,"PASS","FAIL")</x:f>
        <x:v>PASS</x:v>
      </x:c>
    </x:row>
    <x:row r="998">
      <x:c r="A998" s="13" t="str">
        <x:v>CC-21-01</x:v>
      </x:c>
      <x:c r="B998" s="13" t="str">
        <x:v>Cell capacity</x:v>
      </x:c>
      <x:c r="C998" s="13" t="str">
        <x:v>RT-CELL-1 has two paths</x:v>
      </x:c>
      <x:c r="D998" s="13" t="n">
        <x:f>'Cell Capacity'!E26</x:f>
        <x:v>2</x:v>
      </x:c>
      <x:c r="E998" s="13" t="n">
        <x:v>2</x:v>
      </x:c>
      <x:c r="F998" s="13" t="str">
        <x:f>IF(D998=E998,"PASS","FAIL")</x:f>
        <x:v>PASS</x:v>
      </x:c>
    </x:row>
    <x:row r="999">
      <x:c r="A999" s="13" t="str">
        <x:v>CC-21-02</x:v>
      </x:c>
      <x:c r="B999" s="13" t="str">
        <x:v>Cell capacity</x:v>
      </x:c>
      <x:c r="C999" s="13" t="str">
        <x:v>RT-CELL-1 governing rate is maximum</x:v>
      </x:c>
      <x:c r="D999" s="13" t="b">
        <x:f>ABS('Cell Capacity'!H26-MAX('Cell Capacity'!F26:G26))&lt;0.000001</x:f>
        <x:v>1</x:v>
      </x:c>
      <x:c r="E999" s="58" t="b">
        <x:v>1</x:v>
      </x:c>
      <x:c r="F999" s="13" t="str">
        <x:f>IF(D999=E999,"PASS","FAIL")</x:f>
        <x:v>PASS</x:v>
      </x:c>
    </x:row>
    <x:row r="1000">
      <x:c r="A1000" s="13" t="str">
        <x:v>CC-21-03</x:v>
      </x:c>
      <x:c r="B1000" s="13" t="str">
        <x:v>Cell capacity</x:v>
      </x:c>
      <x:c r="C1000" s="13" t="str">
        <x:v>RT-CELL-1 six bays</x:v>
      </x:c>
      <x:c r="D1000" s="13" t="n">
        <x:f>'Cell Capacity'!I26</x:f>
        <x:v>6</x:v>
      </x:c>
      <x:c r="E1000" s="13" t="n">
        <x:v>6</x:v>
      </x:c>
      <x:c r="F1000" s="13" t="str">
        <x:f>IF(D1000=E1000,"PASS","FAIL")</x:f>
        <x:v>PASS</x:v>
      </x:c>
    </x:row>
    <x:row r="1001">
      <x:c r="A1001" s="13" t="str">
        <x:v>CC-21-04</x:v>
      </x:c>
      <x:c r="B1001" s="13" t="str">
        <x:v>Cell capacity</x:v>
      </x:c>
      <x:c r="C1001" s="13" t="str">
        <x:v>RT-CELL-1 quarter-rate bays</x:v>
      </x:c>
      <x:c r="D1001" s="13" t="n">
        <x:f>'Cell Capacity'!J26</x:f>
        <x:v>0.25</x:v>
      </x:c>
      <x:c r="E1001" s="13" t="n">
        <x:v>0.25</x:v>
      </x:c>
      <x:c r="F1001" s="13" t="str">
        <x:f>IF(D1001=E1001,"PASS","FAIL")</x:f>
        <x:v>PASS</x:v>
      </x:c>
    </x:row>
    <x:row r="1002">
      <x:c r="A1002" s="13" t="str">
        <x:v>CC-21-05</x:v>
      </x:c>
      <x:c r="B1002" s="13" t="str">
        <x:v>Cell capacity</x:v>
      </x:c>
      <x:c r="C1002" s="13" t="str">
        <x:v>RT-CELL-1 closes after bay loss</x:v>
      </x:c>
      <x:c r="D1002" s="13" t="b">
        <x:f>'Cell Capacity'!L26&gt;='Cell Capacity'!H26</x:f>
        <x:v>1</x:v>
      </x:c>
      <x:c r="E1002" s="58" t="b">
        <x:v>1</x:v>
      </x:c>
      <x:c r="F1002" s="13" t="str">
        <x:f>IF(D1002=E1002,"PASS","FAIL")</x:f>
        <x:v>PASS</x:v>
      </x:c>
    </x:row>
    <x:row r="1003">
      <x:c r="A1003" s="13" t="str">
        <x:v>CC-21-06</x:v>
      </x:c>
      <x:c r="B1003" s="13" t="str">
        <x:v>Cell capacity</x:v>
      </x:c>
      <x:c r="C1003" s="13" t="str">
        <x:v>RT-CELL-1 planning passes</x:v>
      </x:c>
      <x:c r="D1003" s="13" t="str">
        <x:f>'Cell Capacity'!N26</x:f>
        <x:v>PASS</x:v>
      </x:c>
      <x:c r="E1003" s="13" t="str">
        <x:v>PASS</x:v>
      </x:c>
      <x:c r="F1003" s="13" t="str">
        <x:f>IF(D1003=E1003,"PASS","FAIL")</x:f>
        <x:v>PASS</x:v>
      </x:c>
    </x:row>
    <x:row r="1004">
      <x:c r="A1004" s="13" t="str">
        <x:v>CC-21-07</x:v>
      </x:c>
      <x:c r="B1004" s="13" t="str">
        <x:v>Cell capacity</x:v>
      </x:c>
      <x:c r="C1004" s="13" t="str">
        <x:v>RT-CELL-1 implementation state empty</x:v>
      </x:c>
      <x:c r="D1004" s="13" t="str">
        <x:f>'Cell Capacity'!S26</x:f>
        <x:v>SOURCE EMPTY</x:v>
      </x:c>
      <x:c r="E1004" s="13" t="str">
        <x:v>SOURCE EMPTY</x:v>
      </x:c>
      <x:c r="F1004" s="13" t="str">
        <x:f>IF(D1004=E1004,"PASS","FAIL")</x:f>
        <x:v>PASS</x:v>
      </x:c>
    </x:row>
    <x:row r="1005">
      <x:c r="A1005" s="13" t="str">
        <x:v>CC-21-08</x:v>
      </x:c>
      <x:c r="B1005" s="13" t="str">
        <x:v>Cell capacity</x:v>
      </x:c>
      <x:c r="C1005" s="13" t="str">
        <x:v>RT-CELL-1 has six bay records</x:v>
      </x:c>
      <x:c r="D1005" s="13" t="n">
        <x:f>COUNTIFS('Bay Register'!$B$6:$B$149,'Cell Capacity'!A26)</x:f>
        <x:v>6</x:v>
      </x:c>
      <x:c r="E1005" s="13" t="n">
        <x:v>6</x:v>
      </x:c>
      <x:c r="F1005" s="13" t="str">
        <x:f>IF(D1005=E1005,"PASS","FAIL")</x:f>
        <x:v>PASS</x:v>
      </x:c>
    </x:row>
    <x:row r="1006">
      <x:c r="A1006" s="13" t="str">
        <x:v>CC-21-09</x:v>
      </x:c>
      <x:c r="B1006" s="13" t="str">
        <x:v>Cell capacity</x:v>
      </x:c>
      <x:c r="C1006" s="13" t="str">
        <x:v>RT-CELL-1 site unique when populated</x:v>
      </x:c>
      <x:c r="D1006" s="13" t="b">
        <x:f>IF('Cell Capacity'!O26="",TRUE,COUNTIFS('Cell Capacity'!$O$6:$O$29,'Cell Capacity'!O26)=1)</x:f>
        <x:v>1</x:v>
      </x:c>
      <x:c r="E1006" s="58" t="b">
        <x:v>1</x:v>
      </x:c>
      <x:c r="F1006" s="13" t="str">
        <x:f>IF(D1006=E1006,"PASS","FAIL")</x:f>
        <x:v>PASS</x:v>
      </x:c>
    </x:row>
    <x:row r="1007">
      <x:c r="A1007" s="13" t="str">
        <x:v>CC-22-01</x:v>
      </x:c>
      <x:c r="B1007" s="13" t="str">
        <x:v>Cell capacity</x:v>
      </x:c>
      <x:c r="C1007" s="13" t="str">
        <x:v>RT-CELL-2 has two paths</x:v>
      </x:c>
      <x:c r="D1007" s="13" t="n">
        <x:f>'Cell Capacity'!E27</x:f>
        <x:v>2</x:v>
      </x:c>
      <x:c r="E1007" s="13" t="n">
        <x:v>2</x:v>
      </x:c>
      <x:c r="F1007" s="13" t="str">
        <x:f>IF(D1007=E1007,"PASS","FAIL")</x:f>
        <x:v>PASS</x:v>
      </x:c>
    </x:row>
    <x:row r="1008">
      <x:c r="A1008" s="13" t="str">
        <x:v>CC-22-02</x:v>
      </x:c>
      <x:c r="B1008" s="13" t="str">
        <x:v>Cell capacity</x:v>
      </x:c>
      <x:c r="C1008" s="13" t="str">
        <x:v>RT-CELL-2 governing rate is maximum</x:v>
      </x:c>
      <x:c r="D1008" s="13" t="b">
        <x:f>ABS('Cell Capacity'!H27-MAX('Cell Capacity'!F27:G27))&lt;0.000001</x:f>
        <x:v>1</x:v>
      </x:c>
      <x:c r="E1008" s="58" t="b">
        <x:v>1</x:v>
      </x:c>
      <x:c r="F1008" s="13" t="str">
        <x:f>IF(D1008=E1008,"PASS","FAIL")</x:f>
        <x:v>PASS</x:v>
      </x:c>
    </x:row>
    <x:row r="1009">
      <x:c r="A1009" s="13" t="str">
        <x:v>CC-22-03</x:v>
      </x:c>
      <x:c r="B1009" s="13" t="str">
        <x:v>Cell capacity</x:v>
      </x:c>
      <x:c r="C1009" s="13" t="str">
        <x:v>RT-CELL-2 six bays</x:v>
      </x:c>
      <x:c r="D1009" s="13" t="n">
        <x:f>'Cell Capacity'!I27</x:f>
        <x:v>6</x:v>
      </x:c>
      <x:c r="E1009" s="13" t="n">
        <x:v>6</x:v>
      </x:c>
      <x:c r="F1009" s="13" t="str">
        <x:f>IF(D1009=E1009,"PASS","FAIL")</x:f>
        <x:v>PASS</x:v>
      </x:c>
    </x:row>
    <x:row r="1010">
      <x:c r="A1010" s="13" t="str">
        <x:v>CC-22-04</x:v>
      </x:c>
      <x:c r="B1010" s="13" t="str">
        <x:v>Cell capacity</x:v>
      </x:c>
      <x:c r="C1010" s="13" t="str">
        <x:v>RT-CELL-2 quarter-rate bays</x:v>
      </x:c>
      <x:c r="D1010" s="13" t="n">
        <x:f>'Cell Capacity'!J27</x:f>
        <x:v>0.25</x:v>
      </x:c>
      <x:c r="E1010" s="13" t="n">
        <x:v>0.25</x:v>
      </x:c>
      <x:c r="F1010" s="13" t="str">
        <x:f>IF(D1010=E1010,"PASS","FAIL")</x:f>
        <x:v>PASS</x:v>
      </x:c>
    </x:row>
    <x:row r="1011">
      <x:c r="A1011" s="13" t="str">
        <x:v>CC-22-05</x:v>
      </x:c>
      <x:c r="B1011" s="13" t="str">
        <x:v>Cell capacity</x:v>
      </x:c>
      <x:c r="C1011" s="13" t="str">
        <x:v>RT-CELL-2 closes after bay loss</x:v>
      </x:c>
      <x:c r="D1011" s="13" t="b">
        <x:f>'Cell Capacity'!L27&gt;='Cell Capacity'!H27</x:f>
        <x:v>1</x:v>
      </x:c>
      <x:c r="E1011" s="58" t="b">
        <x:v>1</x:v>
      </x:c>
      <x:c r="F1011" s="13" t="str">
        <x:f>IF(D1011=E1011,"PASS","FAIL")</x:f>
        <x:v>PASS</x:v>
      </x:c>
    </x:row>
    <x:row r="1012">
      <x:c r="A1012" s="13" t="str">
        <x:v>CC-22-06</x:v>
      </x:c>
      <x:c r="B1012" s="13" t="str">
        <x:v>Cell capacity</x:v>
      </x:c>
      <x:c r="C1012" s="13" t="str">
        <x:v>RT-CELL-2 planning passes</x:v>
      </x:c>
      <x:c r="D1012" s="13" t="str">
        <x:f>'Cell Capacity'!N27</x:f>
        <x:v>PASS</x:v>
      </x:c>
      <x:c r="E1012" s="13" t="str">
        <x:v>PASS</x:v>
      </x:c>
      <x:c r="F1012" s="13" t="str">
        <x:f>IF(D1012=E1012,"PASS","FAIL")</x:f>
        <x:v>PASS</x:v>
      </x:c>
    </x:row>
    <x:row r="1013">
      <x:c r="A1013" s="13" t="str">
        <x:v>CC-22-07</x:v>
      </x:c>
      <x:c r="B1013" s="13" t="str">
        <x:v>Cell capacity</x:v>
      </x:c>
      <x:c r="C1013" s="13" t="str">
        <x:v>RT-CELL-2 implementation state empty</x:v>
      </x:c>
      <x:c r="D1013" s="13" t="str">
        <x:f>'Cell Capacity'!S27</x:f>
        <x:v>SOURCE EMPTY</x:v>
      </x:c>
      <x:c r="E1013" s="13" t="str">
        <x:v>SOURCE EMPTY</x:v>
      </x:c>
      <x:c r="F1013" s="13" t="str">
        <x:f>IF(D1013=E1013,"PASS","FAIL")</x:f>
        <x:v>PASS</x:v>
      </x:c>
    </x:row>
    <x:row r="1014">
      <x:c r="A1014" s="13" t="str">
        <x:v>CC-22-08</x:v>
      </x:c>
      <x:c r="B1014" s="13" t="str">
        <x:v>Cell capacity</x:v>
      </x:c>
      <x:c r="C1014" s="13" t="str">
        <x:v>RT-CELL-2 has six bay records</x:v>
      </x:c>
      <x:c r="D1014" s="13" t="n">
        <x:f>COUNTIFS('Bay Register'!$B$6:$B$149,'Cell Capacity'!A27)</x:f>
        <x:v>6</x:v>
      </x:c>
      <x:c r="E1014" s="13" t="n">
        <x:v>6</x:v>
      </x:c>
      <x:c r="F1014" s="13" t="str">
        <x:f>IF(D1014=E1014,"PASS","FAIL")</x:f>
        <x:v>PASS</x:v>
      </x:c>
    </x:row>
    <x:row r="1015">
      <x:c r="A1015" s="13" t="str">
        <x:v>CC-22-09</x:v>
      </x:c>
      <x:c r="B1015" s="13" t="str">
        <x:v>Cell capacity</x:v>
      </x:c>
      <x:c r="C1015" s="13" t="str">
        <x:v>RT-CELL-2 site unique when populated</x:v>
      </x:c>
      <x:c r="D1015" s="13" t="b">
        <x:f>IF('Cell Capacity'!O27="",TRUE,COUNTIFS('Cell Capacity'!$O$6:$O$29,'Cell Capacity'!O27)=1)</x:f>
        <x:v>1</x:v>
      </x:c>
      <x:c r="E1015" s="58" t="b">
        <x:v>1</x:v>
      </x:c>
      <x:c r="F1015" s="13" t="str">
        <x:f>IF(D1015=E1015,"PASS","FAIL")</x:f>
        <x:v>PASS</x:v>
      </x:c>
    </x:row>
    <x:row r="1016">
      <x:c r="A1016" s="13" t="str">
        <x:v>CC-23-01</x:v>
      </x:c>
      <x:c r="B1016" s="13" t="str">
        <x:v>Cell capacity</x:v>
      </x:c>
      <x:c r="C1016" s="13" t="str">
        <x:v>RT-CELL-3 has two paths</x:v>
      </x:c>
      <x:c r="D1016" s="13" t="n">
        <x:f>'Cell Capacity'!E28</x:f>
        <x:v>2</x:v>
      </x:c>
      <x:c r="E1016" s="13" t="n">
        <x:v>2</x:v>
      </x:c>
      <x:c r="F1016" s="13" t="str">
        <x:f>IF(D1016=E1016,"PASS","FAIL")</x:f>
        <x:v>PASS</x:v>
      </x:c>
    </x:row>
    <x:row r="1017">
      <x:c r="A1017" s="13" t="str">
        <x:v>CC-23-02</x:v>
      </x:c>
      <x:c r="B1017" s="13" t="str">
        <x:v>Cell capacity</x:v>
      </x:c>
      <x:c r="C1017" s="13" t="str">
        <x:v>RT-CELL-3 governing rate is maximum</x:v>
      </x:c>
      <x:c r="D1017" s="13" t="b">
        <x:f>ABS('Cell Capacity'!H28-MAX('Cell Capacity'!F28:G28))&lt;0.000001</x:f>
        <x:v>1</x:v>
      </x:c>
      <x:c r="E1017" s="58" t="b">
        <x:v>1</x:v>
      </x:c>
      <x:c r="F1017" s="13" t="str">
        <x:f>IF(D1017=E1017,"PASS","FAIL")</x:f>
        <x:v>PASS</x:v>
      </x:c>
    </x:row>
    <x:row r="1018">
      <x:c r="A1018" s="13" t="str">
        <x:v>CC-23-03</x:v>
      </x:c>
      <x:c r="B1018" s="13" t="str">
        <x:v>Cell capacity</x:v>
      </x:c>
      <x:c r="C1018" s="13" t="str">
        <x:v>RT-CELL-3 six bays</x:v>
      </x:c>
      <x:c r="D1018" s="13" t="n">
        <x:f>'Cell Capacity'!I28</x:f>
        <x:v>6</x:v>
      </x:c>
      <x:c r="E1018" s="13" t="n">
        <x:v>6</x:v>
      </x:c>
      <x:c r="F1018" s="13" t="str">
        <x:f>IF(D1018=E1018,"PASS","FAIL")</x:f>
        <x:v>PASS</x:v>
      </x:c>
    </x:row>
    <x:row r="1019">
      <x:c r="A1019" s="13" t="str">
        <x:v>CC-23-04</x:v>
      </x:c>
      <x:c r="B1019" s="13" t="str">
        <x:v>Cell capacity</x:v>
      </x:c>
      <x:c r="C1019" s="13" t="str">
        <x:v>RT-CELL-3 quarter-rate bays</x:v>
      </x:c>
      <x:c r="D1019" s="13" t="n">
        <x:f>'Cell Capacity'!J28</x:f>
        <x:v>0.25</x:v>
      </x:c>
      <x:c r="E1019" s="13" t="n">
        <x:v>0.25</x:v>
      </x:c>
      <x:c r="F1019" s="13" t="str">
        <x:f>IF(D1019=E1019,"PASS","FAIL")</x:f>
        <x:v>PASS</x:v>
      </x:c>
    </x:row>
    <x:row r="1020">
      <x:c r="A1020" s="13" t="str">
        <x:v>CC-23-05</x:v>
      </x:c>
      <x:c r="B1020" s="13" t="str">
        <x:v>Cell capacity</x:v>
      </x:c>
      <x:c r="C1020" s="13" t="str">
        <x:v>RT-CELL-3 closes after bay loss</x:v>
      </x:c>
      <x:c r="D1020" s="13" t="b">
        <x:f>'Cell Capacity'!L28&gt;='Cell Capacity'!H28</x:f>
        <x:v>1</x:v>
      </x:c>
      <x:c r="E1020" s="58" t="b">
        <x:v>1</x:v>
      </x:c>
      <x:c r="F1020" s="13" t="str">
        <x:f>IF(D1020=E1020,"PASS","FAIL")</x:f>
        <x:v>PASS</x:v>
      </x:c>
    </x:row>
    <x:row r="1021">
      <x:c r="A1021" s="13" t="str">
        <x:v>CC-23-06</x:v>
      </x:c>
      <x:c r="B1021" s="13" t="str">
        <x:v>Cell capacity</x:v>
      </x:c>
      <x:c r="C1021" s="13" t="str">
        <x:v>RT-CELL-3 planning passes</x:v>
      </x:c>
      <x:c r="D1021" s="13" t="str">
        <x:f>'Cell Capacity'!N28</x:f>
        <x:v>PASS</x:v>
      </x:c>
      <x:c r="E1021" s="13" t="str">
        <x:v>PASS</x:v>
      </x:c>
      <x:c r="F1021" s="13" t="str">
        <x:f>IF(D1021=E1021,"PASS","FAIL")</x:f>
        <x:v>PASS</x:v>
      </x:c>
    </x:row>
    <x:row r="1022">
      <x:c r="A1022" s="13" t="str">
        <x:v>CC-23-07</x:v>
      </x:c>
      <x:c r="B1022" s="13" t="str">
        <x:v>Cell capacity</x:v>
      </x:c>
      <x:c r="C1022" s="13" t="str">
        <x:v>RT-CELL-3 implementation state empty</x:v>
      </x:c>
      <x:c r="D1022" s="13" t="str">
        <x:f>'Cell Capacity'!S28</x:f>
        <x:v>SOURCE EMPTY</x:v>
      </x:c>
      <x:c r="E1022" s="13" t="str">
        <x:v>SOURCE EMPTY</x:v>
      </x:c>
      <x:c r="F1022" s="13" t="str">
        <x:f>IF(D1022=E1022,"PASS","FAIL")</x:f>
        <x:v>PASS</x:v>
      </x:c>
    </x:row>
    <x:row r="1023">
      <x:c r="A1023" s="13" t="str">
        <x:v>CC-23-08</x:v>
      </x:c>
      <x:c r="B1023" s="13" t="str">
        <x:v>Cell capacity</x:v>
      </x:c>
      <x:c r="C1023" s="13" t="str">
        <x:v>RT-CELL-3 has six bay records</x:v>
      </x:c>
      <x:c r="D1023" s="13" t="n">
        <x:f>COUNTIFS('Bay Register'!$B$6:$B$149,'Cell Capacity'!A28)</x:f>
        <x:v>6</x:v>
      </x:c>
      <x:c r="E1023" s="13" t="n">
        <x:v>6</x:v>
      </x:c>
      <x:c r="F1023" s="13" t="str">
        <x:f>IF(D1023=E1023,"PASS","FAIL")</x:f>
        <x:v>PASS</x:v>
      </x:c>
    </x:row>
    <x:row r="1024">
      <x:c r="A1024" s="13" t="str">
        <x:v>CC-23-09</x:v>
      </x:c>
      <x:c r="B1024" s="13" t="str">
        <x:v>Cell capacity</x:v>
      </x:c>
      <x:c r="C1024" s="13" t="str">
        <x:v>RT-CELL-3 site unique when populated</x:v>
      </x:c>
      <x:c r="D1024" s="13" t="b">
        <x:f>IF('Cell Capacity'!O28="",TRUE,COUNTIFS('Cell Capacity'!$O$6:$O$29,'Cell Capacity'!O28)=1)</x:f>
        <x:v>1</x:v>
      </x:c>
      <x:c r="E1024" s="58" t="b">
        <x:v>1</x:v>
      </x:c>
      <x:c r="F1024" s="13" t="str">
        <x:f>IF(D1024=E1024,"PASS","FAIL")</x:f>
        <x:v>PASS</x:v>
      </x:c>
    </x:row>
    <x:row r="1025">
      <x:c r="A1025" s="13" t="str">
        <x:v>CC-24-01</x:v>
      </x:c>
      <x:c r="B1025" s="13" t="str">
        <x:v>Cell capacity</x:v>
      </x:c>
      <x:c r="C1025" s="13" t="str">
        <x:v>RT-CELL-4 has two paths</x:v>
      </x:c>
      <x:c r="D1025" s="13" t="n">
        <x:f>'Cell Capacity'!E29</x:f>
        <x:v>2</x:v>
      </x:c>
      <x:c r="E1025" s="13" t="n">
        <x:v>2</x:v>
      </x:c>
      <x:c r="F1025" s="13" t="str">
        <x:f>IF(D1025=E1025,"PASS","FAIL")</x:f>
        <x:v>PASS</x:v>
      </x:c>
    </x:row>
    <x:row r="1026">
      <x:c r="A1026" s="13" t="str">
        <x:v>CC-24-02</x:v>
      </x:c>
      <x:c r="B1026" s="13" t="str">
        <x:v>Cell capacity</x:v>
      </x:c>
      <x:c r="C1026" s="13" t="str">
        <x:v>RT-CELL-4 governing rate is maximum</x:v>
      </x:c>
      <x:c r="D1026" s="13" t="b">
        <x:f>ABS('Cell Capacity'!H29-MAX('Cell Capacity'!F29:G29))&lt;0.000001</x:f>
        <x:v>1</x:v>
      </x:c>
      <x:c r="E1026" s="58" t="b">
        <x:v>1</x:v>
      </x:c>
      <x:c r="F1026" s="13" t="str">
        <x:f>IF(D1026=E1026,"PASS","FAIL")</x:f>
        <x:v>PASS</x:v>
      </x:c>
    </x:row>
    <x:row r="1027">
      <x:c r="A1027" s="13" t="str">
        <x:v>CC-24-03</x:v>
      </x:c>
      <x:c r="B1027" s="13" t="str">
        <x:v>Cell capacity</x:v>
      </x:c>
      <x:c r="C1027" s="13" t="str">
        <x:v>RT-CELL-4 six bays</x:v>
      </x:c>
      <x:c r="D1027" s="13" t="n">
        <x:f>'Cell Capacity'!I29</x:f>
        <x:v>6</x:v>
      </x:c>
      <x:c r="E1027" s="13" t="n">
        <x:v>6</x:v>
      </x:c>
      <x:c r="F1027" s="13" t="str">
        <x:f>IF(D1027=E1027,"PASS","FAIL")</x:f>
        <x:v>PASS</x:v>
      </x:c>
    </x:row>
    <x:row r="1028">
      <x:c r="A1028" s="13" t="str">
        <x:v>CC-24-04</x:v>
      </x:c>
      <x:c r="B1028" s="13" t="str">
        <x:v>Cell capacity</x:v>
      </x:c>
      <x:c r="C1028" s="13" t="str">
        <x:v>RT-CELL-4 quarter-rate bays</x:v>
      </x:c>
      <x:c r="D1028" s="13" t="n">
        <x:f>'Cell Capacity'!J29</x:f>
        <x:v>0.25</x:v>
      </x:c>
      <x:c r="E1028" s="13" t="n">
        <x:v>0.25</x:v>
      </x:c>
      <x:c r="F1028" s="13" t="str">
        <x:f>IF(D1028=E1028,"PASS","FAIL")</x:f>
        <x:v>PASS</x:v>
      </x:c>
    </x:row>
    <x:row r="1029">
      <x:c r="A1029" s="13" t="str">
        <x:v>CC-24-05</x:v>
      </x:c>
      <x:c r="B1029" s="13" t="str">
        <x:v>Cell capacity</x:v>
      </x:c>
      <x:c r="C1029" s="13" t="str">
        <x:v>RT-CELL-4 closes after bay loss</x:v>
      </x:c>
      <x:c r="D1029" s="13" t="b">
        <x:f>'Cell Capacity'!L29&gt;='Cell Capacity'!H29</x:f>
        <x:v>1</x:v>
      </x:c>
      <x:c r="E1029" s="58" t="b">
        <x:v>1</x:v>
      </x:c>
      <x:c r="F1029" s="13" t="str">
        <x:f>IF(D1029=E1029,"PASS","FAIL")</x:f>
        <x:v>PASS</x:v>
      </x:c>
    </x:row>
    <x:row r="1030">
      <x:c r="A1030" s="13" t="str">
        <x:v>CC-24-06</x:v>
      </x:c>
      <x:c r="B1030" s="13" t="str">
        <x:v>Cell capacity</x:v>
      </x:c>
      <x:c r="C1030" s="13" t="str">
        <x:v>RT-CELL-4 planning passes</x:v>
      </x:c>
      <x:c r="D1030" s="13" t="str">
        <x:f>'Cell Capacity'!N29</x:f>
        <x:v>PASS</x:v>
      </x:c>
      <x:c r="E1030" s="13" t="str">
        <x:v>PASS</x:v>
      </x:c>
      <x:c r="F1030" s="13" t="str">
        <x:f>IF(D1030=E1030,"PASS","FAIL")</x:f>
        <x:v>PASS</x:v>
      </x:c>
    </x:row>
    <x:row r="1031">
      <x:c r="A1031" s="13" t="str">
        <x:v>CC-24-07</x:v>
      </x:c>
      <x:c r="B1031" s="13" t="str">
        <x:v>Cell capacity</x:v>
      </x:c>
      <x:c r="C1031" s="13" t="str">
        <x:v>RT-CELL-4 implementation state empty</x:v>
      </x:c>
      <x:c r="D1031" s="13" t="str">
        <x:f>'Cell Capacity'!S29</x:f>
        <x:v>SOURCE EMPTY</x:v>
      </x:c>
      <x:c r="E1031" s="13" t="str">
        <x:v>SOURCE EMPTY</x:v>
      </x:c>
      <x:c r="F1031" s="13" t="str">
        <x:f>IF(D1031=E1031,"PASS","FAIL")</x:f>
        <x:v>PASS</x:v>
      </x:c>
    </x:row>
    <x:row r="1032">
      <x:c r="A1032" s="13" t="str">
        <x:v>CC-24-08</x:v>
      </x:c>
      <x:c r="B1032" s="13" t="str">
        <x:v>Cell capacity</x:v>
      </x:c>
      <x:c r="C1032" s="13" t="str">
        <x:v>RT-CELL-4 has six bay records</x:v>
      </x:c>
      <x:c r="D1032" s="13" t="n">
        <x:f>COUNTIFS('Bay Register'!$B$6:$B$149,'Cell Capacity'!A29)</x:f>
        <x:v>6</x:v>
      </x:c>
      <x:c r="E1032" s="13" t="n">
        <x:v>6</x:v>
      </x:c>
      <x:c r="F1032" s="13" t="str">
        <x:f>IF(D1032=E1032,"PASS","FAIL")</x:f>
        <x:v>PASS</x:v>
      </x:c>
    </x:row>
    <x:row r="1033">
      <x:c r="A1033" s="13" t="str">
        <x:v>CC-24-09</x:v>
      </x:c>
      <x:c r="B1033" s="13" t="str">
        <x:v>Cell capacity</x:v>
      </x:c>
      <x:c r="C1033" s="13" t="str">
        <x:v>RT-CELL-4 site unique when populated</x:v>
      </x:c>
      <x:c r="D1033" s="13" t="b">
        <x:f>IF('Cell Capacity'!O29="",TRUE,COUNTIFS('Cell Capacity'!$O$6:$O$29,'Cell Capacity'!O29)=1)</x:f>
        <x:v>1</x:v>
      </x:c>
      <x:c r="E1033" s="58" t="b">
        <x:v>1</x:v>
      </x:c>
      <x:c r="F1033" s="13" t="str">
        <x:f>IF(D1033=E1033,"PASS","FAIL")</x:f>
        <x:v>PASS</x:v>
      </x:c>
    </x:row>
    <x:row r="1034">
      <x:c r="A1034" s="13" t="str">
        <x:v>BR-1-01</x:v>
      </x:c>
      <x:c r="B1034" s="13" t="str">
        <x:v>Bay</x:v>
      </x:c>
      <x:c r="C1034" s="13" t="str">
        <x:v>TE-CELL-1-BAY-1 number within range</x:v>
      </x:c>
      <x:c r="D1034" s="13" t="b">
        <x:f>AND('Bay Register'!C6&gt;=1,'Bay Register'!C6&lt;=6)</x:f>
        <x:v>1</x:v>
      </x:c>
      <x:c r="E1034" s="58" t="b">
        <x:v>1</x:v>
      </x:c>
      <x:c r="F1034" s="13" t="str">
        <x:f>IF(D1034=E1034,"PASS","FAIL")</x:f>
        <x:v>PASS</x:v>
      </x:c>
    </x:row>
    <x:row r="1035">
      <x:c r="A1035" s="13" t="str">
        <x:v>BR-1-02</x:v>
      </x:c>
      <x:c r="B1035" s="13" t="str">
        <x:v>Bay</x:v>
      </x:c>
      <x:c r="C1035" s="13" t="str">
        <x:v>TE-CELL-1-BAY-1 rate matches share</x:v>
      </x:c>
      <x:c r="D1035" s="13" t="b">
        <x:f>ABS('Bay Register'!F6-'Bay Register'!D6*'Bay Register'!E6)&lt;0.000001</x:f>
        <x:v>1</x:v>
      </x:c>
      <x:c r="E1035" s="58" t="b">
        <x:v>1</x:v>
      </x:c>
      <x:c r="F1035" s="13" t="str">
        <x:f>IF(D1035=E1035,"PASS","FAIL")</x:f>
        <x:v>PASS</x:v>
      </x:c>
    </x:row>
    <x:row r="1036">
      <x:c r="A1036" s="13" t="str">
        <x:v>BR-2-01</x:v>
      </x:c>
      <x:c r="B1036" s="13" t="str">
        <x:v>Bay</x:v>
      </x:c>
      <x:c r="C1036" s="13" t="str">
        <x:v>TE-CELL-1-BAY-2 number within range</x:v>
      </x:c>
      <x:c r="D1036" s="13" t="b">
        <x:f>AND('Bay Register'!C7&gt;=1,'Bay Register'!C7&lt;=6)</x:f>
        <x:v>1</x:v>
      </x:c>
      <x:c r="E1036" s="58" t="b">
        <x:v>1</x:v>
      </x:c>
      <x:c r="F1036" s="13" t="str">
        <x:f>IF(D1036=E1036,"PASS","FAIL")</x:f>
        <x:v>PASS</x:v>
      </x:c>
    </x:row>
    <x:row r="1037">
      <x:c r="A1037" s="13" t="str">
        <x:v>BR-2-02</x:v>
      </x:c>
      <x:c r="B1037" s="13" t="str">
        <x:v>Bay</x:v>
      </x:c>
      <x:c r="C1037" s="13" t="str">
        <x:v>TE-CELL-1-BAY-2 rate matches share</x:v>
      </x:c>
      <x:c r="D1037" s="13" t="b">
        <x:f>ABS('Bay Register'!F7-'Bay Register'!D7*'Bay Register'!E7)&lt;0.000001</x:f>
        <x:v>1</x:v>
      </x:c>
      <x:c r="E1037" s="58" t="b">
        <x:v>1</x:v>
      </x:c>
      <x:c r="F1037" s="13" t="str">
        <x:f>IF(D1037=E1037,"PASS","FAIL")</x:f>
        <x:v>PASS</x:v>
      </x:c>
    </x:row>
    <x:row r="1038">
      <x:c r="A1038" s="13" t="str">
        <x:v>BR-3-01</x:v>
      </x:c>
      <x:c r="B1038" s="13" t="str">
        <x:v>Bay</x:v>
      </x:c>
      <x:c r="C1038" s="13" t="str">
        <x:v>TE-CELL-1-BAY-3 number within range</x:v>
      </x:c>
      <x:c r="D1038" s="13" t="b">
        <x:f>AND('Bay Register'!C8&gt;=1,'Bay Register'!C8&lt;=6)</x:f>
        <x:v>1</x:v>
      </x:c>
      <x:c r="E1038" s="58" t="b">
        <x:v>1</x:v>
      </x:c>
      <x:c r="F1038" s="13" t="str">
        <x:f>IF(D1038=E1038,"PASS","FAIL")</x:f>
        <x:v>PASS</x:v>
      </x:c>
    </x:row>
    <x:row r="1039">
      <x:c r="A1039" s="13" t="str">
        <x:v>BR-3-02</x:v>
      </x:c>
      <x:c r="B1039" s="13" t="str">
        <x:v>Bay</x:v>
      </x:c>
      <x:c r="C1039" s="13" t="str">
        <x:v>TE-CELL-1-BAY-3 rate matches share</x:v>
      </x:c>
      <x:c r="D1039" s="13" t="b">
        <x:f>ABS('Bay Register'!F8-'Bay Register'!D8*'Bay Register'!E8)&lt;0.000001</x:f>
        <x:v>1</x:v>
      </x:c>
      <x:c r="E1039" s="58" t="b">
        <x:v>1</x:v>
      </x:c>
      <x:c r="F1039" s="13" t="str">
        <x:f>IF(D1039=E1039,"PASS","FAIL")</x:f>
        <x:v>PASS</x:v>
      </x:c>
    </x:row>
    <x:row r="1040">
      <x:c r="A1040" s="13" t="str">
        <x:v>BR-4-01</x:v>
      </x:c>
      <x:c r="B1040" s="13" t="str">
        <x:v>Bay</x:v>
      </x:c>
      <x:c r="C1040" s="13" t="str">
        <x:v>TE-CELL-1-BAY-4 number within range</x:v>
      </x:c>
      <x:c r="D1040" s="13" t="b">
        <x:f>AND('Bay Register'!C9&gt;=1,'Bay Register'!C9&lt;=6)</x:f>
        <x:v>1</x:v>
      </x:c>
      <x:c r="E1040" s="58" t="b">
        <x:v>1</x:v>
      </x:c>
      <x:c r="F1040" s="13" t="str">
        <x:f>IF(D1040=E1040,"PASS","FAIL")</x:f>
        <x:v>PASS</x:v>
      </x:c>
    </x:row>
    <x:row r="1041">
      <x:c r="A1041" s="13" t="str">
        <x:v>BR-4-02</x:v>
      </x:c>
      <x:c r="B1041" s="13" t="str">
        <x:v>Bay</x:v>
      </x:c>
      <x:c r="C1041" s="13" t="str">
        <x:v>TE-CELL-1-BAY-4 rate matches share</x:v>
      </x:c>
      <x:c r="D1041" s="13" t="b">
        <x:f>ABS('Bay Register'!F9-'Bay Register'!D9*'Bay Register'!E9)&lt;0.000001</x:f>
        <x:v>1</x:v>
      </x:c>
      <x:c r="E1041" s="58" t="b">
        <x:v>1</x:v>
      </x:c>
      <x:c r="F1041" s="13" t="str">
        <x:f>IF(D1041=E1041,"PASS","FAIL")</x:f>
        <x:v>PASS</x:v>
      </x:c>
    </x:row>
    <x:row r="1042">
      <x:c r="A1042" s="13" t="str">
        <x:v>BR-5-01</x:v>
      </x:c>
      <x:c r="B1042" s="13" t="str">
        <x:v>Bay</x:v>
      </x:c>
      <x:c r="C1042" s="13" t="str">
        <x:v>TE-CELL-1-BAY-5 number within range</x:v>
      </x:c>
      <x:c r="D1042" s="13" t="b">
        <x:f>AND('Bay Register'!C10&gt;=1,'Bay Register'!C10&lt;=6)</x:f>
        <x:v>1</x:v>
      </x:c>
      <x:c r="E1042" s="58" t="b">
        <x:v>1</x:v>
      </x:c>
      <x:c r="F1042" s="13" t="str">
        <x:f>IF(D1042=E1042,"PASS","FAIL")</x:f>
        <x:v>PASS</x:v>
      </x:c>
    </x:row>
    <x:row r="1043">
      <x:c r="A1043" s="13" t="str">
        <x:v>BR-5-02</x:v>
      </x:c>
      <x:c r="B1043" s="13" t="str">
        <x:v>Bay</x:v>
      </x:c>
      <x:c r="C1043" s="13" t="str">
        <x:v>TE-CELL-1-BAY-5 rate matches share</x:v>
      </x:c>
      <x:c r="D1043" s="13" t="b">
        <x:f>ABS('Bay Register'!F10-'Bay Register'!D10*'Bay Register'!E10)&lt;0.000001</x:f>
        <x:v>1</x:v>
      </x:c>
      <x:c r="E1043" s="58" t="b">
        <x:v>1</x:v>
      </x:c>
      <x:c r="F1043" s="13" t="str">
        <x:f>IF(D1043=E1043,"PASS","FAIL")</x:f>
        <x:v>PASS</x:v>
      </x:c>
    </x:row>
    <x:row r="1044">
      <x:c r="A1044" s="13" t="str">
        <x:v>BR-6-01</x:v>
      </x:c>
      <x:c r="B1044" s="13" t="str">
        <x:v>Bay</x:v>
      </x:c>
      <x:c r="C1044" s="13" t="str">
        <x:v>TE-CELL-1-BAY-6 number within range</x:v>
      </x:c>
      <x:c r="D1044" s="13" t="b">
        <x:f>AND('Bay Register'!C11&gt;=1,'Bay Register'!C11&lt;=6)</x:f>
        <x:v>1</x:v>
      </x:c>
      <x:c r="E1044" s="58" t="b">
        <x:v>1</x:v>
      </x:c>
      <x:c r="F1044" s="13" t="str">
        <x:f>IF(D1044=E1044,"PASS","FAIL")</x:f>
        <x:v>PASS</x:v>
      </x:c>
    </x:row>
    <x:row r="1045">
      <x:c r="A1045" s="13" t="str">
        <x:v>BR-6-02</x:v>
      </x:c>
      <x:c r="B1045" s="13" t="str">
        <x:v>Bay</x:v>
      </x:c>
      <x:c r="C1045" s="13" t="str">
        <x:v>TE-CELL-1-BAY-6 rate matches share</x:v>
      </x:c>
      <x:c r="D1045" s="13" t="b">
        <x:f>ABS('Bay Register'!F11-'Bay Register'!D11*'Bay Register'!E11)&lt;0.000001</x:f>
        <x:v>1</x:v>
      </x:c>
      <x:c r="E1045" s="58" t="b">
        <x:v>1</x:v>
      </x:c>
      <x:c r="F1045" s="13" t="str">
        <x:f>IF(D1045=E1045,"PASS","FAIL")</x:f>
        <x:v>PASS</x:v>
      </x:c>
    </x:row>
    <x:row r="1046">
      <x:c r="A1046" s="13" t="str">
        <x:v>BR-7-01</x:v>
      </x:c>
      <x:c r="B1046" s="13" t="str">
        <x:v>Bay</x:v>
      </x:c>
      <x:c r="C1046" s="13" t="str">
        <x:v>TE-CELL-2-BAY-1 number within range</x:v>
      </x:c>
      <x:c r="D1046" s="13" t="b">
        <x:f>AND('Bay Register'!C12&gt;=1,'Bay Register'!C12&lt;=6)</x:f>
        <x:v>1</x:v>
      </x:c>
      <x:c r="E1046" s="58" t="b">
        <x:v>1</x:v>
      </x:c>
      <x:c r="F1046" s="13" t="str">
        <x:f>IF(D1046=E1046,"PASS","FAIL")</x:f>
        <x:v>PASS</x:v>
      </x:c>
    </x:row>
    <x:row r="1047">
      <x:c r="A1047" s="13" t="str">
        <x:v>BR-7-02</x:v>
      </x:c>
      <x:c r="B1047" s="13" t="str">
        <x:v>Bay</x:v>
      </x:c>
      <x:c r="C1047" s="13" t="str">
        <x:v>TE-CELL-2-BAY-1 rate matches share</x:v>
      </x:c>
      <x:c r="D1047" s="13" t="b">
        <x:f>ABS('Bay Register'!F12-'Bay Register'!D12*'Bay Register'!E12)&lt;0.000001</x:f>
        <x:v>1</x:v>
      </x:c>
      <x:c r="E1047" s="58" t="b">
        <x:v>1</x:v>
      </x:c>
      <x:c r="F1047" s="13" t="str">
        <x:f>IF(D1047=E1047,"PASS","FAIL")</x:f>
        <x:v>PASS</x:v>
      </x:c>
    </x:row>
    <x:row r="1048">
      <x:c r="A1048" s="13" t="str">
        <x:v>BR-8-01</x:v>
      </x:c>
      <x:c r="B1048" s="13" t="str">
        <x:v>Bay</x:v>
      </x:c>
      <x:c r="C1048" s="13" t="str">
        <x:v>TE-CELL-2-BAY-2 number within range</x:v>
      </x:c>
      <x:c r="D1048" s="13" t="b">
        <x:f>AND('Bay Register'!C13&gt;=1,'Bay Register'!C13&lt;=6)</x:f>
        <x:v>1</x:v>
      </x:c>
      <x:c r="E1048" s="58" t="b">
        <x:v>1</x:v>
      </x:c>
      <x:c r="F1048" s="13" t="str">
        <x:f>IF(D1048=E1048,"PASS","FAIL")</x:f>
        <x:v>PASS</x:v>
      </x:c>
    </x:row>
    <x:row r="1049">
      <x:c r="A1049" s="13" t="str">
        <x:v>BR-8-02</x:v>
      </x:c>
      <x:c r="B1049" s="13" t="str">
        <x:v>Bay</x:v>
      </x:c>
      <x:c r="C1049" s="13" t="str">
        <x:v>TE-CELL-2-BAY-2 rate matches share</x:v>
      </x:c>
      <x:c r="D1049" s="13" t="b">
        <x:f>ABS('Bay Register'!F13-'Bay Register'!D13*'Bay Register'!E13)&lt;0.000001</x:f>
        <x:v>1</x:v>
      </x:c>
      <x:c r="E1049" s="58" t="b">
        <x:v>1</x:v>
      </x:c>
      <x:c r="F1049" s="13" t="str">
        <x:f>IF(D1049=E1049,"PASS","FAIL")</x:f>
        <x:v>PASS</x:v>
      </x:c>
    </x:row>
    <x:row r="1050">
      <x:c r="A1050" s="13" t="str">
        <x:v>BR-9-01</x:v>
      </x:c>
      <x:c r="B1050" s="13" t="str">
        <x:v>Bay</x:v>
      </x:c>
      <x:c r="C1050" s="13" t="str">
        <x:v>TE-CELL-2-BAY-3 number within range</x:v>
      </x:c>
      <x:c r="D1050" s="13" t="b">
        <x:f>AND('Bay Register'!C14&gt;=1,'Bay Register'!C14&lt;=6)</x:f>
        <x:v>1</x:v>
      </x:c>
      <x:c r="E1050" s="58" t="b">
        <x:v>1</x:v>
      </x:c>
      <x:c r="F1050" s="13" t="str">
        <x:f>IF(D1050=E1050,"PASS","FAIL")</x:f>
        <x:v>PASS</x:v>
      </x:c>
    </x:row>
    <x:row r="1051">
      <x:c r="A1051" s="13" t="str">
        <x:v>BR-9-02</x:v>
      </x:c>
      <x:c r="B1051" s="13" t="str">
        <x:v>Bay</x:v>
      </x:c>
      <x:c r="C1051" s="13" t="str">
        <x:v>TE-CELL-2-BAY-3 rate matches share</x:v>
      </x:c>
      <x:c r="D1051" s="13" t="b">
        <x:f>ABS('Bay Register'!F14-'Bay Register'!D14*'Bay Register'!E14)&lt;0.000001</x:f>
        <x:v>1</x:v>
      </x:c>
      <x:c r="E1051" s="58" t="b">
        <x:v>1</x:v>
      </x:c>
      <x:c r="F1051" s="13" t="str">
        <x:f>IF(D1051=E1051,"PASS","FAIL")</x:f>
        <x:v>PASS</x:v>
      </x:c>
    </x:row>
    <x:row r="1052">
      <x:c r="A1052" s="13" t="str">
        <x:v>BR-10-01</x:v>
      </x:c>
      <x:c r="B1052" s="13" t="str">
        <x:v>Bay</x:v>
      </x:c>
      <x:c r="C1052" s="13" t="str">
        <x:v>TE-CELL-2-BAY-4 number within range</x:v>
      </x:c>
      <x:c r="D1052" s="13" t="b">
        <x:f>AND('Bay Register'!C15&gt;=1,'Bay Register'!C15&lt;=6)</x:f>
        <x:v>1</x:v>
      </x:c>
      <x:c r="E1052" s="58" t="b">
        <x:v>1</x:v>
      </x:c>
      <x:c r="F1052" s="13" t="str">
        <x:f>IF(D1052=E1052,"PASS","FAIL")</x:f>
        <x:v>PASS</x:v>
      </x:c>
    </x:row>
    <x:row r="1053">
      <x:c r="A1053" s="13" t="str">
        <x:v>BR-10-02</x:v>
      </x:c>
      <x:c r="B1053" s="13" t="str">
        <x:v>Bay</x:v>
      </x:c>
      <x:c r="C1053" s="13" t="str">
        <x:v>TE-CELL-2-BAY-4 rate matches share</x:v>
      </x:c>
      <x:c r="D1053" s="13" t="b">
        <x:f>ABS('Bay Register'!F15-'Bay Register'!D15*'Bay Register'!E15)&lt;0.000001</x:f>
        <x:v>1</x:v>
      </x:c>
      <x:c r="E1053" s="58" t="b">
        <x:v>1</x:v>
      </x:c>
      <x:c r="F1053" s="13" t="str">
        <x:f>IF(D1053=E1053,"PASS","FAIL")</x:f>
        <x:v>PASS</x:v>
      </x:c>
    </x:row>
    <x:row r="1054">
      <x:c r="A1054" s="13" t="str">
        <x:v>BR-11-01</x:v>
      </x:c>
      <x:c r="B1054" s="13" t="str">
        <x:v>Bay</x:v>
      </x:c>
      <x:c r="C1054" s="13" t="str">
        <x:v>TE-CELL-2-BAY-5 number within range</x:v>
      </x:c>
      <x:c r="D1054" s="13" t="b">
        <x:f>AND('Bay Register'!C16&gt;=1,'Bay Register'!C16&lt;=6)</x:f>
        <x:v>1</x:v>
      </x:c>
      <x:c r="E1054" s="58" t="b">
        <x:v>1</x:v>
      </x:c>
      <x:c r="F1054" s="13" t="str">
        <x:f>IF(D1054=E1054,"PASS","FAIL")</x:f>
        <x:v>PASS</x:v>
      </x:c>
    </x:row>
    <x:row r="1055">
      <x:c r="A1055" s="13" t="str">
        <x:v>BR-11-02</x:v>
      </x:c>
      <x:c r="B1055" s="13" t="str">
        <x:v>Bay</x:v>
      </x:c>
      <x:c r="C1055" s="13" t="str">
        <x:v>TE-CELL-2-BAY-5 rate matches share</x:v>
      </x:c>
      <x:c r="D1055" s="13" t="b">
        <x:f>ABS('Bay Register'!F16-'Bay Register'!D16*'Bay Register'!E16)&lt;0.000001</x:f>
        <x:v>1</x:v>
      </x:c>
      <x:c r="E1055" s="58" t="b">
        <x:v>1</x:v>
      </x:c>
      <x:c r="F1055" s="13" t="str">
        <x:f>IF(D1055=E1055,"PASS","FAIL")</x:f>
        <x:v>PASS</x:v>
      </x:c>
    </x:row>
    <x:row r="1056">
      <x:c r="A1056" s="13" t="str">
        <x:v>BR-12-01</x:v>
      </x:c>
      <x:c r="B1056" s="13" t="str">
        <x:v>Bay</x:v>
      </x:c>
      <x:c r="C1056" s="13" t="str">
        <x:v>TE-CELL-2-BAY-6 number within range</x:v>
      </x:c>
      <x:c r="D1056" s="13" t="b">
        <x:f>AND('Bay Register'!C17&gt;=1,'Bay Register'!C17&lt;=6)</x:f>
        <x:v>1</x:v>
      </x:c>
      <x:c r="E1056" s="58" t="b">
        <x:v>1</x:v>
      </x:c>
      <x:c r="F1056" s="13" t="str">
        <x:f>IF(D1056=E1056,"PASS","FAIL")</x:f>
        <x:v>PASS</x:v>
      </x:c>
    </x:row>
    <x:row r="1057">
      <x:c r="A1057" s="13" t="str">
        <x:v>BR-12-02</x:v>
      </x:c>
      <x:c r="B1057" s="13" t="str">
        <x:v>Bay</x:v>
      </x:c>
      <x:c r="C1057" s="13" t="str">
        <x:v>TE-CELL-2-BAY-6 rate matches share</x:v>
      </x:c>
      <x:c r="D1057" s="13" t="b">
        <x:f>ABS('Bay Register'!F17-'Bay Register'!D17*'Bay Register'!E17)&lt;0.000001</x:f>
        <x:v>1</x:v>
      </x:c>
      <x:c r="E1057" s="58" t="b">
        <x:v>1</x:v>
      </x:c>
      <x:c r="F1057" s="13" t="str">
        <x:f>IF(D1057=E1057,"PASS","FAIL")</x:f>
        <x:v>PASS</x:v>
      </x:c>
    </x:row>
    <x:row r="1058">
      <x:c r="A1058" s="13" t="str">
        <x:v>BR-13-01</x:v>
      </x:c>
      <x:c r="B1058" s="13" t="str">
        <x:v>Bay</x:v>
      </x:c>
      <x:c r="C1058" s="13" t="str">
        <x:v>TE-CELL-3-BAY-1 number within range</x:v>
      </x:c>
      <x:c r="D1058" s="13" t="b">
        <x:f>AND('Bay Register'!C18&gt;=1,'Bay Register'!C18&lt;=6)</x:f>
        <x:v>1</x:v>
      </x:c>
      <x:c r="E1058" s="58" t="b">
        <x:v>1</x:v>
      </x:c>
      <x:c r="F1058" s="13" t="str">
        <x:f>IF(D1058=E1058,"PASS","FAIL")</x:f>
        <x:v>PASS</x:v>
      </x:c>
    </x:row>
    <x:row r="1059">
      <x:c r="A1059" s="13" t="str">
        <x:v>BR-13-02</x:v>
      </x:c>
      <x:c r="B1059" s="13" t="str">
        <x:v>Bay</x:v>
      </x:c>
      <x:c r="C1059" s="13" t="str">
        <x:v>TE-CELL-3-BAY-1 rate matches share</x:v>
      </x:c>
      <x:c r="D1059" s="13" t="b">
        <x:f>ABS('Bay Register'!F18-'Bay Register'!D18*'Bay Register'!E18)&lt;0.000001</x:f>
        <x:v>1</x:v>
      </x:c>
      <x:c r="E1059" s="58" t="b">
        <x:v>1</x:v>
      </x:c>
      <x:c r="F1059" s="13" t="str">
        <x:f>IF(D1059=E1059,"PASS","FAIL")</x:f>
        <x:v>PASS</x:v>
      </x:c>
    </x:row>
    <x:row r="1060">
      <x:c r="A1060" s="13" t="str">
        <x:v>BR-14-01</x:v>
      </x:c>
      <x:c r="B1060" s="13" t="str">
        <x:v>Bay</x:v>
      </x:c>
      <x:c r="C1060" s="13" t="str">
        <x:v>TE-CELL-3-BAY-2 number within range</x:v>
      </x:c>
      <x:c r="D1060" s="13" t="b">
        <x:f>AND('Bay Register'!C19&gt;=1,'Bay Register'!C19&lt;=6)</x:f>
        <x:v>1</x:v>
      </x:c>
      <x:c r="E1060" s="58" t="b">
        <x:v>1</x:v>
      </x:c>
      <x:c r="F1060" s="13" t="str">
        <x:f>IF(D1060=E1060,"PASS","FAIL")</x:f>
        <x:v>PASS</x:v>
      </x:c>
    </x:row>
    <x:row r="1061">
      <x:c r="A1061" s="13" t="str">
        <x:v>BR-14-02</x:v>
      </x:c>
      <x:c r="B1061" s="13" t="str">
        <x:v>Bay</x:v>
      </x:c>
      <x:c r="C1061" s="13" t="str">
        <x:v>TE-CELL-3-BAY-2 rate matches share</x:v>
      </x:c>
      <x:c r="D1061" s="13" t="b">
        <x:f>ABS('Bay Register'!F19-'Bay Register'!D19*'Bay Register'!E19)&lt;0.000001</x:f>
        <x:v>1</x:v>
      </x:c>
      <x:c r="E1061" s="58" t="b">
        <x:v>1</x:v>
      </x:c>
      <x:c r="F1061" s="13" t="str">
        <x:f>IF(D1061=E1061,"PASS","FAIL")</x:f>
        <x:v>PASS</x:v>
      </x:c>
    </x:row>
    <x:row r="1062">
      <x:c r="A1062" s="13" t="str">
        <x:v>BR-15-01</x:v>
      </x:c>
      <x:c r="B1062" s="13" t="str">
        <x:v>Bay</x:v>
      </x:c>
      <x:c r="C1062" s="13" t="str">
        <x:v>TE-CELL-3-BAY-3 number within range</x:v>
      </x:c>
      <x:c r="D1062" s="13" t="b">
        <x:f>AND('Bay Register'!C20&gt;=1,'Bay Register'!C20&lt;=6)</x:f>
        <x:v>1</x:v>
      </x:c>
      <x:c r="E1062" s="58" t="b">
        <x:v>1</x:v>
      </x:c>
      <x:c r="F1062" s="13" t="str">
        <x:f>IF(D1062=E1062,"PASS","FAIL")</x:f>
        <x:v>PASS</x:v>
      </x:c>
    </x:row>
    <x:row r="1063">
      <x:c r="A1063" s="13" t="str">
        <x:v>BR-15-02</x:v>
      </x:c>
      <x:c r="B1063" s="13" t="str">
        <x:v>Bay</x:v>
      </x:c>
      <x:c r="C1063" s="13" t="str">
        <x:v>TE-CELL-3-BAY-3 rate matches share</x:v>
      </x:c>
      <x:c r="D1063" s="13" t="b">
        <x:f>ABS('Bay Register'!F20-'Bay Register'!D20*'Bay Register'!E20)&lt;0.000001</x:f>
        <x:v>1</x:v>
      </x:c>
      <x:c r="E1063" s="58" t="b">
        <x:v>1</x:v>
      </x:c>
      <x:c r="F1063" s="13" t="str">
        <x:f>IF(D1063=E1063,"PASS","FAIL")</x:f>
        <x:v>PASS</x:v>
      </x:c>
    </x:row>
    <x:row r="1064">
      <x:c r="A1064" s="13" t="str">
        <x:v>BR-16-01</x:v>
      </x:c>
      <x:c r="B1064" s="13" t="str">
        <x:v>Bay</x:v>
      </x:c>
      <x:c r="C1064" s="13" t="str">
        <x:v>TE-CELL-3-BAY-4 number within range</x:v>
      </x:c>
      <x:c r="D1064" s="13" t="b">
        <x:f>AND('Bay Register'!C21&gt;=1,'Bay Register'!C21&lt;=6)</x:f>
        <x:v>1</x:v>
      </x:c>
      <x:c r="E1064" s="58" t="b">
        <x:v>1</x:v>
      </x:c>
      <x:c r="F1064" s="13" t="str">
        <x:f>IF(D1064=E1064,"PASS","FAIL")</x:f>
        <x:v>PASS</x:v>
      </x:c>
    </x:row>
    <x:row r="1065">
      <x:c r="A1065" s="13" t="str">
        <x:v>BR-16-02</x:v>
      </x:c>
      <x:c r="B1065" s="13" t="str">
        <x:v>Bay</x:v>
      </x:c>
      <x:c r="C1065" s="13" t="str">
        <x:v>TE-CELL-3-BAY-4 rate matches share</x:v>
      </x:c>
      <x:c r="D1065" s="13" t="b">
        <x:f>ABS('Bay Register'!F21-'Bay Register'!D21*'Bay Register'!E21)&lt;0.000001</x:f>
        <x:v>1</x:v>
      </x:c>
      <x:c r="E1065" s="58" t="b">
        <x:v>1</x:v>
      </x:c>
      <x:c r="F1065" s="13" t="str">
        <x:f>IF(D1065=E1065,"PASS","FAIL")</x:f>
        <x:v>PASS</x:v>
      </x:c>
    </x:row>
    <x:row r="1066">
      <x:c r="A1066" s="13" t="str">
        <x:v>BR-17-01</x:v>
      </x:c>
      <x:c r="B1066" s="13" t="str">
        <x:v>Bay</x:v>
      </x:c>
      <x:c r="C1066" s="13" t="str">
        <x:v>TE-CELL-3-BAY-5 number within range</x:v>
      </x:c>
      <x:c r="D1066" s="13" t="b">
        <x:f>AND('Bay Register'!C22&gt;=1,'Bay Register'!C22&lt;=6)</x:f>
        <x:v>1</x:v>
      </x:c>
      <x:c r="E1066" s="58" t="b">
        <x:v>1</x:v>
      </x:c>
      <x:c r="F1066" s="13" t="str">
        <x:f>IF(D1066=E1066,"PASS","FAIL")</x:f>
        <x:v>PASS</x:v>
      </x:c>
    </x:row>
    <x:row r="1067">
      <x:c r="A1067" s="13" t="str">
        <x:v>BR-17-02</x:v>
      </x:c>
      <x:c r="B1067" s="13" t="str">
        <x:v>Bay</x:v>
      </x:c>
      <x:c r="C1067" s="13" t="str">
        <x:v>TE-CELL-3-BAY-5 rate matches share</x:v>
      </x:c>
      <x:c r="D1067" s="13" t="b">
        <x:f>ABS('Bay Register'!F22-'Bay Register'!D22*'Bay Register'!E22)&lt;0.000001</x:f>
        <x:v>1</x:v>
      </x:c>
      <x:c r="E1067" s="58" t="b">
        <x:v>1</x:v>
      </x:c>
      <x:c r="F1067" s="13" t="str">
        <x:f>IF(D1067=E1067,"PASS","FAIL")</x:f>
        <x:v>PASS</x:v>
      </x:c>
    </x:row>
    <x:row r="1068">
      <x:c r="A1068" s="13" t="str">
        <x:v>BR-18-01</x:v>
      </x:c>
      <x:c r="B1068" s="13" t="str">
        <x:v>Bay</x:v>
      </x:c>
      <x:c r="C1068" s="13" t="str">
        <x:v>TE-CELL-3-BAY-6 number within range</x:v>
      </x:c>
      <x:c r="D1068" s="13" t="b">
        <x:f>AND('Bay Register'!C23&gt;=1,'Bay Register'!C23&lt;=6)</x:f>
        <x:v>1</x:v>
      </x:c>
      <x:c r="E1068" s="58" t="b">
        <x:v>1</x:v>
      </x:c>
      <x:c r="F1068" s="13" t="str">
        <x:f>IF(D1068=E1068,"PASS","FAIL")</x:f>
        <x:v>PASS</x:v>
      </x:c>
    </x:row>
    <x:row r="1069">
      <x:c r="A1069" s="13" t="str">
        <x:v>BR-18-02</x:v>
      </x:c>
      <x:c r="B1069" s="13" t="str">
        <x:v>Bay</x:v>
      </x:c>
      <x:c r="C1069" s="13" t="str">
        <x:v>TE-CELL-3-BAY-6 rate matches share</x:v>
      </x:c>
      <x:c r="D1069" s="13" t="b">
        <x:f>ABS('Bay Register'!F23-'Bay Register'!D23*'Bay Register'!E23)&lt;0.000001</x:f>
        <x:v>1</x:v>
      </x:c>
      <x:c r="E1069" s="58" t="b">
        <x:v>1</x:v>
      </x:c>
      <x:c r="F1069" s="13" t="str">
        <x:f>IF(D1069=E1069,"PASS","FAIL")</x:f>
        <x:v>PASS</x:v>
      </x:c>
    </x:row>
    <x:row r="1070">
      <x:c r="A1070" s="13" t="str">
        <x:v>BR-19-01</x:v>
      </x:c>
      <x:c r="B1070" s="13" t="str">
        <x:v>Bay</x:v>
      </x:c>
      <x:c r="C1070" s="13" t="str">
        <x:v>TE-CELL-4-BAY-1 number within range</x:v>
      </x:c>
      <x:c r="D1070" s="13" t="b">
        <x:f>AND('Bay Register'!C24&gt;=1,'Bay Register'!C24&lt;=6)</x:f>
        <x:v>1</x:v>
      </x:c>
      <x:c r="E1070" s="58" t="b">
        <x:v>1</x:v>
      </x:c>
      <x:c r="F1070" s="13" t="str">
        <x:f>IF(D1070=E1070,"PASS","FAIL")</x:f>
        <x:v>PASS</x:v>
      </x:c>
    </x:row>
    <x:row r="1071">
      <x:c r="A1071" s="13" t="str">
        <x:v>BR-19-02</x:v>
      </x:c>
      <x:c r="B1071" s="13" t="str">
        <x:v>Bay</x:v>
      </x:c>
      <x:c r="C1071" s="13" t="str">
        <x:v>TE-CELL-4-BAY-1 rate matches share</x:v>
      </x:c>
      <x:c r="D1071" s="13" t="b">
        <x:f>ABS('Bay Register'!F24-'Bay Register'!D24*'Bay Register'!E24)&lt;0.000001</x:f>
        <x:v>1</x:v>
      </x:c>
      <x:c r="E1071" s="58" t="b">
        <x:v>1</x:v>
      </x:c>
      <x:c r="F1071" s="13" t="str">
        <x:f>IF(D1071=E1071,"PASS","FAIL")</x:f>
        <x:v>PASS</x:v>
      </x:c>
    </x:row>
    <x:row r="1072">
      <x:c r="A1072" s="13" t="str">
        <x:v>BR-20-01</x:v>
      </x:c>
      <x:c r="B1072" s="13" t="str">
        <x:v>Bay</x:v>
      </x:c>
      <x:c r="C1072" s="13" t="str">
        <x:v>TE-CELL-4-BAY-2 number within range</x:v>
      </x:c>
      <x:c r="D1072" s="13" t="b">
        <x:f>AND('Bay Register'!C25&gt;=1,'Bay Register'!C25&lt;=6)</x:f>
        <x:v>1</x:v>
      </x:c>
      <x:c r="E1072" s="58" t="b">
        <x:v>1</x:v>
      </x:c>
      <x:c r="F1072" s="13" t="str">
        <x:f>IF(D1072=E1072,"PASS","FAIL")</x:f>
        <x:v>PASS</x:v>
      </x:c>
    </x:row>
    <x:row r="1073">
      <x:c r="A1073" s="13" t="str">
        <x:v>BR-20-02</x:v>
      </x:c>
      <x:c r="B1073" s="13" t="str">
        <x:v>Bay</x:v>
      </x:c>
      <x:c r="C1073" s="13" t="str">
        <x:v>TE-CELL-4-BAY-2 rate matches share</x:v>
      </x:c>
      <x:c r="D1073" s="13" t="b">
        <x:f>ABS('Bay Register'!F25-'Bay Register'!D25*'Bay Register'!E25)&lt;0.000001</x:f>
        <x:v>1</x:v>
      </x:c>
      <x:c r="E1073" s="58" t="b">
        <x:v>1</x:v>
      </x:c>
      <x:c r="F1073" s="13" t="str">
        <x:f>IF(D1073=E1073,"PASS","FAIL")</x:f>
        <x:v>PASS</x:v>
      </x:c>
    </x:row>
    <x:row r="1074">
      <x:c r="A1074" s="13" t="str">
        <x:v>BR-21-01</x:v>
      </x:c>
      <x:c r="B1074" s="13" t="str">
        <x:v>Bay</x:v>
      </x:c>
      <x:c r="C1074" s="13" t="str">
        <x:v>TE-CELL-4-BAY-3 number within range</x:v>
      </x:c>
      <x:c r="D1074" s="13" t="b">
        <x:f>AND('Bay Register'!C26&gt;=1,'Bay Register'!C26&lt;=6)</x:f>
        <x:v>1</x:v>
      </x:c>
      <x:c r="E1074" s="58" t="b">
        <x:v>1</x:v>
      </x:c>
      <x:c r="F1074" s="13" t="str">
        <x:f>IF(D1074=E1074,"PASS","FAIL")</x:f>
        <x:v>PASS</x:v>
      </x:c>
    </x:row>
    <x:row r="1075">
      <x:c r="A1075" s="13" t="str">
        <x:v>BR-21-02</x:v>
      </x:c>
      <x:c r="B1075" s="13" t="str">
        <x:v>Bay</x:v>
      </x:c>
      <x:c r="C1075" s="13" t="str">
        <x:v>TE-CELL-4-BAY-3 rate matches share</x:v>
      </x:c>
      <x:c r="D1075" s="13" t="b">
        <x:f>ABS('Bay Register'!F26-'Bay Register'!D26*'Bay Register'!E26)&lt;0.000001</x:f>
        <x:v>1</x:v>
      </x:c>
      <x:c r="E1075" s="58" t="b">
        <x:v>1</x:v>
      </x:c>
      <x:c r="F1075" s="13" t="str">
        <x:f>IF(D1075=E1075,"PASS","FAIL")</x:f>
        <x:v>PASS</x:v>
      </x:c>
    </x:row>
    <x:row r="1076">
      <x:c r="A1076" s="13" t="str">
        <x:v>BR-22-01</x:v>
      </x:c>
      <x:c r="B1076" s="13" t="str">
        <x:v>Bay</x:v>
      </x:c>
      <x:c r="C1076" s="13" t="str">
        <x:v>TE-CELL-4-BAY-4 number within range</x:v>
      </x:c>
      <x:c r="D1076" s="13" t="b">
        <x:f>AND('Bay Register'!C27&gt;=1,'Bay Register'!C27&lt;=6)</x:f>
        <x:v>1</x:v>
      </x:c>
      <x:c r="E1076" s="58" t="b">
        <x:v>1</x:v>
      </x:c>
      <x:c r="F1076" s="13" t="str">
        <x:f>IF(D1076=E1076,"PASS","FAIL")</x:f>
        <x:v>PASS</x:v>
      </x:c>
    </x:row>
    <x:row r="1077">
      <x:c r="A1077" s="13" t="str">
        <x:v>BR-22-02</x:v>
      </x:c>
      <x:c r="B1077" s="13" t="str">
        <x:v>Bay</x:v>
      </x:c>
      <x:c r="C1077" s="13" t="str">
        <x:v>TE-CELL-4-BAY-4 rate matches share</x:v>
      </x:c>
      <x:c r="D1077" s="13" t="b">
        <x:f>ABS('Bay Register'!F27-'Bay Register'!D27*'Bay Register'!E27)&lt;0.000001</x:f>
        <x:v>1</x:v>
      </x:c>
      <x:c r="E1077" s="58" t="b">
        <x:v>1</x:v>
      </x:c>
      <x:c r="F1077" s="13" t="str">
        <x:f>IF(D1077=E1077,"PASS","FAIL")</x:f>
        <x:v>PASS</x:v>
      </x:c>
    </x:row>
    <x:row r="1078">
      <x:c r="A1078" s="13" t="str">
        <x:v>BR-23-01</x:v>
      </x:c>
      <x:c r="B1078" s="13" t="str">
        <x:v>Bay</x:v>
      </x:c>
      <x:c r="C1078" s="13" t="str">
        <x:v>TE-CELL-4-BAY-5 number within range</x:v>
      </x:c>
      <x:c r="D1078" s="13" t="b">
        <x:f>AND('Bay Register'!C28&gt;=1,'Bay Register'!C28&lt;=6)</x:f>
        <x:v>1</x:v>
      </x:c>
      <x:c r="E1078" s="58" t="b">
        <x:v>1</x:v>
      </x:c>
      <x:c r="F1078" s="13" t="str">
        <x:f>IF(D1078=E1078,"PASS","FAIL")</x:f>
        <x:v>PASS</x:v>
      </x:c>
    </x:row>
    <x:row r="1079">
      <x:c r="A1079" s="13" t="str">
        <x:v>BR-23-02</x:v>
      </x:c>
      <x:c r="B1079" s="13" t="str">
        <x:v>Bay</x:v>
      </x:c>
      <x:c r="C1079" s="13" t="str">
        <x:v>TE-CELL-4-BAY-5 rate matches share</x:v>
      </x:c>
      <x:c r="D1079" s="13" t="b">
        <x:f>ABS('Bay Register'!F28-'Bay Register'!D28*'Bay Register'!E28)&lt;0.000001</x:f>
        <x:v>1</x:v>
      </x:c>
      <x:c r="E1079" s="58" t="b">
        <x:v>1</x:v>
      </x:c>
      <x:c r="F1079" s="13" t="str">
        <x:f>IF(D1079=E1079,"PASS","FAIL")</x:f>
        <x:v>PASS</x:v>
      </x:c>
    </x:row>
    <x:row r="1080">
      <x:c r="A1080" s="13" t="str">
        <x:v>BR-24-01</x:v>
      </x:c>
      <x:c r="B1080" s="13" t="str">
        <x:v>Bay</x:v>
      </x:c>
      <x:c r="C1080" s="13" t="str">
        <x:v>TE-CELL-4-BAY-6 number within range</x:v>
      </x:c>
      <x:c r="D1080" s="13" t="b">
        <x:f>AND('Bay Register'!C29&gt;=1,'Bay Register'!C29&lt;=6)</x:f>
        <x:v>1</x:v>
      </x:c>
      <x:c r="E1080" s="58" t="b">
        <x:v>1</x:v>
      </x:c>
      <x:c r="F1080" s="13" t="str">
        <x:f>IF(D1080=E1080,"PASS","FAIL")</x:f>
        <x:v>PASS</x:v>
      </x:c>
    </x:row>
    <x:row r="1081">
      <x:c r="A1081" s="13" t="str">
        <x:v>BR-24-02</x:v>
      </x:c>
      <x:c r="B1081" s="13" t="str">
        <x:v>Bay</x:v>
      </x:c>
      <x:c r="C1081" s="13" t="str">
        <x:v>TE-CELL-4-BAY-6 rate matches share</x:v>
      </x:c>
      <x:c r="D1081" s="13" t="b">
        <x:f>ABS('Bay Register'!F29-'Bay Register'!D29*'Bay Register'!E29)&lt;0.000001</x:f>
        <x:v>1</x:v>
      </x:c>
      <x:c r="E1081" s="58" t="b">
        <x:v>1</x:v>
      </x:c>
      <x:c r="F1081" s="13" t="str">
        <x:f>IF(D1081=E1081,"PASS","FAIL")</x:f>
        <x:v>PASS</x:v>
      </x:c>
    </x:row>
    <x:row r="1082">
      <x:c r="A1082" s="13" t="str">
        <x:v>BR-25-01</x:v>
      </x:c>
      <x:c r="B1082" s="13" t="str">
        <x:v>Bay</x:v>
      </x:c>
      <x:c r="C1082" s="13" t="str">
        <x:v>CT-CELL-1-BAY-1 number within range</x:v>
      </x:c>
      <x:c r="D1082" s="13" t="b">
        <x:f>AND('Bay Register'!C30&gt;=1,'Bay Register'!C30&lt;=6)</x:f>
        <x:v>1</x:v>
      </x:c>
      <x:c r="E1082" s="58" t="b">
        <x:v>1</x:v>
      </x:c>
      <x:c r="F1082" s="13" t="str">
        <x:f>IF(D1082=E1082,"PASS","FAIL")</x:f>
        <x:v>PASS</x:v>
      </x:c>
    </x:row>
    <x:row r="1083">
      <x:c r="A1083" s="13" t="str">
        <x:v>BR-25-02</x:v>
      </x:c>
      <x:c r="B1083" s="13" t="str">
        <x:v>Bay</x:v>
      </x:c>
      <x:c r="C1083" s="13" t="str">
        <x:v>CT-CELL-1-BAY-1 rate matches share</x:v>
      </x:c>
      <x:c r="D1083" s="13" t="b">
        <x:f>ABS('Bay Register'!F30-'Bay Register'!D30*'Bay Register'!E30)&lt;0.000001</x:f>
        <x:v>1</x:v>
      </x:c>
      <x:c r="E1083" s="58" t="b">
        <x:v>1</x:v>
      </x:c>
      <x:c r="F1083" s="13" t="str">
        <x:f>IF(D1083=E1083,"PASS","FAIL")</x:f>
        <x:v>PASS</x:v>
      </x:c>
    </x:row>
    <x:row r="1084">
      <x:c r="A1084" s="13" t="str">
        <x:v>BR-26-01</x:v>
      </x:c>
      <x:c r="B1084" s="13" t="str">
        <x:v>Bay</x:v>
      </x:c>
      <x:c r="C1084" s="13" t="str">
        <x:v>CT-CELL-1-BAY-2 number within range</x:v>
      </x:c>
      <x:c r="D1084" s="13" t="b">
        <x:f>AND('Bay Register'!C31&gt;=1,'Bay Register'!C31&lt;=6)</x:f>
        <x:v>1</x:v>
      </x:c>
      <x:c r="E1084" s="58" t="b">
        <x:v>1</x:v>
      </x:c>
      <x:c r="F1084" s="13" t="str">
        <x:f>IF(D1084=E1084,"PASS","FAIL")</x:f>
        <x:v>PASS</x:v>
      </x:c>
    </x:row>
    <x:row r="1085">
      <x:c r="A1085" s="13" t="str">
        <x:v>BR-26-02</x:v>
      </x:c>
      <x:c r="B1085" s="13" t="str">
        <x:v>Bay</x:v>
      </x:c>
      <x:c r="C1085" s="13" t="str">
        <x:v>CT-CELL-1-BAY-2 rate matches share</x:v>
      </x:c>
      <x:c r="D1085" s="13" t="b">
        <x:f>ABS('Bay Register'!F31-'Bay Register'!D31*'Bay Register'!E31)&lt;0.000001</x:f>
        <x:v>1</x:v>
      </x:c>
      <x:c r="E1085" s="58" t="b">
        <x:v>1</x:v>
      </x:c>
      <x:c r="F1085" s="13" t="str">
        <x:f>IF(D1085=E1085,"PASS","FAIL")</x:f>
        <x:v>PASS</x:v>
      </x:c>
    </x:row>
    <x:row r="1086">
      <x:c r="A1086" s="13" t="str">
        <x:v>BR-27-01</x:v>
      </x:c>
      <x:c r="B1086" s="13" t="str">
        <x:v>Bay</x:v>
      </x:c>
      <x:c r="C1086" s="13" t="str">
        <x:v>CT-CELL-1-BAY-3 number within range</x:v>
      </x:c>
      <x:c r="D1086" s="13" t="b">
        <x:f>AND('Bay Register'!C32&gt;=1,'Bay Register'!C32&lt;=6)</x:f>
        <x:v>1</x:v>
      </x:c>
      <x:c r="E1086" s="58" t="b">
        <x:v>1</x:v>
      </x:c>
      <x:c r="F1086" s="13" t="str">
        <x:f>IF(D1086=E1086,"PASS","FAIL")</x:f>
        <x:v>PASS</x:v>
      </x:c>
    </x:row>
    <x:row r="1087">
      <x:c r="A1087" s="13" t="str">
        <x:v>BR-27-02</x:v>
      </x:c>
      <x:c r="B1087" s="13" t="str">
        <x:v>Bay</x:v>
      </x:c>
      <x:c r="C1087" s="13" t="str">
        <x:v>CT-CELL-1-BAY-3 rate matches share</x:v>
      </x:c>
      <x:c r="D1087" s="13" t="b">
        <x:f>ABS('Bay Register'!F32-'Bay Register'!D32*'Bay Register'!E32)&lt;0.000001</x:f>
        <x:v>1</x:v>
      </x:c>
      <x:c r="E1087" s="58" t="b">
        <x:v>1</x:v>
      </x:c>
      <x:c r="F1087" s="13" t="str">
        <x:f>IF(D1087=E1087,"PASS","FAIL")</x:f>
        <x:v>PASS</x:v>
      </x:c>
    </x:row>
    <x:row r="1088">
      <x:c r="A1088" s="13" t="str">
        <x:v>BR-28-01</x:v>
      </x:c>
      <x:c r="B1088" s="13" t="str">
        <x:v>Bay</x:v>
      </x:c>
      <x:c r="C1088" s="13" t="str">
        <x:v>CT-CELL-1-BAY-4 number within range</x:v>
      </x:c>
      <x:c r="D1088" s="13" t="b">
        <x:f>AND('Bay Register'!C33&gt;=1,'Bay Register'!C33&lt;=6)</x:f>
        <x:v>1</x:v>
      </x:c>
      <x:c r="E1088" s="58" t="b">
        <x:v>1</x:v>
      </x:c>
      <x:c r="F1088" s="13" t="str">
        <x:f>IF(D1088=E1088,"PASS","FAIL")</x:f>
        <x:v>PASS</x:v>
      </x:c>
    </x:row>
    <x:row r="1089">
      <x:c r="A1089" s="13" t="str">
        <x:v>BR-28-02</x:v>
      </x:c>
      <x:c r="B1089" s="13" t="str">
        <x:v>Bay</x:v>
      </x:c>
      <x:c r="C1089" s="13" t="str">
        <x:v>CT-CELL-1-BAY-4 rate matches share</x:v>
      </x:c>
      <x:c r="D1089" s="13" t="b">
        <x:f>ABS('Bay Register'!F33-'Bay Register'!D33*'Bay Register'!E33)&lt;0.000001</x:f>
        <x:v>1</x:v>
      </x:c>
      <x:c r="E1089" s="58" t="b">
        <x:v>1</x:v>
      </x:c>
      <x:c r="F1089" s="13" t="str">
        <x:f>IF(D1089=E1089,"PASS","FAIL")</x:f>
        <x:v>PASS</x:v>
      </x:c>
    </x:row>
    <x:row r="1090">
      <x:c r="A1090" s="13" t="str">
        <x:v>BR-29-01</x:v>
      </x:c>
      <x:c r="B1090" s="13" t="str">
        <x:v>Bay</x:v>
      </x:c>
      <x:c r="C1090" s="13" t="str">
        <x:v>CT-CELL-1-BAY-5 number within range</x:v>
      </x:c>
      <x:c r="D1090" s="13" t="b">
        <x:f>AND('Bay Register'!C34&gt;=1,'Bay Register'!C34&lt;=6)</x:f>
        <x:v>1</x:v>
      </x:c>
      <x:c r="E1090" s="58" t="b">
        <x:v>1</x:v>
      </x:c>
      <x:c r="F1090" s="13" t="str">
        <x:f>IF(D1090=E1090,"PASS","FAIL")</x:f>
        <x:v>PASS</x:v>
      </x:c>
    </x:row>
    <x:row r="1091">
      <x:c r="A1091" s="13" t="str">
        <x:v>BR-29-02</x:v>
      </x:c>
      <x:c r="B1091" s="13" t="str">
        <x:v>Bay</x:v>
      </x:c>
      <x:c r="C1091" s="13" t="str">
        <x:v>CT-CELL-1-BAY-5 rate matches share</x:v>
      </x:c>
      <x:c r="D1091" s="13" t="b">
        <x:f>ABS('Bay Register'!F34-'Bay Register'!D34*'Bay Register'!E34)&lt;0.000001</x:f>
        <x:v>1</x:v>
      </x:c>
      <x:c r="E1091" s="58" t="b">
        <x:v>1</x:v>
      </x:c>
      <x:c r="F1091" s="13" t="str">
        <x:f>IF(D1091=E1091,"PASS","FAIL")</x:f>
        <x:v>PASS</x:v>
      </x:c>
    </x:row>
    <x:row r="1092">
      <x:c r="A1092" s="13" t="str">
        <x:v>BR-30-01</x:v>
      </x:c>
      <x:c r="B1092" s="13" t="str">
        <x:v>Bay</x:v>
      </x:c>
      <x:c r="C1092" s="13" t="str">
        <x:v>CT-CELL-1-BAY-6 number within range</x:v>
      </x:c>
      <x:c r="D1092" s="13" t="b">
        <x:f>AND('Bay Register'!C35&gt;=1,'Bay Register'!C35&lt;=6)</x:f>
        <x:v>1</x:v>
      </x:c>
      <x:c r="E1092" s="58" t="b">
        <x:v>1</x:v>
      </x:c>
      <x:c r="F1092" s="13" t="str">
        <x:f>IF(D1092=E1092,"PASS","FAIL")</x:f>
        <x:v>PASS</x:v>
      </x:c>
    </x:row>
    <x:row r="1093">
      <x:c r="A1093" s="13" t="str">
        <x:v>BR-30-02</x:v>
      </x:c>
      <x:c r="B1093" s="13" t="str">
        <x:v>Bay</x:v>
      </x:c>
      <x:c r="C1093" s="13" t="str">
        <x:v>CT-CELL-1-BAY-6 rate matches share</x:v>
      </x:c>
      <x:c r="D1093" s="13" t="b">
        <x:f>ABS('Bay Register'!F35-'Bay Register'!D35*'Bay Register'!E35)&lt;0.000001</x:f>
        <x:v>1</x:v>
      </x:c>
      <x:c r="E1093" s="58" t="b">
        <x:v>1</x:v>
      </x:c>
      <x:c r="F1093" s="13" t="str">
        <x:f>IF(D1093=E1093,"PASS","FAIL")</x:f>
        <x:v>PASS</x:v>
      </x:c>
    </x:row>
    <x:row r="1094">
      <x:c r="A1094" s="13" t="str">
        <x:v>BR-31-01</x:v>
      </x:c>
      <x:c r="B1094" s="13" t="str">
        <x:v>Bay</x:v>
      </x:c>
      <x:c r="C1094" s="13" t="str">
        <x:v>CT-CELL-2-BAY-1 number within range</x:v>
      </x:c>
      <x:c r="D1094" s="13" t="b">
        <x:f>AND('Bay Register'!C36&gt;=1,'Bay Register'!C36&lt;=6)</x:f>
        <x:v>1</x:v>
      </x:c>
      <x:c r="E1094" s="58" t="b">
        <x:v>1</x:v>
      </x:c>
      <x:c r="F1094" s="13" t="str">
        <x:f>IF(D1094=E1094,"PASS","FAIL")</x:f>
        <x:v>PASS</x:v>
      </x:c>
    </x:row>
    <x:row r="1095">
      <x:c r="A1095" s="13" t="str">
        <x:v>BR-31-02</x:v>
      </x:c>
      <x:c r="B1095" s="13" t="str">
        <x:v>Bay</x:v>
      </x:c>
      <x:c r="C1095" s="13" t="str">
        <x:v>CT-CELL-2-BAY-1 rate matches share</x:v>
      </x:c>
      <x:c r="D1095" s="13" t="b">
        <x:f>ABS('Bay Register'!F36-'Bay Register'!D36*'Bay Register'!E36)&lt;0.000001</x:f>
        <x:v>1</x:v>
      </x:c>
      <x:c r="E1095" s="58" t="b">
        <x:v>1</x:v>
      </x:c>
      <x:c r="F1095" s="13" t="str">
        <x:f>IF(D1095=E1095,"PASS","FAIL")</x:f>
        <x:v>PASS</x:v>
      </x:c>
    </x:row>
    <x:row r="1096">
      <x:c r="A1096" s="13" t="str">
        <x:v>BR-32-01</x:v>
      </x:c>
      <x:c r="B1096" s="13" t="str">
        <x:v>Bay</x:v>
      </x:c>
      <x:c r="C1096" s="13" t="str">
        <x:v>CT-CELL-2-BAY-2 number within range</x:v>
      </x:c>
      <x:c r="D1096" s="13" t="b">
        <x:f>AND('Bay Register'!C37&gt;=1,'Bay Register'!C37&lt;=6)</x:f>
        <x:v>1</x:v>
      </x:c>
      <x:c r="E1096" s="58" t="b">
        <x:v>1</x:v>
      </x:c>
      <x:c r="F1096" s="13" t="str">
        <x:f>IF(D1096=E1096,"PASS","FAIL")</x:f>
        <x:v>PASS</x:v>
      </x:c>
    </x:row>
    <x:row r="1097">
      <x:c r="A1097" s="13" t="str">
        <x:v>BR-32-02</x:v>
      </x:c>
      <x:c r="B1097" s="13" t="str">
        <x:v>Bay</x:v>
      </x:c>
      <x:c r="C1097" s="13" t="str">
        <x:v>CT-CELL-2-BAY-2 rate matches share</x:v>
      </x:c>
      <x:c r="D1097" s="13" t="b">
        <x:f>ABS('Bay Register'!F37-'Bay Register'!D37*'Bay Register'!E37)&lt;0.000001</x:f>
        <x:v>1</x:v>
      </x:c>
      <x:c r="E1097" s="58" t="b">
        <x:v>1</x:v>
      </x:c>
      <x:c r="F1097" s="13" t="str">
        <x:f>IF(D1097=E1097,"PASS","FAIL")</x:f>
        <x:v>PASS</x:v>
      </x:c>
    </x:row>
    <x:row r="1098">
      <x:c r="A1098" s="13" t="str">
        <x:v>BR-33-01</x:v>
      </x:c>
      <x:c r="B1098" s="13" t="str">
        <x:v>Bay</x:v>
      </x:c>
      <x:c r="C1098" s="13" t="str">
        <x:v>CT-CELL-2-BAY-3 number within range</x:v>
      </x:c>
      <x:c r="D1098" s="13" t="b">
        <x:f>AND('Bay Register'!C38&gt;=1,'Bay Register'!C38&lt;=6)</x:f>
        <x:v>1</x:v>
      </x:c>
      <x:c r="E1098" s="58" t="b">
        <x:v>1</x:v>
      </x:c>
      <x:c r="F1098" s="13" t="str">
        <x:f>IF(D1098=E1098,"PASS","FAIL")</x:f>
        <x:v>PASS</x:v>
      </x:c>
    </x:row>
    <x:row r="1099">
      <x:c r="A1099" s="13" t="str">
        <x:v>BR-33-02</x:v>
      </x:c>
      <x:c r="B1099" s="13" t="str">
        <x:v>Bay</x:v>
      </x:c>
      <x:c r="C1099" s="13" t="str">
        <x:v>CT-CELL-2-BAY-3 rate matches share</x:v>
      </x:c>
      <x:c r="D1099" s="13" t="b">
        <x:f>ABS('Bay Register'!F38-'Bay Register'!D38*'Bay Register'!E38)&lt;0.000001</x:f>
        <x:v>1</x:v>
      </x:c>
      <x:c r="E1099" s="58" t="b">
        <x:v>1</x:v>
      </x:c>
      <x:c r="F1099" s="13" t="str">
        <x:f>IF(D1099=E1099,"PASS","FAIL")</x:f>
        <x:v>PASS</x:v>
      </x:c>
    </x:row>
    <x:row r="1100">
      <x:c r="A1100" s="13" t="str">
        <x:v>BR-34-01</x:v>
      </x:c>
      <x:c r="B1100" s="13" t="str">
        <x:v>Bay</x:v>
      </x:c>
      <x:c r="C1100" s="13" t="str">
        <x:v>CT-CELL-2-BAY-4 number within range</x:v>
      </x:c>
      <x:c r="D1100" s="13" t="b">
        <x:f>AND('Bay Register'!C39&gt;=1,'Bay Register'!C39&lt;=6)</x:f>
        <x:v>1</x:v>
      </x:c>
      <x:c r="E1100" s="58" t="b">
        <x:v>1</x:v>
      </x:c>
      <x:c r="F1100" s="13" t="str">
        <x:f>IF(D1100=E1100,"PASS","FAIL")</x:f>
        <x:v>PASS</x:v>
      </x:c>
    </x:row>
    <x:row r="1101">
      <x:c r="A1101" s="13" t="str">
        <x:v>BR-34-02</x:v>
      </x:c>
      <x:c r="B1101" s="13" t="str">
        <x:v>Bay</x:v>
      </x:c>
      <x:c r="C1101" s="13" t="str">
        <x:v>CT-CELL-2-BAY-4 rate matches share</x:v>
      </x:c>
      <x:c r="D1101" s="13" t="b">
        <x:f>ABS('Bay Register'!F39-'Bay Register'!D39*'Bay Register'!E39)&lt;0.000001</x:f>
        <x:v>1</x:v>
      </x:c>
      <x:c r="E1101" s="58" t="b">
        <x:v>1</x:v>
      </x:c>
      <x:c r="F1101" s="13" t="str">
        <x:f>IF(D1101=E1101,"PASS","FAIL")</x:f>
        <x:v>PASS</x:v>
      </x:c>
    </x:row>
    <x:row r="1102">
      <x:c r="A1102" s="13" t="str">
        <x:v>BR-35-01</x:v>
      </x:c>
      <x:c r="B1102" s="13" t="str">
        <x:v>Bay</x:v>
      </x:c>
      <x:c r="C1102" s="13" t="str">
        <x:v>CT-CELL-2-BAY-5 number within range</x:v>
      </x:c>
      <x:c r="D1102" s="13" t="b">
        <x:f>AND('Bay Register'!C40&gt;=1,'Bay Register'!C40&lt;=6)</x:f>
        <x:v>1</x:v>
      </x:c>
      <x:c r="E1102" s="58" t="b">
        <x:v>1</x:v>
      </x:c>
      <x:c r="F1102" s="13" t="str">
        <x:f>IF(D1102=E1102,"PASS","FAIL")</x:f>
        <x:v>PASS</x:v>
      </x:c>
    </x:row>
    <x:row r="1103">
      <x:c r="A1103" s="13" t="str">
        <x:v>BR-35-02</x:v>
      </x:c>
      <x:c r="B1103" s="13" t="str">
        <x:v>Bay</x:v>
      </x:c>
      <x:c r="C1103" s="13" t="str">
        <x:v>CT-CELL-2-BAY-5 rate matches share</x:v>
      </x:c>
      <x:c r="D1103" s="13" t="b">
        <x:f>ABS('Bay Register'!F40-'Bay Register'!D40*'Bay Register'!E40)&lt;0.000001</x:f>
        <x:v>1</x:v>
      </x:c>
      <x:c r="E1103" s="58" t="b">
        <x:v>1</x:v>
      </x:c>
      <x:c r="F1103" s="13" t="str">
        <x:f>IF(D1103=E1103,"PASS","FAIL")</x:f>
        <x:v>PASS</x:v>
      </x:c>
    </x:row>
    <x:row r="1104">
      <x:c r="A1104" s="13" t="str">
        <x:v>BR-36-01</x:v>
      </x:c>
      <x:c r="B1104" s="13" t="str">
        <x:v>Bay</x:v>
      </x:c>
      <x:c r="C1104" s="13" t="str">
        <x:v>CT-CELL-2-BAY-6 number within range</x:v>
      </x:c>
      <x:c r="D1104" s="13" t="b">
        <x:f>AND('Bay Register'!C41&gt;=1,'Bay Register'!C41&lt;=6)</x:f>
        <x:v>1</x:v>
      </x:c>
      <x:c r="E1104" s="58" t="b">
        <x:v>1</x:v>
      </x:c>
      <x:c r="F1104" s="13" t="str">
        <x:f>IF(D1104=E1104,"PASS","FAIL")</x:f>
        <x:v>PASS</x:v>
      </x:c>
    </x:row>
    <x:row r="1105">
      <x:c r="A1105" s="13" t="str">
        <x:v>BR-36-02</x:v>
      </x:c>
      <x:c r="B1105" s="13" t="str">
        <x:v>Bay</x:v>
      </x:c>
      <x:c r="C1105" s="13" t="str">
        <x:v>CT-CELL-2-BAY-6 rate matches share</x:v>
      </x:c>
      <x:c r="D1105" s="13" t="b">
        <x:f>ABS('Bay Register'!F41-'Bay Register'!D41*'Bay Register'!E41)&lt;0.000001</x:f>
        <x:v>1</x:v>
      </x:c>
      <x:c r="E1105" s="58" t="b">
        <x:v>1</x:v>
      </x:c>
      <x:c r="F1105" s="13" t="str">
        <x:f>IF(D1105=E1105,"PASS","FAIL")</x:f>
        <x:v>PASS</x:v>
      </x:c>
    </x:row>
    <x:row r="1106">
      <x:c r="A1106" s="13" t="str">
        <x:v>BR-37-01</x:v>
      </x:c>
      <x:c r="B1106" s="13" t="str">
        <x:v>Bay</x:v>
      </x:c>
      <x:c r="C1106" s="13" t="str">
        <x:v>CT-CELL-3-BAY-1 number within range</x:v>
      </x:c>
      <x:c r="D1106" s="13" t="b">
        <x:f>AND('Bay Register'!C42&gt;=1,'Bay Register'!C42&lt;=6)</x:f>
        <x:v>1</x:v>
      </x:c>
      <x:c r="E1106" s="58" t="b">
        <x:v>1</x:v>
      </x:c>
      <x:c r="F1106" s="13" t="str">
        <x:f>IF(D1106=E1106,"PASS","FAIL")</x:f>
        <x:v>PASS</x:v>
      </x:c>
    </x:row>
    <x:row r="1107">
      <x:c r="A1107" s="13" t="str">
        <x:v>BR-37-02</x:v>
      </x:c>
      <x:c r="B1107" s="13" t="str">
        <x:v>Bay</x:v>
      </x:c>
      <x:c r="C1107" s="13" t="str">
        <x:v>CT-CELL-3-BAY-1 rate matches share</x:v>
      </x:c>
      <x:c r="D1107" s="13" t="b">
        <x:f>ABS('Bay Register'!F42-'Bay Register'!D42*'Bay Register'!E42)&lt;0.000001</x:f>
        <x:v>1</x:v>
      </x:c>
      <x:c r="E1107" s="58" t="b">
        <x:v>1</x:v>
      </x:c>
      <x:c r="F1107" s="13" t="str">
        <x:f>IF(D1107=E1107,"PASS","FAIL")</x:f>
        <x:v>PASS</x:v>
      </x:c>
    </x:row>
    <x:row r="1108">
      <x:c r="A1108" s="13" t="str">
        <x:v>BR-38-01</x:v>
      </x:c>
      <x:c r="B1108" s="13" t="str">
        <x:v>Bay</x:v>
      </x:c>
      <x:c r="C1108" s="13" t="str">
        <x:v>CT-CELL-3-BAY-2 number within range</x:v>
      </x:c>
      <x:c r="D1108" s="13" t="b">
        <x:f>AND('Bay Register'!C43&gt;=1,'Bay Register'!C43&lt;=6)</x:f>
        <x:v>1</x:v>
      </x:c>
      <x:c r="E1108" s="58" t="b">
        <x:v>1</x:v>
      </x:c>
      <x:c r="F1108" s="13" t="str">
        <x:f>IF(D1108=E1108,"PASS","FAIL")</x:f>
        <x:v>PASS</x:v>
      </x:c>
    </x:row>
    <x:row r="1109">
      <x:c r="A1109" s="13" t="str">
        <x:v>BR-38-02</x:v>
      </x:c>
      <x:c r="B1109" s="13" t="str">
        <x:v>Bay</x:v>
      </x:c>
      <x:c r="C1109" s="13" t="str">
        <x:v>CT-CELL-3-BAY-2 rate matches share</x:v>
      </x:c>
      <x:c r="D1109" s="13" t="b">
        <x:f>ABS('Bay Register'!F43-'Bay Register'!D43*'Bay Register'!E43)&lt;0.000001</x:f>
        <x:v>1</x:v>
      </x:c>
      <x:c r="E1109" s="58" t="b">
        <x:v>1</x:v>
      </x:c>
      <x:c r="F1109" s="13" t="str">
        <x:f>IF(D1109=E1109,"PASS","FAIL")</x:f>
        <x:v>PASS</x:v>
      </x:c>
    </x:row>
    <x:row r="1110">
      <x:c r="A1110" s="13" t="str">
        <x:v>BR-39-01</x:v>
      </x:c>
      <x:c r="B1110" s="13" t="str">
        <x:v>Bay</x:v>
      </x:c>
      <x:c r="C1110" s="13" t="str">
        <x:v>CT-CELL-3-BAY-3 number within range</x:v>
      </x:c>
      <x:c r="D1110" s="13" t="b">
        <x:f>AND('Bay Register'!C44&gt;=1,'Bay Register'!C44&lt;=6)</x:f>
        <x:v>1</x:v>
      </x:c>
      <x:c r="E1110" s="58" t="b">
        <x:v>1</x:v>
      </x:c>
      <x:c r="F1110" s="13" t="str">
        <x:f>IF(D1110=E1110,"PASS","FAIL")</x:f>
        <x:v>PASS</x:v>
      </x:c>
    </x:row>
    <x:row r="1111">
      <x:c r="A1111" s="13" t="str">
        <x:v>BR-39-02</x:v>
      </x:c>
      <x:c r="B1111" s="13" t="str">
        <x:v>Bay</x:v>
      </x:c>
      <x:c r="C1111" s="13" t="str">
        <x:v>CT-CELL-3-BAY-3 rate matches share</x:v>
      </x:c>
      <x:c r="D1111" s="13" t="b">
        <x:f>ABS('Bay Register'!F44-'Bay Register'!D44*'Bay Register'!E44)&lt;0.000001</x:f>
        <x:v>1</x:v>
      </x:c>
      <x:c r="E1111" s="58" t="b">
        <x:v>1</x:v>
      </x:c>
      <x:c r="F1111" s="13" t="str">
        <x:f>IF(D1111=E1111,"PASS","FAIL")</x:f>
        <x:v>PASS</x:v>
      </x:c>
    </x:row>
    <x:row r="1112">
      <x:c r="A1112" s="13" t="str">
        <x:v>BR-40-01</x:v>
      </x:c>
      <x:c r="B1112" s="13" t="str">
        <x:v>Bay</x:v>
      </x:c>
      <x:c r="C1112" s="13" t="str">
        <x:v>CT-CELL-3-BAY-4 number within range</x:v>
      </x:c>
      <x:c r="D1112" s="13" t="b">
        <x:f>AND('Bay Register'!C45&gt;=1,'Bay Register'!C45&lt;=6)</x:f>
        <x:v>1</x:v>
      </x:c>
      <x:c r="E1112" s="58" t="b">
        <x:v>1</x:v>
      </x:c>
      <x:c r="F1112" s="13" t="str">
        <x:f>IF(D1112=E1112,"PASS","FAIL")</x:f>
        <x:v>PASS</x:v>
      </x:c>
    </x:row>
    <x:row r="1113">
      <x:c r="A1113" s="13" t="str">
        <x:v>BR-40-02</x:v>
      </x:c>
      <x:c r="B1113" s="13" t="str">
        <x:v>Bay</x:v>
      </x:c>
      <x:c r="C1113" s="13" t="str">
        <x:v>CT-CELL-3-BAY-4 rate matches share</x:v>
      </x:c>
      <x:c r="D1113" s="13" t="b">
        <x:f>ABS('Bay Register'!F45-'Bay Register'!D45*'Bay Register'!E45)&lt;0.000001</x:f>
        <x:v>1</x:v>
      </x:c>
      <x:c r="E1113" s="58" t="b">
        <x:v>1</x:v>
      </x:c>
      <x:c r="F1113" s="13" t="str">
        <x:f>IF(D1113=E1113,"PASS","FAIL")</x:f>
        <x:v>PASS</x:v>
      </x:c>
    </x:row>
    <x:row r="1114">
      <x:c r="A1114" s="13" t="str">
        <x:v>BR-41-01</x:v>
      </x:c>
      <x:c r="B1114" s="13" t="str">
        <x:v>Bay</x:v>
      </x:c>
      <x:c r="C1114" s="13" t="str">
        <x:v>CT-CELL-3-BAY-5 number within range</x:v>
      </x:c>
      <x:c r="D1114" s="13" t="b">
        <x:f>AND('Bay Register'!C46&gt;=1,'Bay Register'!C46&lt;=6)</x:f>
        <x:v>1</x:v>
      </x:c>
      <x:c r="E1114" s="58" t="b">
        <x:v>1</x:v>
      </x:c>
      <x:c r="F1114" s="13" t="str">
        <x:f>IF(D1114=E1114,"PASS","FAIL")</x:f>
        <x:v>PASS</x:v>
      </x:c>
    </x:row>
    <x:row r="1115">
      <x:c r="A1115" s="13" t="str">
        <x:v>BR-41-02</x:v>
      </x:c>
      <x:c r="B1115" s="13" t="str">
        <x:v>Bay</x:v>
      </x:c>
      <x:c r="C1115" s="13" t="str">
        <x:v>CT-CELL-3-BAY-5 rate matches share</x:v>
      </x:c>
      <x:c r="D1115" s="13" t="b">
        <x:f>ABS('Bay Register'!F46-'Bay Register'!D46*'Bay Register'!E46)&lt;0.000001</x:f>
        <x:v>1</x:v>
      </x:c>
      <x:c r="E1115" s="58" t="b">
        <x:v>1</x:v>
      </x:c>
      <x:c r="F1115" s="13" t="str">
        <x:f>IF(D1115=E1115,"PASS","FAIL")</x:f>
        <x:v>PASS</x:v>
      </x:c>
    </x:row>
    <x:row r="1116">
      <x:c r="A1116" s="13" t="str">
        <x:v>BR-42-01</x:v>
      </x:c>
      <x:c r="B1116" s="13" t="str">
        <x:v>Bay</x:v>
      </x:c>
      <x:c r="C1116" s="13" t="str">
        <x:v>CT-CELL-3-BAY-6 number within range</x:v>
      </x:c>
      <x:c r="D1116" s="13" t="b">
        <x:f>AND('Bay Register'!C47&gt;=1,'Bay Register'!C47&lt;=6)</x:f>
        <x:v>1</x:v>
      </x:c>
      <x:c r="E1116" s="58" t="b">
        <x:v>1</x:v>
      </x:c>
      <x:c r="F1116" s="13" t="str">
        <x:f>IF(D1116=E1116,"PASS","FAIL")</x:f>
        <x:v>PASS</x:v>
      </x:c>
    </x:row>
    <x:row r="1117">
      <x:c r="A1117" s="13" t="str">
        <x:v>BR-42-02</x:v>
      </x:c>
      <x:c r="B1117" s="13" t="str">
        <x:v>Bay</x:v>
      </x:c>
      <x:c r="C1117" s="13" t="str">
        <x:v>CT-CELL-3-BAY-6 rate matches share</x:v>
      </x:c>
      <x:c r="D1117" s="13" t="b">
        <x:f>ABS('Bay Register'!F47-'Bay Register'!D47*'Bay Register'!E47)&lt;0.000001</x:f>
        <x:v>1</x:v>
      </x:c>
      <x:c r="E1117" s="58" t="b">
        <x:v>1</x:v>
      </x:c>
      <x:c r="F1117" s="13" t="str">
        <x:f>IF(D1117=E1117,"PASS","FAIL")</x:f>
        <x:v>PASS</x:v>
      </x:c>
    </x:row>
    <x:row r="1118">
      <x:c r="A1118" s="13" t="str">
        <x:v>BR-43-01</x:v>
      </x:c>
      <x:c r="B1118" s="13" t="str">
        <x:v>Bay</x:v>
      </x:c>
      <x:c r="C1118" s="13" t="str">
        <x:v>CT-CELL-4-BAY-1 number within range</x:v>
      </x:c>
      <x:c r="D1118" s="13" t="b">
        <x:f>AND('Bay Register'!C48&gt;=1,'Bay Register'!C48&lt;=6)</x:f>
        <x:v>1</x:v>
      </x:c>
      <x:c r="E1118" s="58" t="b">
        <x:v>1</x:v>
      </x:c>
      <x:c r="F1118" s="13" t="str">
        <x:f>IF(D1118=E1118,"PASS","FAIL")</x:f>
        <x:v>PASS</x:v>
      </x:c>
    </x:row>
    <x:row r="1119">
      <x:c r="A1119" s="13" t="str">
        <x:v>BR-43-02</x:v>
      </x:c>
      <x:c r="B1119" s="13" t="str">
        <x:v>Bay</x:v>
      </x:c>
      <x:c r="C1119" s="13" t="str">
        <x:v>CT-CELL-4-BAY-1 rate matches share</x:v>
      </x:c>
      <x:c r="D1119" s="13" t="b">
        <x:f>ABS('Bay Register'!F48-'Bay Register'!D48*'Bay Register'!E48)&lt;0.000001</x:f>
        <x:v>1</x:v>
      </x:c>
      <x:c r="E1119" s="58" t="b">
        <x:v>1</x:v>
      </x:c>
      <x:c r="F1119" s="13" t="str">
        <x:f>IF(D1119=E1119,"PASS","FAIL")</x:f>
        <x:v>PASS</x:v>
      </x:c>
    </x:row>
    <x:row r="1120">
      <x:c r="A1120" s="13" t="str">
        <x:v>BR-44-01</x:v>
      </x:c>
      <x:c r="B1120" s="13" t="str">
        <x:v>Bay</x:v>
      </x:c>
      <x:c r="C1120" s="13" t="str">
        <x:v>CT-CELL-4-BAY-2 number within range</x:v>
      </x:c>
      <x:c r="D1120" s="13" t="b">
        <x:f>AND('Bay Register'!C49&gt;=1,'Bay Register'!C49&lt;=6)</x:f>
        <x:v>1</x:v>
      </x:c>
      <x:c r="E1120" s="58" t="b">
        <x:v>1</x:v>
      </x:c>
      <x:c r="F1120" s="13" t="str">
        <x:f>IF(D1120=E1120,"PASS","FAIL")</x:f>
        <x:v>PASS</x:v>
      </x:c>
    </x:row>
    <x:row r="1121">
      <x:c r="A1121" s="13" t="str">
        <x:v>BR-44-02</x:v>
      </x:c>
      <x:c r="B1121" s="13" t="str">
        <x:v>Bay</x:v>
      </x:c>
      <x:c r="C1121" s="13" t="str">
        <x:v>CT-CELL-4-BAY-2 rate matches share</x:v>
      </x:c>
      <x:c r="D1121" s="13" t="b">
        <x:f>ABS('Bay Register'!F49-'Bay Register'!D49*'Bay Register'!E49)&lt;0.000001</x:f>
        <x:v>1</x:v>
      </x:c>
      <x:c r="E1121" s="58" t="b">
        <x:v>1</x:v>
      </x:c>
      <x:c r="F1121" s="13" t="str">
        <x:f>IF(D1121=E1121,"PASS","FAIL")</x:f>
        <x:v>PASS</x:v>
      </x:c>
    </x:row>
    <x:row r="1122">
      <x:c r="A1122" s="13" t="str">
        <x:v>BR-45-01</x:v>
      </x:c>
      <x:c r="B1122" s="13" t="str">
        <x:v>Bay</x:v>
      </x:c>
      <x:c r="C1122" s="13" t="str">
        <x:v>CT-CELL-4-BAY-3 number within range</x:v>
      </x:c>
      <x:c r="D1122" s="13" t="b">
        <x:f>AND('Bay Register'!C50&gt;=1,'Bay Register'!C50&lt;=6)</x:f>
        <x:v>1</x:v>
      </x:c>
      <x:c r="E1122" s="58" t="b">
        <x:v>1</x:v>
      </x:c>
      <x:c r="F1122" s="13" t="str">
        <x:f>IF(D1122=E1122,"PASS","FAIL")</x:f>
        <x:v>PASS</x:v>
      </x:c>
    </x:row>
    <x:row r="1123">
      <x:c r="A1123" s="13" t="str">
        <x:v>BR-45-02</x:v>
      </x:c>
      <x:c r="B1123" s="13" t="str">
        <x:v>Bay</x:v>
      </x:c>
      <x:c r="C1123" s="13" t="str">
        <x:v>CT-CELL-4-BAY-3 rate matches share</x:v>
      </x:c>
      <x:c r="D1123" s="13" t="b">
        <x:f>ABS('Bay Register'!F50-'Bay Register'!D50*'Bay Register'!E50)&lt;0.000001</x:f>
        <x:v>1</x:v>
      </x:c>
      <x:c r="E1123" s="58" t="b">
        <x:v>1</x:v>
      </x:c>
      <x:c r="F1123" s="13" t="str">
        <x:f>IF(D1123=E1123,"PASS","FAIL")</x:f>
        <x:v>PASS</x:v>
      </x:c>
    </x:row>
    <x:row r="1124">
      <x:c r="A1124" s="13" t="str">
        <x:v>BR-46-01</x:v>
      </x:c>
      <x:c r="B1124" s="13" t="str">
        <x:v>Bay</x:v>
      </x:c>
      <x:c r="C1124" s="13" t="str">
        <x:v>CT-CELL-4-BAY-4 number within range</x:v>
      </x:c>
      <x:c r="D1124" s="13" t="b">
        <x:f>AND('Bay Register'!C51&gt;=1,'Bay Register'!C51&lt;=6)</x:f>
        <x:v>1</x:v>
      </x:c>
      <x:c r="E1124" s="58" t="b">
        <x:v>1</x:v>
      </x:c>
      <x:c r="F1124" s="13" t="str">
        <x:f>IF(D1124=E1124,"PASS","FAIL")</x:f>
        <x:v>PASS</x:v>
      </x:c>
    </x:row>
    <x:row r="1125">
      <x:c r="A1125" s="13" t="str">
        <x:v>BR-46-02</x:v>
      </x:c>
      <x:c r="B1125" s="13" t="str">
        <x:v>Bay</x:v>
      </x:c>
      <x:c r="C1125" s="13" t="str">
        <x:v>CT-CELL-4-BAY-4 rate matches share</x:v>
      </x:c>
      <x:c r="D1125" s="13" t="b">
        <x:f>ABS('Bay Register'!F51-'Bay Register'!D51*'Bay Register'!E51)&lt;0.000001</x:f>
        <x:v>1</x:v>
      </x:c>
      <x:c r="E1125" s="58" t="b">
        <x:v>1</x:v>
      </x:c>
      <x:c r="F1125" s="13" t="str">
        <x:f>IF(D1125=E1125,"PASS","FAIL")</x:f>
        <x:v>PASS</x:v>
      </x:c>
    </x:row>
    <x:row r="1126">
      <x:c r="A1126" s="13" t="str">
        <x:v>BR-47-01</x:v>
      </x:c>
      <x:c r="B1126" s="13" t="str">
        <x:v>Bay</x:v>
      </x:c>
      <x:c r="C1126" s="13" t="str">
        <x:v>CT-CELL-4-BAY-5 number within range</x:v>
      </x:c>
      <x:c r="D1126" s="13" t="b">
        <x:f>AND('Bay Register'!C52&gt;=1,'Bay Register'!C52&lt;=6)</x:f>
        <x:v>1</x:v>
      </x:c>
      <x:c r="E1126" s="58" t="b">
        <x:v>1</x:v>
      </x:c>
      <x:c r="F1126" s="13" t="str">
        <x:f>IF(D1126=E1126,"PASS","FAIL")</x:f>
        <x:v>PASS</x:v>
      </x:c>
    </x:row>
    <x:row r="1127">
      <x:c r="A1127" s="13" t="str">
        <x:v>BR-47-02</x:v>
      </x:c>
      <x:c r="B1127" s="13" t="str">
        <x:v>Bay</x:v>
      </x:c>
      <x:c r="C1127" s="13" t="str">
        <x:v>CT-CELL-4-BAY-5 rate matches share</x:v>
      </x:c>
      <x:c r="D1127" s="13" t="b">
        <x:f>ABS('Bay Register'!F52-'Bay Register'!D52*'Bay Register'!E52)&lt;0.000001</x:f>
        <x:v>1</x:v>
      </x:c>
      <x:c r="E1127" s="58" t="b">
        <x:v>1</x:v>
      </x:c>
      <x:c r="F1127" s="13" t="str">
        <x:f>IF(D1127=E1127,"PASS","FAIL")</x:f>
        <x:v>PASS</x:v>
      </x:c>
    </x:row>
    <x:row r="1128">
      <x:c r="A1128" s="13" t="str">
        <x:v>BR-48-01</x:v>
      </x:c>
      <x:c r="B1128" s="13" t="str">
        <x:v>Bay</x:v>
      </x:c>
      <x:c r="C1128" s="13" t="str">
        <x:v>CT-CELL-4-BAY-6 number within range</x:v>
      </x:c>
      <x:c r="D1128" s="13" t="b">
        <x:f>AND('Bay Register'!C53&gt;=1,'Bay Register'!C53&lt;=6)</x:f>
        <x:v>1</x:v>
      </x:c>
      <x:c r="E1128" s="58" t="b">
        <x:v>1</x:v>
      </x:c>
      <x:c r="F1128" s="13" t="str">
        <x:f>IF(D1128=E1128,"PASS","FAIL")</x:f>
        <x:v>PASS</x:v>
      </x:c>
    </x:row>
    <x:row r="1129">
      <x:c r="A1129" s="13" t="str">
        <x:v>BR-48-02</x:v>
      </x:c>
      <x:c r="B1129" s="13" t="str">
        <x:v>Bay</x:v>
      </x:c>
      <x:c r="C1129" s="13" t="str">
        <x:v>CT-CELL-4-BAY-6 rate matches share</x:v>
      </x:c>
      <x:c r="D1129" s="13" t="b">
        <x:f>ABS('Bay Register'!F53-'Bay Register'!D53*'Bay Register'!E53)&lt;0.000001</x:f>
        <x:v>1</x:v>
      </x:c>
      <x:c r="E1129" s="58" t="b">
        <x:v>1</x:v>
      </x:c>
      <x:c r="F1129" s="13" t="str">
        <x:f>IF(D1129=E1129,"PASS","FAIL")</x:f>
        <x:v>PASS</x:v>
      </x:c>
    </x:row>
    <x:row r="1130">
      <x:c r="A1130" s="13" t="str">
        <x:v>BR-49-01</x:v>
      </x:c>
      <x:c r="B1130" s="13" t="str">
        <x:v>Bay</x:v>
      </x:c>
      <x:c r="C1130" s="13" t="str">
        <x:v>HC-CELL-1-BAY-1 number within range</x:v>
      </x:c>
      <x:c r="D1130" s="13" t="b">
        <x:f>AND('Bay Register'!C54&gt;=1,'Bay Register'!C54&lt;=6)</x:f>
        <x:v>1</x:v>
      </x:c>
      <x:c r="E1130" s="58" t="b">
        <x:v>1</x:v>
      </x:c>
      <x:c r="F1130" s="13" t="str">
        <x:f>IF(D1130=E1130,"PASS","FAIL")</x:f>
        <x:v>PASS</x:v>
      </x:c>
    </x:row>
    <x:row r="1131">
      <x:c r="A1131" s="13" t="str">
        <x:v>BR-49-02</x:v>
      </x:c>
      <x:c r="B1131" s="13" t="str">
        <x:v>Bay</x:v>
      </x:c>
      <x:c r="C1131" s="13" t="str">
        <x:v>HC-CELL-1-BAY-1 rate matches share</x:v>
      </x:c>
      <x:c r="D1131" s="13" t="b">
        <x:f>ABS('Bay Register'!F54-'Bay Register'!D54*'Bay Register'!E54)&lt;0.000001</x:f>
        <x:v>1</x:v>
      </x:c>
      <x:c r="E1131" s="58" t="b">
        <x:v>1</x:v>
      </x:c>
      <x:c r="F1131" s="13" t="str">
        <x:f>IF(D1131=E1131,"PASS","FAIL")</x:f>
        <x:v>PASS</x:v>
      </x:c>
    </x:row>
    <x:row r="1132">
      <x:c r="A1132" s="13" t="str">
        <x:v>BR-50-01</x:v>
      </x:c>
      <x:c r="B1132" s="13" t="str">
        <x:v>Bay</x:v>
      </x:c>
      <x:c r="C1132" s="13" t="str">
        <x:v>HC-CELL-1-BAY-2 number within range</x:v>
      </x:c>
      <x:c r="D1132" s="13" t="b">
        <x:f>AND('Bay Register'!C55&gt;=1,'Bay Register'!C55&lt;=6)</x:f>
        <x:v>1</x:v>
      </x:c>
      <x:c r="E1132" s="58" t="b">
        <x:v>1</x:v>
      </x:c>
      <x:c r="F1132" s="13" t="str">
        <x:f>IF(D1132=E1132,"PASS","FAIL")</x:f>
        <x:v>PASS</x:v>
      </x:c>
    </x:row>
    <x:row r="1133">
      <x:c r="A1133" s="13" t="str">
        <x:v>BR-50-02</x:v>
      </x:c>
      <x:c r="B1133" s="13" t="str">
        <x:v>Bay</x:v>
      </x:c>
      <x:c r="C1133" s="13" t="str">
        <x:v>HC-CELL-1-BAY-2 rate matches share</x:v>
      </x:c>
      <x:c r="D1133" s="13" t="b">
        <x:f>ABS('Bay Register'!F55-'Bay Register'!D55*'Bay Register'!E55)&lt;0.000001</x:f>
        <x:v>1</x:v>
      </x:c>
      <x:c r="E1133" s="58" t="b">
        <x:v>1</x:v>
      </x:c>
      <x:c r="F1133" s="13" t="str">
        <x:f>IF(D1133=E1133,"PASS","FAIL")</x:f>
        <x:v>PASS</x:v>
      </x:c>
    </x:row>
    <x:row r="1134">
      <x:c r="A1134" s="13" t="str">
        <x:v>BR-51-01</x:v>
      </x:c>
      <x:c r="B1134" s="13" t="str">
        <x:v>Bay</x:v>
      </x:c>
      <x:c r="C1134" s="13" t="str">
        <x:v>HC-CELL-1-BAY-3 number within range</x:v>
      </x:c>
      <x:c r="D1134" s="13" t="b">
        <x:f>AND('Bay Register'!C56&gt;=1,'Bay Register'!C56&lt;=6)</x:f>
        <x:v>1</x:v>
      </x:c>
      <x:c r="E1134" s="58" t="b">
        <x:v>1</x:v>
      </x:c>
      <x:c r="F1134" s="13" t="str">
        <x:f>IF(D1134=E1134,"PASS","FAIL")</x:f>
        <x:v>PASS</x:v>
      </x:c>
    </x:row>
    <x:row r="1135">
      <x:c r="A1135" s="13" t="str">
        <x:v>BR-51-02</x:v>
      </x:c>
      <x:c r="B1135" s="13" t="str">
        <x:v>Bay</x:v>
      </x:c>
      <x:c r="C1135" s="13" t="str">
        <x:v>HC-CELL-1-BAY-3 rate matches share</x:v>
      </x:c>
      <x:c r="D1135" s="13" t="b">
        <x:f>ABS('Bay Register'!F56-'Bay Register'!D56*'Bay Register'!E56)&lt;0.000001</x:f>
        <x:v>1</x:v>
      </x:c>
      <x:c r="E1135" s="58" t="b">
        <x:v>1</x:v>
      </x:c>
      <x:c r="F1135" s="13" t="str">
        <x:f>IF(D1135=E1135,"PASS","FAIL")</x:f>
        <x:v>PASS</x:v>
      </x:c>
    </x:row>
    <x:row r="1136">
      <x:c r="A1136" s="13" t="str">
        <x:v>BR-52-01</x:v>
      </x:c>
      <x:c r="B1136" s="13" t="str">
        <x:v>Bay</x:v>
      </x:c>
      <x:c r="C1136" s="13" t="str">
        <x:v>HC-CELL-1-BAY-4 number within range</x:v>
      </x:c>
      <x:c r="D1136" s="13" t="b">
        <x:f>AND('Bay Register'!C57&gt;=1,'Bay Register'!C57&lt;=6)</x:f>
        <x:v>1</x:v>
      </x:c>
      <x:c r="E1136" s="58" t="b">
        <x:v>1</x:v>
      </x:c>
      <x:c r="F1136" s="13" t="str">
        <x:f>IF(D1136=E1136,"PASS","FAIL")</x:f>
        <x:v>PASS</x:v>
      </x:c>
    </x:row>
    <x:row r="1137">
      <x:c r="A1137" s="13" t="str">
        <x:v>BR-52-02</x:v>
      </x:c>
      <x:c r="B1137" s="13" t="str">
        <x:v>Bay</x:v>
      </x:c>
      <x:c r="C1137" s="13" t="str">
        <x:v>HC-CELL-1-BAY-4 rate matches share</x:v>
      </x:c>
      <x:c r="D1137" s="13" t="b">
        <x:f>ABS('Bay Register'!F57-'Bay Register'!D57*'Bay Register'!E57)&lt;0.000001</x:f>
        <x:v>1</x:v>
      </x:c>
      <x:c r="E1137" s="58" t="b">
        <x:v>1</x:v>
      </x:c>
      <x:c r="F1137" s="13" t="str">
        <x:f>IF(D1137=E1137,"PASS","FAIL")</x:f>
        <x:v>PASS</x:v>
      </x:c>
    </x:row>
    <x:row r="1138">
      <x:c r="A1138" s="13" t="str">
        <x:v>BR-53-01</x:v>
      </x:c>
      <x:c r="B1138" s="13" t="str">
        <x:v>Bay</x:v>
      </x:c>
      <x:c r="C1138" s="13" t="str">
        <x:v>HC-CELL-1-BAY-5 number within range</x:v>
      </x:c>
      <x:c r="D1138" s="13" t="b">
        <x:f>AND('Bay Register'!C58&gt;=1,'Bay Register'!C58&lt;=6)</x:f>
        <x:v>1</x:v>
      </x:c>
      <x:c r="E1138" s="58" t="b">
        <x:v>1</x:v>
      </x:c>
      <x:c r="F1138" s="13" t="str">
        <x:f>IF(D1138=E1138,"PASS","FAIL")</x:f>
        <x:v>PASS</x:v>
      </x:c>
    </x:row>
    <x:row r="1139">
      <x:c r="A1139" s="13" t="str">
        <x:v>BR-53-02</x:v>
      </x:c>
      <x:c r="B1139" s="13" t="str">
        <x:v>Bay</x:v>
      </x:c>
      <x:c r="C1139" s="13" t="str">
        <x:v>HC-CELL-1-BAY-5 rate matches share</x:v>
      </x:c>
      <x:c r="D1139" s="13" t="b">
        <x:f>ABS('Bay Register'!F58-'Bay Register'!D58*'Bay Register'!E58)&lt;0.000001</x:f>
        <x:v>1</x:v>
      </x:c>
      <x:c r="E1139" s="58" t="b">
        <x:v>1</x:v>
      </x:c>
      <x:c r="F1139" s="13" t="str">
        <x:f>IF(D1139=E1139,"PASS","FAIL")</x:f>
        <x:v>PASS</x:v>
      </x:c>
    </x:row>
    <x:row r="1140">
      <x:c r="A1140" s="13" t="str">
        <x:v>BR-54-01</x:v>
      </x:c>
      <x:c r="B1140" s="13" t="str">
        <x:v>Bay</x:v>
      </x:c>
      <x:c r="C1140" s="13" t="str">
        <x:v>HC-CELL-1-BAY-6 number within range</x:v>
      </x:c>
      <x:c r="D1140" s="13" t="b">
        <x:f>AND('Bay Register'!C59&gt;=1,'Bay Register'!C59&lt;=6)</x:f>
        <x:v>1</x:v>
      </x:c>
      <x:c r="E1140" s="58" t="b">
        <x:v>1</x:v>
      </x:c>
      <x:c r="F1140" s="13" t="str">
        <x:f>IF(D1140=E1140,"PASS","FAIL")</x:f>
        <x:v>PASS</x:v>
      </x:c>
    </x:row>
    <x:row r="1141">
      <x:c r="A1141" s="13" t="str">
        <x:v>BR-54-02</x:v>
      </x:c>
      <x:c r="B1141" s="13" t="str">
        <x:v>Bay</x:v>
      </x:c>
      <x:c r="C1141" s="13" t="str">
        <x:v>HC-CELL-1-BAY-6 rate matches share</x:v>
      </x:c>
      <x:c r="D1141" s="13" t="b">
        <x:f>ABS('Bay Register'!F59-'Bay Register'!D59*'Bay Register'!E59)&lt;0.000001</x:f>
        <x:v>1</x:v>
      </x:c>
      <x:c r="E1141" s="58" t="b">
        <x:v>1</x:v>
      </x:c>
      <x:c r="F1141" s="13" t="str">
        <x:f>IF(D1141=E1141,"PASS","FAIL")</x:f>
        <x:v>PASS</x:v>
      </x:c>
    </x:row>
    <x:row r="1142">
      <x:c r="A1142" s="13" t="str">
        <x:v>BR-55-01</x:v>
      </x:c>
      <x:c r="B1142" s="13" t="str">
        <x:v>Bay</x:v>
      </x:c>
      <x:c r="C1142" s="13" t="str">
        <x:v>HC-CELL-2-BAY-1 number within range</x:v>
      </x:c>
      <x:c r="D1142" s="13" t="b">
        <x:f>AND('Bay Register'!C60&gt;=1,'Bay Register'!C60&lt;=6)</x:f>
        <x:v>1</x:v>
      </x:c>
      <x:c r="E1142" s="58" t="b">
        <x:v>1</x:v>
      </x:c>
      <x:c r="F1142" s="13" t="str">
        <x:f>IF(D1142=E1142,"PASS","FAIL")</x:f>
        <x:v>PASS</x:v>
      </x:c>
    </x:row>
    <x:row r="1143">
      <x:c r="A1143" s="13" t="str">
        <x:v>BR-55-02</x:v>
      </x:c>
      <x:c r="B1143" s="13" t="str">
        <x:v>Bay</x:v>
      </x:c>
      <x:c r="C1143" s="13" t="str">
        <x:v>HC-CELL-2-BAY-1 rate matches share</x:v>
      </x:c>
      <x:c r="D1143" s="13" t="b">
        <x:f>ABS('Bay Register'!F60-'Bay Register'!D60*'Bay Register'!E60)&lt;0.000001</x:f>
        <x:v>1</x:v>
      </x:c>
      <x:c r="E1143" s="58" t="b">
        <x:v>1</x:v>
      </x:c>
      <x:c r="F1143" s="13" t="str">
        <x:f>IF(D1143=E1143,"PASS","FAIL")</x:f>
        <x:v>PASS</x:v>
      </x:c>
    </x:row>
    <x:row r="1144">
      <x:c r="A1144" s="13" t="str">
        <x:v>BR-56-01</x:v>
      </x:c>
      <x:c r="B1144" s="13" t="str">
        <x:v>Bay</x:v>
      </x:c>
      <x:c r="C1144" s="13" t="str">
        <x:v>HC-CELL-2-BAY-2 number within range</x:v>
      </x:c>
      <x:c r="D1144" s="13" t="b">
        <x:f>AND('Bay Register'!C61&gt;=1,'Bay Register'!C61&lt;=6)</x:f>
        <x:v>1</x:v>
      </x:c>
      <x:c r="E1144" s="58" t="b">
        <x:v>1</x:v>
      </x:c>
      <x:c r="F1144" s="13" t="str">
        <x:f>IF(D1144=E1144,"PASS","FAIL")</x:f>
        <x:v>PASS</x:v>
      </x:c>
    </x:row>
    <x:row r="1145">
      <x:c r="A1145" s="13" t="str">
        <x:v>BR-56-02</x:v>
      </x:c>
      <x:c r="B1145" s="13" t="str">
        <x:v>Bay</x:v>
      </x:c>
      <x:c r="C1145" s="13" t="str">
        <x:v>HC-CELL-2-BAY-2 rate matches share</x:v>
      </x:c>
      <x:c r="D1145" s="13" t="b">
        <x:f>ABS('Bay Register'!F61-'Bay Register'!D61*'Bay Register'!E61)&lt;0.000001</x:f>
        <x:v>1</x:v>
      </x:c>
      <x:c r="E1145" s="58" t="b">
        <x:v>1</x:v>
      </x:c>
      <x:c r="F1145" s="13" t="str">
        <x:f>IF(D1145=E1145,"PASS","FAIL")</x:f>
        <x:v>PASS</x:v>
      </x:c>
    </x:row>
    <x:row r="1146">
      <x:c r="A1146" s="13" t="str">
        <x:v>BR-57-01</x:v>
      </x:c>
      <x:c r="B1146" s="13" t="str">
        <x:v>Bay</x:v>
      </x:c>
      <x:c r="C1146" s="13" t="str">
        <x:v>HC-CELL-2-BAY-3 number within range</x:v>
      </x:c>
      <x:c r="D1146" s="13" t="b">
        <x:f>AND('Bay Register'!C62&gt;=1,'Bay Register'!C62&lt;=6)</x:f>
        <x:v>1</x:v>
      </x:c>
      <x:c r="E1146" s="58" t="b">
        <x:v>1</x:v>
      </x:c>
      <x:c r="F1146" s="13" t="str">
        <x:f>IF(D1146=E1146,"PASS","FAIL")</x:f>
        <x:v>PASS</x:v>
      </x:c>
    </x:row>
    <x:row r="1147">
      <x:c r="A1147" s="13" t="str">
        <x:v>BR-57-02</x:v>
      </x:c>
      <x:c r="B1147" s="13" t="str">
        <x:v>Bay</x:v>
      </x:c>
      <x:c r="C1147" s="13" t="str">
        <x:v>HC-CELL-2-BAY-3 rate matches share</x:v>
      </x:c>
      <x:c r="D1147" s="13" t="b">
        <x:f>ABS('Bay Register'!F62-'Bay Register'!D62*'Bay Register'!E62)&lt;0.000001</x:f>
        <x:v>1</x:v>
      </x:c>
      <x:c r="E1147" s="58" t="b">
        <x:v>1</x:v>
      </x:c>
      <x:c r="F1147" s="13" t="str">
        <x:f>IF(D1147=E1147,"PASS","FAIL")</x:f>
        <x:v>PASS</x:v>
      </x:c>
    </x:row>
    <x:row r="1148">
      <x:c r="A1148" s="13" t="str">
        <x:v>BR-58-01</x:v>
      </x:c>
      <x:c r="B1148" s="13" t="str">
        <x:v>Bay</x:v>
      </x:c>
      <x:c r="C1148" s="13" t="str">
        <x:v>HC-CELL-2-BAY-4 number within range</x:v>
      </x:c>
      <x:c r="D1148" s="13" t="b">
        <x:f>AND('Bay Register'!C63&gt;=1,'Bay Register'!C63&lt;=6)</x:f>
        <x:v>1</x:v>
      </x:c>
      <x:c r="E1148" s="58" t="b">
        <x:v>1</x:v>
      </x:c>
      <x:c r="F1148" s="13" t="str">
        <x:f>IF(D1148=E1148,"PASS","FAIL")</x:f>
        <x:v>PASS</x:v>
      </x:c>
    </x:row>
    <x:row r="1149">
      <x:c r="A1149" s="13" t="str">
        <x:v>BR-58-02</x:v>
      </x:c>
      <x:c r="B1149" s="13" t="str">
        <x:v>Bay</x:v>
      </x:c>
      <x:c r="C1149" s="13" t="str">
        <x:v>HC-CELL-2-BAY-4 rate matches share</x:v>
      </x:c>
      <x:c r="D1149" s="13" t="b">
        <x:f>ABS('Bay Register'!F63-'Bay Register'!D63*'Bay Register'!E63)&lt;0.000001</x:f>
        <x:v>1</x:v>
      </x:c>
      <x:c r="E1149" s="58" t="b">
        <x:v>1</x:v>
      </x:c>
      <x:c r="F1149" s="13" t="str">
        <x:f>IF(D1149=E1149,"PASS","FAIL")</x:f>
        <x:v>PASS</x:v>
      </x:c>
    </x:row>
    <x:row r="1150">
      <x:c r="A1150" s="13" t="str">
        <x:v>BR-59-01</x:v>
      </x:c>
      <x:c r="B1150" s="13" t="str">
        <x:v>Bay</x:v>
      </x:c>
      <x:c r="C1150" s="13" t="str">
        <x:v>HC-CELL-2-BAY-5 number within range</x:v>
      </x:c>
      <x:c r="D1150" s="13" t="b">
        <x:f>AND('Bay Register'!C64&gt;=1,'Bay Register'!C64&lt;=6)</x:f>
        <x:v>1</x:v>
      </x:c>
      <x:c r="E1150" s="58" t="b">
        <x:v>1</x:v>
      </x:c>
      <x:c r="F1150" s="13" t="str">
        <x:f>IF(D1150=E1150,"PASS","FAIL")</x:f>
        <x:v>PASS</x:v>
      </x:c>
    </x:row>
    <x:row r="1151">
      <x:c r="A1151" s="13" t="str">
        <x:v>BR-59-02</x:v>
      </x:c>
      <x:c r="B1151" s="13" t="str">
        <x:v>Bay</x:v>
      </x:c>
      <x:c r="C1151" s="13" t="str">
        <x:v>HC-CELL-2-BAY-5 rate matches share</x:v>
      </x:c>
      <x:c r="D1151" s="13" t="b">
        <x:f>ABS('Bay Register'!F64-'Bay Register'!D64*'Bay Register'!E64)&lt;0.000001</x:f>
        <x:v>1</x:v>
      </x:c>
      <x:c r="E1151" s="58" t="b">
        <x:v>1</x:v>
      </x:c>
      <x:c r="F1151" s="13" t="str">
        <x:f>IF(D1151=E1151,"PASS","FAIL")</x:f>
        <x:v>PASS</x:v>
      </x:c>
    </x:row>
    <x:row r="1152">
      <x:c r="A1152" s="13" t="str">
        <x:v>BR-60-01</x:v>
      </x:c>
      <x:c r="B1152" s="13" t="str">
        <x:v>Bay</x:v>
      </x:c>
      <x:c r="C1152" s="13" t="str">
        <x:v>HC-CELL-2-BAY-6 number within range</x:v>
      </x:c>
      <x:c r="D1152" s="13" t="b">
        <x:f>AND('Bay Register'!C65&gt;=1,'Bay Register'!C65&lt;=6)</x:f>
        <x:v>1</x:v>
      </x:c>
      <x:c r="E1152" s="58" t="b">
        <x:v>1</x:v>
      </x:c>
      <x:c r="F1152" s="13" t="str">
        <x:f>IF(D1152=E1152,"PASS","FAIL")</x:f>
        <x:v>PASS</x:v>
      </x:c>
    </x:row>
    <x:row r="1153">
      <x:c r="A1153" s="13" t="str">
        <x:v>BR-60-02</x:v>
      </x:c>
      <x:c r="B1153" s="13" t="str">
        <x:v>Bay</x:v>
      </x:c>
      <x:c r="C1153" s="13" t="str">
        <x:v>HC-CELL-2-BAY-6 rate matches share</x:v>
      </x:c>
      <x:c r="D1153" s="13" t="b">
        <x:f>ABS('Bay Register'!F65-'Bay Register'!D65*'Bay Register'!E65)&lt;0.000001</x:f>
        <x:v>1</x:v>
      </x:c>
      <x:c r="E1153" s="58" t="b">
        <x:v>1</x:v>
      </x:c>
      <x:c r="F1153" s="13" t="str">
        <x:f>IF(D1153=E1153,"PASS","FAIL")</x:f>
        <x:v>PASS</x:v>
      </x:c>
    </x:row>
    <x:row r="1154">
      <x:c r="A1154" s="13" t="str">
        <x:v>BR-61-01</x:v>
      </x:c>
      <x:c r="B1154" s="13" t="str">
        <x:v>Bay</x:v>
      </x:c>
      <x:c r="C1154" s="13" t="str">
        <x:v>HC-CELL-3-BAY-1 number within range</x:v>
      </x:c>
      <x:c r="D1154" s="13" t="b">
        <x:f>AND('Bay Register'!C66&gt;=1,'Bay Register'!C66&lt;=6)</x:f>
        <x:v>1</x:v>
      </x:c>
      <x:c r="E1154" s="58" t="b">
        <x:v>1</x:v>
      </x:c>
      <x:c r="F1154" s="13" t="str">
        <x:f>IF(D1154=E1154,"PASS","FAIL")</x:f>
        <x:v>PASS</x:v>
      </x:c>
    </x:row>
    <x:row r="1155">
      <x:c r="A1155" s="13" t="str">
        <x:v>BR-61-02</x:v>
      </x:c>
      <x:c r="B1155" s="13" t="str">
        <x:v>Bay</x:v>
      </x:c>
      <x:c r="C1155" s="13" t="str">
        <x:v>HC-CELL-3-BAY-1 rate matches share</x:v>
      </x:c>
      <x:c r="D1155" s="13" t="b">
        <x:f>ABS('Bay Register'!F66-'Bay Register'!D66*'Bay Register'!E66)&lt;0.000001</x:f>
        <x:v>1</x:v>
      </x:c>
      <x:c r="E1155" s="58" t="b">
        <x:v>1</x:v>
      </x:c>
      <x:c r="F1155" s="13" t="str">
        <x:f>IF(D1155=E1155,"PASS","FAIL")</x:f>
        <x:v>PASS</x:v>
      </x:c>
    </x:row>
    <x:row r="1156">
      <x:c r="A1156" s="13" t="str">
        <x:v>BR-62-01</x:v>
      </x:c>
      <x:c r="B1156" s="13" t="str">
        <x:v>Bay</x:v>
      </x:c>
      <x:c r="C1156" s="13" t="str">
        <x:v>HC-CELL-3-BAY-2 number within range</x:v>
      </x:c>
      <x:c r="D1156" s="13" t="b">
        <x:f>AND('Bay Register'!C67&gt;=1,'Bay Register'!C67&lt;=6)</x:f>
        <x:v>1</x:v>
      </x:c>
      <x:c r="E1156" s="58" t="b">
        <x:v>1</x:v>
      </x:c>
      <x:c r="F1156" s="13" t="str">
        <x:f>IF(D1156=E1156,"PASS","FAIL")</x:f>
        <x:v>PASS</x:v>
      </x:c>
    </x:row>
    <x:row r="1157">
      <x:c r="A1157" s="13" t="str">
        <x:v>BR-62-02</x:v>
      </x:c>
      <x:c r="B1157" s="13" t="str">
        <x:v>Bay</x:v>
      </x:c>
      <x:c r="C1157" s="13" t="str">
        <x:v>HC-CELL-3-BAY-2 rate matches share</x:v>
      </x:c>
      <x:c r="D1157" s="13" t="b">
        <x:f>ABS('Bay Register'!F67-'Bay Register'!D67*'Bay Register'!E67)&lt;0.000001</x:f>
        <x:v>1</x:v>
      </x:c>
      <x:c r="E1157" s="58" t="b">
        <x:v>1</x:v>
      </x:c>
      <x:c r="F1157" s="13" t="str">
        <x:f>IF(D1157=E1157,"PASS","FAIL")</x:f>
        <x:v>PASS</x:v>
      </x:c>
    </x:row>
    <x:row r="1158">
      <x:c r="A1158" s="13" t="str">
        <x:v>BR-63-01</x:v>
      </x:c>
      <x:c r="B1158" s="13" t="str">
        <x:v>Bay</x:v>
      </x:c>
      <x:c r="C1158" s="13" t="str">
        <x:v>HC-CELL-3-BAY-3 number within range</x:v>
      </x:c>
      <x:c r="D1158" s="13" t="b">
        <x:f>AND('Bay Register'!C68&gt;=1,'Bay Register'!C68&lt;=6)</x:f>
        <x:v>1</x:v>
      </x:c>
      <x:c r="E1158" s="58" t="b">
        <x:v>1</x:v>
      </x:c>
      <x:c r="F1158" s="13" t="str">
        <x:f>IF(D1158=E1158,"PASS","FAIL")</x:f>
        <x:v>PASS</x:v>
      </x:c>
    </x:row>
    <x:row r="1159">
      <x:c r="A1159" s="13" t="str">
        <x:v>BR-63-02</x:v>
      </x:c>
      <x:c r="B1159" s="13" t="str">
        <x:v>Bay</x:v>
      </x:c>
      <x:c r="C1159" s="13" t="str">
        <x:v>HC-CELL-3-BAY-3 rate matches share</x:v>
      </x:c>
      <x:c r="D1159" s="13" t="b">
        <x:f>ABS('Bay Register'!F68-'Bay Register'!D68*'Bay Register'!E68)&lt;0.000001</x:f>
        <x:v>1</x:v>
      </x:c>
      <x:c r="E1159" s="58" t="b">
        <x:v>1</x:v>
      </x:c>
      <x:c r="F1159" s="13" t="str">
        <x:f>IF(D1159=E1159,"PASS","FAIL")</x:f>
        <x:v>PASS</x:v>
      </x:c>
    </x:row>
    <x:row r="1160">
      <x:c r="A1160" s="13" t="str">
        <x:v>BR-64-01</x:v>
      </x:c>
      <x:c r="B1160" s="13" t="str">
        <x:v>Bay</x:v>
      </x:c>
      <x:c r="C1160" s="13" t="str">
        <x:v>HC-CELL-3-BAY-4 number within range</x:v>
      </x:c>
      <x:c r="D1160" s="13" t="b">
        <x:f>AND('Bay Register'!C69&gt;=1,'Bay Register'!C69&lt;=6)</x:f>
        <x:v>1</x:v>
      </x:c>
      <x:c r="E1160" s="58" t="b">
        <x:v>1</x:v>
      </x:c>
      <x:c r="F1160" s="13" t="str">
        <x:f>IF(D1160=E1160,"PASS","FAIL")</x:f>
        <x:v>PASS</x:v>
      </x:c>
    </x:row>
    <x:row r="1161">
      <x:c r="A1161" s="13" t="str">
        <x:v>BR-64-02</x:v>
      </x:c>
      <x:c r="B1161" s="13" t="str">
        <x:v>Bay</x:v>
      </x:c>
      <x:c r="C1161" s="13" t="str">
        <x:v>HC-CELL-3-BAY-4 rate matches share</x:v>
      </x:c>
      <x:c r="D1161" s="13" t="b">
        <x:f>ABS('Bay Register'!F69-'Bay Register'!D69*'Bay Register'!E69)&lt;0.000001</x:f>
        <x:v>1</x:v>
      </x:c>
      <x:c r="E1161" s="58" t="b">
        <x:v>1</x:v>
      </x:c>
      <x:c r="F1161" s="13" t="str">
        <x:f>IF(D1161=E1161,"PASS","FAIL")</x:f>
        <x:v>PASS</x:v>
      </x:c>
    </x:row>
    <x:row r="1162">
      <x:c r="A1162" s="13" t="str">
        <x:v>BR-65-01</x:v>
      </x:c>
      <x:c r="B1162" s="13" t="str">
        <x:v>Bay</x:v>
      </x:c>
      <x:c r="C1162" s="13" t="str">
        <x:v>HC-CELL-3-BAY-5 number within range</x:v>
      </x:c>
      <x:c r="D1162" s="13" t="b">
        <x:f>AND('Bay Register'!C70&gt;=1,'Bay Register'!C70&lt;=6)</x:f>
        <x:v>1</x:v>
      </x:c>
      <x:c r="E1162" s="58" t="b">
        <x:v>1</x:v>
      </x:c>
      <x:c r="F1162" s="13" t="str">
        <x:f>IF(D1162=E1162,"PASS","FAIL")</x:f>
        <x:v>PASS</x:v>
      </x:c>
    </x:row>
    <x:row r="1163">
      <x:c r="A1163" s="13" t="str">
        <x:v>BR-65-02</x:v>
      </x:c>
      <x:c r="B1163" s="13" t="str">
        <x:v>Bay</x:v>
      </x:c>
      <x:c r="C1163" s="13" t="str">
        <x:v>HC-CELL-3-BAY-5 rate matches share</x:v>
      </x:c>
      <x:c r="D1163" s="13" t="b">
        <x:f>ABS('Bay Register'!F70-'Bay Register'!D70*'Bay Register'!E70)&lt;0.000001</x:f>
        <x:v>1</x:v>
      </x:c>
      <x:c r="E1163" s="58" t="b">
        <x:v>1</x:v>
      </x:c>
      <x:c r="F1163" s="13" t="str">
        <x:f>IF(D1163=E1163,"PASS","FAIL")</x:f>
        <x:v>PASS</x:v>
      </x:c>
    </x:row>
    <x:row r="1164">
      <x:c r="A1164" s="13" t="str">
        <x:v>BR-66-01</x:v>
      </x:c>
      <x:c r="B1164" s="13" t="str">
        <x:v>Bay</x:v>
      </x:c>
      <x:c r="C1164" s="13" t="str">
        <x:v>HC-CELL-3-BAY-6 number within range</x:v>
      </x:c>
      <x:c r="D1164" s="13" t="b">
        <x:f>AND('Bay Register'!C71&gt;=1,'Bay Register'!C71&lt;=6)</x:f>
        <x:v>1</x:v>
      </x:c>
      <x:c r="E1164" s="58" t="b">
        <x:v>1</x:v>
      </x:c>
      <x:c r="F1164" s="13" t="str">
        <x:f>IF(D1164=E1164,"PASS","FAIL")</x:f>
        <x:v>PASS</x:v>
      </x:c>
    </x:row>
    <x:row r="1165">
      <x:c r="A1165" s="13" t="str">
        <x:v>BR-66-02</x:v>
      </x:c>
      <x:c r="B1165" s="13" t="str">
        <x:v>Bay</x:v>
      </x:c>
      <x:c r="C1165" s="13" t="str">
        <x:v>HC-CELL-3-BAY-6 rate matches share</x:v>
      </x:c>
      <x:c r="D1165" s="13" t="b">
        <x:f>ABS('Bay Register'!F71-'Bay Register'!D71*'Bay Register'!E71)&lt;0.000001</x:f>
        <x:v>1</x:v>
      </x:c>
      <x:c r="E1165" s="58" t="b">
        <x:v>1</x:v>
      </x:c>
      <x:c r="F1165" s="13" t="str">
        <x:f>IF(D1165=E1165,"PASS","FAIL")</x:f>
        <x:v>PASS</x:v>
      </x:c>
    </x:row>
    <x:row r="1166">
      <x:c r="A1166" s="13" t="str">
        <x:v>BR-67-01</x:v>
      </x:c>
      <x:c r="B1166" s="13" t="str">
        <x:v>Bay</x:v>
      </x:c>
      <x:c r="C1166" s="13" t="str">
        <x:v>HC-CELL-4-BAY-1 number within range</x:v>
      </x:c>
      <x:c r="D1166" s="13" t="b">
        <x:f>AND('Bay Register'!C72&gt;=1,'Bay Register'!C72&lt;=6)</x:f>
        <x:v>1</x:v>
      </x:c>
      <x:c r="E1166" s="58" t="b">
        <x:v>1</x:v>
      </x:c>
      <x:c r="F1166" s="13" t="str">
        <x:f>IF(D1166=E1166,"PASS","FAIL")</x:f>
        <x:v>PASS</x:v>
      </x:c>
    </x:row>
    <x:row r="1167">
      <x:c r="A1167" s="13" t="str">
        <x:v>BR-67-02</x:v>
      </x:c>
      <x:c r="B1167" s="13" t="str">
        <x:v>Bay</x:v>
      </x:c>
      <x:c r="C1167" s="13" t="str">
        <x:v>HC-CELL-4-BAY-1 rate matches share</x:v>
      </x:c>
      <x:c r="D1167" s="13" t="b">
        <x:f>ABS('Bay Register'!F72-'Bay Register'!D72*'Bay Register'!E72)&lt;0.000001</x:f>
        <x:v>1</x:v>
      </x:c>
      <x:c r="E1167" s="58" t="b">
        <x:v>1</x:v>
      </x:c>
      <x:c r="F1167" s="13" t="str">
        <x:f>IF(D1167=E1167,"PASS","FAIL")</x:f>
        <x:v>PASS</x:v>
      </x:c>
    </x:row>
    <x:row r="1168">
      <x:c r="A1168" s="13" t="str">
        <x:v>BR-68-01</x:v>
      </x:c>
      <x:c r="B1168" s="13" t="str">
        <x:v>Bay</x:v>
      </x:c>
      <x:c r="C1168" s="13" t="str">
        <x:v>HC-CELL-4-BAY-2 number within range</x:v>
      </x:c>
      <x:c r="D1168" s="13" t="b">
        <x:f>AND('Bay Register'!C73&gt;=1,'Bay Register'!C73&lt;=6)</x:f>
        <x:v>1</x:v>
      </x:c>
      <x:c r="E1168" s="58" t="b">
        <x:v>1</x:v>
      </x:c>
      <x:c r="F1168" s="13" t="str">
        <x:f>IF(D1168=E1168,"PASS","FAIL")</x:f>
        <x:v>PASS</x:v>
      </x:c>
    </x:row>
    <x:row r="1169">
      <x:c r="A1169" s="13" t="str">
        <x:v>BR-68-02</x:v>
      </x:c>
      <x:c r="B1169" s="13" t="str">
        <x:v>Bay</x:v>
      </x:c>
      <x:c r="C1169" s="13" t="str">
        <x:v>HC-CELL-4-BAY-2 rate matches share</x:v>
      </x:c>
      <x:c r="D1169" s="13" t="b">
        <x:f>ABS('Bay Register'!F73-'Bay Register'!D73*'Bay Register'!E73)&lt;0.000001</x:f>
        <x:v>1</x:v>
      </x:c>
      <x:c r="E1169" s="58" t="b">
        <x:v>1</x:v>
      </x:c>
      <x:c r="F1169" s="13" t="str">
        <x:f>IF(D1169=E1169,"PASS","FAIL")</x:f>
        <x:v>PASS</x:v>
      </x:c>
    </x:row>
    <x:row r="1170">
      <x:c r="A1170" s="13" t="str">
        <x:v>BR-69-01</x:v>
      </x:c>
      <x:c r="B1170" s="13" t="str">
        <x:v>Bay</x:v>
      </x:c>
      <x:c r="C1170" s="13" t="str">
        <x:v>HC-CELL-4-BAY-3 number within range</x:v>
      </x:c>
      <x:c r="D1170" s="13" t="b">
        <x:f>AND('Bay Register'!C74&gt;=1,'Bay Register'!C74&lt;=6)</x:f>
        <x:v>1</x:v>
      </x:c>
      <x:c r="E1170" s="58" t="b">
        <x:v>1</x:v>
      </x:c>
      <x:c r="F1170" s="13" t="str">
        <x:f>IF(D1170=E1170,"PASS","FAIL")</x:f>
        <x:v>PASS</x:v>
      </x:c>
    </x:row>
    <x:row r="1171">
      <x:c r="A1171" s="13" t="str">
        <x:v>BR-69-02</x:v>
      </x:c>
      <x:c r="B1171" s="13" t="str">
        <x:v>Bay</x:v>
      </x:c>
      <x:c r="C1171" s="13" t="str">
        <x:v>HC-CELL-4-BAY-3 rate matches share</x:v>
      </x:c>
      <x:c r="D1171" s="13" t="b">
        <x:f>ABS('Bay Register'!F74-'Bay Register'!D74*'Bay Register'!E74)&lt;0.000001</x:f>
        <x:v>1</x:v>
      </x:c>
      <x:c r="E1171" s="58" t="b">
        <x:v>1</x:v>
      </x:c>
      <x:c r="F1171" s="13" t="str">
        <x:f>IF(D1171=E1171,"PASS","FAIL")</x:f>
        <x:v>PASS</x:v>
      </x:c>
    </x:row>
    <x:row r="1172">
      <x:c r="A1172" s="13" t="str">
        <x:v>BR-70-01</x:v>
      </x:c>
      <x:c r="B1172" s="13" t="str">
        <x:v>Bay</x:v>
      </x:c>
      <x:c r="C1172" s="13" t="str">
        <x:v>HC-CELL-4-BAY-4 number within range</x:v>
      </x:c>
      <x:c r="D1172" s="13" t="b">
        <x:f>AND('Bay Register'!C75&gt;=1,'Bay Register'!C75&lt;=6)</x:f>
        <x:v>1</x:v>
      </x:c>
      <x:c r="E1172" s="58" t="b">
        <x:v>1</x:v>
      </x:c>
      <x:c r="F1172" s="13" t="str">
        <x:f>IF(D1172=E1172,"PASS","FAIL")</x:f>
        <x:v>PASS</x:v>
      </x:c>
    </x:row>
    <x:row r="1173">
      <x:c r="A1173" s="13" t="str">
        <x:v>BR-70-02</x:v>
      </x:c>
      <x:c r="B1173" s="13" t="str">
        <x:v>Bay</x:v>
      </x:c>
      <x:c r="C1173" s="13" t="str">
        <x:v>HC-CELL-4-BAY-4 rate matches share</x:v>
      </x:c>
      <x:c r="D1173" s="13" t="b">
        <x:f>ABS('Bay Register'!F75-'Bay Register'!D75*'Bay Register'!E75)&lt;0.000001</x:f>
        <x:v>1</x:v>
      </x:c>
      <x:c r="E1173" s="58" t="b">
        <x:v>1</x:v>
      </x:c>
      <x:c r="F1173" s="13" t="str">
        <x:f>IF(D1173=E1173,"PASS","FAIL")</x:f>
        <x:v>PASS</x:v>
      </x:c>
    </x:row>
    <x:row r="1174">
      <x:c r="A1174" s="13" t="str">
        <x:v>BR-71-01</x:v>
      </x:c>
      <x:c r="B1174" s="13" t="str">
        <x:v>Bay</x:v>
      </x:c>
      <x:c r="C1174" s="13" t="str">
        <x:v>HC-CELL-4-BAY-5 number within range</x:v>
      </x:c>
      <x:c r="D1174" s="13" t="b">
        <x:f>AND('Bay Register'!C76&gt;=1,'Bay Register'!C76&lt;=6)</x:f>
        <x:v>1</x:v>
      </x:c>
      <x:c r="E1174" s="58" t="b">
        <x:v>1</x:v>
      </x:c>
      <x:c r="F1174" s="13" t="str">
        <x:f>IF(D1174=E1174,"PASS","FAIL")</x:f>
        <x:v>PASS</x:v>
      </x:c>
    </x:row>
    <x:row r="1175">
      <x:c r="A1175" s="13" t="str">
        <x:v>BR-71-02</x:v>
      </x:c>
      <x:c r="B1175" s="13" t="str">
        <x:v>Bay</x:v>
      </x:c>
      <x:c r="C1175" s="13" t="str">
        <x:v>HC-CELL-4-BAY-5 rate matches share</x:v>
      </x:c>
      <x:c r="D1175" s="13" t="b">
        <x:f>ABS('Bay Register'!F76-'Bay Register'!D76*'Bay Register'!E76)&lt;0.000001</x:f>
        <x:v>1</x:v>
      </x:c>
      <x:c r="E1175" s="58" t="b">
        <x:v>1</x:v>
      </x:c>
      <x:c r="F1175" s="13" t="str">
        <x:f>IF(D1175=E1175,"PASS","FAIL")</x:f>
        <x:v>PASS</x:v>
      </x:c>
    </x:row>
    <x:row r="1176">
      <x:c r="A1176" s="13" t="str">
        <x:v>BR-72-01</x:v>
      </x:c>
      <x:c r="B1176" s="13" t="str">
        <x:v>Bay</x:v>
      </x:c>
      <x:c r="C1176" s="13" t="str">
        <x:v>HC-CELL-4-BAY-6 number within range</x:v>
      </x:c>
      <x:c r="D1176" s="13" t="b">
        <x:f>AND('Bay Register'!C77&gt;=1,'Bay Register'!C77&lt;=6)</x:f>
        <x:v>1</x:v>
      </x:c>
      <x:c r="E1176" s="58" t="b">
        <x:v>1</x:v>
      </x:c>
      <x:c r="F1176" s="13" t="str">
        <x:f>IF(D1176=E1176,"PASS","FAIL")</x:f>
        <x:v>PASS</x:v>
      </x:c>
    </x:row>
    <x:row r="1177">
      <x:c r="A1177" s="13" t="str">
        <x:v>BR-72-02</x:v>
      </x:c>
      <x:c r="B1177" s="13" t="str">
        <x:v>Bay</x:v>
      </x:c>
      <x:c r="C1177" s="13" t="str">
        <x:v>HC-CELL-4-BAY-6 rate matches share</x:v>
      </x:c>
      <x:c r="D1177" s="13" t="b">
        <x:f>ABS('Bay Register'!F77-'Bay Register'!D77*'Bay Register'!E77)&lt;0.000001</x:f>
        <x:v>1</x:v>
      </x:c>
      <x:c r="E1177" s="58" t="b">
        <x:v>1</x:v>
      </x:c>
      <x:c r="F1177" s="13" t="str">
        <x:f>IF(D1177=E1177,"PASS","FAIL")</x:f>
        <x:v>PASS</x:v>
      </x:c>
    </x:row>
    <x:row r="1178">
      <x:c r="A1178" s="13" t="str">
        <x:v>BR-73-01</x:v>
      </x:c>
      <x:c r="B1178" s="13" t="str">
        <x:v>Bay</x:v>
      </x:c>
      <x:c r="C1178" s="13" t="str">
        <x:v>LF-CELL-1-BAY-1 number within range</x:v>
      </x:c>
      <x:c r="D1178" s="13" t="b">
        <x:f>AND('Bay Register'!C78&gt;=1,'Bay Register'!C78&lt;=6)</x:f>
        <x:v>1</x:v>
      </x:c>
      <x:c r="E1178" s="58" t="b">
        <x:v>1</x:v>
      </x:c>
      <x:c r="F1178" s="13" t="str">
        <x:f>IF(D1178=E1178,"PASS","FAIL")</x:f>
        <x:v>PASS</x:v>
      </x:c>
    </x:row>
    <x:row r="1179">
      <x:c r="A1179" s="13" t="str">
        <x:v>BR-73-02</x:v>
      </x:c>
      <x:c r="B1179" s="13" t="str">
        <x:v>Bay</x:v>
      </x:c>
      <x:c r="C1179" s="13" t="str">
        <x:v>LF-CELL-1-BAY-1 rate matches share</x:v>
      </x:c>
      <x:c r="D1179" s="13" t="b">
        <x:f>ABS('Bay Register'!F78-'Bay Register'!D78*'Bay Register'!E78)&lt;0.000001</x:f>
        <x:v>1</x:v>
      </x:c>
      <x:c r="E1179" s="58" t="b">
        <x:v>1</x:v>
      </x:c>
      <x:c r="F1179" s="13" t="str">
        <x:f>IF(D1179=E1179,"PASS","FAIL")</x:f>
        <x:v>PASS</x:v>
      </x:c>
    </x:row>
    <x:row r="1180">
      <x:c r="A1180" s="13" t="str">
        <x:v>BR-74-01</x:v>
      </x:c>
      <x:c r="B1180" s="13" t="str">
        <x:v>Bay</x:v>
      </x:c>
      <x:c r="C1180" s="13" t="str">
        <x:v>LF-CELL-1-BAY-2 number within range</x:v>
      </x:c>
      <x:c r="D1180" s="13" t="b">
        <x:f>AND('Bay Register'!C79&gt;=1,'Bay Register'!C79&lt;=6)</x:f>
        <x:v>1</x:v>
      </x:c>
      <x:c r="E1180" s="58" t="b">
        <x:v>1</x:v>
      </x:c>
      <x:c r="F1180" s="13" t="str">
        <x:f>IF(D1180=E1180,"PASS","FAIL")</x:f>
        <x:v>PASS</x:v>
      </x:c>
    </x:row>
    <x:row r="1181">
      <x:c r="A1181" s="13" t="str">
        <x:v>BR-74-02</x:v>
      </x:c>
      <x:c r="B1181" s="13" t="str">
        <x:v>Bay</x:v>
      </x:c>
      <x:c r="C1181" s="13" t="str">
        <x:v>LF-CELL-1-BAY-2 rate matches share</x:v>
      </x:c>
      <x:c r="D1181" s="13" t="b">
        <x:f>ABS('Bay Register'!F79-'Bay Register'!D79*'Bay Register'!E79)&lt;0.000001</x:f>
        <x:v>1</x:v>
      </x:c>
      <x:c r="E1181" s="58" t="b">
        <x:v>1</x:v>
      </x:c>
      <x:c r="F1181" s="13" t="str">
        <x:f>IF(D1181=E1181,"PASS","FAIL")</x:f>
        <x:v>PASS</x:v>
      </x:c>
    </x:row>
    <x:row r="1182">
      <x:c r="A1182" s="13" t="str">
        <x:v>BR-75-01</x:v>
      </x:c>
      <x:c r="B1182" s="13" t="str">
        <x:v>Bay</x:v>
      </x:c>
      <x:c r="C1182" s="13" t="str">
        <x:v>LF-CELL-1-BAY-3 number within range</x:v>
      </x:c>
      <x:c r="D1182" s="13" t="b">
        <x:f>AND('Bay Register'!C80&gt;=1,'Bay Register'!C80&lt;=6)</x:f>
        <x:v>1</x:v>
      </x:c>
      <x:c r="E1182" s="58" t="b">
        <x:v>1</x:v>
      </x:c>
      <x:c r="F1182" s="13" t="str">
        <x:f>IF(D1182=E1182,"PASS","FAIL")</x:f>
        <x:v>PASS</x:v>
      </x:c>
    </x:row>
    <x:row r="1183">
      <x:c r="A1183" s="13" t="str">
        <x:v>BR-75-02</x:v>
      </x:c>
      <x:c r="B1183" s="13" t="str">
        <x:v>Bay</x:v>
      </x:c>
      <x:c r="C1183" s="13" t="str">
        <x:v>LF-CELL-1-BAY-3 rate matches share</x:v>
      </x:c>
      <x:c r="D1183" s="13" t="b">
        <x:f>ABS('Bay Register'!F80-'Bay Register'!D80*'Bay Register'!E80)&lt;0.000001</x:f>
        <x:v>1</x:v>
      </x:c>
      <x:c r="E1183" s="58" t="b">
        <x:v>1</x:v>
      </x:c>
      <x:c r="F1183" s="13" t="str">
        <x:f>IF(D1183=E1183,"PASS","FAIL")</x:f>
        <x:v>PASS</x:v>
      </x:c>
    </x:row>
    <x:row r="1184">
      <x:c r="A1184" s="13" t="str">
        <x:v>BR-76-01</x:v>
      </x:c>
      <x:c r="B1184" s="13" t="str">
        <x:v>Bay</x:v>
      </x:c>
      <x:c r="C1184" s="13" t="str">
        <x:v>LF-CELL-1-BAY-4 number within range</x:v>
      </x:c>
      <x:c r="D1184" s="13" t="b">
        <x:f>AND('Bay Register'!C81&gt;=1,'Bay Register'!C81&lt;=6)</x:f>
        <x:v>1</x:v>
      </x:c>
      <x:c r="E1184" s="58" t="b">
        <x:v>1</x:v>
      </x:c>
      <x:c r="F1184" s="13" t="str">
        <x:f>IF(D1184=E1184,"PASS","FAIL")</x:f>
        <x:v>PASS</x:v>
      </x:c>
    </x:row>
    <x:row r="1185">
      <x:c r="A1185" s="13" t="str">
        <x:v>BR-76-02</x:v>
      </x:c>
      <x:c r="B1185" s="13" t="str">
        <x:v>Bay</x:v>
      </x:c>
      <x:c r="C1185" s="13" t="str">
        <x:v>LF-CELL-1-BAY-4 rate matches share</x:v>
      </x:c>
      <x:c r="D1185" s="13" t="b">
        <x:f>ABS('Bay Register'!F81-'Bay Register'!D81*'Bay Register'!E81)&lt;0.000001</x:f>
        <x:v>1</x:v>
      </x:c>
      <x:c r="E1185" s="58" t="b">
        <x:v>1</x:v>
      </x:c>
      <x:c r="F1185" s="13" t="str">
        <x:f>IF(D1185=E1185,"PASS","FAIL")</x:f>
        <x:v>PASS</x:v>
      </x:c>
    </x:row>
    <x:row r="1186">
      <x:c r="A1186" s="13" t="str">
        <x:v>BR-77-01</x:v>
      </x:c>
      <x:c r="B1186" s="13" t="str">
        <x:v>Bay</x:v>
      </x:c>
      <x:c r="C1186" s="13" t="str">
        <x:v>LF-CELL-1-BAY-5 number within range</x:v>
      </x:c>
      <x:c r="D1186" s="13" t="b">
        <x:f>AND('Bay Register'!C82&gt;=1,'Bay Register'!C82&lt;=6)</x:f>
        <x:v>1</x:v>
      </x:c>
      <x:c r="E1186" s="58" t="b">
        <x:v>1</x:v>
      </x:c>
      <x:c r="F1186" s="13" t="str">
        <x:f>IF(D1186=E1186,"PASS","FAIL")</x:f>
        <x:v>PASS</x:v>
      </x:c>
    </x:row>
    <x:row r="1187">
      <x:c r="A1187" s="13" t="str">
        <x:v>BR-77-02</x:v>
      </x:c>
      <x:c r="B1187" s="13" t="str">
        <x:v>Bay</x:v>
      </x:c>
      <x:c r="C1187" s="13" t="str">
        <x:v>LF-CELL-1-BAY-5 rate matches share</x:v>
      </x:c>
      <x:c r="D1187" s="13" t="b">
        <x:f>ABS('Bay Register'!F82-'Bay Register'!D82*'Bay Register'!E82)&lt;0.000001</x:f>
        <x:v>1</x:v>
      </x:c>
      <x:c r="E1187" s="58" t="b">
        <x:v>1</x:v>
      </x:c>
      <x:c r="F1187" s="13" t="str">
        <x:f>IF(D1187=E1187,"PASS","FAIL")</x:f>
        <x:v>PASS</x:v>
      </x:c>
    </x:row>
    <x:row r="1188">
      <x:c r="A1188" s="13" t="str">
        <x:v>BR-78-01</x:v>
      </x:c>
      <x:c r="B1188" s="13" t="str">
        <x:v>Bay</x:v>
      </x:c>
      <x:c r="C1188" s="13" t="str">
        <x:v>LF-CELL-1-BAY-6 number within range</x:v>
      </x:c>
      <x:c r="D1188" s="13" t="b">
        <x:f>AND('Bay Register'!C83&gt;=1,'Bay Register'!C83&lt;=6)</x:f>
        <x:v>1</x:v>
      </x:c>
      <x:c r="E1188" s="58" t="b">
        <x:v>1</x:v>
      </x:c>
      <x:c r="F1188" s="13" t="str">
        <x:f>IF(D1188=E1188,"PASS","FAIL")</x:f>
        <x:v>PASS</x:v>
      </x:c>
    </x:row>
    <x:row r="1189">
      <x:c r="A1189" s="13" t="str">
        <x:v>BR-78-02</x:v>
      </x:c>
      <x:c r="B1189" s="13" t="str">
        <x:v>Bay</x:v>
      </x:c>
      <x:c r="C1189" s="13" t="str">
        <x:v>LF-CELL-1-BAY-6 rate matches share</x:v>
      </x:c>
      <x:c r="D1189" s="13" t="b">
        <x:f>ABS('Bay Register'!F83-'Bay Register'!D83*'Bay Register'!E83)&lt;0.000001</x:f>
        <x:v>1</x:v>
      </x:c>
      <x:c r="E1189" s="58" t="b">
        <x:v>1</x:v>
      </x:c>
      <x:c r="F1189" s="13" t="str">
        <x:f>IF(D1189=E1189,"PASS","FAIL")</x:f>
        <x:v>PASS</x:v>
      </x:c>
    </x:row>
    <x:row r="1190">
      <x:c r="A1190" s="13" t="str">
        <x:v>BR-79-01</x:v>
      </x:c>
      <x:c r="B1190" s="13" t="str">
        <x:v>Bay</x:v>
      </x:c>
      <x:c r="C1190" s="13" t="str">
        <x:v>LF-CELL-2-BAY-1 number within range</x:v>
      </x:c>
      <x:c r="D1190" s="13" t="b">
        <x:f>AND('Bay Register'!C84&gt;=1,'Bay Register'!C84&lt;=6)</x:f>
        <x:v>1</x:v>
      </x:c>
      <x:c r="E1190" s="58" t="b">
        <x:v>1</x:v>
      </x:c>
      <x:c r="F1190" s="13" t="str">
        <x:f>IF(D1190=E1190,"PASS","FAIL")</x:f>
        <x:v>PASS</x:v>
      </x:c>
    </x:row>
    <x:row r="1191">
      <x:c r="A1191" s="13" t="str">
        <x:v>BR-79-02</x:v>
      </x:c>
      <x:c r="B1191" s="13" t="str">
        <x:v>Bay</x:v>
      </x:c>
      <x:c r="C1191" s="13" t="str">
        <x:v>LF-CELL-2-BAY-1 rate matches share</x:v>
      </x:c>
      <x:c r="D1191" s="13" t="b">
        <x:f>ABS('Bay Register'!F84-'Bay Register'!D84*'Bay Register'!E84)&lt;0.000001</x:f>
        <x:v>1</x:v>
      </x:c>
      <x:c r="E1191" s="58" t="b">
        <x:v>1</x:v>
      </x:c>
      <x:c r="F1191" s="13" t="str">
        <x:f>IF(D1191=E1191,"PASS","FAIL")</x:f>
        <x:v>PASS</x:v>
      </x:c>
    </x:row>
    <x:row r="1192">
      <x:c r="A1192" s="13" t="str">
        <x:v>BR-80-01</x:v>
      </x:c>
      <x:c r="B1192" s="13" t="str">
        <x:v>Bay</x:v>
      </x:c>
      <x:c r="C1192" s="13" t="str">
        <x:v>LF-CELL-2-BAY-2 number within range</x:v>
      </x:c>
      <x:c r="D1192" s="13" t="b">
        <x:f>AND('Bay Register'!C85&gt;=1,'Bay Register'!C85&lt;=6)</x:f>
        <x:v>1</x:v>
      </x:c>
      <x:c r="E1192" s="58" t="b">
        <x:v>1</x:v>
      </x:c>
      <x:c r="F1192" s="13" t="str">
        <x:f>IF(D1192=E1192,"PASS","FAIL")</x:f>
        <x:v>PASS</x:v>
      </x:c>
    </x:row>
    <x:row r="1193">
      <x:c r="A1193" s="13" t="str">
        <x:v>BR-80-02</x:v>
      </x:c>
      <x:c r="B1193" s="13" t="str">
        <x:v>Bay</x:v>
      </x:c>
      <x:c r="C1193" s="13" t="str">
        <x:v>LF-CELL-2-BAY-2 rate matches share</x:v>
      </x:c>
      <x:c r="D1193" s="13" t="b">
        <x:f>ABS('Bay Register'!F85-'Bay Register'!D85*'Bay Register'!E85)&lt;0.000001</x:f>
        <x:v>1</x:v>
      </x:c>
      <x:c r="E1193" s="58" t="b">
        <x:v>1</x:v>
      </x:c>
      <x:c r="F1193" s="13" t="str">
        <x:f>IF(D1193=E1193,"PASS","FAIL")</x:f>
        <x:v>PASS</x:v>
      </x:c>
    </x:row>
    <x:row r="1194">
      <x:c r="A1194" s="13" t="str">
        <x:v>BR-81-01</x:v>
      </x:c>
      <x:c r="B1194" s="13" t="str">
        <x:v>Bay</x:v>
      </x:c>
      <x:c r="C1194" s="13" t="str">
        <x:v>LF-CELL-2-BAY-3 number within range</x:v>
      </x:c>
      <x:c r="D1194" s="13" t="b">
        <x:f>AND('Bay Register'!C86&gt;=1,'Bay Register'!C86&lt;=6)</x:f>
        <x:v>1</x:v>
      </x:c>
      <x:c r="E1194" s="58" t="b">
        <x:v>1</x:v>
      </x:c>
      <x:c r="F1194" s="13" t="str">
        <x:f>IF(D1194=E1194,"PASS","FAIL")</x:f>
        <x:v>PASS</x:v>
      </x:c>
    </x:row>
    <x:row r="1195">
      <x:c r="A1195" s="13" t="str">
        <x:v>BR-81-02</x:v>
      </x:c>
      <x:c r="B1195" s="13" t="str">
        <x:v>Bay</x:v>
      </x:c>
      <x:c r="C1195" s="13" t="str">
        <x:v>LF-CELL-2-BAY-3 rate matches share</x:v>
      </x:c>
      <x:c r="D1195" s="13" t="b">
        <x:f>ABS('Bay Register'!F86-'Bay Register'!D86*'Bay Register'!E86)&lt;0.000001</x:f>
        <x:v>1</x:v>
      </x:c>
      <x:c r="E1195" s="58" t="b">
        <x:v>1</x:v>
      </x:c>
      <x:c r="F1195" s="13" t="str">
        <x:f>IF(D1195=E1195,"PASS","FAIL")</x:f>
        <x:v>PASS</x:v>
      </x:c>
    </x:row>
    <x:row r="1196">
      <x:c r="A1196" s="13" t="str">
        <x:v>BR-82-01</x:v>
      </x:c>
      <x:c r="B1196" s="13" t="str">
        <x:v>Bay</x:v>
      </x:c>
      <x:c r="C1196" s="13" t="str">
        <x:v>LF-CELL-2-BAY-4 number within range</x:v>
      </x:c>
      <x:c r="D1196" s="13" t="b">
        <x:f>AND('Bay Register'!C87&gt;=1,'Bay Register'!C87&lt;=6)</x:f>
        <x:v>1</x:v>
      </x:c>
      <x:c r="E1196" s="58" t="b">
        <x:v>1</x:v>
      </x:c>
      <x:c r="F1196" s="13" t="str">
        <x:f>IF(D1196=E1196,"PASS","FAIL")</x:f>
        <x:v>PASS</x:v>
      </x:c>
    </x:row>
    <x:row r="1197">
      <x:c r="A1197" s="13" t="str">
        <x:v>BR-82-02</x:v>
      </x:c>
      <x:c r="B1197" s="13" t="str">
        <x:v>Bay</x:v>
      </x:c>
      <x:c r="C1197" s="13" t="str">
        <x:v>LF-CELL-2-BAY-4 rate matches share</x:v>
      </x:c>
      <x:c r="D1197" s="13" t="b">
        <x:f>ABS('Bay Register'!F87-'Bay Register'!D87*'Bay Register'!E87)&lt;0.000001</x:f>
        <x:v>1</x:v>
      </x:c>
      <x:c r="E1197" s="58" t="b">
        <x:v>1</x:v>
      </x:c>
      <x:c r="F1197" s="13" t="str">
        <x:f>IF(D1197=E1197,"PASS","FAIL")</x:f>
        <x:v>PASS</x:v>
      </x:c>
    </x:row>
    <x:row r="1198">
      <x:c r="A1198" s="13" t="str">
        <x:v>BR-83-01</x:v>
      </x:c>
      <x:c r="B1198" s="13" t="str">
        <x:v>Bay</x:v>
      </x:c>
      <x:c r="C1198" s="13" t="str">
        <x:v>LF-CELL-2-BAY-5 number within range</x:v>
      </x:c>
      <x:c r="D1198" s="13" t="b">
        <x:f>AND('Bay Register'!C88&gt;=1,'Bay Register'!C88&lt;=6)</x:f>
        <x:v>1</x:v>
      </x:c>
      <x:c r="E1198" s="58" t="b">
        <x:v>1</x:v>
      </x:c>
      <x:c r="F1198" s="13" t="str">
        <x:f>IF(D1198=E1198,"PASS","FAIL")</x:f>
        <x:v>PASS</x:v>
      </x:c>
    </x:row>
    <x:row r="1199">
      <x:c r="A1199" s="13" t="str">
        <x:v>BR-83-02</x:v>
      </x:c>
      <x:c r="B1199" s="13" t="str">
        <x:v>Bay</x:v>
      </x:c>
      <x:c r="C1199" s="13" t="str">
        <x:v>LF-CELL-2-BAY-5 rate matches share</x:v>
      </x:c>
      <x:c r="D1199" s="13" t="b">
        <x:f>ABS('Bay Register'!F88-'Bay Register'!D88*'Bay Register'!E88)&lt;0.000001</x:f>
        <x:v>1</x:v>
      </x:c>
      <x:c r="E1199" s="58" t="b">
        <x:v>1</x:v>
      </x:c>
      <x:c r="F1199" s="13" t="str">
        <x:f>IF(D1199=E1199,"PASS","FAIL")</x:f>
        <x:v>PASS</x:v>
      </x:c>
    </x:row>
    <x:row r="1200">
      <x:c r="A1200" s="13" t="str">
        <x:v>BR-84-01</x:v>
      </x:c>
      <x:c r="B1200" s="13" t="str">
        <x:v>Bay</x:v>
      </x:c>
      <x:c r="C1200" s="13" t="str">
        <x:v>LF-CELL-2-BAY-6 number within range</x:v>
      </x:c>
      <x:c r="D1200" s="13" t="b">
        <x:f>AND('Bay Register'!C89&gt;=1,'Bay Register'!C89&lt;=6)</x:f>
        <x:v>1</x:v>
      </x:c>
      <x:c r="E1200" s="58" t="b">
        <x:v>1</x:v>
      </x:c>
      <x:c r="F1200" s="13" t="str">
        <x:f>IF(D1200=E1200,"PASS","FAIL")</x:f>
        <x:v>PASS</x:v>
      </x:c>
    </x:row>
    <x:row r="1201">
      <x:c r="A1201" s="13" t="str">
        <x:v>BR-84-02</x:v>
      </x:c>
      <x:c r="B1201" s="13" t="str">
        <x:v>Bay</x:v>
      </x:c>
      <x:c r="C1201" s="13" t="str">
        <x:v>LF-CELL-2-BAY-6 rate matches share</x:v>
      </x:c>
      <x:c r="D1201" s="13" t="b">
        <x:f>ABS('Bay Register'!F89-'Bay Register'!D89*'Bay Register'!E89)&lt;0.000001</x:f>
        <x:v>1</x:v>
      </x:c>
      <x:c r="E1201" s="58" t="b">
        <x:v>1</x:v>
      </x:c>
      <x:c r="F1201" s="13" t="str">
        <x:f>IF(D1201=E1201,"PASS","FAIL")</x:f>
        <x:v>PASS</x:v>
      </x:c>
    </x:row>
    <x:row r="1202">
      <x:c r="A1202" s="13" t="str">
        <x:v>BR-85-01</x:v>
      </x:c>
      <x:c r="B1202" s="13" t="str">
        <x:v>Bay</x:v>
      </x:c>
      <x:c r="C1202" s="13" t="str">
        <x:v>LF-CELL-3-BAY-1 number within range</x:v>
      </x:c>
      <x:c r="D1202" s="13" t="b">
        <x:f>AND('Bay Register'!C90&gt;=1,'Bay Register'!C90&lt;=6)</x:f>
        <x:v>1</x:v>
      </x:c>
      <x:c r="E1202" s="58" t="b">
        <x:v>1</x:v>
      </x:c>
      <x:c r="F1202" s="13" t="str">
        <x:f>IF(D1202=E1202,"PASS","FAIL")</x:f>
        <x:v>PASS</x:v>
      </x:c>
    </x:row>
    <x:row r="1203">
      <x:c r="A1203" s="13" t="str">
        <x:v>BR-85-02</x:v>
      </x:c>
      <x:c r="B1203" s="13" t="str">
        <x:v>Bay</x:v>
      </x:c>
      <x:c r="C1203" s="13" t="str">
        <x:v>LF-CELL-3-BAY-1 rate matches share</x:v>
      </x:c>
      <x:c r="D1203" s="13" t="b">
        <x:f>ABS('Bay Register'!F90-'Bay Register'!D90*'Bay Register'!E90)&lt;0.000001</x:f>
        <x:v>1</x:v>
      </x:c>
      <x:c r="E1203" s="58" t="b">
        <x:v>1</x:v>
      </x:c>
      <x:c r="F1203" s="13" t="str">
        <x:f>IF(D1203=E1203,"PASS","FAIL")</x:f>
        <x:v>PASS</x:v>
      </x:c>
    </x:row>
    <x:row r="1204">
      <x:c r="A1204" s="13" t="str">
        <x:v>BR-86-01</x:v>
      </x:c>
      <x:c r="B1204" s="13" t="str">
        <x:v>Bay</x:v>
      </x:c>
      <x:c r="C1204" s="13" t="str">
        <x:v>LF-CELL-3-BAY-2 number within range</x:v>
      </x:c>
      <x:c r="D1204" s="13" t="b">
        <x:f>AND('Bay Register'!C91&gt;=1,'Bay Register'!C91&lt;=6)</x:f>
        <x:v>1</x:v>
      </x:c>
      <x:c r="E1204" s="58" t="b">
        <x:v>1</x:v>
      </x:c>
      <x:c r="F1204" s="13" t="str">
        <x:f>IF(D1204=E1204,"PASS","FAIL")</x:f>
        <x:v>PASS</x:v>
      </x:c>
    </x:row>
    <x:row r="1205">
      <x:c r="A1205" s="13" t="str">
        <x:v>BR-86-02</x:v>
      </x:c>
      <x:c r="B1205" s="13" t="str">
        <x:v>Bay</x:v>
      </x:c>
      <x:c r="C1205" s="13" t="str">
        <x:v>LF-CELL-3-BAY-2 rate matches share</x:v>
      </x:c>
      <x:c r="D1205" s="13" t="b">
        <x:f>ABS('Bay Register'!F91-'Bay Register'!D91*'Bay Register'!E91)&lt;0.000001</x:f>
        <x:v>1</x:v>
      </x:c>
      <x:c r="E1205" s="58" t="b">
        <x:v>1</x:v>
      </x:c>
      <x:c r="F1205" s="13" t="str">
        <x:f>IF(D1205=E1205,"PASS","FAIL")</x:f>
        <x:v>PASS</x:v>
      </x:c>
    </x:row>
    <x:row r="1206">
      <x:c r="A1206" s="13" t="str">
        <x:v>BR-87-01</x:v>
      </x:c>
      <x:c r="B1206" s="13" t="str">
        <x:v>Bay</x:v>
      </x:c>
      <x:c r="C1206" s="13" t="str">
        <x:v>LF-CELL-3-BAY-3 number within range</x:v>
      </x:c>
      <x:c r="D1206" s="13" t="b">
        <x:f>AND('Bay Register'!C92&gt;=1,'Bay Register'!C92&lt;=6)</x:f>
        <x:v>1</x:v>
      </x:c>
      <x:c r="E1206" s="58" t="b">
        <x:v>1</x:v>
      </x:c>
      <x:c r="F1206" s="13" t="str">
        <x:f>IF(D1206=E1206,"PASS","FAIL")</x:f>
        <x:v>PASS</x:v>
      </x:c>
    </x:row>
    <x:row r="1207">
      <x:c r="A1207" s="13" t="str">
        <x:v>BR-87-02</x:v>
      </x:c>
      <x:c r="B1207" s="13" t="str">
        <x:v>Bay</x:v>
      </x:c>
      <x:c r="C1207" s="13" t="str">
        <x:v>LF-CELL-3-BAY-3 rate matches share</x:v>
      </x:c>
      <x:c r="D1207" s="13" t="b">
        <x:f>ABS('Bay Register'!F92-'Bay Register'!D92*'Bay Register'!E92)&lt;0.000001</x:f>
        <x:v>1</x:v>
      </x:c>
      <x:c r="E1207" s="58" t="b">
        <x:v>1</x:v>
      </x:c>
      <x:c r="F1207" s="13" t="str">
        <x:f>IF(D1207=E1207,"PASS","FAIL")</x:f>
        <x:v>PASS</x:v>
      </x:c>
    </x:row>
    <x:row r="1208">
      <x:c r="A1208" s="13" t="str">
        <x:v>BR-88-01</x:v>
      </x:c>
      <x:c r="B1208" s="13" t="str">
        <x:v>Bay</x:v>
      </x:c>
      <x:c r="C1208" s="13" t="str">
        <x:v>LF-CELL-3-BAY-4 number within range</x:v>
      </x:c>
      <x:c r="D1208" s="13" t="b">
        <x:f>AND('Bay Register'!C93&gt;=1,'Bay Register'!C93&lt;=6)</x:f>
        <x:v>1</x:v>
      </x:c>
      <x:c r="E1208" s="58" t="b">
        <x:v>1</x:v>
      </x:c>
      <x:c r="F1208" s="13" t="str">
        <x:f>IF(D1208=E1208,"PASS","FAIL")</x:f>
        <x:v>PASS</x:v>
      </x:c>
    </x:row>
    <x:row r="1209">
      <x:c r="A1209" s="13" t="str">
        <x:v>BR-88-02</x:v>
      </x:c>
      <x:c r="B1209" s="13" t="str">
        <x:v>Bay</x:v>
      </x:c>
      <x:c r="C1209" s="13" t="str">
        <x:v>LF-CELL-3-BAY-4 rate matches share</x:v>
      </x:c>
      <x:c r="D1209" s="13" t="b">
        <x:f>ABS('Bay Register'!F93-'Bay Register'!D93*'Bay Register'!E93)&lt;0.000001</x:f>
        <x:v>1</x:v>
      </x:c>
      <x:c r="E1209" s="58" t="b">
        <x:v>1</x:v>
      </x:c>
      <x:c r="F1209" s="13" t="str">
        <x:f>IF(D1209=E1209,"PASS","FAIL")</x:f>
        <x:v>PASS</x:v>
      </x:c>
    </x:row>
    <x:row r="1210">
      <x:c r="A1210" s="13" t="str">
        <x:v>BR-89-01</x:v>
      </x:c>
      <x:c r="B1210" s="13" t="str">
        <x:v>Bay</x:v>
      </x:c>
      <x:c r="C1210" s="13" t="str">
        <x:v>LF-CELL-3-BAY-5 number within range</x:v>
      </x:c>
      <x:c r="D1210" s="13" t="b">
        <x:f>AND('Bay Register'!C94&gt;=1,'Bay Register'!C94&lt;=6)</x:f>
        <x:v>1</x:v>
      </x:c>
      <x:c r="E1210" s="58" t="b">
        <x:v>1</x:v>
      </x:c>
      <x:c r="F1210" s="13" t="str">
        <x:f>IF(D1210=E1210,"PASS","FAIL")</x:f>
        <x:v>PASS</x:v>
      </x:c>
    </x:row>
    <x:row r="1211">
      <x:c r="A1211" s="13" t="str">
        <x:v>BR-89-02</x:v>
      </x:c>
      <x:c r="B1211" s="13" t="str">
        <x:v>Bay</x:v>
      </x:c>
      <x:c r="C1211" s="13" t="str">
        <x:v>LF-CELL-3-BAY-5 rate matches share</x:v>
      </x:c>
      <x:c r="D1211" s="13" t="b">
        <x:f>ABS('Bay Register'!F94-'Bay Register'!D94*'Bay Register'!E94)&lt;0.000001</x:f>
        <x:v>1</x:v>
      </x:c>
      <x:c r="E1211" s="58" t="b">
        <x:v>1</x:v>
      </x:c>
      <x:c r="F1211" s="13" t="str">
        <x:f>IF(D1211=E1211,"PASS","FAIL")</x:f>
        <x:v>PASS</x:v>
      </x:c>
    </x:row>
    <x:row r="1212">
      <x:c r="A1212" s="13" t="str">
        <x:v>BR-90-01</x:v>
      </x:c>
      <x:c r="B1212" s="13" t="str">
        <x:v>Bay</x:v>
      </x:c>
      <x:c r="C1212" s="13" t="str">
        <x:v>LF-CELL-3-BAY-6 number within range</x:v>
      </x:c>
      <x:c r="D1212" s="13" t="b">
        <x:f>AND('Bay Register'!C95&gt;=1,'Bay Register'!C95&lt;=6)</x:f>
        <x:v>1</x:v>
      </x:c>
      <x:c r="E1212" s="58" t="b">
        <x:v>1</x:v>
      </x:c>
      <x:c r="F1212" s="13" t="str">
        <x:f>IF(D1212=E1212,"PASS","FAIL")</x:f>
        <x:v>PASS</x:v>
      </x:c>
    </x:row>
    <x:row r="1213">
      <x:c r="A1213" s="13" t="str">
        <x:v>BR-90-02</x:v>
      </x:c>
      <x:c r="B1213" s="13" t="str">
        <x:v>Bay</x:v>
      </x:c>
      <x:c r="C1213" s="13" t="str">
        <x:v>LF-CELL-3-BAY-6 rate matches share</x:v>
      </x:c>
      <x:c r="D1213" s="13" t="b">
        <x:f>ABS('Bay Register'!F95-'Bay Register'!D95*'Bay Register'!E95)&lt;0.000001</x:f>
        <x:v>1</x:v>
      </x:c>
      <x:c r="E1213" s="58" t="b">
        <x:v>1</x:v>
      </x:c>
      <x:c r="F1213" s="13" t="str">
        <x:f>IF(D1213=E1213,"PASS","FAIL")</x:f>
        <x:v>PASS</x:v>
      </x:c>
    </x:row>
    <x:row r="1214">
      <x:c r="A1214" s="13" t="str">
        <x:v>BR-91-01</x:v>
      </x:c>
      <x:c r="B1214" s="13" t="str">
        <x:v>Bay</x:v>
      </x:c>
      <x:c r="C1214" s="13" t="str">
        <x:v>LF-CELL-4-BAY-1 number within range</x:v>
      </x:c>
      <x:c r="D1214" s="13" t="b">
        <x:f>AND('Bay Register'!C96&gt;=1,'Bay Register'!C96&lt;=6)</x:f>
        <x:v>1</x:v>
      </x:c>
      <x:c r="E1214" s="58" t="b">
        <x:v>1</x:v>
      </x:c>
      <x:c r="F1214" s="13" t="str">
        <x:f>IF(D1214=E1214,"PASS","FAIL")</x:f>
        <x:v>PASS</x:v>
      </x:c>
    </x:row>
    <x:row r="1215">
      <x:c r="A1215" s="13" t="str">
        <x:v>BR-91-02</x:v>
      </x:c>
      <x:c r="B1215" s="13" t="str">
        <x:v>Bay</x:v>
      </x:c>
      <x:c r="C1215" s="13" t="str">
        <x:v>LF-CELL-4-BAY-1 rate matches share</x:v>
      </x:c>
      <x:c r="D1215" s="13" t="b">
        <x:f>ABS('Bay Register'!F96-'Bay Register'!D96*'Bay Register'!E96)&lt;0.000001</x:f>
        <x:v>1</x:v>
      </x:c>
      <x:c r="E1215" s="58" t="b">
        <x:v>1</x:v>
      </x:c>
      <x:c r="F1215" s="13" t="str">
        <x:f>IF(D1215=E1215,"PASS","FAIL")</x:f>
        <x:v>PASS</x:v>
      </x:c>
    </x:row>
    <x:row r="1216">
      <x:c r="A1216" s="13" t="str">
        <x:v>BR-92-01</x:v>
      </x:c>
      <x:c r="B1216" s="13" t="str">
        <x:v>Bay</x:v>
      </x:c>
      <x:c r="C1216" s="13" t="str">
        <x:v>LF-CELL-4-BAY-2 number within range</x:v>
      </x:c>
      <x:c r="D1216" s="13" t="b">
        <x:f>AND('Bay Register'!C97&gt;=1,'Bay Register'!C97&lt;=6)</x:f>
        <x:v>1</x:v>
      </x:c>
      <x:c r="E1216" s="58" t="b">
        <x:v>1</x:v>
      </x:c>
      <x:c r="F1216" s="13" t="str">
        <x:f>IF(D1216=E1216,"PASS","FAIL")</x:f>
        <x:v>PASS</x:v>
      </x:c>
    </x:row>
    <x:row r="1217">
      <x:c r="A1217" s="13" t="str">
        <x:v>BR-92-02</x:v>
      </x:c>
      <x:c r="B1217" s="13" t="str">
        <x:v>Bay</x:v>
      </x:c>
      <x:c r="C1217" s="13" t="str">
        <x:v>LF-CELL-4-BAY-2 rate matches share</x:v>
      </x:c>
      <x:c r="D1217" s="13" t="b">
        <x:f>ABS('Bay Register'!F97-'Bay Register'!D97*'Bay Register'!E97)&lt;0.000001</x:f>
        <x:v>1</x:v>
      </x:c>
      <x:c r="E1217" s="58" t="b">
        <x:v>1</x:v>
      </x:c>
      <x:c r="F1217" s="13" t="str">
        <x:f>IF(D1217=E1217,"PASS","FAIL")</x:f>
        <x:v>PASS</x:v>
      </x:c>
    </x:row>
    <x:row r="1218">
      <x:c r="A1218" s="13" t="str">
        <x:v>BR-93-01</x:v>
      </x:c>
      <x:c r="B1218" s="13" t="str">
        <x:v>Bay</x:v>
      </x:c>
      <x:c r="C1218" s="13" t="str">
        <x:v>LF-CELL-4-BAY-3 number within range</x:v>
      </x:c>
      <x:c r="D1218" s="13" t="b">
        <x:f>AND('Bay Register'!C98&gt;=1,'Bay Register'!C98&lt;=6)</x:f>
        <x:v>1</x:v>
      </x:c>
      <x:c r="E1218" s="58" t="b">
        <x:v>1</x:v>
      </x:c>
      <x:c r="F1218" s="13" t="str">
        <x:f>IF(D1218=E1218,"PASS","FAIL")</x:f>
        <x:v>PASS</x:v>
      </x:c>
    </x:row>
    <x:row r="1219">
      <x:c r="A1219" s="13" t="str">
        <x:v>BR-93-02</x:v>
      </x:c>
      <x:c r="B1219" s="13" t="str">
        <x:v>Bay</x:v>
      </x:c>
      <x:c r="C1219" s="13" t="str">
        <x:v>LF-CELL-4-BAY-3 rate matches share</x:v>
      </x:c>
      <x:c r="D1219" s="13" t="b">
        <x:f>ABS('Bay Register'!F98-'Bay Register'!D98*'Bay Register'!E98)&lt;0.000001</x:f>
        <x:v>1</x:v>
      </x:c>
      <x:c r="E1219" s="58" t="b">
        <x:v>1</x:v>
      </x:c>
      <x:c r="F1219" s="13" t="str">
        <x:f>IF(D1219=E1219,"PASS","FAIL")</x:f>
        <x:v>PASS</x:v>
      </x:c>
    </x:row>
    <x:row r="1220">
      <x:c r="A1220" s="13" t="str">
        <x:v>BR-94-01</x:v>
      </x:c>
      <x:c r="B1220" s="13" t="str">
        <x:v>Bay</x:v>
      </x:c>
      <x:c r="C1220" s="13" t="str">
        <x:v>LF-CELL-4-BAY-4 number within range</x:v>
      </x:c>
      <x:c r="D1220" s="13" t="b">
        <x:f>AND('Bay Register'!C99&gt;=1,'Bay Register'!C99&lt;=6)</x:f>
        <x:v>1</x:v>
      </x:c>
      <x:c r="E1220" s="58" t="b">
        <x:v>1</x:v>
      </x:c>
      <x:c r="F1220" s="13" t="str">
        <x:f>IF(D1220=E1220,"PASS","FAIL")</x:f>
        <x:v>PASS</x:v>
      </x:c>
    </x:row>
    <x:row r="1221">
      <x:c r="A1221" s="13" t="str">
        <x:v>BR-94-02</x:v>
      </x:c>
      <x:c r="B1221" s="13" t="str">
        <x:v>Bay</x:v>
      </x:c>
      <x:c r="C1221" s="13" t="str">
        <x:v>LF-CELL-4-BAY-4 rate matches share</x:v>
      </x:c>
      <x:c r="D1221" s="13" t="b">
        <x:f>ABS('Bay Register'!F99-'Bay Register'!D99*'Bay Register'!E99)&lt;0.000001</x:f>
        <x:v>1</x:v>
      </x:c>
      <x:c r="E1221" s="58" t="b">
        <x:v>1</x:v>
      </x:c>
      <x:c r="F1221" s="13" t="str">
        <x:f>IF(D1221=E1221,"PASS","FAIL")</x:f>
        <x:v>PASS</x:v>
      </x:c>
    </x:row>
    <x:row r="1222">
      <x:c r="A1222" s="13" t="str">
        <x:v>BR-95-01</x:v>
      </x:c>
      <x:c r="B1222" s="13" t="str">
        <x:v>Bay</x:v>
      </x:c>
      <x:c r="C1222" s="13" t="str">
        <x:v>LF-CELL-4-BAY-5 number within range</x:v>
      </x:c>
      <x:c r="D1222" s="13" t="b">
        <x:f>AND('Bay Register'!C100&gt;=1,'Bay Register'!C100&lt;=6)</x:f>
        <x:v>1</x:v>
      </x:c>
      <x:c r="E1222" s="58" t="b">
        <x:v>1</x:v>
      </x:c>
      <x:c r="F1222" s="13" t="str">
        <x:f>IF(D1222=E1222,"PASS","FAIL")</x:f>
        <x:v>PASS</x:v>
      </x:c>
    </x:row>
    <x:row r="1223">
      <x:c r="A1223" s="13" t="str">
        <x:v>BR-95-02</x:v>
      </x:c>
      <x:c r="B1223" s="13" t="str">
        <x:v>Bay</x:v>
      </x:c>
      <x:c r="C1223" s="13" t="str">
        <x:v>LF-CELL-4-BAY-5 rate matches share</x:v>
      </x:c>
      <x:c r="D1223" s="13" t="b">
        <x:f>ABS('Bay Register'!F100-'Bay Register'!D100*'Bay Register'!E100)&lt;0.000001</x:f>
        <x:v>1</x:v>
      </x:c>
      <x:c r="E1223" s="58" t="b">
        <x:v>1</x:v>
      </x:c>
      <x:c r="F1223" s="13" t="str">
        <x:f>IF(D1223=E1223,"PASS","FAIL")</x:f>
        <x:v>PASS</x:v>
      </x:c>
    </x:row>
    <x:row r="1224">
      <x:c r="A1224" s="13" t="str">
        <x:v>BR-96-01</x:v>
      </x:c>
      <x:c r="B1224" s="13" t="str">
        <x:v>Bay</x:v>
      </x:c>
      <x:c r="C1224" s="13" t="str">
        <x:v>LF-CELL-4-BAY-6 number within range</x:v>
      </x:c>
      <x:c r="D1224" s="13" t="b">
        <x:f>AND('Bay Register'!C101&gt;=1,'Bay Register'!C101&lt;=6)</x:f>
        <x:v>1</x:v>
      </x:c>
      <x:c r="E1224" s="58" t="b">
        <x:v>1</x:v>
      </x:c>
      <x:c r="F1224" s="13" t="str">
        <x:f>IF(D1224=E1224,"PASS","FAIL")</x:f>
        <x:v>PASS</x:v>
      </x:c>
    </x:row>
    <x:row r="1225">
      <x:c r="A1225" s="13" t="str">
        <x:v>BR-96-02</x:v>
      </x:c>
      <x:c r="B1225" s="13" t="str">
        <x:v>Bay</x:v>
      </x:c>
      <x:c r="C1225" s="13" t="str">
        <x:v>LF-CELL-4-BAY-6 rate matches share</x:v>
      </x:c>
      <x:c r="D1225" s="13" t="b">
        <x:f>ABS('Bay Register'!F101-'Bay Register'!D101*'Bay Register'!E101)&lt;0.000001</x:f>
        <x:v>1</x:v>
      </x:c>
      <x:c r="E1225" s="58" t="b">
        <x:v>1</x:v>
      </x:c>
      <x:c r="F1225" s="13" t="str">
        <x:f>IF(D1225=E1225,"PASS","FAIL")</x:f>
        <x:v>PASS</x:v>
      </x:c>
    </x:row>
    <x:row r="1226">
      <x:c r="A1226" s="13" t="str">
        <x:v>BR-97-01</x:v>
      </x:c>
      <x:c r="B1226" s="13" t="str">
        <x:v>Bay</x:v>
      </x:c>
      <x:c r="C1226" s="13" t="str">
        <x:v>HU-CELL-1-BAY-1 number within range</x:v>
      </x:c>
      <x:c r="D1226" s="13" t="b">
        <x:f>AND('Bay Register'!C102&gt;=1,'Bay Register'!C102&lt;=6)</x:f>
        <x:v>1</x:v>
      </x:c>
      <x:c r="E1226" s="58" t="b">
        <x:v>1</x:v>
      </x:c>
      <x:c r="F1226" s="13" t="str">
        <x:f>IF(D1226=E1226,"PASS","FAIL")</x:f>
        <x:v>PASS</x:v>
      </x:c>
    </x:row>
    <x:row r="1227">
      <x:c r="A1227" s="13" t="str">
        <x:v>BR-97-02</x:v>
      </x:c>
      <x:c r="B1227" s="13" t="str">
        <x:v>Bay</x:v>
      </x:c>
      <x:c r="C1227" s="13" t="str">
        <x:v>HU-CELL-1-BAY-1 rate matches share</x:v>
      </x:c>
      <x:c r="D1227" s="13" t="b">
        <x:f>ABS('Bay Register'!F102-'Bay Register'!D102*'Bay Register'!E102)&lt;0.000001</x:f>
        <x:v>1</x:v>
      </x:c>
      <x:c r="E1227" s="58" t="b">
        <x:v>1</x:v>
      </x:c>
      <x:c r="F1227" s="13" t="str">
        <x:f>IF(D1227=E1227,"PASS","FAIL")</x:f>
        <x:v>PASS</x:v>
      </x:c>
    </x:row>
    <x:row r="1228">
      <x:c r="A1228" s="13" t="str">
        <x:v>BR-98-01</x:v>
      </x:c>
      <x:c r="B1228" s="13" t="str">
        <x:v>Bay</x:v>
      </x:c>
      <x:c r="C1228" s="13" t="str">
        <x:v>HU-CELL-1-BAY-2 number within range</x:v>
      </x:c>
      <x:c r="D1228" s="13" t="b">
        <x:f>AND('Bay Register'!C103&gt;=1,'Bay Register'!C103&lt;=6)</x:f>
        <x:v>1</x:v>
      </x:c>
      <x:c r="E1228" s="58" t="b">
        <x:v>1</x:v>
      </x:c>
      <x:c r="F1228" s="13" t="str">
        <x:f>IF(D1228=E1228,"PASS","FAIL")</x:f>
        <x:v>PASS</x:v>
      </x:c>
    </x:row>
    <x:row r="1229">
      <x:c r="A1229" s="13" t="str">
        <x:v>BR-98-02</x:v>
      </x:c>
      <x:c r="B1229" s="13" t="str">
        <x:v>Bay</x:v>
      </x:c>
      <x:c r="C1229" s="13" t="str">
        <x:v>HU-CELL-1-BAY-2 rate matches share</x:v>
      </x:c>
      <x:c r="D1229" s="13" t="b">
        <x:f>ABS('Bay Register'!F103-'Bay Register'!D103*'Bay Register'!E103)&lt;0.000001</x:f>
        <x:v>1</x:v>
      </x:c>
      <x:c r="E1229" s="58" t="b">
        <x:v>1</x:v>
      </x:c>
      <x:c r="F1229" s="13" t="str">
        <x:f>IF(D1229=E1229,"PASS","FAIL")</x:f>
        <x:v>PASS</x:v>
      </x:c>
    </x:row>
    <x:row r="1230">
      <x:c r="A1230" s="13" t="str">
        <x:v>BR-99-01</x:v>
      </x:c>
      <x:c r="B1230" s="13" t="str">
        <x:v>Bay</x:v>
      </x:c>
      <x:c r="C1230" s="13" t="str">
        <x:v>HU-CELL-1-BAY-3 number within range</x:v>
      </x:c>
      <x:c r="D1230" s="13" t="b">
        <x:f>AND('Bay Register'!C104&gt;=1,'Bay Register'!C104&lt;=6)</x:f>
        <x:v>1</x:v>
      </x:c>
      <x:c r="E1230" s="58" t="b">
        <x:v>1</x:v>
      </x:c>
      <x:c r="F1230" s="13" t="str">
        <x:f>IF(D1230=E1230,"PASS","FAIL")</x:f>
        <x:v>PASS</x:v>
      </x:c>
    </x:row>
    <x:row r="1231">
      <x:c r="A1231" s="13" t="str">
        <x:v>BR-99-02</x:v>
      </x:c>
      <x:c r="B1231" s="13" t="str">
        <x:v>Bay</x:v>
      </x:c>
      <x:c r="C1231" s="13" t="str">
        <x:v>HU-CELL-1-BAY-3 rate matches share</x:v>
      </x:c>
      <x:c r="D1231" s="13" t="b">
        <x:f>ABS('Bay Register'!F104-'Bay Register'!D104*'Bay Register'!E104)&lt;0.000001</x:f>
        <x:v>1</x:v>
      </x:c>
      <x:c r="E1231" s="58" t="b">
        <x:v>1</x:v>
      </x:c>
      <x:c r="F1231" s="13" t="str">
        <x:f>IF(D1231=E1231,"PASS","FAIL")</x:f>
        <x:v>PASS</x:v>
      </x:c>
    </x:row>
    <x:row r="1232">
      <x:c r="A1232" s="13" t="str">
        <x:v>BR-100-01</x:v>
      </x:c>
      <x:c r="B1232" s="13" t="str">
        <x:v>Bay</x:v>
      </x:c>
      <x:c r="C1232" s="13" t="str">
        <x:v>HU-CELL-1-BAY-4 number within range</x:v>
      </x:c>
      <x:c r="D1232" s="13" t="b">
        <x:f>AND('Bay Register'!C105&gt;=1,'Bay Register'!C105&lt;=6)</x:f>
        <x:v>1</x:v>
      </x:c>
      <x:c r="E1232" s="58" t="b">
        <x:v>1</x:v>
      </x:c>
      <x:c r="F1232" s="13" t="str">
        <x:f>IF(D1232=E1232,"PASS","FAIL")</x:f>
        <x:v>PASS</x:v>
      </x:c>
    </x:row>
    <x:row r="1233">
      <x:c r="A1233" s="13" t="str">
        <x:v>BR-100-02</x:v>
      </x:c>
      <x:c r="B1233" s="13" t="str">
        <x:v>Bay</x:v>
      </x:c>
      <x:c r="C1233" s="13" t="str">
        <x:v>HU-CELL-1-BAY-4 rate matches share</x:v>
      </x:c>
      <x:c r="D1233" s="13" t="b">
        <x:f>ABS('Bay Register'!F105-'Bay Register'!D105*'Bay Register'!E105)&lt;0.000001</x:f>
        <x:v>1</x:v>
      </x:c>
      <x:c r="E1233" s="58" t="b">
        <x:v>1</x:v>
      </x:c>
      <x:c r="F1233" s="13" t="str">
        <x:f>IF(D1233=E1233,"PASS","FAIL")</x:f>
        <x:v>PASS</x:v>
      </x:c>
    </x:row>
    <x:row r="1234">
      <x:c r="A1234" s="13" t="str">
        <x:v>BR-101-01</x:v>
      </x:c>
      <x:c r="B1234" s="13" t="str">
        <x:v>Bay</x:v>
      </x:c>
      <x:c r="C1234" s="13" t="str">
        <x:v>HU-CELL-1-BAY-5 number within range</x:v>
      </x:c>
      <x:c r="D1234" s="13" t="b">
        <x:f>AND('Bay Register'!C106&gt;=1,'Bay Register'!C106&lt;=6)</x:f>
        <x:v>1</x:v>
      </x:c>
      <x:c r="E1234" s="58" t="b">
        <x:v>1</x:v>
      </x:c>
      <x:c r="F1234" s="13" t="str">
        <x:f>IF(D1234=E1234,"PASS","FAIL")</x:f>
        <x:v>PASS</x:v>
      </x:c>
    </x:row>
    <x:row r="1235">
      <x:c r="A1235" s="13" t="str">
        <x:v>BR-101-02</x:v>
      </x:c>
      <x:c r="B1235" s="13" t="str">
        <x:v>Bay</x:v>
      </x:c>
      <x:c r="C1235" s="13" t="str">
        <x:v>HU-CELL-1-BAY-5 rate matches share</x:v>
      </x:c>
      <x:c r="D1235" s="13" t="b">
        <x:f>ABS('Bay Register'!F106-'Bay Register'!D106*'Bay Register'!E106)&lt;0.000001</x:f>
        <x:v>1</x:v>
      </x:c>
      <x:c r="E1235" s="58" t="b">
        <x:v>1</x:v>
      </x:c>
      <x:c r="F1235" s="13" t="str">
        <x:f>IF(D1235=E1235,"PASS","FAIL")</x:f>
        <x:v>PASS</x:v>
      </x:c>
    </x:row>
    <x:row r="1236">
      <x:c r="A1236" s="13" t="str">
        <x:v>BR-102-01</x:v>
      </x:c>
      <x:c r="B1236" s="13" t="str">
        <x:v>Bay</x:v>
      </x:c>
      <x:c r="C1236" s="13" t="str">
        <x:v>HU-CELL-1-BAY-6 number within range</x:v>
      </x:c>
      <x:c r="D1236" s="13" t="b">
        <x:f>AND('Bay Register'!C107&gt;=1,'Bay Register'!C107&lt;=6)</x:f>
        <x:v>1</x:v>
      </x:c>
      <x:c r="E1236" s="58" t="b">
        <x:v>1</x:v>
      </x:c>
      <x:c r="F1236" s="13" t="str">
        <x:f>IF(D1236=E1236,"PASS","FAIL")</x:f>
        <x:v>PASS</x:v>
      </x:c>
    </x:row>
    <x:row r="1237">
      <x:c r="A1237" s="13" t="str">
        <x:v>BR-102-02</x:v>
      </x:c>
      <x:c r="B1237" s="13" t="str">
        <x:v>Bay</x:v>
      </x:c>
      <x:c r="C1237" s="13" t="str">
        <x:v>HU-CELL-1-BAY-6 rate matches share</x:v>
      </x:c>
      <x:c r="D1237" s="13" t="b">
        <x:f>ABS('Bay Register'!F107-'Bay Register'!D107*'Bay Register'!E107)&lt;0.000001</x:f>
        <x:v>1</x:v>
      </x:c>
      <x:c r="E1237" s="58" t="b">
        <x:v>1</x:v>
      </x:c>
      <x:c r="F1237" s="13" t="str">
        <x:f>IF(D1237=E1237,"PASS","FAIL")</x:f>
        <x:v>PASS</x:v>
      </x:c>
    </x:row>
    <x:row r="1238">
      <x:c r="A1238" s="13" t="str">
        <x:v>BR-103-01</x:v>
      </x:c>
      <x:c r="B1238" s="13" t="str">
        <x:v>Bay</x:v>
      </x:c>
      <x:c r="C1238" s="13" t="str">
        <x:v>HU-CELL-2-BAY-1 number within range</x:v>
      </x:c>
      <x:c r="D1238" s="13" t="b">
        <x:f>AND('Bay Register'!C108&gt;=1,'Bay Register'!C108&lt;=6)</x:f>
        <x:v>1</x:v>
      </x:c>
      <x:c r="E1238" s="58" t="b">
        <x:v>1</x:v>
      </x:c>
      <x:c r="F1238" s="13" t="str">
        <x:f>IF(D1238=E1238,"PASS","FAIL")</x:f>
        <x:v>PASS</x:v>
      </x:c>
    </x:row>
    <x:row r="1239">
      <x:c r="A1239" s="13" t="str">
        <x:v>BR-103-02</x:v>
      </x:c>
      <x:c r="B1239" s="13" t="str">
        <x:v>Bay</x:v>
      </x:c>
      <x:c r="C1239" s="13" t="str">
        <x:v>HU-CELL-2-BAY-1 rate matches share</x:v>
      </x:c>
      <x:c r="D1239" s="13" t="b">
        <x:f>ABS('Bay Register'!F108-'Bay Register'!D108*'Bay Register'!E108)&lt;0.000001</x:f>
        <x:v>1</x:v>
      </x:c>
      <x:c r="E1239" s="58" t="b">
        <x:v>1</x:v>
      </x:c>
      <x:c r="F1239" s="13" t="str">
        <x:f>IF(D1239=E1239,"PASS","FAIL")</x:f>
        <x:v>PASS</x:v>
      </x:c>
    </x:row>
    <x:row r="1240">
      <x:c r="A1240" s="13" t="str">
        <x:v>BR-104-01</x:v>
      </x:c>
      <x:c r="B1240" s="13" t="str">
        <x:v>Bay</x:v>
      </x:c>
      <x:c r="C1240" s="13" t="str">
        <x:v>HU-CELL-2-BAY-2 number within range</x:v>
      </x:c>
      <x:c r="D1240" s="13" t="b">
        <x:f>AND('Bay Register'!C109&gt;=1,'Bay Register'!C109&lt;=6)</x:f>
        <x:v>1</x:v>
      </x:c>
      <x:c r="E1240" s="58" t="b">
        <x:v>1</x:v>
      </x:c>
      <x:c r="F1240" s="13" t="str">
        <x:f>IF(D1240=E1240,"PASS","FAIL")</x:f>
        <x:v>PASS</x:v>
      </x:c>
    </x:row>
    <x:row r="1241">
      <x:c r="A1241" s="13" t="str">
        <x:v>BR-104-02</x:v>
      </x:c>
      <x:c r="B1241" s="13" t="str">
        <x:v>Bay</x:v>
      </x:c>
      <x:c r="C1241" s="13" t="str">
        <x:v>HU-CELL-2-BAY-2 rate matches share</x:v>
      </x:c>
      <x:c r="D1241" s="13" t="b">
        <x:f>ABS('Bay Register'!F109-'Bay Register'!D109*'Bay Register'!E109)&lt;0.000001</x:f>
        <x:v>1</x:v>
      </x:c>
      <x:c r="E1241" s="58" t="b">
        <x:v>1</x:v>
      </x:c>
      <x:c r="F1241" s="13" t="str">
        <x:f>IF(D1241=E1241,"PASS","FAIL")</x:f>
        <x:v>PASS</x:v>
      </x:c>
    </x:row>
    <x:row r="1242">
      <x:c r="A1242" s="13" t="str">
        <x:v>BR-105-01</x:v>
      </x:c>
      <x:c r="B1242" s="13" t="str">
        <x:v>Bay</x:v>
      </x:c>
      <x:c r="C1242" s="13" t="str">
        <x:v>HU-CELL-2-BAY-3 number within range</x:v>
      </x:c>
      <x:c r="D1242" s="13" t="b">
        <x:f>AND('Bay Register'!C110&gt;=1,'Bay Register'!C110&lt;=6)</x:f>
        <x:v>1</x:v>
      </x:c>
      <x:c r="E1242" s="58" t="b">
        <x:v>1</x:v>
      </x:c>
      <x:c r="F1242" s="13" t="str">
        <x:f>IF(D1242=E1242,"PASS","FAIL")</x:f>
        <x:v>PASS</x:v>
      </x:c>
    </x:row>
    <x:row r="1243">
      <x:c r="A1243" s="13" t="str">
        <x:v>BR-105-02</x:v>
      </x:c>
      <x:c r="B1243" s="13" t="str">
        <x:v>Bay</x:v>
      </x:c>
      <x:c r="C1243" s="13" t="str">
        <x:v>HU-CELL-2-BAY-3 rate matches share</x:v>
      </x:c>
      <x:c r="D1243" s="13" t="b">
        <x:f>ABS('Bay Register'!F110-'Bay Register'!D110*'Bay Register'!E110)&lt;0.000001</x:f>
        <x:v>1</x:v>
      </x:c>
      <x:c r="E1243" s="58" t="b">
        <x:v>1</x:v>
      </x:c>
      <x:c r="F1243" s="13" t="str">
        <x:f>IF(D1243=E1243,"PASS","FAIL")</x:f>
        <x:v>PASS</x:v>
      </x:c>
    </x:row>
    <x:row r="1244">
      <x:c r="A1244" s="13" t="str">
        <x:v>BR-106-01</x:v>
      </x:c>
      <x:c r="B1244" s="13" t="str">
        <x:v>Bay</x:v>
      </x:c>
      <x:c r="C1244" s="13" t="str">
        <x:v>HU-CELL-2-BAY-4 number within range</x:v>
      </x:c>
      <x:c r="D1244" s="13" t="b">
        <x:f>AND('Bay Register'!C111&gt;=1,'Bay Register'!C111&lt;=6)</x:f>
        <x:v>1</x:v>
      </x:c>
      <x:c r="E1244" s="58" t="b">
        <x:v>1</x:v>
      </x:c>
      <x:c r="F1244" s="13" t="str">
        <x:f>IF(D1244=E1244,"PASS","FAIL")</x:f>
        <x:v>PASS</x:v>
      </x:c>
    </x:row>
    <x:row r="1245">
      <x:c r="A1245" s="13" t="str">
        <x:v>BR-106-02</x:v>
      </x:c>
      <x:c r="B1245" s="13" t="str">
        <x:v>Bay</x:v>
      </x:c>
      <x:c r="C1245" s="13" t="str">
        <x:v>HU-CELL-2-BAY-4 rate matches share</x:v>
      </x:c>
      <x:c r="D1245" s="13" t="b">
        <x:f>ABS('Bay Register'!F111-'Bay Register'!D111*'Bay Register'!E111)&lt;0.000001</x:f>
        <x:v>1</x:v>
      </x:c>
      <x:c r="E1245" s="58" t="b">
        <x:v>1</x:v>
      </x:c>
      <x:c r="F1245" s="13" t="str">
        <x:f>IF(D1245=E1245,"PASS","FAIL")</x:f>
        <x:v>PASS</x:v>
      </x:c>
    </x:row>
    <x:row r="1246">
      <x:c r="A1246" s="13" t="str">
        <x:v>BR-107-01</x:v>
      </x:c>
      <x:c r="B1246" s="13" t="str">
        <x:v>Bay</x:v>
      </x:c>
      <x:c r="C1246" s="13" t="str">
        <x:v>HU-CELL-2-BAY-5 number within range</x:v>
      </x:c>
      <x:c r="D1246" s="13" t="b">
        <x:f>AND('Bay Register'!C112&gt;=1,'Bay Register'!C112&lt;=6)</x:f>
        <x:v>1</x:v>
      </x:c>
      <x:c r="E1246" s="58" t="b">
        <x:v>1</x:v>
      </x:c>
      <x:c r="F1246" s="13" t="str">
        <x:f>IF(D1246=E1246,"PASS","FAIL")</x:f>
        <x:v>PASS</x:v>
      </x:c>
    </x:row>
    <x:row r="1247">
      <x:c r="A1247" s="13" t="str">
        <x:v>BR-107-02</x:v>
      </x:c>
      <x:c r="B1247" s="13" t="str">
        <x:v>Bay</x:v>
      </x:c>
      <x:c r="C1247" s="13" t="str">
        <x:v>HU-CELL-2-BAY-5 rate matches share</x:v>
      </x:c>
      <x:c r="D1247" s="13" t="b">
        <x:f>ABS('Bay Register'!F112-'Bay Register'!D112*'Bay Register'!E112)&lt;0.000001</x:f>
        <x:v>1</x:v>
      </x:c>
      <x:c r="E1247" s="58" t="b">
        <x:v>1</x:v>
      </x:c>
      <x:c r="F1247" s="13" t="str">
        <x:f>IF(D1247=E1247,"PASS","FAIL")</x:f>
        <x:v>PASS</x:v>
      </x:c>
    </x:row>
    <x:row r="1248">
      <x:c r="A1248" s="13" t="str">
        <x:v>BR-108-01</x:v>
      </x:c>
      <x:c r="B1248" s="13" t="str">
        <x:v>Bay</x:v>
      </x:c>
      <x:c r="C1248" s="13" t="str">
        <x:v>HU-CELL-2-BAY-6 number within range</x:v>
      </x:c>
      <x:c r="D1248" s="13" t="b">
        <x:f>AND('Bay Register'!C113&gt;=1,'Bay Register'!C113&lt;=6)</x:f>
        <x:v>1</x:v>
      </x:c>
      <x:c r="E1248" s="58" t="b">
        <x:v>1</x:v>
      </x:c>
      <x:c r="F1248" s="13" t="str">
        <x:f>IF(D1248=E1248,"PASS","FAIL")</x:f>
        <x:v>PASS</x:v>
      </x:c>
    </x:row>
    <x:row r="1249">
      <x:c r="A1249" s="13" t="str">
        <x:v>BR-108-02</x:v>
      </x:c>
      <x:c r="B1249" s="13" t="str">
        <x:v>Bay</x:v>
      </x:c>
      <x:c r="C1249" s="13" t="str">
        <x:v>HU-CELL-2-BAY-6 rate matches share</x:v>
      </x:c>
      <x:c r="D1249" s="13" t="b">
        <x:f>ABS('Bay Register'!F113-'Bay Register'!D113*'Bay Register'!E113)&lt;0.000001</x:f>
        <x:v>1</x:v>
      </x:c>
      <x:c r="E1249" s="58" t="b">
        <x:v>1</x:v>
      </x:c>
      <x:c r="F1249" s="13" t="str">
        <x:f>IF(D1249=E1249,"PASS","FAIL")</x:f>
        <x:v>PASS</x:v>
      </x:c>
    </x:row>
    <x:row r="1250">
      <x:c r="A1250" s="13" t="str">
        <x:v>BR-109-01</x:v>
      </x:c>
      <x:c r="B1250" s="13" t="str">
        <x:v>Bay</x:v>
      </x:c>
      <x:c r="C1250" s="13" t="str">
        <x:v>HU-CELL-3-BAY-1 number within range</x:v>
      </x:c>
      <x:c r="D1250" s="13" t="b">
        <x:f>AND('Bay Register'!C114&gt;=1,'Bay Register'!C114&lt;=6)</x:f>
        <x:v>1</x:v>
      </x:c>
      <x:c r="E1250" s="58" t="b">
        <x:v>1</x:v>
      </x:c>
      <x:c r="F1250" s="13" t="str">
        <x:f>IF(D1250=E1250,"PASS","FAIL")</x:f>
        <x:v>PASS</x:v>
      </x:c>
    </x:row>
    <x:row r="1251">
      <x:c r="A1251" s="13" t="str">
        <x:v>BR-109-02</x:v>
      </x:c>
      <x:c r="B1251" s="13" t="str">
        <x:v>Bay</x:v>
      </x:c>
      <x:c r="C1251" s="13" t="str">
        <x:v>HU-CELL-3-BAY-1 rate matches share</x:v>
      </x:c>
      <x:c r="D1251" s="13" t="b">
        <x:f>ABS('Bay Register'!F114-'Bay Register'!D114*'Bay Register'!E114)&lt;0.000001</x:f>
        <x:v>1</x:v>
      </x:c>
      <x:c r="E1251" s="58" t="b">
        <x:v>1</x:v>
      </x:c>
      <x:c r="F1251" s="13" t="str">
        <x:f>IF(D1251=E1251,"PASS","FAIL")</x:f>
        <x:v>PASS</x:v>
      </x:c>
    </x:row>
    <x:row r="1252">
      <x:c r="A1252" s="13" t="str">
        <x:v>BR-110-01</x:v>
      </x:c>
      <x:c r="B1252" s="13" t="str">
        <x:v>Bay</x:v>
      </x:c>
      <x:c r="C1252" s="13" t="str">
        <x:v>HU-CELL-3-BAY-2 number within range</x:v>
      </x:c>
      <x:c r="D1252" s="13" t="b">
        <x:f>AND('Bay Register'!C115&gt;=1,'Bay Register'!C115&lt;=6)</x:f>
        <x:v>1</x:v>
      </x:c>
      <x:c r="E1252" s="58" t="b">
        <x:v>1</x:v>
      </x:c>
      <x:c r="F1252" s="13" t="str">
        <x:f>IF(D1252=E1252,"PASS","FAIL")</x:f>
        <x:v>PASS</x:v>
      </x:c>
    </x:row>
    <x:row r="1253">
      <x:c r="A1253" s="13" t="str">
        <x:v>BR-110-02</x:v>
      </x:c>
      <x:c r="B1253" s="13" t="str">
        <x:v>Bay</x:v>
      </x:c>
      <x:c r="C1253" s="13" t="str">
        <x:v>HU-CELL-3-BAY-2 rate matches share</x:v>
      </x:c>
      <x:c r="D1253" s="13" t="b">
        <x:f>ABS('Bay Register'!F115-'Bay Register'!D115*'Bay Register'!E115)&lt;0.000001</x:f>
        <x:v>1</x:v>
      </x:c>
      <x:c r="E1253" s="58" t="b">
        <x:v>1</x:v>
      </x:c>
      <x:c r="F1253" s="13" t="str">
        <x:f>IF(D1253=E1253,"PASS","FAIL")</x:f>
        <x:v>PASS</x:v>
      </x:c>
    </x:row>
    <x:row r="1254">
      <x:c r="A1254" s="13" t="str">
        <x:v>BR-111-01</x:v>
      </x:c>
      <x:c r="B1254" s="13" t="str">
        <x:v>Bay</x:v>
      </x:c>
      <x:c r="C1254" s="13" t="str">
        <x:v>HU-CELL-3-BAY-3 number within range</x:v>
      </x:c>
      <x:c r="D1254" s="13" t="b">
        <x:f>AND('Bay Register'!C116&gt;=1,'Bay Register'!C116&lt;=6)</x:f>
        <x:v>1</x:v>
      </x:c>
      <x:c r="E1254" s="58" t="b">
        <x:v>1</x:v>
      </x:c>
      <x:c r="F1254" s="13" t="str">
        <x:f>IF(D1254=E1254,"PASS","FAIL")</x:f>
        <x:v>PASS</x:v>
      </x:c>
    </x:row>
    <x:row r="1255">
      <x:c r="A1255" s="13" t="str">
        <x:v>BR-111-02</x:v>
      </x:c>
      <x:c r="B1255" s="13" t="str">
        <x:v>Bay</x:v>
      </x:c>
      <x:c r="C1255" s="13" t="str">
        <x:v>HU-CELL-3-BAY-3 rate matches share</x:v>
      </x:c>
      <x:c r="D1255" s="13" t="b">
        <x:f>ABS('Bay Register'!F116-'Bay Register'!D116*'Bay Register'!E116)&lt;0.000001</x:f>
        <x:v>1</x:v>
      </x:c>
      <x:c r="E1255" s="58" t="b">
        <x:v>1</x:v>
      </x:c>
      <x:c r="F1255" s="13" t="str">
        <x:f>IF(D1255=E1255,"PASS","FAIL")</x:f>
        <x:v>PASS</x:v>
      </x:c>
    </x:row>
    <x:row r="1256">
      <x:c r="A1256" s="13" t="str">
        <x:v>BR-112-01</x:v>
      </x:c>
      <x:c r="B1256" s="13" t="str">
        <x:v>Bay</x:v>
      </x:c>
      <x:c r="C1256" s="13" t="str">
        <x:v>HU-CELL-3-BAY-4 number within range</x:v>
      </x:c>
      <x:c r="D1256" s="13" t="b">
        <x:f>AND('Bay Register'!C117&gt;=1,'Bay Register'!C117&lt;=6)</x:f>
        <x:v>1</x:v>
      </x:c>
      <x:c r="E1256" s="58" t="b">
        <x:v>1</x:v>
      </x:c>
      <x:c r="F1256" s="13" t="str">
        <x:f>IF(D1256=E1256,"PASS","FAIL")</x:f>
        <x:v>PASS</x:v>
      </x:c>
    </x:row>
    <x:row r="1257">
      <x:c r="A1257" s="13" t="str">
        <x:v>BR-112-02</x:v>
      </x:c>
      <x:c r="B1257" s="13" t="str">
        <x:v>Bay</x:v>
      </x:c>
      <x:c r="C1257" s="13" t="str">
        <x:v>HU-CELL-3-BAY-4 rate matches share</x:v>
      </x:c>
      <x:c r="D1257" s="13" t="b">
        <x:f>ABS('Bay Register'!F117-'Bay Register'!D117*'Bay Register'!E117)&lt;0.000001</x:f>
        <x:v>1</x:v>
      </x:c>
      <x:c r="E1257" s="58" t="b">
        <x:v>1</x:v>
      </x:c>
      <x:c r="F1257" s="13" t="str">
        <x:f>IF(D1257=E1257,"PASS","FAIL")</x:f>
        <x:v>PASS</x:v>
      </x:c>
    </x:row>
    <x:row r="1258">
      <x:c r="A1258" s="13" t="str">
        <x:v>BR-113-01</x:v>
      </x:c>
      <x:c r="B1258" s="13" t="str">
        <x:v>Bay</x:v>
      </x:c>
      <x:c r="C1258" s="13" t="str">
        <x:v>HU-CELL-3-BAY-5 number within range</x:v>
      </x:c>
      <x:c r="D1258" s="13" t="b">
        <x:f>AND('Bay Register'!C118&gt;=1,'Bay Register'!C118&lt;=6)</x:f>
        <x:v>1</x:v>
      </x:c>
      <x:c r="E1258" s="58" t="b">
        <x:v>1</x:v>
      </x:c>
      <x:c r="F1258" s="13" t="str">
        <x:f>IF(D1258=E1258,"PASS","FAIL")</x:f>
        <x:v>PASS</x:v>
      </x:c>
    </x:row>
    <x:row r="1259">
      <x:c r="A1259" s="13" t="str">
        <x:v>BR-113-02</x:v>
      </x:c>
      <x:c r="B1259" s="13" t="str">
        <x:v>Bay</x:v>
      </x:c>
      <x:c r="C1259" s="13" t="str">
        <x:v>HU-CELL-3-BAY-5 rate matches share</x:v>
      </x:c>
      <x:c r="D1259" s="13" t="b">
        <x:f>ABS('Bay Register'!F118-'Bay Register'!D118*'Bay Register'!E118)&lt;0.000001</x:f>
        <x:v>1</x:v>
      </x:c>
      <x:c r="E1259" s="58" t="b">
        <x:v>1</x:v>
      </x:c>
      <x:c r="F1259" s="13" t="str">
        <x:f>IF(D1259=E1259,"PASS","FAIL")</x:f>
        <x:v>PASS</x:v>
      </x:c>
    </x:row>
    <x:row r="1260">
      <x:c r="A1260" s="13" t="str">
        <x:v>BR-114-01</x:v>
      </x:c>
      <x:c r="B1260" s="13" t="str">
        <x:v>Bay</x:v>
      </x:c>
      <x:c r="C1260" s="13" t="str">
        <x:v>HU-CELL-3-BAY-6 number within range</x:v>
      </x:c>
      <x:c r="D1260" s="13" t="b">
        <x:f>AND('Bay Register'!C119&gt;=1,'Bay Register'!C119&lt;=6)</x:f>
        <x:v>1</x:v>
      </x:c>
      <x:c r="E1260" s="58" t="b">
        <x:v>1</x:v>
      </x:c>
      <x:c r="F1260" s="13" t="str">
        <x:f>IF(D1260=E1260,"PASS","FAIL")</x:f>
        <x:v>PASS</x:v>
      </x:c>
    </x:row>
    <x:row r="1261">
      <x:c r="A1261" s="13" t="str">
        <x:v>BR-114-02</x:v>
      </x:c>
      <x:c r="B1261" s="13" t="str">
        <x:v>Bay</x:v>
      </x:c>
      <x:c r="C1261" s="13" t="str">
        <x:v>HU-CELL-3-BAY-6 rate matches share</x:v>
      </x:c>
      <x:c r="D1261" s="13" t="b">
        <x:f>ABS('Bay Register'!F119-'Bay Register'!D119*'Bay Register'!E119)&lt;0.000001</x:f>
        <x:v>1</x:v>
      </x:c>
      <x:c r="E1261" s="58" t="b">
        <x:v>1</x:v>
      </x:c>
      <x:c r="F1261" s="13" t="str">
        <x:f>IF(D1261=E1261,"PASS","FAIL")</x:f>
        <x:v>PASS</x:v>
      </x:c>
    </x:row>
    <x:row r="1262">
      <x:c r="A1262" s="13" t="str">
        <x:v>BR-115-01</x:v>
      </x:c>
      <x:c r="B1262" s="13" t="str">
        <x:v>Bay</x:v>
      </x:c>
      <x:c r="C1262" s="13" t="str">
        <x:v>HU-CELL-4-BAY-1 number within range</x:v>
      </x:c>
      <x:c r="D1262" s="13" t="b">
        <x:f>AND('Bay Register'!C120&gt;=1,'Bay Register'!C120&lt;=6)</x:f>
        <x:v>1</x:v>
      </x:c>
      <x:c r="E1262" s="58" t="b">
        <x:v>1</x:v>
      </x:c>
      <x:c r="F1262" s="13" t="str">
        <x:f>IF(D1262=E1262,"PASS","FAIL")</x:f>
        <x:v>PASS</x:v>
      </x:c>
    </x:row>
    <x:row r="1263">
      <x:c r="A1263" s="13" t="str">
        <x:v>BR-115-02</x:v>
      </x:c>
      <x:c r="B1263" s="13" t="str">
        <x:v>Bay</x:v>
      </x:c>
      <x:c r="C1263" s="13" t="str">
        <x:v>HU-CELL-4-BAY-1 rate matches share</x:v>
      </x:c>
      <x:c r="D1263" s="13" t="b">
        <x:f>ABS('Bay Register'!F120-'Bay Register'!D120*'Bay Register'!E120)&lt;0.000001</x:f>
        <x:v>1</x:v>
      </x:c>
      <x:c r="E1263" s="58" t="b">
        <x:v>1</x:v>
      </x:c>
      <x:c r="F1263" s="13" t="str">
        <x:f>IF(D1263=E1263,"PASS","FAIL")</x:f>
        <x:v>PASS</x:v>
      </x:c>
    </x:row>
    <x:row r="1264">
      <x:c r="A1264" s="13" t="str">
        <x:v>BR-116-01</x:v>
      </x:c>
      <x:c r="B1264" s="13" t="str">
        <x:v>Bay</x:v>
      </x:c>
      <x:c r="C1264" s="13" t="str">
        <x:v>HU-CELL-4-BAY-2 number within range</x:v>
      </x:c>
      <x:c r="D1264" s="13" t="b">
        <x:f>AND('Bay Register'!C121&gt;=1,'Bay Register'!C121&lt;=6)</x:f>
        <x:v>1</x:v>
      </x:c>
      <x:c r="E1264" s="58" t="b">
        <x:v>1</x:v>
      </x:c>
      <x:c r="F1264" s="13" t="str">
        <x:f>IF(D1264=E1264,"PASS","FAIL")</x:f>
        <x:v>PASS</x:v>
      </x:c>
    </x:row>
    <x:row r="1265">
      <x:c r="A1265" s="13" t="str">
        <x:v>BR-116-02</x:v>
      </x:c>
      <x:c r="B1265" s="13" t="str">
        <x:v>Bay</x:v>
      </x:c>
      <x:c r="C1265" s="13" t="str">
        <x:v>HU-CELL-4-BAY-2 rate matches share</x:v>
      </x:c>
      <x:c r="D1265" s="13" t="b">
        <x:f>ABS('Bay Register'!F121-'Bay Register'!D121*'Bay Register'!E121)&lt;0.000001</x:f>
        <x:v>1</x:v>
      </x:c>
      <x:c r="E1265" s="58" t="b">
        <x:v>1</x:v>
      </x:c>
      <x:c r="F1265" s="13" t="str">
        <x:f>IF(D1265=E1265,"PASS","FAIL")</x:f>
        <x:v>PASS</x:v>
      </x:c>
    </x:row>
    <x:row r="1266">
      <x:c r="A1266" s="13" t="str">
        <x:v>BR-117-01</x:v>
      </x:c>
      <x:c r="B1266" s="13" t="str">
        <x:v>Bay</x:v>
      </x:c>
      <x:c r="C1266" s="13" t="str">
        <x:v>HU-CELL-4-BAY-3 number within range</x:v>
      </x:c>
      <x:c r="D1266" s="13" t="b">
        <x:f>AND('Bay Register'!C122&gt;=1,'Bay Register'!C122&lt;=6)</x:f>
        <x:v>1</x:v>
      </x:c>
      <x:c r="E1266" s="58" t="b">
        <x:v>1</x:v>
      </x:c>
      <x:c r="F1266" s="13" t="str">
        <x:f>IF(D1266=E1266,"PASS","FAIL")</x:f>
        <x:v>PASS</x:v>
      </x:c>
    </x:row>
    <x:row r="1267">
      <x:c r="A1267" s="13" t="str">
        <x:v>BR-117-02</x:v>
      </x:c>
      <x:c r="B1267" s="13" t="str">
        <x:v>Bay</x:v>
      </x:c>
      <x:c r="C1267" s="13" t="str">
        <x:v>HU-CELL-4-BAY-3 rate matches share</x:v>
      </x:c>
      <x:c r="D1267" s="13" t="b">
        <x:f>ABS('Bay Register'!F122-'Bay Register'!D122*'Bay Register'!E122)&lt;0.000001</x:f>
        <x:v>1</x:v>
      </x:c>
      <x:c r="E1267" s="58" t="b">
        <x:v>1</x:v>
      </x:c>
      <x:c r="F1267" s="13" t="str">
        <x:f>IF(D1267=E1267,"PASS","FAIL")</x:f>
        <x:v>PASS</x:v>
      </x:c>
    </x:row>
    <x:row r="1268">
      <x:c r="A1268" s="13" t="str">
        <x:v>BR-118-01</x:v>
      </x:c>
      <x:c r="B1268" s="13" t="str">
        <x:v>Bay</x:v>
      </x:c>
      <x:c r="C1268" s="13" t="str">
        <x:v>HU-CELL-4-BAY-4 number within range</x:v>
      </x:c>
      <x:c r="D1268" s="13" t="b">
        <x:f>AND('Bay Register'!C123&gt;=1,'Bay Register'!C123&lt;=6)</x:f>
        <x:v>1</x:v>
      </x:c>
      <x:c r="E1268" s="58" t="b">
        <x:v>1</x:v>
      </x:c>
      <x:c r="F1268" s="13" t="str">
        <x:f>IF(D1268=E1268,"PASS","FAIL")</x:f>
        <x:v>PASS</x:v>
      </x:c>
    </x:row>
    <x:row r="1269">
      <x:c r="A1269" s="13" t="str">
        <x:v>BR-118-02</x:v>
      </x:c>
      <x:c r="B1269" s="13" t="str">
        <x:v>Bay</x:v>
      </x:c>
      <x:c r="C1269" s="13" t="str">
        <x:v>HU-CELL-4-BAY-4 rate matches share</x:v>
      </x:c>
      <x:c r="D1269" s="13" t="b">
        <x:f>ABS('Bay Register'!F123-'Bay Register'!D123*'Bay Register'!E123)&lt;0.000001</x:f>
        <x:v>1</x:v>
      </x:c>
      <x:c r="E1269" s="58" t="b">
        <x:v>1</x:v>
      </x:c>
      <x:c r="F1269" s="13" t="str">
        <x:f>IF(D1269=E1269,"PASS","FAIL")</x:f>
        <x:v>PASS</x:v>
      </x:c>
    </x:row>
    <x:row r="1270">
      <x:c r="A1270" s="13" t="str">
        <x:v>BR-119-01</x:v>
      </x:c>
      <x:c r="B1270" s="13" t="str">
        <x:v>Bay</x:v>
      </x:c>
      <x:c r="C1270" s="13" t="str">
        <x:v>HU-CELL-4-BAY-5 number within range</x:v>
      </x:c>
      <x:c r="D1270" s="13" t="b">
        <x:f>AND('Bay Register'!C124&gt;=1,'Bay Register'!C124&lt;=6)</x:f>
        <x:v>1</x:v>
      </x:c>
      <x:c r="E1270" s="58" t="b">
        <x:v>1</x:v>
      </x:c>
      <x:c r="F1270" s="13" t="str">
        <x:f>IF(D1270=E1270,"PASS","FAIL")</x:f>
        <x:v>PASS</x:v>
      </x:c>
    </x:row>
    <x:row r="1271">
      <x:c r="A1271" s="13" t="str">
        <x:v>BR-119-02</x:v>
      </x:c>
      <x:c r="B1271" s="13" t="str">
        <x:v>Bay</x:v>
      </x:c>
      <x:c r="C1271" s="13" t="str">
        <x:v>HU-CELL-4-BAY-5 rate matches share</x:v>
      </x:c>
      <x:c r="D1271" s="13" t="b">
        <x:f>ABS('Bay Register'!F124-'Bay Register'!D124*'Bay Register'!E124)&lt;0.000001</x:f>
        <x:v>1</x:v>
      </x:c>
      <x:c r="E1271" s="58" t="b">
        <x:v>1</x:v>
      </x:c>
      <x:c r="F1271" s="13" t="str">
        <x:f>IF(D1271=E1271,"PASS","FAIL")</x:f>
        <x:v>PASS</x:v>
      </x:c>
    </x:row>
    <x:row r="1272">
      <x:c r="A1272" s="13" t="str">
        <x:v>BR-120-01</x:v>
      </x:c>
      <x:c r="B1272" s="13" t="str">
        <x:v>Bay</x:v>
      </x:c>
      <x:c r="C1272" s="13" t="str">
        <x:v>HU-CELL-4-BAY-6 number within range</x:v>
      </x:c>
      <x:c r="D1272" s="13" t="b">
        <x:f>AND('Bay Register'!C125&gt;=1,'Bay Register'!C125&lt;=6)</x:f>
        <x:v>1</x:v>
      </x:c>
      <x:c r="E1272" s="58" t="b">
        <x:v>1</x:v>
      </x:c>
      <x:c r="F1272" s="13" t="str">
        <x:f>IF(D1272=E1272,"PASS","FAIL")</x:f>
        <x:v>PASS</x:v>
      </x:c>
    </x:row>
    <x:row r="1273">
      <x:c r="A1273" s="13" t="str">
        <x:v>BR-120-02</x:v>
      </x:c>
      <x:c r="B1273" s="13" t="str">
        <x:v>Bay</x:v>
      </x:c>
      <x:c r="C1273" s="13" t="str">
        <x:v>HU-CELL-4-BAY-6 rate matches share</x:v>
      </x:c>
      <x:c r="D1273" s="13" t="b">
        <x:f>ABS('Bay Register'!F125-'Bay Register'!D125*'Bay Register'!E125)&lt;0.000001</x:f>
        <x:v>1</x:v>
      </x:c>
      <x:c r="E1273" s="58" t="b">
        <x:v>1</x:v>
      </x:c>
      <x:c r="F1273" s="13" t="str">
        <x:f>IF(D1273=E1273,"PASS","FAIL")</x:f>
        <x:v>PASS</x:v>
      </x:c>
    </x:row>
    <x:row r="1274">
      <x:c r="A1274" s="13" t="str">
        <x:v>BR-121-01</x:v>
      </x:c>
      <x:c r="B1274" s="13" t="str">
        <x:v>Bay</x:v>
      </x:c>
      <x:c r="C1274" s="13" t="str">
        <x:v>RT-CELL-1-BAY-1 number within range</x:v>
      </x:c>
      <x:c r="D1274" s="13" t="b">
        <x:f>AND('Bay Register'!C126&gt;=1,'Bay Register'!C126&lt;=6)</x:f>
        <x:v>1</x:v>
      </x:c>
      <x:c r="E1274" s="58" t="b">
        <x:v>1</x:v>
      </x:c>
      <x:c r="F1274" s="13" t="str">
        <x:f>IF(D1274=E1274,"PASS","FAIL")</x:f>
        <x:v>PASS</x:v>
      </x:c>
    </x:row>
    <x:row r="1275">
      <x:c r="A1275" s="13" t="str">
        <x:v>BR-121-02</x:v>
      </x:c>
      <x:c r="B1275" s="13" t="str">
        <x:v>Bay</x:v>
      </x:c>
      <x:c r="C1275" s="13" t="str">
        <x:v>RT-CELL-1-BAY-1 rate matches share</x:v>
      </x:c>
      <x:c r="D1275" s="13" t="b">
        <x:f>ABS('Bay Register'!F126-'Bay Register'!D126*'Bay Register'!E126)&lt;0.000001</x:f>
        <x:v>1</x:v>
      </x:c>
      <x:c r="E1275" s="58" t="b">
        <x:v>1</x:v>
      </x:c>
      <x:c r="F1275" s="13" t="str">
        <x:f>IF(D1275=E1275,"PASS","FAIL")</x:f>
        <x:v>PASS</x:v>
      </x:c>
    </x:row>
    <x:row r="1276">
      <x:c r="A1276" s="13" t="str">
        <x:v>BR-122-01</x:v>
      </x:c>
      <x:c r="B1276" s="13" t="str">
        <x:v>Bay</x:v>
      </x:c>
      <x:c r="C1276" s="13" t="str">
        <x:v>RT-CELL-1-BAY-2 number within range</x:v>
      </x:c>
      <x:c r="D1276" s="13" t="b">
        <x:f>AND('Bay Register'!C127&gt;=1,'Bay Register'!C127&lt;=6)</x:f>
        <x:v>1</x:v>
      </x:c>
      <x:c r="E1276" s="58" t="b">
        <x:v>1</x:v>
      </x:c>
      <x:c r="F1276" s="13" t="str">
        <x:f>IF(D1276=E1276,"PASS","FAIL")</x:f>
        <x:v>PASS</x:v>
      </x:c>
    </x:row>
    <x:row r="1277">
      <x:c r="A1277" s="13" t="str">
        <x:v>BR-122-02</x:v>
      </x:c>
      <x:c r="B1277" s="13" t="str">
        <x:v>Bay</x:v>
      </x:c>
      <x:c r="C1277" s="13" t="str">
        <x:v>RT-CELL-1-BAY-2 rate matches share</x:v>
      </x:c>
      <x:c r="D1277" s="13" t="b">
        <x:f>ABS('Bay Register'!F127-'Bay Register'!D127*'Bay Register'!E127)&lt;0.000001</x:f>
        <x:v>1</x:v>
      </x:c>
      <x:c r="E1277" s="58" t="b">
        <x:v>1</x:v>
      </x:c>
      <x:c r="F1277" s="13" t="str">
        <x:f>IF(D1277=E1277,"PASS","FAIL")</x:f>
        <x:v>PASS</x:v>
      </x:c>
    </x:row>
    <x:row r="1278">
      <x:c r="A1278" s="13" t="str">
        <x:v>BR-123-01</x:v>
      </x:c>
      <x:c r="B1278" s="13" t="str">
        <x:v>Bay</x:v>
      </x:c>
      <x:c r="C1278" s="13" t="str">
        <x:v>RT-CELL-1-BAY-3 number within range</x:v>
      </x:c>
      <x:c r="D1278" s="13" t="b">
        <x:f>AND('Bay Register'!C128&gt;=1,'Bay Register'!C128&lt;=6)</x:f>
        <x:v>1</x:v>
      </x:c>
      <x:c r="E1278" s="58" t="b">
        <x:v>1</x:v>
      </x:c>
      <x:c r="F1278" s="13" t="str">
        <x:f>IF(D1278=E1278,"PASS","FAIL")</x:f>
        <x:v>PASS</x:v>
      </x:c>
    </x:row>
    <x:row r="1279">
      <x:c r="A1279" s="13" t="str">
        <x:v>BR-123-02</x:v>
      </x:c>
      <x:c r="B1279" s="13" t="str">
        <x:v>Bay</x:v>
      </x:c>
      <x:c r="C1279" s="13" t="str">
        <x:v>RT-CELL-1-BAY-3 rate matches share</x:v>
      </x:c>
      <x:c r="D1279" s="13" t="b">
        <x:f>ABS('Bay Register'!F128-'Bay Register'!D128*'Bay Register'!E128)&lt;0.000001</x:f>
        <x:v>1</x:v>
      </x:c>
      <x:c r="E1279" s="58" t="b">
        <x:v>1</x:v>
      </x:c>
      <x:c r="F1279" s="13" t="str">
        <x:f>IF(D1279=E1279,"PASS","FAIL")</x:f>
        <x:v>PASS</x:v>
      </x:c>
    </x:row>
    <x:row r="1280">
      <x:c r="A1280" s="13" t="str">
        <x:v>BR-124-01</x:v>
      </x:c>
      <x:c r="B1280" s="13" t="str">
        <x:v>Bay</x:v>
      </x:c>
      <x:c r="C1280" s="13" t="str">
        <x:v>RT-CELL-1-BAY-4 number within range</x:v>
      </x:c>
      <x:c r="D1280" s="13" t="b">
        <x:f>AND('Bay Register'!C129&gt;=1,'Bay Register'!C129&lt;=6)</x:f>
        <x:v>1</x:v>
      </x:c>
      <x:c r="E1280" s="58" t="b">
        <x:v>1</x:v>
      </x:c>
      <x:c r="F1280" s="13" t="str">
        <x:f>IF(D1280=E1280,"PASS","FAIL")</x:f>
        <x:v>PASS</x:v>
      </x:c>
    </x:row>
    <x:row r="1281">
      <x:c r="A1281" s="13" t="str">
        <x:v>BR-124-02</x:v>
      </x:c>
      <x:c r="B1281" s="13" t="str">
        <x:v>Bay</x:v>
      </x:c>
      <x:c r="C1281" s="13" t="str">
        <x:v>RT-CELL-1-BAY-4 rate matches share</x:v>
      </x:c>
      <x:c r="D1281" s="13" t="b">
        <x:f>ABS('Bay Register'!F129-'Bay Register'!D129*'Bay Register'!E129)&lt;0.000001</x:f>
        <x:v>1</x:v>
      </x:c>
      <x:c r="E1281" s="58" t="b">
        <x:v>1</x:v>
      </x:c>
      <x:c r="F1281" s="13" t="str">
        <x:f>IF(D1281=E1281,"PASS","FAIL")</x:f>
        <x:v>PASS</x:v>
      </x:c>
    </x:row>
    <x:row r="1282">
      <x:c r="A1282" s="13" t="str">
        <x:v>BR-125-01</x:v>
      </x:c>
      <x:c r="B1282" s="13" t="str">
        <x:v>Bay</x:v>
      </x:c>
      <x:c r="C1282" s="13" t="str">
        <x:v>RT-CELL-1-BAY-5 number within range</x:v>
      </x:c>
      <x:c r="D1282" s="13" t="b">
        <x:f>AND('Bay Register'!C130&gt;=1,'Bay Register'!C130&lt;=6)</x:f>
        <x:v>1</x:v>
      </x:c>
      <x:c r="E1282" s="58" t="b">
        <x:v>1</x:v>
      </x:c>
      <x:c r="F1282" s="13" t="str">
        <x:f>IF(D1282=E1282,"PASS","FAIL")</x:f>
        <x:v>PASS</x:v>
      </x:c>
    </x:row>
    <x:row r="1283">
      <x:c r="A1283" s="13" t="str">
        <x:v>BR-125-02</x:v>
      </x:c>
      <x:c r="B1283" s="13" t="str">
        <x:v>Bay</x:v>
      </x:c>
      <x:c r="C1283" s="13" t="str">
        <x:v>RT-CELL-1-BAY-5 rate matches share</x:v>
      </x:c>
      <x:c r="D1283" s="13" t="b">
        <x:f>ABS('Bay Register'!F130-'Bay Register'!D130*'Bay Register'!E130)&lt;0.000001</x:f>
        <x:v>1</x:v>
      </x:c>
      <x:c r="E1283" s="58" t="b">
        <x:v>1</x:v>
      </x:c>
      <x:c r="F1283" s="13" t="str">
        <x:f>IF(D1283=E1283,"PASS","FAIL")</x:f>
        <x:v>PASS</x:v>
      </x:c>
    </x:row>
    <x:row r="1284">
      <x:c r="A1284" s="13" t="str">
        <x:v>BR-126-01</x:v>
      </x:c>
      <x:c r="B1284" s="13" t="str">
        <x:v>Bay</x:v>
      </x:c>
      <x:c r="C1284" s="13" t="str">
        <x:v>RT-CELL-1-BAY-6 number within range</x:v>
      </x:c>
      <x:c r="D1284" s="13" t="b">
        <x:f>AND('Bay Register'!C131&gt;=1,'Bay Register'!C131&lt;=6)</x:f>
        <x:v>1</x:v>
      </x:c>
      <x:c r="E1284" s="58" t="b">
        <x:v>1</x:v>
      </x:c>
      <x:c r="F1284" s="13" t="str">
        <x:f>IF(D1284=E1284,"PASS","FAIL")</x:f>
        <x:v>PASS</x:v>
      </x:c>
    </x:row>
    <x:row r="1285">
      <x:c r="A1285" s="13" t="str">
        <x:v>BR-126-02</x:v>
      </x:c>
      <x:c r="B1285" s="13" t="str">
        <x:v>Bay</x:v>
      </x:c>
      <x:c r="C1285" s="13" t="str">
        <x:v>RT-CELL-1-BAY-6 rate matches share</x:v>
      </x:c>
      <x:c r="D1285" s="13" t="b">
        <x:f>ABS('Bay Register'!F131-'Bay Register'!D131*'Bay Register'!E131)&lt;0.000001</x:f>
        <x:v>1</x:v>
      </x:c>
      <x:c r="E1285" s="58" t="b">
        <x:v>1</x:v>
      </x:c>
      <x:c r="F1285" s="13" t="str">
        <x:f>IF(D1285=E1285,"PASS","FAIL")</x:f>
        <x:v>PASS</x:v>
      </x:c>
    </x:row>
    <x:row r="1286">
      <x:c r="A1286" s="13" t="str">
        <x:v>BR-127-01</x:v>
      </x:c>
      <x:c r="B1286" s="13" t="str">
        <x:v>Bay</x:v>
      </x:c>
      <x:c r="C1286" s="13" t="str">
        <x:v>RT-CELL-2-BAY-1 number within range</x:v>
      </x:c>
      <x:c r="D1286" s="13" t="b">
        <x:f>AND('Bay Register'!C132&gt;=1,'Bay Register'!C132&lt;=6)</x:f>
        <x:v>1</x:v>
      </x:c>
      <x:c r="E1286" s="58" t="b">
        <x:v>1</x:v>
      </x:c>
      <x:c r="F1286" s="13" t="str">
        <x:f>IF(D1286=E1286,"PASS","FAIL")</x:f>
        <x:v>PASS</x:v>
      </x:c>
    </x:row>
    <x:row r="1287">
      <x:c r="A1287" s="13" t="str">
        <x:v>BR-127-02</x:v>
      </x:c>
      <x:c r="B1287" s="13" t="str">
        <x:v>Bay</x:v>
      </x:c>
      <x:c r="C1287" s="13" t="str">
        <x:v>RT-CELL-2-BAY-1 rate matches share</x:v>
      </x:c>
      <x:c r="D1287" s="13" t="b">
        <x:f>ABS('Bay Register'!F132-'Bay Register'!D132*'Bay Register'!E132)&lt;0.000001</x:f>
        <x:v>1</x:v>
      </x:c>
      <x:c r="E1287" s="58" t="b">
        <x:v>1</x:v>
      </x:c>
      <x:c r="F1287" s="13" t="str">
        <x:f>IF(D1287=E1287,"PASS","FAIL")</x:f>
        <x:v>PASS</x:v>
      </x:c>
    </x:row>
    <x:row r="1288">
      <x:c r="A1288" s="13" t="str">
        <x:v>BR-128-01</x:v>
      </x:c>
      <x:c r="B1288" s="13" t="str">
        <x:v>Bay</x:v>
      </x:c>
      <x:c r="C1288" s="13" t="str">
        <x:v>RT-CELL-2-BAY-2 number within range</x:v>
      </x:c>
      <x:c r="D1288" s="13" t="b">
        <x:f>AND('Bay Register'!C133&gt;=1,'Bay Register'!C133&lt;=6)</x:f>
        <x:v>1</x:v>
      </x:c>
      <x:c r="E1288" s="58" t="b">
        <x:v>1</x:v>
      </x:c>
      <x:c r="F1288" s="13" t="str">
        <x:f>IF(D1288=E1288,"PASS","FAIL")</x:f>
        <x:v>PASS</x:v>
      </x:c>
    </x:row>
    <x:row r="1289">
      <x:c r="A1289" s="13" t="str">
        <x:v>BR-128-02</x:v>
      </x:c>
      <x:c r="B1289" s="13" t="str">
        <x:v>Bay</x:v>
      </x:c>
      <x:c r="C1289" s="13" t="str">
        <x:v>RT-CELL-2-BAY-2 rate matches share</x:v>
      </x:c>
      <x:c r="D1289" s="13" t="b">
        <x:f>ABS('Bay Register'!F133-'Bay Register'!D133*'Bay Register'!E133)&lt;0.000001</x:f>
        <x:v>1</x:v>
      </x:c>
      <x:c r="E1289" s="58" t="b">
        <x:v>1</x:v>
      </x:c>
      <x:c r="F1289" s="13" t="str">
        <x:f>IF(D1289=E1289,"PASS","FAIL")</x:f>
        <x:v>PASS</x:v>
      </x:c>
    </x:row>
    <x:row r="1290">
      <x:c r="A1290" s="13" t="str">
        <x:v>BR-129-01</x:v>
      </x:c>
      <x:c r="B1290" s="13" t="str">
        <x:v>Bay</x:v>
      </x:c>
      <x:c r="C1290" s="13" t="str">
        <x:v>RT-CELL-2-BAY-3 number within range</x:v>
      </x:c>
      <x:c r="D1290" s="13" t="b">
        <x:f>AND('Bay Register'!C134&gt;=1,'Bay Register'!C134&lt;=6)</x:f>
        <x:v>1</x:v>
      </x:c>
      <x:c r="E1290" s="58" t="b">
        <x:v>1</x:v>
      </x:c>
      <x:c r="F1290" s="13" t="str">
        <x:f>IF(D1290=E1290,"PASS","FAIL")</x:f>
        <x:v>PASS</x:v>
      </x:c>
    </x:row>
    <x:row r="1291">
      <x:c r="A1291" s="13" t="str">
        <x:v>BR-129-02</x:v>
      </x:c>
      <x:c r="B1291" s="13" t="str">
        <x:v>Bay</x:v>
      </x:c>
      <x:c r="C1291" s="13" t="str">
        <x:v>RT-CELL-2-BAY-3 rate matches share</x:v>
      </x:c>
      <x:c r="D1291" s="13" t="b">
        <x:f>ABS('Bay Register'!F134-'Bay Register'!D134*'Bay Register'!E134)&lt;0.000001</x:f>
        <x:v>1</x:v>
      </x:c>
      <x:c r="E1291" s="58" t="b">
        <x:v>1</x:v>
      </x:c>
      <x:c r="F1291" s="13" t="str">
        <x:f>IF(D1291=E1291,"PASS","FAIL")</x:f>
        <x:v>PASS</x:v>
      </x:c>
    </x:row>
    <x:row r="1292">
      <x:c r="A1292" s="13" t="str">
        <x:v>BR-130-01</x:v>
      </x:c>
      <x:c r="B1292" s="13" t="str">
        <x:v>Bay</x:v>
      </x:c>
      <x:c r="C1292" s="13" t="str">
        <x:v>RT-CELL-2-BAY-4 number within range</x:v>
      </x:c>
      <x:c r="D1292" s="13" t="b">
        <x:f>AND('Bay Register'!C135&gt;=1,'Bay Register'!C135&lt;=6)</x:f>
        <x:v>1</x:v>
      </x:c>
      <x:c r="E1292" s="58" t="b">
        <x:v>1</x:v>
      </x:c>
      <x:c r="F1292" s="13" t="str">
        <x:f>IF(D1292=E1292,"PASS","FAIL")</x:f>
        <x:v>PASS</x:v>
      </x:c>
    </x:row>
    <x:row r="1293">
      <x:c r="A1293" s="13" t="str">
        <x:v>BR-130-02</x:v>
      </x:c>
      <x:c r="B1293" s="13" t="str">
        <x:v>Bay</x:v>
      </x:c>
      <x:c r="C1293" s="13" t="str">
        <x:v>RT-CELL-2-BAY-4 rate matches share</x:v>
      </x:c>
      <x:c r="D1293" s="13" t="b">
        <x:f>ABS('Bay Register'!F135-'Bay Register'!D135*'Bay Register'!E135)&lt;0.000001</x:f>
        <x:v>1</x:v>
      </x:c>
      <x:c r="E1293" s="58" t="b">
        <x:v>1</x:v>
      </x:c>
      <x:c r="F1293" s="13" t="str">
        <x:f>IF(D1293=E1293,"PASS","FAIL")</x:f>
        <x:v>PASS</x:v>
      </x:c>
    </x:row>
    <x:row r="1294">
      <x:c r="A1294" s="13" t="str">
        <x:v>BR-131-01</x:v>
      </x:c>
      <x:c r="B1294" s="13" t="str">
        <x:v>Bay</x:v>
      </x:c>
      <x:c r="C1294" s="13" t="str">
        <x:v>RT-CELL-2-BAY-5 number within range</x:v>
      </x:c>
      <x:c r="D1294" s="13" t="b">
        <x:f>AND('Bay Register'!C136&gt;=1,'Bay Register'!C136&lt;=6)</x:f>
        <x:v>1</x:v>
      </x:c>
      <x:c r="E1294" s="58" t="b">
        <x:v>1</x:v>
      </x:c>
      <x:c r="F1294" s="13" t="str">
        <x:f>IF(D1294=E1294,"PASS","FAIL")</x:f>
        <x:v>PASS</x:v>
      </x:c>
    </x:row>
    <x:row r="1295">
      <x:c r="A1295" s="13" t="str">
        <x:v>BR-131-02</x:v>
      </x:c>
      <x:c r="B1295" s="13" t="str">
        <x:v>Bay</x:v>
      </x:c>
      <x:c r="C1295" s="13" t="str">
        <x:v>RT-CELL-2-BAY-5 rate matches share</x:v>
      </x:c>
      <x:c r="D1295" s="13" t="b">
        <x:f>ABS('Bay Register'!F136-'Bay Register'!D136*'Bay Register'!E136)&lt;0.000001</x:f>
        <x:v>1</x:v>
      </x:c>
      <x:c r="E1295" s="58" t="b">
        <x:v>1</x:v>
      </x:c>
      <x:c r="F1295" s="13" t="str">
        <x:f>IF(D1295=E1295,"PASS","FAIL")</x:f>
        <x:v>PASS</x:v>
      </x:c>
    </x:row>
    <x:row r="1296">
      <x:c r="A1296" s="13" t="str">
        <x:v>BR-132-01</x:v>
      </x:c>
      <x:c r="B1296" s="13" t="str">
        <x:v>Bay</x:v>
      </x:c>
      <x:c r="C1296" s="13" t="str">
        <x:v>RT-CELL-2-BAY-6 number within range</x:v>
      </x:c>
      <x:c r="D1296" s="13" t="b">
        <x:f>AND('Bay Register'!C137&gt;=1,'Bay Register'!C137&lt;=6)</x:f>
        <x:v>1</x:v>
      </x:c>
      <x:c r="E1296" s="58" t="b">
        <x:v>1</x:v>
      </x:c>
      <x:c r="F1296" s="13" t="str">
        <x:f>IF(D1296=E1296,"PASS","FAIL")</x:f>
        <x:v>PASS</x:v>
      </x:c>
    </x:row>
    <x:row r="1297">
      <x:c r="A1297" s="13" t="str">
        <x:v>BR-132-02</x:v>
      </x:c>
      <x:c r="B1297" s="13" t="str">
        <x:v>Bay</x:v>
      </x:c>
      <x:c r="C1297" s="13" t="str">
        <x:v>RT-CELL-2-BAY-6 rate matches share</x:v>
      </x:c>
      <x:c r="D1297" s="13" t="b">
        <x:f>ABS('Bay Register'!F137-'Bay Register'!D137*'Bay Register'!E137)&lt;0.000001</x:f>
        <x:v>1</x:v>
      </x:c>
      <x:c r="E1297" s="58" t="b">
        <x:v>1</x:v>
      </x:c>
      <x:c r="F1297" s="13" t="str">
        <x:f>IF(D1297=E1297,"PASS","FAIL")</x:f>
        <x:v>PASS</x:v>
      </x:c>
    </x:row>
    <x:row r="1298">
      <x:c r="A1298" s="13" t="str">
        <x:v>BR-133-01</x:v>
      </x:c>
      <x:c r="B1298" s="13" t="str">
        <x:v>Bay</x:v>
      </x:c>
      <x:c r="C1298" s="13" t="str">
        <x:v>RT-CELL-3-BAY-1 number within range</x:v>
      </x:c>
      <x:c r="D1298" s="13" t="b">
        <x:f>AND('Bay Register'!C138&gt;=1,'Bay Register'!C138&lt;=6)</x:f>
        <x:v>1</x:v>
      </x:c>
      <x:c r="E1298" s="58" t="b">
        <x:v>1</x:v>
      </x:c>
      <x:c r="F1298" s="13" t="str">
        <x:f>IF(D1298=E1298,"PASS","FAIL")</x:f>
        <x:v>PASS</x:v>
      </x:c>
    </x:row>
    <x:row r="1299">
      <x:c r="A1299" s="13" t="str">
        <x:v>BR-133-02</x:v>
      </x:c>
      <x:c r="B1299" s="13" t="str">
        <x:v>Bay</x:v>
      </x:c>
      <x:c r="C1299" s="13" t="str">
        <x:v>RT-CELL-3-BAY-1 rate matches share</x:v>
      </x:c>
      <x:c r="D1299" s="13" t="b">
        <x:f>ABS('Bay Register'!F138-'Bay Register'!D138*'Bay Register'!E138)&lt;0.000001</x:f>
        <x:v>1</x:v>
      </x:c>
      <x:c r="E1299" s="58" t="b">
        <x:v>1</x:v>
      </x:c>
      <x:c r="F1299" s="13" t="str">
        <x:f>IF(D1299=E1299,"PASS","FAIL")</x:f>
        <x:v>PASS</x:v>
      </x:c>
    </x:row>
    <x:row r="1300">
      <x:c r="A1300" s="13" t="str">
        <x:v>BR-134-01</x:v>
      </x:c>
      <x:c r="B1300" s="13" t="str">
        <x:v>Bay</x:v>
      </x:c>
      <x:c r="C1300" s="13" t="str">
        <x:v>RT-CELL-3-BAY-2 number within range</x:v>
      </x:c>
      <x:c r="D1300" s="13" t="b">
        <x:f>AND('Bay Register'!C139&gt;=1,'Bay Register'!C139&lt;=6)</x:f>
        <x:v>1</x:v>
      </x:c>
      <x:c r="E1300" s="58" t="b">
        <x:v>1</x:v>
      </x:c>
      <x:c r="F1300" s="13" t="str">
        <x:f>IF(D1300=E1300,"PASS","FAIL")</x:f>
        <x:v>PASS</x:v>
      </x:c>
    </x:row>
    <x:row r="1301">
      <x:c r="A1301" s="13" t="str">
        <x:v>BR-134-02</x:v>
      </x:c>
      <x:c r="B1301" s="13" t="str">
        <x:v>Bay</x:v>
      </x:c>
      <x:c r="C1301" s="13" t="str">
        <x:v>RT-CELL-3-BAY-2 rate matches share</x:v>
      </x:c>
      <x:c r="D1301" s="13" t="b">
        <x:f>ABS('Bay Register'!F139-'Bay Register'!D139*'Bay Register'!E139)&lt;0.000001</x:f>
        <x:v>1</x:v>
      </x:c>
      <x:c r="E1301" s="58" t="b">
        <x:v>1</x:v>
      </x:c>
      <x:c r="F1301" s="13" t="str">
        <x:f>IF(D1301=E1301,"PASS","FAIL")</x:f>
        <x:v>PASS</x:v>
      </x:c>
    </x:row>
    <x:row r="1302">
      <x:c r="A1302" s="13" t="str">
        <x:v>BR-135-01</x:v>
      </x:c>
      <x:c r="B1302" s="13" t="str">
        <x:v>Bay</x:v>
      </x:c>
      <x:c r="C1302" s="13" t="str">
        <x:v>RT-CELL-3-BAY-3 number within range</x:v>
      </x:c>
      <x:c r="D1302" s="13" t="b">
        <x:f>AND('Bay Register'!C140&gt;=1,'Bay Register'!C140&lt;=6)</x:f>
        <x:v>1</x:v>
      </x:c>
      <x:c r="E1302" s="58" t="b">
        <x:v>1</x:v>
      </x:c>
      <x:c r="F1302" s="13" t="str">
        <x:f>IF(D1302=E1302,"PASS","FAIL")</x:f>
        <x:v>PASS</x:v>
      </x:c>
    </x:row>
    <x:row r="1303">
      <x:c r="A1303" s="13" t="str">
        <x:v>BR-135-02</x:v>
      </x:c>
      <x:c r="B1303" s="13" t="str">
        <x:v>Bay</x:v>
      </x:c>
      <x:c r="C1303" s="13" t="str">
        <x:v>RT-CELL-3-BAY-3 rate matches share</x:v>
      </x:c>
      <x:c r="D1303" s="13" t="b">
        <x:f>ABS('Bay Register'!F140-'Bay Register'!D140*'Bay Register'!E140)&lt;0.000001</x:f>
        <x:v>1</x:v>
      </x:c>
      <x:c r="E1303" s="58" t="b">
        <x:v>1</x:v>
      </x:c>
      <x:c r="F1303" s="13" t="str">
        <x:f>IF(D1303=E1303,"PASS","FAIL")</x:f>
        <x:v>PASS</x:v>
      </x:c>
    </x:row>
    <x:row r="1304">
      <x:c r="A1304" s="13" t="str">
        <x:v>BR-136-01</x:v>
      </x:c>
      <x:c r="B1304" s="13" t="str">
        <x:v>Bay</x:v>
      </x:c>
      <x:c r="C1304" s="13" t="str">
        <x:v>RT-CELL-3-BAY-4 number within range</x:v>
      </x:c>
      <x:c r="D1304" s="13" t="b">
        <x:f>AND('Bay Register'!C141&gt;=1,'Bay Register'!C141&lt;=6)</x:f>
        <x:v>1</x:v>
      </x:c>
      <x:c r="E1304" s="58" t="b">
        <x:v>1</x:v>
      </x:c>
      <x:c r="F1304" s="13" t="str">
        <x:f>IF(D1304=E1304,"PASS","FAIL")</x:f>
        <x:v>PASS</x:v>
      </x:c>
    </x:row>
    <x:row r="1305">
      <x:c r="A1305" s="13" t="str">
        <x:v>BR-136-02</x:v>
      </x:c>
      <x:c r="B1305" s="13" t="str">
        <x:v>Bay</x:v>
      </x:c>
      <x:c r="C1305" s="13" t="str">
        <x:v>RT-CELL-3-BAY-4 rate matches share</x:v>
      </x:c>
      <x:c r="D1305" s="13" t="b">
        <x:f>ABS('Bay Register'!F141-'Bay Register'!D141*'Bay Register'!E141)&lt;0.000001</x:f>
        <x:v>1</x:v>
      </x:c>
      <x:c r="E1305" s="58" t="b">
        <x:v>1</x:v>
      </x:c>
      <x:c r="F1305" s="13" t="str">
        <x:f>IF(D1305=E1305,"PASS","FAIL")</x:f>
        <x:v>PASS</x:v>
      </x:c>
    </x:row>
    <x:row r="1306">
      <x:c r="A1306" s="13" t="str">
        <x:v>BR-137-01</x:v>
      </x:c>
      <x:c r="B1306" s="13" t="str">
        <x:v>Bay</x:v>
      </x:c>
      <x:c r="C1306" s="13" t="str">
        <x:v>RT-CELL-3-BAY-5 number within range</x:v>
      </x:c>
      <x:c r="D1306" s="13" t="b">
        <x:f>AND('Bay Register'!C142&gt;=1,'Bay Register'!C142&lt;=6)</x:f>
        <x:v>1</x:v>
      </x:c>
      <x:c r="E1306" s="58" t="b">
        <x:v>1</x:v>
      </x:c>
      <x:c r="F1306" s="13" t="str">
        <x:f>IF(D1306=E1306,"PASS","FAIL")</x:f>
        <x:v>PASS</x:v>
      </x:c>
    </x:row>
    <x:row r="1307">
      <x:c r="A1307" s="13" t="str">
        <x:v>BR-137-02</x:v>
      </x:c>
      <x:c r="B1307" s="13" t="str">
        <x:v>Bay</x:v>
      </x:c>
      <x:c r="C1307" s="13" t="str">
        <x:v>RT-CELL-3-BAY-5 rate matches share</x:v>
      </x:c>
      <x:c r="D1307" s="13" t="b">
        <x:f>ABS('Bay Register'!F142-'Bay Register'!D142*'Bay Register'!E142)&lt;0.000001</x:f>
        <x:v>1</x:v>
      </x:c>
      <x:c r="E1307" s="58" t="b">
        <x:v>1</x:v>
      </x:c>
      <x:c r="F1307" s="13" t="str">
        <x:f>IF(D1307=E1307,"PASS","FAIL")</x:f>
        <x:v>PASS</x:v>
      </x:c>
    </x:row>
    <x:row r="1308">
      <x:c r="A1308" s="13" t="str">
        <x:v>BR-138-01</x:v>
      </x:c>
      <x:c r="B1308" s="13" t="str">
        <x:v>Bay</x:v>
      </x:c>
      <x:c r="C1308" s="13" t="str">
        <x:v>RT-CELL-3-BAY-6 number within range</x:v>
      </x:c>
      <x:c r="D1308" s="13" t="b">
        <x:f>AND('Bay Register'!C143&gt;=1,'Bay Register'!C143&lt;=6)</x:f>
        <x:v>1</x:v>
      </x:c>
      <x:c r="E1308" s="58" t="b">
        <x:v>1</x:v>
      </x:c>
      <x:c r="F1308" s="13" t="str">
        <x:f>IF(D1308=E1308,"PASS","FAIL")</x:f>
        <x:v>PASS</x:v>
      </x:c>
    </x:row>
    <x:row r="1309">
      <x:c r="A1309" s="13" t="str">
        <x:v>BR-138-02</x:v>
      </x:c>
      <x:c r="B1309" s="13" t="str">
        <x:v>Bay</x:v>
      </x:c>
      <x:c r="C1309" s="13" t="str">
        <x:v>RT-CELL-3-BAY-6 rate matches share</x:v>
      </x:c>
      <x:c r="D1309" s="13" t="b">
        <x:f>ABS('Bay Register'!F143-'Bay Register'!D143*'Bay Register'!E143)&lt;0.000001</x:f>
        <x:v>1</x:v>
      </x:c>
      <x:c r="E1309" s="58" t="b">
        <x:v>1</x:v>
      </x:c>
      <x:c r="F1309" s="13" t="str">
        <x:f>IF(D1309=E1309,"PASS","FAIL")</x:f>
        <x:v>PASS</x:v>
      </x:c>
    </x:row>
    <x:row r="1310">
      <x:c r="A1310" s="13" t="str">
        <x:v>BR-139-01</x:v>
      </x:c>
      <x:c r="B1310" s="13" t="str">
        <x:v>Bay</x:v>
      </x:c>
      <x:c r="C1310" s="13" t="str">
        <x:v>RT-CELL-4-BAY-1 number within range</x:v>
      </x:c>
      <x:c r="D1310" s="13" t="b">
        <x:f>AND('Bay Register'!C144&gt;=1,'Bay Register'!C144&lt;=6)</x:f>
        <x:v>1</x:v>
      </x:c>
      <x:c r="E1310" s="58" t="b">
        <x:v>1</x:v>
      </x:c>
      <x:c r="F1310" s="13" t="str">
        <x:f>IF(D1310=E1310,"PASS","FAIL")</x:f>
        <x:v>PASS</x:v>
      </x:c>
    </x:row>
    <x:row r="1311">
      <x:c r="A1311" s="13" t="str">
        <x:v>BR-139-02</x:v>
      </x:c>
      <x:c r="B1311" s="13" t="str">
        <x:v>Bay</x:v>
      </x:c>
      <x:c r="C1311" s="13" t="str">
        <x:v>RT-CELL-4-BAY-1 rate matches share</x:v>
      </x:c>
      <x:c r="D1311" s="13" t="b">
        <x:f>ABS('Bay Register'!F144-'Bay Register'!D144*'Bay Register'!E144)&lt;0.000001</x:f>
        <x:v>1</x:v>
      </x:c>
      <x:c r="E1311" s="58" t="b">
        <x:v>1</x:v>
      </x:c>
      <x:c r="F1311" s="13" t="str">
        <x:f>IF(D1311=E1311,"PASS","FAIL")</x:f>
        <x:v>PASS</x:v>
      </x:c>
    </x:row>
    <x:row r="1312">
      <x:c r="A1312" s="13" t="str">
        <x:v>BR-140-01</x:v>
      </x:c>
      <x:c r="B1312" s="13" t="str">
        <x:v>Bay</x:v>
      </x:c>
      <x:c r="C1312" s="13" t="str">
        <x:v>RT-CELL-4-BAY-2 number within range</x:v>
      </x:c>
      <x:c r="D1312" s="13" t="b">
        <x:f>AND('Bay Register'!C145&gt;=1,'Bay Register'!C145&lt;=6)</x:f>
        <x:v>1</x:v>
      </x:c>
      <x:c r="E1312" s="58" t="b">
        <x:v>1</x:v>
      </x:c>
      <x:c r="F1312" s="13" t="str">
        <x:f>IF(D1312=E1312,"PASS","FAIL")</x:f>
        <x:v>PASS</x:v>
      </x:c>
    </x:row>
    <x:row r="1313">
      <x:c r="A1313" s="13" t="str">
        <x:v>BR-140-02</x:v>
      </x:c>
      <x:c r="B1313" s="13" t="str">
        <x:v>Bay</x:v>
      </x:c>
      <x:c r="C1313" s="13" t="str">
        <x:v>RT-CELL-4-BAY-2 rate matches share</x:v>
      </x:c>
      <x:c r="D1313" s="13" t="b">
        <x:f>ABS('Bay Register'!F145-'Bay Register'!D145*'Bay Register'!E145)&lt;0.000001</x:f>
        <x:v>1</x:v>
      </x:c>
      <x:c r="E1313" s="58" t="b">
        <x:v>1</x:v>
      </x:c>
      <x:c r="F1313" s="13" t="str">
        <x:f>IF(D1313=E1313,"PASS","FAIL")</x:f>
        <x:v>PASS</x:v>
      </x:c>
    </x:row>
    <x:row r="1314">
      <x:c r="A1314" s="13" t="str">
        <x:v>BR-141-01</x:v>
      </x:c>
      <x:c r="B1314" s="13" t="str">
        <x:v>Bay</x:v>
      </x:c>
      <x:c r="C1314" s="13" t="str">
        <x:v>RT-CELL-4-BAY-3 number within range</x:v>
      </x:c>
      <x:c r="D1314" s="13" t="b">
        <x:f>AND('Bay Register'!C146&gt;=1,'Bay Register'!C146&lt;=6)</x:f>
        <x:v>1</x:v>
      </x:c>
      <x:c r="E1314" s="58" t="b">
        <x:v>1</x:v>
      </x:c>
      <x:c r="F1314" s="13" t="str">
        <x:f>IF(D1314=E1314,"PASS","FAIL")</x:f>
        <x:v>PASS</x:v>
      </x:c>
    </x:row>
    <x:row r="1315">
      <x:c r="A1315" s="13" t="str">
        <x:v>BR-141-02</x:v>
      </x:c>
      <x:c r="B1315" s="13" t="str">
        <x:v>Bay</x:v>
      </x:c>
      <x:c r="C1315" s="13" t="str">
        <x:v>RT-CELL-4-BAY-3 rate matches share</x:v>
      </x:c>
      <x:c r="D1315" s="13" t="b">
        <x:f>ABS('Bay Register'!F146-'Bay Register'!D146*'Bay Register'!E146)&lt;0.000001</x:f>
        <x:v>1</x:v>
      </x:c>
      <x:c r="E1315" s="58" t="b">
        <x:v>1</x:v>
      </x:c>
      <x:c r="F1315" s="13" t="str">
        <x:f>IF(D1315=E1315,"PASS","FAIL")</x:f>
        <x:v>PASS</x:v>
      </x:c>
    </x:row>
    <x:row r="1316">
      <x:c r="A1316" s="13" t="str">
        <x:v>BR-142-01</x:v>
      </x:c>
      <x:c r="B1316" s="13" t="str">
        <x:v>Bay</x:v>
      </x:c>
      <x:c r="C1316" s="13" t="str">
        <x:v>RT-CELL-4-BAY-4 number within range</x:v>
      </x:c>
      <x:c r="D1316" s="13" t="b">
        <x:f>AND('Bay Register'!C147&gt;=1,'Bay Register'!C147&lt;=6)</x:f>
        <x:v>1</x:v>
      </x:c>
      <x:c r="E1316" s="58" t="b">
        <x:v>1</x:v>
      </x:c>
      <x:c r="F1316" s="13" t="str">
        <x:f>IF(D1316=E1316,"PASS","FAIL")</x:f>
        <x:v>PASS</x:v>
      </x:c>
    </x:row>
    <x:row r="1317">
      <x:c r="A1317" s="13" t="str">
        <x:v>BR-142-02</x:v>
      </x:c>
      <x:c r="B1317" s="13" t="str">
        <x:v>Bay</x:v>
      </x:c>
      <x:c r="C1317" s="13" t="str">
        <x:v>RT-CELL-4-BAY-4 rate matches share</x:v>
      </x:c>
      <x:c r="D1317" s="13" t="b">
        <x:f>ABS('Bay Register'!F147-'Bay Register'!D147*'Bay Register'!E147)&lt;0.000001</x:f>
        <x:v>1</x:v>
      </x:c>
      <x:c r="E1317" s="58" t="b">
        <x:v>1</x:v>
      </x:c>
      <x:c r="F1317" s="13" t="str">
        <x:f>IF(D1317=E1317,"PASS","FAIL")</x:f>
        <x:v>PASS</x:v>
      </x:c>
    </x:row>
    <x:row r="1318">
      <x:c r="A1318" s="13" t="str">
        <x:v>BR-143-01</x:v>
      </x:c>
      <x:c r="B1318" s="13" t="str">
        <x:v>Bay</x:v>
      </x:c>
      <x:c r="C1318" s="13" t="str">
        <x:v>RT-CELL-4-BAY-5 number within range</x:v>
      </x:c>
      <x:c r="D1318" s="13" t="b">
        <x:f>AND('Bay Register'!C148&gt;=1,'Bay Register'!C148&lt;=6)</x:f>
        <x:v>1</x:v>
      </x:c>
      <x:c r="E1318" s="58" t="b">
        <x:v>1</x:v>
      </x:c>
      <x:c r="F1318" s="13" t="str">
        <x:f>IF(D1318=E1318,"PASS","FAIL")</x:f>
        <x:v>PASS</x:v>
      </x:c>
    </x:row>
    <x:row r="1319">
      <x:c r="A1319" s="13" t="str">
        <x:v>BR-143-02</x:v>
      </x:c>
      <x:c r="B1319" s="13" t="str">
        <x:v>Bay</x:v>
      </x:c>
      <x:c r="C1319" s="13" t="str">
        <x:v>RT-CELL-4-BAY-5 rate matches share</x:v>
      </x:c>
      <x:c r="D1319" s="13" t="b">
        <x:f>ABS('Bay Register'!F148-'Bay Register'!D148*'Bay Register'!E148)&lt;0.000001</x:f>
        <x:v>1</x:v>
      </x:c>
      <x:c r="E1319" s="58" t="b">
        <x:v>1</x:v>
      </x:c>
      <x:c r="F1319" s="13" t="str">
        <x:f>IF(D1319=E1319,"PASS","FAIL")</x:f>
        <x:v>PASS</x:v>
      </x:c>
    </x:row>
    <x:row r="1320">
      <x:c r="A1320" s="13" t="str">
        <x:v>BR-144-01</x:v>
      </x:c>
      <x:c r="B1320" s="13" t="str">
        <x:v>Bay</x:v>
      </x:c>
      <x:c r="C1320" s="13" t="str">
        <x:v>RT-CELL-4-BAY-6 number within range</x:v>
      </x:c>
      <x:c r="D1320" s="13" t="b">
        <x:f>AND('Bay Register'!C149&gt;=1,'Bay Register'!C149&lt;=6)</x:f>
        <x:v>1</x:v>
      </x:c>
      <x:c r="E1320" s="58" t="b">
        <x:v>1</x:v>
      </x:c>
      <x:c r="F1320" s="13" t="str">
        <x:f>IF(D1320=E1320,"PASS","FAIL")</x:f>
        <x:v>PASS</x:v>
      </x:c>
    </x:row>
    <x:row r="1321">
      <x:c r="A1321" s="13" t="str">
        <x:v>BR-144-02</x:v>
      </x:c>
      <x:c r="B1321" s="13" t="str">
        <x:v>Bay</x:v>
      </x:c>
      <x:c r="C1321" s="13" t="str">
        <x:v>RT-CELL-4-BAY-6 rate matches share</x:v>
      </x:c>
      <x:c r="D1321" s="13" t="b">
        <x:f>ABS('Bay Register'!F149-'Bay Register'!D149*'Bay Register'!E149)&lt;0.000001</x:f>
        <x:v>1</x:v>
      </x:c>
      <x:c r="E1321" s="58" t="b">
        <x:v>1</x:v>
      </x:c>
      <x:c r="F1321" s="13" t="str">
        <x:f>IF(D1321=E1321,"PASS","FAIL")</x:f>
        <x:v>PASS</x:v>
      </x:c>
    </x:row>
    <x:row r="1322">
      <x:c r="A1322" s="13" t="str">
        <x:v>WF-1-01</x:v>
      </x:c>
      <x:c r="B1322" s="13" t="str">
        <x:v>Workforce</x:v>
      </x:c>
      <x:c r="C1322" s="13" t="str">
        <x:v>TE-CELL-1 survives denial</x:v>
      </x:c>
      <x:c r="D1322" s="13" t="b">
        <x:f>Workforce!H6&gt;=Workforce!F6</x:f>
        <x:v>1</x:v>
      </x:c>
      <x:c r="E1322" s="58" t="b">
        <x:v>1</x:v>
      </x:c>
      <x:c r="F1322" s="13" t="str">
        <x:f>IF(D1322=E1322,"PASS","FAIL")</x:f>
        <x:v>PASS</x:v>
      </x:c>
    </x:row>
    <x:row r="1323">
      <x:c r="A1323" s="13" t="str">
        <x:v>WF-1-02</x:v>
      </x:c>
      <x:c r="B1323" s="13" t="str">
        <x:v>Workforce</x:v>
      </x:c>
      <x:c r="C1323" s="13" t="str">
        <x:v>TE-CELL-1 has three cohorts</x:v>
      </x:c>
      <x:c r="D1323" s="13" t="n">
        <x:f>Workforce!J6</x:f>
        <x:v>3</x:v>
      </x:c>
      <x:c r="E1323" s="13" t="n">
        <x:v>3</x:v>
      </x:c>
      <x:c r="F1323" s="13" t="str">
        <x:f>IF(D1323=E1323,"PASS","FAIL")</x:f>
        <x:v>PASS</x:v>
      </x:c>
    </x:row>
    <x:row r="1324">
      <x:c r="A1324" s="13" t="str">
        <x:v>WF-1-03</x:v>
      </x:c>
      <x:c r="B1324" s="13" t="str">
        <x:v>Workforce</x:v>
      </x:c>
      <x:c r="C1324" s="13" t="str">
        <x:v>TE-CELL-1 cohort cap</x:v>
      </x:c>
      <x:c r="D1324" s="13" t="b">
        <x:f>Workforce!K6&lt;=0.4</x:f>
        <x:v>1</x:v>
      </x:c>
      <x:c r="E1324" s="58" t="b">
        <x:v>1</x:v>
      </x:c>
      <x:c r="F1324" s="13" t="str">
        <x:f>IF(D1324=E1324,"PASS","FAIL")</x:f>
        <x:v>PASS</x:v>
      </x:c>
    </x:row>
    <x:row r="1325">
      <x:c r="A1325" s="13" t="str">
        <x:v>WF-1-04</x:v>
      </x:c>
      <x:c r="B1325" s="13" t="str">
        <x:v>Workforce</x:v>
      </x:c>
      <x:c r="C1325" s="13" t="str">
        <x:v>TE-CELL-1 planning passes</x:v>
      </x:c>
      <x:c r="D1325" s="13" t="str">
        <x:f>Workforce!O6</x:f>
        <x:v>PASS</x:v>
      </x:c>
      <x:c r="E1325" s="13" t="str">
        <x:v>PASS</x:v>
      </x:c>
      <x:c r="F1325" s="13" t="str">
        <x:f>IF(D1325=E1325,"PASS","FAIL")</x:f>
        <x:v>PASS</x:v>
      </x:c>
    </x:row>
    <x:row r="1326">
      <x:c r="A1326" s="13" t="str">
        <x:v>WF-1-05</x:v>
      </x:c>
      <x:c r="B1326" s="13" t="str">
        <x:v>Workforce</x:v>
      </x:c>
      <x:c r="C1326" s="13" t="str">
        <x:v>TE-CELL-1 evidence state empty</x:v>
      </x:c>
      <x:c r="D1326" s="13" t="str">
        <x:f>Workforce!P6</x:f>
        <x:v>SOURCE EMPTY</x:v>
      </x:c>
      <x:c r="E1326" s="13" t="str">
        <x:v>SOURCE EMPTY</x:v>
      </x:c>
      <x:c r="F1326" s="13" t="str">
        <x:f>IF(D1326=E1326,"PASS","FAIL")</x:f>
        <x:v>PASS</x:v>
      </x:c>
    </x:row>
    <x:row r="1327">
      <x:c r="A1327" s="13" t="str">
        <x:v>IN-1-01</x:v>
      </x:c>
      <x:c r="B1327" s="13" t="str">
        <x:v>Inventory</x:v>
      </x:c>
      <x:c r="C1327" s="13" t="str">
        <x:v>TE-CELL-1 root-one keystone closes</x:v>
      </x:c>
      <x:c r="D1327" s="13" t="b">
        <x:f>ABS(Inventory!D6-VLOOKUP(Inventory!B6,'Root Units'!$A$6:$K$29,5,FALSE)*Controls!$B$28)&lt;0.000001</x:f>
        <x:v>1</x:v>
      </x:c>
      <x:c r="E1327" s="58" t="b">
        <x:v>1</x:v>
      </x:c>
      <x:c r="F1327" s="13" t="str">
        <x:f>IF(D1327=E1327,"PASS","FAIL")</x:f>
        <x:v>PASS</x:v>
      </x:c>
    </x:row>
    <x:row r="1328">
      <x:c r="A1328" s="13" t="str">
        <x:v>IN-1-02</x:v>
      </x:c>
      <x:c r="B1328" s="13" t="str">
        <x:v>Inventory</x:v>
      </x:c>
      <x:c r="C1328" s="13" t="str">
        <x:v>TE-CELL-1 common feedstock closes</x:v>
      </x:c>
      <x:c r="D1328" s="13" t="b">
        <x:f>Inventory!F6&gt;0</x:f>
        <x:v>1</x:v>
      </x:c>
      <x:c r="E1328" s="58" t="b">
        <x:v>1</x:v>
      </x:c>
      <x:c r="F1328" s="13" t="str">
        <x:f>IF(D1328=E1328,"PASS","FAIL")</x:f>
        <x:v>PASS</x:v>
      </x:c>
    </x:row>
    <x:row r="1329">
      <x:c r="A1329" s="13" t="str">
        <x:v>IN-1-03</x:v>
      </x:c>
      <x:c r="B1329" s="13" t="str">
        <x:v>Inventory</x:v>
      </x:c>
      <x:c r="C1329" s="13" t="str">
        <x:v>TE-CELL-1 inventory adds</x:v>
      </x:c>
      <x:c r="D1329" s="13" t="b">
        <x:f>ABS(Inventory!G6-SUM(Inventory!D6:F6))&lt;0.000001</x:f>
        <x:v>1</x:v>
      </x:c>
      <x:c r="E1329" s="58" t="b">
        <x:v>1</x:v>
      </x:c>
      <x:c r="F1329" s="13" t="str">
        <x:f>IF(D1329=E1329,"PASS","FAIL")</x:f>
        <x:v>PASS</x:v>
      </x:c>
    </x:row>
    <x:row r="1330">
      <x:c r="A1330" s="13" t="str">
        <x:v>IN-1-04</x:v>
      </x:c>
      <x:c r="B1330" s="13" t="str">
        <x:v>Inventory</x:v>
      </x:c>
      <x:c r="C1330" s="13" t="str">
        <x:v>TE-CELL-1 planning passes</x:v>
      </x:c>
      <x:c r="D1330" s="13" t="str">
        <x:f>Inventory!M6</x:f>
        <x:v>PASS</x:v>
      </x:c>
      <x:c r="E1330" s="13" t="str">
        <x:v>PASS</x:v>
      </x:c>
      <x:c r="F1330" s="13" t="str">
        <x:f>IF(D1330=E1330,"PASS","FAIL")</x:f>
        <x:v>PASS</x:v>
      </x:c>
    </x:row>
    <x:row r="1331">
      <x:c r="A1331" s="13" t="str">
        <x:v>IN-1-05</x:v>
      </x:c>
      <x:c r="B1331" s="13" t="str">
        <x:v>Inventory</x:v>
      </x:c>
      <x:c r="C1331" s="13" t="str">
        <x:v>TE-CELL-1 evidence state empty</x:v>
      </x:c>
      <x:c r="D1331" s="13" t="str">
        <x:f>Inventory!N6</x:f>
        <x:v>SOURCE EMPTY</x:v>
      </x:c>
      <x:c r="E1331" s="13" t="str">
        <x:v>SOURCE EMPTY</x:v>
      </x:c>
      <x:c r="F1331" s="13" t="str">
        <x:f>IF(D1331=E1331,"PASS","FAIL")</x:f>
        <x:v>PASS</x:v>
      </x:c>
    </x:row>
    <x:row r="1332">
      <x:c r="A1332" s="13" t="str">
        <x:v>UI-1-01</x:v>
      </x:c>
      <x:c r="B1332" s="13" t="str">
        <x:v>Utility</x:v>
      </x:c>
      <x:c r="C1332" s="13" t="str">
        <x:v>TE-CELL-1 governing power is maximum</x:v>
      </x:c>
      <x:c r="D1332" s="13" t="b">
        <x:f>ABS('Utility Islands'!F6-MAX('Utility Islands'!D6:E6))&lt;0.000001</x:f>
        <x:v>1</x:v>
      </x:c>
      <x:c r="E1332" s="58" t="b">
        <x:v>1</x:v>
      </x:c>
      <x:c r="F1332" s="13" t="str">
        <x:f>IF(D1332=E1332,"PASS","FAIL")</x:f>
        <x:v>PASS</x:v>
      </x:c>
    </x:row>
    <x:row r="1333">
      <x:c r="A1333" s="13" t="str">
        <x:v>UI-1-02</x:v>
      </x:c>
      <x:c r="B1333" s="13" t="str">
        <x:v>Utility</x:v>
      </x:c>
      <x:c r="C1333" s="13" t="str">
        <x:v>TE-CELL-1 reserve factor</x:v>
      </x:c>
      <x:c r="D1333" s="13" t="b">
        <x:f>'Utility Islands'!G6&gt;=1.25</x:f>
        <x:v>1</x:v>
      </x:c>
      <x:c r="E1333" s="58" t="b">
        <x:v>1</x:v>
      </x:c>
      <x:c r="F1333" s="13" t="str">
        <x:f>IF(D1333=E1333,"PASS","FAIL")</x:f>
        <x:v>PASS</x:v>
      </x:c>
    </x:row>
    <x:row r="1334">
      <x:c r="A1334" s="13" t="str">
        <x:v>UI-1-03</x:v>
      </x:c>
      <x:c r="B1334" s="13" t="str">
        <x:v>Utility</x:v>
      </x:c>
      <x:c r="C1334" s="13" t="str">
        <x:v>TE-CELL-1 six modules</x:v>
      </x:c>
      <x:c r="D1334" s="13" t="n">
        <x:f>'Utility Islands'!I6</x:f>
        <x:v>6</x:v>
      </x:c>
      <x:c r="E1334" s="13" t="n">
        <x:v>6</x:v>
      </x:c>
      <x:c r="F1334" s="13" t="str">
        <x:f>IF(D1334=E1334,"PASS","FAIL")</x:f>
        <x:v>PASS</x:v>
      </x:c>
    </x:row>
    <x:row r="1335">
      <x:c r="A1335" s="13" t="str">
        <x:v>UI-1-04</x:v>
      </x:c>
      <x:c r="B1335" s="13" t="str">
        <x:v>Utility</x:v>
      </x:c>
      <x:c r="C1335" s="13" t="str">
        <x:v>TE-CELL-1 closes after module loss</x:v>
      </x:c>
      <x:c r="D1335" s="13" t="b">
        <x:f>'Utility Islands'!K6&gt;='Utility Islands'!F6*'Utility Islands'!G6</x:f>
        <x:v>1</x:v>
      </x:c>
      <x:c r="E1335" s="58" t="b">
        <x:v>1</x:v>
      </x:c>
      <x:c r="F1335" s="13" t="str">
        <x:f>IF(D1335=E1335,"PASS","FAIL")</x:f>
        <x:v>PASS</x:v>
      </x:c>
    </x:row>
    <x:row r="1336">
      <x:c r="A1336" s="13" t="str">
        <x:v>UI-1-05</x:v>
      </x:c>
      <x:c r="B1336" s="13" t="str">
        <x:v>Utility</x:v>
      </x:c>
      <x:c r="C1336" s="13" t="str">
        <x:v>TE-CELL-1 planning passes</x:v>
      </x:c>
      <x:c r="D1336" s="13" t="str">
        <x:f>'Utility Islands'!P6</x:f>
        <x:v>PASS</x:v>
      </x:c>
      <x:c r="E1336" s="13" t="str">
        <x:v>PASS</x:v>
      </x:c>
      <x:c r="F1336" s="13" t="str">
        <x:f>IF(D1336=E1336,"PASS","FAIL")</x:f>
        <x:v>PASS</x:v>
      </x:c>
    </x:row>
    <x:row r="1337">
      <x:c r="A1337" s="13" t="str">
        <x:v>UI-1-06</x:v>
      </x:c>
      <x:c r="B1337" s="13" t="str">
        <x:v>Utility</x:v>
      </x:c>
      <x:c r="C1337" s="13" t="str">
        <x:v>TE-CELL-1 evidence state empty</x:v>
      </x:c>
      <x:c r="D1337" s="13" t="str">
        <x:f>'Utility Islands'!Q6</x:f>
        <x:v>SOURCE EMPTY</x:v>
      </x:c>
      <x:c r="E1337" s="13" t="str">
        <x:v>SOURCE EMPTY</x:v>
      </x:c>
      <x:c r="F1337" s="13" t="str">
        <x:f>IF(D1337=E1337,"PASS","FAIL")</x:f>
        <x:v>PASS</x:v>
      </x:c>
    </x:row>
    <x:row r="1338">
      <x:c r="A1338" s="13" t="str">
        <x:v>WF-2-01</x:v>
      </x:c>
      <x:c r="B1338" s="13" t="str">
        <x:v>Workforce</x:v>
      </x:c>
      <x:c r="C1338" s="13" t="str">
        <x:v>TE-CELL-2 survives denial</x:v>
      </x:c>
      <x:c r="D1338" s="13" t="b">
        <x:f>Workforce!H7&gt;=Workforce!F7</x:f>
        <x:v>1</x:v>
      </x:c>
      <x:c r="E1338" s="58" t="b">
        <x:v>1</x:v>
      </x:c>
      <x:c r="F1338" s="13" t="str">
        <x:f>IF(D1338=E1338,"PASS","FAIL")</x:f>
        <x:v>PASS</x:v>
      </x:c>
    </x:row>
    <x:row r="1339">
      <x:c r="A1339" s="13" t="str">
        <x:v>WF-2-02</x:v>
      </x:c>
      <x:c r="B1339" s="13" t="str">
        <x:v>Workforce</x:v>
      </x:c>
      <x:c r="C1339" s="13" t="str">
        <x:v>TE-CELL-2 has three cohorts</x:v>
      </x:c>
      <x:c r="D1339" s="13" t="n">
        <x:f>Workforce!J7</x:f>
        <x:v>3</x:v>
      </x:c>
      <x:c r="E1339" s="13" t="n">
        <x:v>3</x:v>
      </x:c>
      <x:c r="F1339" s="13" t="str">
        <x:f>IF(D1339=E1339,"PASS","FAIL")</x:f>
        <x:v>PASS</x:v>
      </x:c>
    </x:row>
    <x:row r="1340">
      <x:c r="A1340" s="13" t="str">
        <x:v>WF-2-03</x:v>
      </x:c>
      <x:c r="B1340" s="13" t="str">
        <x:v>Workforce</x:v>
      </x:c>
      <x:c r="C1340" s="13" t="str">
        <x:v>TE-CELL-2 cohort cap</x:v>
      </x:c>
      <x:c r="D1340" s="13" t="b">
        <x:f>Workforce!K7&lt;=0.4</x:f>
        <x:v>1</x:v>
      </x:c>
      <x:c r="E1340" s="58" t="b">
        <x:v>1</x:v>
      </x:c>
      <x:c r="F1340" s="13" t="str">
        <x:f>IF(D1340=E1340,"PASS","FAIL")</x:f>
        <x:v>PASS</x:v>
      </x:c>
    </x:row>
    <x:row r="1341">
      <x:c r="A1341" s="13" t="str">
        <x:v>WF-2-04</x:v>
      </x:c>
      <x:c r="B1341" s="13" t="str">
        <x:v>Workforce</x:v>
      </x:c>
      <x:c r="C1341" s="13" t="str">
        <x:v>TE-CELL-2 planning passes</x:v>
      </x:c>
      <x:c r="D1341" s="13" t="str">
        <x:f>Workforce!O7</x:f>
        <x:v>PASS</x:v>
      </x:c>
      <x:c r="E1341" s="13" t="str">
        <x:v>PASS</x:v>
      </x:c>
      <x:c r="F1341" s="13" t="str">
        <x:f>IF(D1341=E1341,"PASS","FAIL")</x:f>
        <x:v>PASS</x:v>
      </x:c>
    </x:row>
    <x:row r="1342">
      <x:c r="A1342" s="13" t="str">
        <x:v>WF-2-05</x:v>
      </x:c>
      <x:c r="B1342" s="13" t="str">
        <x:v>Workforce</x:v>
      </x:c>
      <x:c r="C1342" s="13" t="str">
        <x:v>TE-CELL-2 evidence state empty</x:v>
      </x:c>
      <x:c r="D1342" s="13" t="str">
        <x:f>Workforce!P7</x:f>
        <x:v>SOURCE EMPTY</x:v>
      </x:c>
      <x:c r="E1342" s="13" t="str">
        <x:v>SOURCE EMPTY</x:v>
      </x:c>
      <x:c r="F1342" s="13" t="str">
        <x:f>IF(D1342=E1342,"PASS","FAIL")</x:f>
        <x:v>PASS</x:v>
      </x:c>
    </x:row>
    <x:row r="1343">
      <x:c r="A1343" s="13" t="str">
        <x:v>IN-2-01</x:v>
      </x:c>
      <x:c r="B1343" s="13" t="str">
        <x:v>Inventory</x:v>
      </x:c>
      <x:c r="C1343" s="13" t="str">
        <x:v>TE-CELL-2 root-one keystone closes</x:v>
      </x:c>
      <x:c r="D1343" s="13" t="b">
        <x:f>ABS(Inventory!D7-VLOOKUP(Inventory!B7,'Root Units'!$A$6:$K$29,5,FALSE)*Controls!$B$28)&lt;0.000001</x:f>
        <x:v>1</x:v>
      </x:c>
      <x:c r="E1343" s="58" t="b">
        <x:v>1</x:v>
      </x:c>
      <x:c r="F1343" s="13" t="str">
        <x:f>IF(D1343=E1343,"PASS","FAIL")</x:f>
        <x:v>PASS</x:v>
      </x:c>
    </x:row>
    <x:row r="1344">
      <x:c r="A1344" s="13" t="str">
        <x:v>IN-2-02</x:v>
      </x:c>
      <x:c r="B1344" s="13" t="str">
        <x:v>Inventory</x:v>
      </x:c>
      <x:c r="C1344" s="13" t="str">
        <x:v>TE-CELL-2 common feedstock closes</x:v>
      </x:c>
      <x:c r="D1344" s="13" t="b">
        <x:f>Inventory!F7&gt;0</x:f>
        <x:v>1</x:v>
      </x:c>
      <x:c r="E1344" s="58" t="b">
        <x:v>1</x:v>
      </x:c>
      <x:c r="F1344" s="13" t="str">
        <x:f>IF(D1344=E1344,"PASS","FAIL")</x:f>
        <x:v>PASS</x:v>
      </x:c>
    </x:row>
    <x:row r="1345">
      <x:c r="A1345" s="13" t="str">
        <x:v>IN-2-03</x:v>
      </x:c>
      <x:c r="B1345" s="13" t="str">
        <x:v>Inventory</x:v>
      </x:c>
      <x:c r="C1345" s="13" t="str">
        <x:v>TE-CELL-2 inventory adds</x:v>
      </x:c>
      <x:c r="D1345" s="13" t="b">
        <x:f>ABS(Inventory!G7-SUM(Inventory!D7:F7))&lt;0.000001</x:f>
        <x:v>1</x:v>
      </x:c>
      <x:c r="E1345" s="58" t="b">
        <x:v>1</x:v>
      </x:c>
      <x:c r="F1345" s="13" t="str">
        <x:f>IF(D1345=E1345,"PASS","FAIL")</x:f>
        <x:v>PASS</x:v>
      </x:c>
    </x:row>
    <x:row r="1346">
      <x:c r="A1346" s="13" t="str">
        <x:v>IN-2-04</x:v>
      </x:c>
      <x:c r="B1346" s="13" t="str">
        <x:v>Inventory</x:v>
      </x:c>
      <x:c r="C1346" s="13" t="str">
        <x:v>TE-CELL-2 planning passes</x:v>
      </x:c>
      <x:c r="D1346" s="13" t="str">
        <x:f>Inventory!M7</x:f>
        <x:v>PASS</x:v>
      </x:c>
      <x:c r="E1346" s="13" t="str">
        <x:v>PASS</x:v>
      </x:c>
      <x:c r="F1346" s="13" t="str">
        <x:f>IF(D1346=E1346,"PASS","FAIL")</x:f>
        <x:v>PASS</x:v>
      </x:c>
    </x:row>
    <x:row r="1347">
      <x:c r="A1347" s="13" t="str">
        <x:v>IN-2-05</x:v>
      </x:c>
      <x:c r="B1347" s="13" t="str">
        <x:v>Inventory</x:v>
      </x:c>
      <x:c r="C1347" s="13" t="str">
        <x:v>TE-CELL-2 evidence state empty</x:v>
      </x:c>
      <x:c r="D1347" s="13" t="str">
        <x:f>Inventory!N7</x:f>
        <x:v>SOURCE EMPTY</x:v>
      </x:c>
      <x:c r="E1347" s="13" t="str">
        <x:v>SOURCE EMPTY</x:v>
      </x:c>
      <x:c r="F1347" s="13" t="str">
        <x:f>IF(D1347=E1347,"PASS","FAIL")</x:f>
        <x:v>PASS</x:v>
      </x:c>
    </x:row>
    <x:row r="1348">
      <x:c r="A1348" s="13" t="str">
        <x:v>UI-2-01</x:v>
      </x:c>
      <x:c r="B1348" s="13" t="str">
        <x:v>Utility</x:v>
      </x:c>
      <x:c r="C1348" s="13" t="str">
        <x:v>TE-CELL-2 governing power is maximum</x:v>
      </x:c>
      <x:c r="D1348" s="13" t="b">
        <x:f>ABS('Utility Islands'!F7-MAX('Utility Islands'!D7:E7))&lt;0.000001</x:f>
        <x:v>1</x:v>
      </x:c>
      <x:c r="E1348" s="58" t="b">
        <x:v>1</x:v>
      </x:c>
      <x:c r="F1348" s="13" t="str">
        <x:f>IF(D1348=E1348,"PASS","FAIL")</x:f>
        <x:v>PASS</x:v>
      </x:c>
    </x:row>
    <x:row r="1349">
      <x:c r="A1349" s="13" t="str">
        <x:v>UI-2-02</x:v>
      </x:c>
      <x:c r="B1349" s="13" t="str">
        <x:v>Utility</x:v>
      </x:c>
      <x:c r="C1349" s="13" t="str">
        <x:v>TE-CELL-2 reserve factor</x:v>
      </x:c>
      <x:c r="D1349" s="13" t="b">
        <x:f>'Utility Islands'!G7&gt;=1.25</x:f>
        <x:v>1</x:v>
      </x:c>
      <x:c r="E1349" s="58" t="b">
        <x:v>1</x:v>
      </x:c>
      <x:c r="F1349" s="13" t="str">
        <x:f>IF(D1349=E1349,"PASS","FAIL")</x:f>
        <x:v>PASS</x:v>
      </x:c>
    </x:row>
    <x:row r="1350">
      <x:c r="A1350" s="13" t="str">
        <x:v>UI-2-03</x:v>
      </x:c>
      <x:c r="B1350" s="13" t="str">
        <x:v>Utility</x:v>
      </x:c>
      <x:c r="C1350" s="13" t="str">
        <x:v>TE-CELL-2 six modules</x:v>
      </x:c>
      <x:c r="D1350" s="13" t="n">
        <x:f>'Utility Islands'!I7</x:f>
        <x:v>6</x:v>
      </x:c>
      <x:c r="E1350" s="13" t="n">
        <x:v>6</x:v>
      </x:c>
      <x:c r="F1350" s="13" t="str">
        <x:f>IF(D1350=E1350,"PASS","FAIL")</x:f>
        <x:v>PASS</x:v>
      </x:c>
    </x:row>
    <x:row r="1351">
      <x:c r="A1351" s="13" t="str">
        <x:v>UI-2-04</x:v>
      </x:c>
      <x:c r="B1351" s="13" t="str">
        <x:v>Utility</x:v>
      </x:c>
      <x:c r="C1351" s="13" t="str">
        <x:v>TE-CELL-2 closes after module loss</x:v>
      </x:c>
      <x:c r="D1351" s="13" t="b">
        <x:f>'Utility Islands'!K7&gt;='Utility Islands'!F7*'Utility Islands'!G7</x:f>
        <x:v>1</x:v>
      </x:c>
      <x:c r="E1351" s="58" t="b">
        <x:v>1</x:v>
      </x:c>
      <x:c r="F1351" s="13" t="str">
        <x:f>IF(D1351=E1351,"PASS","FAIL")</x:f>
        <x:v>PASS</x:v>
      </x:c>
    </x:row>
    <x:row r="1352">
      <x:c r="A1352" s="13" t="str">
        <x:v>UI-2-05</x:v>
      </x:c>
      <x:c r="B1352" s="13" t="str">
        <x:v>Utility</x:v>
      </x:c>
      <x:c r="C1352" s="13" t="str">
        <x:v>TE-CELL-2 planning passes</x:v>
      </x:c>
      <x:c r="D1352" s="13" t="str">
        <x:f>'Utility Islands'!P7</x:f>
        <x:v>PASS</x:v>
      </x:c>
      <x:c r="E1352" s="13" t="str">
        <x:v>PASS</x:v>
      </x:c>
      <x:c r="F1352" s="13" t="str">
        <x:f>IF(D1352=E1352,"PASS","FAIL")</x:f>
        <x:v>PASS</x:v>
      </x:c>
    </x:row>
    <x:row r="1353">
      <x:c r="A1353" s="13" t="str">
        <x:v>UI-2-06</x:v>
      </x:c>
      <x:c r="B1353" s="13" t="str">
        <x:v>Utility</x:v>
      </x:c>
      <x:c r="C1353" s="13" t="str">
        <x:v>TE-CELL-2 evidence state empty</x:v>
      </x:c>
      <x:c r="D1353" s="13" t="str">
        <x:f>'Utility Islands'!Q7</x:f>
        <x:v>SOURCE EMPTY</x:v>
      </x:c>
      <x:c r="E1353" s="13" t="str">
        <x:v>SOURCE EMPTY</x:v>
      </x:c>
      <x:c r="F1353" s="13" t="str">
        <x:f>IF(D1353=E1353,"PASS","FAIL")</x:f>
        <x:v>PASS</x:v>
      </x:c>
    </x:row>
    <x:row r="1354">
      <x:c r="A1354" s="13" t="str">
        <x:v>WF-3-01</x:v>
      </x:c>
      <x:c r="B1354" s="13" t="str">
        <x:v>Workforce</x:v>
      </x:c>
      <x:c r="C1354" s="13" t="str">
        <x:v>TE-CELL-3 survives denial</x:v>
      </x:c>
      <x:c r="D1354" s="13" t="b">
        <x:f>Workforce!H8&gt;=Workforce!F8</x:f>
        <x:v>1</x:v>
      </x:c>
      <x:c r="E1354" s="58" t="b">
        <x:v>1</x:v>
      </x:c>
      <x:c r="F1354" s="13" t="str">
        <x:f>IF(D1354=E1354,"PASS","FAIL")</x:f>
        <x:v>PASS</x:v>
      </x:c>
    </x:row>
    <x:row r="1355">
      <x:c r="A1355" s="13" t="str">
        <x:v>WF-3-02</x:v>
      </x:c>
      <x:c r="B1355" s="13" t="str">
        <x:v>Workforce</x:v>
      </x:c>
      <x:c r="C1355" s="13" t="str">
        <x:v>TE-CELL-3 has three cohorts</x:v>
      </x:c>
      <x:c r="D1355" s="13" t="n">
        <x:f>Workforce!J8</x:f>
        <x:v>3</x:v>
      </x:c>
      <x:c r="E1355" s="13" t="n">
        <x:v>3</x:v>
      </x:c>
      <x:c r="F1355" s="13" t="str">
        <x:f>IF(D1355=E1355,"PASS","FAIL")</x:f>
        <x:v>PASS</x:v>
      </x:c>
    </x:row>
    <x:row r="1356">
      <x:c r="A1356" s="13" t="str">
        <x:v>WF-3-03</x:v>
      </x:c>
      <x:c r="B1356" s="13" t="str">
        <x:v>Workforce</x:v>
      </x:c>
      <x:c r="C1356" s="13" t="str">
        <x:v>TE-CELL-3 cohort cap</x:v>
      </x:c>
      <x:c r="D1356" s="13" t="b">
        <x:f>Workforce!K8&lt;=0.4</x:f>
        <x:v>1</x:v>
      </x:c>
      <x:c r="E1356" s="58" t="b">
        <x:v>1</x:v>
      </x:c>
      <x:c r="F1356" s="13" t="str">
        <x:f>IF(D1356=E1356,"PASS","FAIL")</x:f>
        <x:v>PASS</x:v>
      </x:c>
    </x:row>
    <x:row r="1357">
      <x:c r="A1357" s="13" t="str">
        <x:v>WF-3-04</x:v>
      </x:c>
      <x:c r="B1357" s="13" t="str">
        <x:v>Workforce</x:v>
      </x:c>
      <x:c r="C1357" s="13" t="str">
        <x:v>TE-CELL-3 planning passes</x:v>
      </x:c>
      <x:c r="D1357" s="13" t="str">
        <x:f>Workforce!O8</x:f>
        <x:v>PASS</x:v>
      </x:c>
      <x:c r="E1357" s="13" t="str">
        <x:v>PASS</x:v>
      </x:c>
      <x:c r="F1357" s="13" t="str">
        <x:f>IF(D1357=E1357,"PASS","FAIL")</x:f>
        <x:v>PASS</x:v>
      </x:c>
    </x:row>
    <x:row r="1358">
      <x:c r="A1358" s="13" t="str">
        <x:v>WF-3-05</x:v>
      </x:c>
      <x:c r="B1358" s="13" t="str">
        <x:v>Workforce</x:v>
      </x:c>
      <x:c r="C1358" s="13" t="str">
        <x:v>TE-CELL-3 evidence state empty</x:v>
      </x:c>
      <x:c r="D1358" s="13" t="str">
        <x:f>Workforce!P8</x:f>
        <x:v>SOURCE EMPTY</x:v>
      </x:c>
      <x:c r="E1358" s="13" t="str">
        <x:v>SOURCE EMPTY</x:v>
      </x:c>
      <x:c r="F1358" s="13" t="str">
        <x:f>IF(D1358=E1358,"PASS","FAIL")</x:f>
        <x:v>PASS</x:v>
      </x:c>
    </x:row>
    <x:row r="1359">
      <x:c r="A1359" s="13" t="str">
        <x:v>IN-3-01</x:v>
      </x:c>
      <x:c r="B1359" s="13" t="str">
        <x:v>Inventory</x:v>
      </x:c>
      <x:c r="C1359" s="13" t="str">
        <x:v>TE-CELL-3 root-one keystone closes</x:v>
      </x:c>
      <x:c r="D1359" s="13" t="b">
        <x:f>ABS(Inventory!D8-VLOOKUP(Inventory!B8,'Root Units'!$A$6:$K$29,5,FALSE)*Controls!$B$28)&lt;0.000001</x:f>
        <x:v>1</x:v>
      </x:c>
      <x:c r="E1359" s="58" t="b">
        <x:v>1</x:v>
      </x:c>
      <x:c r="F1359" s="13" t="str">
        <x:f>IF(D1359=E1359,"PASS","FAIL")</x:f>
        <x:v>PASS</x:v>
      </x:c>
    </x:row>
    <x:row r="1360">
      <x:c r="A1360" s="13" t="str">
        <x:v>IN-3-02</x:v>
      </x:c>
      <x:c r="B1360" s="13" t="str">
        <x:v>Inventory</x:v>
      </x:c>
      <x:c r="C1360" s="13" t="str">
        <x:v>TE-CELL-3 common feedstock closes</x:v>
      </x:c>
      <x:c r="D1360" s="13" t="b">
        <x:f>Inventory!F8&gt;0</x:f>
        <x:v>1</x:v>
      </x:c>
      <x:c r="E1360" s="58" t="b">
        <x:v>1</x:v>
      </x:c>
      <x:c r="F1360" s="13" t="str">
        <x:f>IF(D1360=E1360,"PASS","FAIL")</x:f>
        <x:v>PASS</x:v>
      </x:c>
    </x:row>
    <x:row r="1361">
      <x:c r="A1361" s="13" t="str">
        <x:v>IN-3-03</x:v>
      </x:c>
      <x:c r="B1361" s="13" t="str">
        <x:v>Inventory</x:v>
      </x:c>
      <x:c r="C1361" s="13" t="str">
        <x:v>TE-CELL-3 inventory adds</x:v>
      </x:c>
      <x:c r="D1361" s="13" t="b">
        <x:f>ABS(Inventory!G8-SUM(Inventory!D8:F8))&lt;0.000001</x:f>
        <x:v>1</x:v>
      </x:c>
      <x:c r="E1361" s="58" t="b">
        <x:v>1</x:v>
      </x:c>
      <x:c r="F1361" s="13" t="str">
        <x:f>IF(D1361=E1361,"PASS","FAIL")</x:f>
        <x:v>PASS</x:v>
      </x:c>
    </x:row>
    <x:row r="1362">
      <x:c r="A1362" s="13" t="str">
        <x:v>IN-3-04</x:v>
      </x:c>
      <x:c r="B1362" s="13" t="str">
        <x:v>Inventory</x:v>
      </x:c>
      <x:c r="C1362" s="13" t="str">
        <x:v>TE-CELL-3 planning passes</x:v>
      </x:c>
      <x:c r="D1362" s="13" t="str">
        <x:f>Inventory!M8</x:f>
        <x:v>PASS</x:v>
      </x:c>
      <x:c r="E1362" s="13" t="str">
        <x:v>PASS</x:v>
      </x:c>
      <x:c r="F1362" s="13" t="str">
        <x:f>IF(D1362=E1362,"PASS","FAIL")</x:f>
        <x:v>PASS</x:v>
      </x:c>
    </x:row>
    <x:row r="1363">
      <x:c r="A1363" s="13" t="str">
        <x:v>IN-3-05</x:v>
      </x:c>
      <x:c r="B1363" s="13" t="str">
        <x:v>Inventory</x:v>
      </x:c>
      <x:c r="C1363" s="13" t="str">
        <x:v>TE-CELL-3 evidence state empty</x:v>
      </x:c>
      <x:c r="D1363" s="13" t="str">
        <x:f>Inventory!N8</x:f>
        <x:v>SOURCE EMPTY</x:v>
      </x:c>
      <x:c r="E1363" s="13" t="str">
        <x:v>SOURCE EMPTY</x:v>
      </x:c>
      <x:c r="F1363" s="13" t="str">
        <x:f>IF(D1363=E1363,"PASS","FAIL")</x:f>
        <x:v>PASS</x:v>
      </x:c>
    </x:row>
    <x:row r="1364">
      <x:c r="A1364" s="13" t="str">
        <x:v>UI-3-01</x:v>
      </x:c>
      <x:c r="B1364" s="13" t="str">
        <x:v>Utility</x:v>
      </x:c>
      <x:c r="C1364" s="13" t="str">
        <x:v>TE-CELL-3 governing power is maximum</x:v>
      </x:c>
      <x:c r="D1364" s="13" t="b">
        <x:f>ABS('Utility Islands'!F8-MAX('Utility Islands'!D8:E8))&lt;0.000001</x:f>
        <x:v>1</x:v>
      </x:c>
      <x:c r="E1364" s="58" t="b">
        <x:v>1</x:v>
      </x:c>
      <x:c r="F1364" s="13" t="str">
        <x:f>IF(D1364=E1364,"PASS","FAIL")</x:f>
        <x:v>PASS</x:v>
      </x:c>
    </x:row>
    <x:row r="1365">
      <x:c r="A1365" s="13" t="str">
        <x:v>UI-3-02</x:v>
      </x:c>
      <x:c r="B1365" s="13" t="str">
        <x:v>Utility</x:v>
      </x:c>
      <x:c r="C1365" s="13" t="str">
        <x:v>TE-CELL-3 reserve factor</x:v>
      </x:c>
      <x:c r="D1365" s="13" t="b">
        <x:f>'Utility Islands'!G8&gt;=1.25</x:f>
        <x:v>1</x:v>
      </x:c>
      <x:c r="E1365" s="58" t="b">
        <x:v>1</x:v>
      </x:c>
      <x:c r="F1365" s="13" t="str">
        <x:f>IF(D1365=E1365,"PASS","FAIL")</x:f>
        <x:v>PASS</x:v>
      </x:c>
    </x:row>
    <x:row r="1366">
      <x:c r="A1366" s="13" t="str">
        <x:v>UI-3-03</x:v>
      </x:c>
      <x:c r="B1366" s="13" t="str">
        <x:v>Utility</x:v>
      </x:c>
      <x:c r="C1366" s="13" t="str">
        <x:v>TE-CELL-3 six modules</x:v>
      </x:c>
      <x:c r="D1366" s="13" t="n">
        <x:f>'Utility Islands'!I8</x:f>
        <x:v>6</x:v>
      </x:c>
      <x:c r="E1366" s="13" t="n">
        <x:v>6</x:v>
      </x:c>
      <x:c r="F1366" s="13" t="str">
        <x:f>IF(D1366=E1366,"PASS","FAIL")</x:f>
        <x:v>PASS</x:v>
      </x:c>
    </x:row>
    <x:row r="1367">
      <x:c r="A1367" s="13" t="str">
        <x:v>UI-3-04</x:v>
      </x:c>
      <x:c r="B1367" s="13" t="str">
        <x:v>Utility</x:v>
      </x:c>
      <x:c r="C1367" s="13" t="str">
        <x:v>TE-CELL-3 closes after module loss</x:v>
      </x:c>
      <x:c r="D1367" s="13" t="b">
        <x:f>'Utility Islands'!K8&gt;='Utility Islands'!F8*'Utility Islands'!G8</x:f>
        <x:v>1</x:v>
      </x:c>
      <x:c r="E1367" s="58" t="b">
        <x:v>1</x:v>
      </x:c>
      <x:c r="F1367" s="13" t="str">
        <x:f>IF(D1367=E1367,"PASS","FAIL")</x:f>
        <x:v>PASS</x:v>
      </x:c>
    </x:row>
    <x:row r="1368">
      <x:c r="A1368" s="13" t="str">
        <x:v>UI-3-05</x:v>
      </x:c>
      <x:c r="B1368" s="13" t="str">
        <x:v>Utility</x:v>
      </x:c>
      <x:c r="C1368" s="13" t="str">
        <x:v>TE-CELL-3 planning passes</x:v>
      </x:c>
      <x:c r="D1368" s="13" t="str">
        <x:f>'Utility Islands'!P8</x:f>
        <x:v>PASS</x:v>
      </x:c>
      <x:c r="E1368" s="13" t="str">
        <x:v>PASS</x:v>
      </x:c>
      <x:c r="F1368" s="13" t="str">
        <x:f>IF(D1368=E1368,"PASS","FAIL")</x:f>
        <x:v>PASS</x:v>
      </x:c>
    </x:row>
    <x:row r="1369">
      <x:c r="A1369" s="13" t="str">
        <x:v>UI-3-06</x:v>
      </x:c>
      <x:c r="B1369" s="13" t="str">
        <x:v>Utility</x:v>
      </x:c>
      <x:c r="C1369" s="13" t="str">
        <x:v>TE-CELL-3 evidence state empty</x:v>
      </x:c>
      <x:c r="D1369" s="13" t="str">
        <x:f>'Utility Islands'!Q8</x:f>
        <x:v>SOURCE EMPTY</x:v>
      </x:c>
      <x:c r="E1369" s="13" t="str">
        <x:v>SOURCE EMPTY</x:v>
      </x:c>
      <x:c r="F1369" s="13" t="str">
        <x:f>IF(D1369=E1369,"PASS","FAIL")</x:f>
        <x:v>PASS</x:v>
      </x:c>
    </x:row>
    <x:row r="1370">
      <x:c r="A1370" s="13" t="str">
        <x:v>WF-4-01</x:v>
      </x:c>
      <x:c r="B1370" s="13" t="str">
        <x:v>Workforce</x:v>
      </x:c>
      <x:c r="C1370" s="13" t="str">
        <x:v>TE-CELL-4 survives denial</x:v>
      </x:c>
      <x:c r="D1370" s="13" t="b">
        <x:f>Workforce!H9&gt;=Workforce!F9</x:f>
        <x:v>1</x:v>
      </x:c>
      <x:c r="E1370" s="58" t="b">
        <x:v>1</x:v>
      </x:c>
      <x:c r="F1370" s="13" t="str">
        <x:f>IF(D1370=E1370,"PASS","FAIL")</x:f>
        <x:v>PASS</x:v>
      </x:c>
    </x:row>
    <x:row r="1371">
      <x:c r="A1371" s="13" t="str">
        <x:v>WF-4-02</x:v>
      </x:c>
      <x:c r="B1371" s="13" t="str">
        <x:v>Workforce</x:v>
      </x:c>
      <x:c r="C1371" s="13" t="str">
        <x:v>TE-CELL-4 has three cohorts</x:v>
      </x:c>
      <x:c r="D1371" s="13" t="n">
        <x:f>Workforce!J9</x:f>
        <x:v>3</x:v>
      </x:c>
      <x:c r="E1371" s="13" t="n">
        <x:v>3</x:v>
      </x:c>
      <x:c r="F1371" s="13" t="str">
        <x:f>IF(D1371=E1371,"PASS","FAIL")</x:f>
        <x:v>PASS</x:v>
      </x:c>
    </x:row>
    <x:row r="1372">
      <x:c r="A1372" s="13" t="str">
        <x:v>WF-4-03</x:v>
      </x:c>
      <x:c r="B1372" s="13" t="str">
        <x:v>Workforce</x:v>
      </x:c>
      <x:c r="C1372" s="13" t="str">
        <x:v>TE-CELL-4 cohort cap</x:v>
      </x:c>
      <x:c r="D1372" s="13" t="b">
        <x:f>Workforce!K9&lt;=0.4</x:f>
        <x:v>1</x:v>
      </x:c>
      <x:c r="E1372" s="58" t="b">
        <x:v>1</x:v>
      </x:c>
      <x:c r="F1372" s="13" t="str">
        <x:f>IF(D1372=E1372,"PASS","FAIL")</x:f>
        <x:v>PASS</x:v>
      </x:c>
    </x:row>
    <x:row r="1373">
      <x:c r="A1373" s="13" t="str">
        <x:v>WF-4-04</x:v>
      </x:c>
      <x:c r="B1373" s="13" t="str">
        <x:v>Workforce</x:v>
      </x:c>
      <x:c r="C1373" s="13" t="str">
        <x:v>TE-CELL-4 planning passes</x:v>
      </x:c>
      <x:c r="D1373" s="13" t="str">
        <x:f>Workforce!O9</x:f>
        <x:v>PASS</x:v>
      </x:c>
      <x:c r="E1373" s="13" t="str">
        <x:v>PASS</x:v>
      </x:c>
      <x:c r="F1373" s="13" t="str">
        <x:f>IF(D1373=E1373,"PASS","FAIL")</x:f>
        <x:v>PASS</x:v>
      </x:c>
    </x:row>
    <x:row r="1374">
      <x:c r="A1374" s="13" t="str">
        <x:v>WF-4-05</x:v>
      </x:c>
      <x:c r="B1374" s="13" t="str">
        <x:v>Workforce</x:v>
      </x:c>
      <x:c r="C1374" s="13" t="str">
        <x:v>TE-CELL-4 evidence state empty</x:v>
      </x:c>
      <x:c r="D1374" s="13" t="str">
        <x:f>Workforce!P9</x:f>
        <x:v>SOURCE EMPTY</x:v>
      </x:c>
      <x:c r="E1374" s="13" t="str">
        <x:v>SOURCE EMPTY</x:v>
      </x:c>
      <x:c r="F1374" s="13" t="str">
        <x:f>IF(D1374=E1374,"PASS","FAIL")</x:f>
        <x:v>PASS</x:v>
      </x:c>
    </x:row>
    <x:row r="1375">
      <x:c r="A1375" s="13" t="str">
        <x:v>IN-4-01</x:v>
      </x:c>
      <x:c r="B1375" s="13" t="str">
        <x:v>Inventory</x:v>
      </x:c>
      <x:c r="C1375" s="13" t="str">
        <x:v>TE-CELL-4 root-one keystone closes</x:v>
      </x:c>
      <x:c r="D1375" s="13" t="b">
        <x:f>ABS(Inventory!D9-VLOOKUP(Inventory!B9,'Root Units'!$A$6:$K$29,5,FALSE)*Controls!$B$28)&lt;0.000001</x:f>
        <x:v>1</x:v>
      </x:c>
      <x:c r="E1375" s="58" t="b">
        <x:v>1</x:v>
      </x:c>
      <x:c r="F1375" s="13" t="str">
        <x:f>IF(D1375=E1375,"PASS","FAIL")</x:f>
        <x:v>PASS</x:v>
      </x:c>
    </x:row>
    <x:row r="1376">
      <x:c r="A1376" s="13" t="str">
        <x:v>IN-4-02</x:v>
      </x:c>
      <x:c r="B1376" s="13" t="str">
        <x:v>Inventory</x:v>
      </x:c>
      <x:c r="C1376" s="13" t="str">
        <x:v>TE-CELL-4 common feedstock closes</x:v>
      </x:c>
      <x:c r="D1376" s="13" t="b">
        <x:f>Inventory!F9&gt;0</x:f>
        <x:v>1</x:v>
      </x:c>
      <x:c r="E1376" s="58" t="b">
        <x:v>1</x:v>
      </x:c>
      <x:c r="F1376" s="13" t="str">
        <x:f>IF(D1376=E1376,"PASS","FAIL")</x:f>
        <x:v>PASS</x:v>
      </x:c>
    </x:row>
    <x:row r="1377">
      <x:c r="A1377" s="13" t="str">
        <x:v>IN-4-03</x:v>
      </x:c>
      <x:c r="B1377" s="13" t="str">
        <x:v>Inventory</x:v>
      </x:c>
      <x:c r="C1377" s="13" t="str">
        <x:v>TE-CELL-4 inventory adds</x:v>
      </x:c>
      <x:c r="D1377" s="13" t="b">
        <x:f>ABS(Inventory!G9-SUM(Inventory!D9:F9))&lt;0.000001</x:f>
        <x:v>1</x:v>
      </x:c>
      <x:c r="E1377" s="58" t="b">
        <x:v>1</x:v>
      </x:c>
      <x:c r="F1377" s="13" t="str">
        <x:f>IF(D1377=E1377,"PASS","FAIL")</x:f>
        <x:v>PASS</x:v>
      </x:c>
    </x:row>
    <x:row r="1378">
      <x:c r="A1378" s="13" t="str">
        <x:v>IN-4-04</x:v>
      </x:c>
      <x:c r="B1378" s="13" t="str">
        <x:v>Inventory</x:v>
      </x:c>
      <x:c r="C1378" s="13" t="str">
        <x:v>TE-CELL-4 planning passes</x:v>
      </x:c>
      <x:c r="D1378" s="13" t="str">
        <x:f>Inventory!M9</x:f>
        <x:v>PASS</x:v>
      </x:c>
      <x:c r="E1378" s="13" t="str">
        <x:v>PASS</x:v>
      </x:c>
      <x:c r="F1378" s="13" t="str">
        <x:f>IF(D1378=E1378,"PASS","FAIL")</x:f>
        <x:v>PASS</x:v>
      </x:c>
    </x:row>
    <x:row r="1379">
      <x:c r="A1379" s="13" t="str">
        <x:v>IN-4-05</x:v>
      </x:c>
      <x:c r="B1379" s="13" t="str">
        <x:v>Inventory</x:v>
      </x:c>
      <x:c r="C1379" s="13" t="str">
        <x:v>TE-CELL-4 evidence state empty</x:v>
      </x:c>
      <x:c r="D1379" s="13" t="str">
        <x:f>Inventory!N9</x:f>
        <x:v>SOURCE EMPTY</x:v>
      </x:c>
      <x:c r="E1379" s="13" t="str">
        <x:v>SOURCE EMPTY</x:v>
      </x:c>
      <x:c r="F1379" s="13" t="str">
        <x:f>IF(D1379=E1379,"PASS","FAIL")</x:f>
        <x:v>PASS</x:v>
      </x:c>
    </x:row>
    <x:row r="1380">
      <x:c r="A1380" s="13" t="str">
        <x:v>UI-4-01</x:v>
      </x:c>
      <x:c r="B1380" s="13" t="str">
        <x:v>Utility</x:v>
      </x:c>
      <x:c r="C1380" s="13" t="str">
        <x:v>TE-CELL-4 governing power is maximum</x:v>
      </x:c>
      <x:c r="D1380" s="13" t="b">
        <x:f>ABS('Utility Islands'!F9-MAX('Utility Islands'!D9:E9))&lt;0.000001</x:f>
        <x:v>1</x:v>
      </x:c>
      <x:c r="E1380" s="58" t="b">
        <x:v>1</x:v>
      </x:c>
      <x:c r="F1380" s="13" t="str">
        <x:f>IF(D1380=E1380,"PASS","FAIL")</x:f>
        <x:v>PASS</x:v>
      </x:c>
    </x:row>
    <x:row r="1381">
      <x:c r="A1381" s="13" t="str">
        <x:v>UI-4-02</x:v>
      </x:c>
      <x:c r="B1381" s="13" t="str">
        <x:v>Utility</x:v>
      </x:c>
      <x:c r="C1381" s="13" t="str">
        <x:v>TE-CELL-4 reserve factor</x:v>
      </x:c>
      <x:c r="D1381" s="13" t="b">
        <x:f>'Utility Islands'!G9&gt;=1.25</x:f>
        <x:v>1</x:v>
      </x:c>
      <x:c r="E1381" s="58" t="b">
        <x:v>1</x:v>
      </x:c>
      <x:c r="F1381" s="13" t="str">
        <x:f>IF(D1381=E1381,"PASS","FAIL")</x:f>
        <x:v>PASS</x:v>
      </x:c>
    </x:row>
    <x:row r="1382">
      <x:c r="A1382" s="13" t="str">
        <x:v>UI-4-03</x:v>
      </x:c>
      <x:c r="B1382" s="13" t="str">
        <x:v>Utility</x:v>
      </x:c>
      <x:c r="C1382" s="13" t="str">
        <x:v>TE-CELL-4 six modules</x:v>
      </x:c>
      <x:c r="D1382" s="13" t="n">
        <x:f>'Utility Islands'!I9</x:f>
        <x:v>6</x:v>
      </x:c>
      <x:c r="E1382" s="13" t="n">
        <x:v>6</x:v>
      </x:c>
      <x:c r="F1382" s="13" t="str">
        <x:f>IF(D1382=E1382,"PASS","FAIL")</x:f>
        <x:v>PASS</x:v>
      </x:c>
    </x:row>
    <x:row r="1383">
      <x:c r="A1383" s="13" t="str">
        <x:v>UI-4-04</x:v>
      </x:c>
      <x:c r="B1383" s="13" t="str">
        <x:v>Utility</x:v>
      </x:c>
      <x:c r="C1383" s="13" t="str">
        <x:v>TE-CELL-4 closes after module loss</x:v>
      </x:c>
      <x:c r="D1383" s="13" t="b">
        <x:f>'Utility Islands'!K9&gt;='Utility Islands'!F9*'Utility Islands'!G9</x:f>
        <x:v>1</x:v>
      </x:c>
      <x:c r="E1383" s="58" t="b">
        <x:v>1</x:v>
      </x:c>
      <x:c r="F1383" s="13" t="str">
        <x:f>IF(D1383=E1383,"PASS","FAIL")</x:f>
        <x:v>PASS</x:v>
      </x:c>
    </x:row>
    <x:row r="1384">
      <x:c r="A1384" s="13" t="str">
        <x:v>UI-4-05</x:v>
      </x:c>
      <x:c r="B1384" s="13" t="str">
        <x:v>Utility</x:v>
      </x:c>
      <x:c r="C1384" s="13" t="str">
        <x:v>TE-CELL-4 planning passes</x:v>
      </x:c>
      <x:c r="D1384" s="13" t="str">
        <x:f>'Utility Islands'!P9</x:f>
        <x:v>PASS</x:v>
      </x:c>
      <x:c r="E1384" s="13" t="str">
        <x:v>PASS</x:v>
      </x:c>
      <x:c r="F1384" s="13" t="str">
        <x:f>IF(D1384=E1384,"PASS","FAIL")</x:f>
        <x:v>PASS</x:v>
      </x:c>
    </x:row>
    <x:row r="1385">
      <x:c r="A1385" s="13" t="str">
        <x:v>UI-4-06</x:v>
      </x:c>
      <x:c r="B1385" s="13" t="str">
        <x:v>Utility</x:v>
      </x:c>
      <x:c r="C1385" s="13" t="str">
        <x:v>TE-CELL-4 evidence state empty</x:v>
      </x:c>
      <x:c r="D1385" s="13" t="str">
        <x:f>'Utility Islands'!Q9</x:f>
        <x:v>SOURCE EMPTY</x:v>
      </x:c>
      <x:c r="E1385" s="13" t="str">
        <x:v>SOURCE EMPTY</x:v>
      </x:c>
      <x:c r="F1385" s="13" t="str">
        <x:f>IF(D1385=E1385,"PASS","FAIL")</x:f>
        <x:v>PASS</x:v>
      </x:c>
    </x:row>
    <x:row r="1386">
      <x:c r="A1386" s="13" t="str">
        <x:v>WF-5-01</x:v>
      </x:c>
      <x:c r="B1386" s="13" t="str">
        <x:v>Workforce</x:v>
      </x:c>
      <x:c r="C1386" s="13" t="str">
        <x:v>CT-CELL-1 survives denial</x:v>
      </x:c>
      <x:c r="D1386" s="13" t="b">
        <x:f>Workforce!H10&gt;=Workforce!F10</x:f>
        <x:v>1</x:v>
      </x:c>
      <x:c r="E1386" s="58" t="b">
        <x:v>1</x:v>
      </x:c>
      <x:c r="F1386" s="13" t="str">
        <x:f>IF(D1386=E1386,"PASS","FAIL")</x:f>
        <x:v>PASS</x:v>
      </x:c>
    </x:row>
    <x:row r="1387">
      <x:c r="A1387" s="13" t="str">
        <x:v>WF-5-02</x:v>
      </x:c>
      <x:c r="B1387" s="13" t="str">
        <x:v>Workforce</x:v>
      </x:c>
      <x:c r="C1387" s="13" t="str">
        <x:v>CT-CELL-1 has three cohorts</x:v>
      </x:c>
      <x:c r="D1387" s="13" t="n">
        <x:f>Workforce!J10</x:f>
        <x:v>3</x:v>
      </x:c>
      <x:c r="E1387" s="13" t="n">
        <x:v>3</x:v>
      </x:c>
      <x:c r="F1387" s="13" t="str">
        <x:f>IF(D1387=E1387,"PASS","FAIL")</x:f>
        <x:v>PASS</x:v>
      </x:c>
    </x:row>
    <x:row r="1388">
      <x:c r="A1388" s="13" t="str">
        <x:v>WF-5-03</x:v>
      </x:c>
      <x:c r="B1388" s="13" t="str">
        <x:v>Workforce</x:v>
      </x:c>
      <x:c r="C1388" s="13" t="str">
        <x:v>CT-CELL-1 cohort cap</x:v>
      </x:c>
      <x:c r="D1388" s="13" t="b">
        <x:f>Workforce!K10&lt;=0.4</x:f>
        <x:v>1</x:v>
      </x:c>
      <x:c r="E1388" s="58" t="b">
        <x:v>1</x:v>
      </x:c>
      <x:c r="F1388" s="13" t="str">
        <x:f>IF(D1388=E1388,"PASS","FAIL")</x:f>
        <x:v>PASS</x:v>
      </x:c>
    </x:row>
    <x:row r="1389">
      <x:c r="A1389" s="13" t="str">
        <x:v>WF-5-04</x:v>
      </x:c>
      <x:c r="B1389" s="13" t="str">
        <x:v>Workforce</x:v>
      </x:c>
      <x:c r="C1389" s="13" t="str">
        <x:v>CT-CELL-1 planning passes</x:v>
      </x:c>
      <x:c r="D1389" s="13" t="str">
        <x:f>Workforce!O10</x:f>
        <x:v>PASS</x:v>
      </x:c>
      <x:c r="E1389" s="13" t="str">
        <x:v>PASS</x:v>
      </x:c>
      <x:c r="F1389" s="13" t="str">
        <x:f>IF(D1389=E1389,"PASS","FAIL")</x:f>
        <x:v>PASS</x:v>
      </x:c>
    </x:row>
    <x:row r="1390">
      <x:c r="A1390" s="13" t="str">
        <x:v>WF-5-05</x:v>
      </x:c>
      <x:c r="B1390" s="13" t="str">
        <x:v>Workforce</x:v>
      </x:c>
      <x:c r="C1390" s="13" t="str">
        <x:v>CT-CELL-1 evidence state empty</x:v>
      </x:c>
      <x:c r="D1390" s="13" t="str">
        <x:f>Workforce!P10</x:f>
        <x:v>SOURCE EMPTY</x:v>
      </x:c>
      <x:c r="E1390" s="13" t="str">
        <x:v>SOURCE EMPTY</x:v>
      </x:c>
      <x:c r="F1390" s="13" t="str">
        <x:f>IF(D1390=E1390,"PASS","FAIL")</x:f>
        <x:v>PASS</x:v>
      </x:c>
    </x:row>
    <x:row r="1391">
      <x:c r="A1391" s="13" t="str">
        <x:v>IN-5-01</x:v>
      </x:c>
      <x:c r="B1391" s="13" t="str">
        <x:v>Inventory</x:v>
      </x:c>
      <x:c r="C1391" s="13" t="str">
        <x:v>CT-CELL-1 root-one keystone closes</x:v>
      </x:c>
      <x:c r="D1391" s="13" t="b">
        <x:f>ABS(Inventory!D10-VLOOKUP(Inventory!B10,'Root Units'!$A$6:$K$29,5,FALSE)*Controls!$B$28)&lt;0.000001</x:f>
        <x:v>1</x:v>
      </x:c>
      <x:c r="E1391" s="58" t="b">
        <x:v>1</x:v>
      </x:c>
      <x:c r="F1391" s="13" t="str">
        <x:f>IF(D1391=E1391,"PASS","FAIL")</x:f>
        <x:v>PASS</x:v>
      </x:c>
    </x:row>
    <x:row r="1392">
      <x:c r="A1392" s="13" t="str">
        <x:v>IN-5-02</x:v>
      </x:c>
      <x:c r="B1392" s="13" t="str">
        <x:v>Inventory</x:v>
      </x:c>
      <x:c r="C1392" s="13" t="str">
        <x:v>CT-CELL-1 common feedstock closes</x:v>
      </x:c>
      <x:c r="D1392" s="13" t="b">
        <x:f>Inventory!F10&gt;0</x:f>
        <x:v>1</x:v>
      </x:c>
      <x:c r="E1392" s="58" t="b">
        <x:v>1</x:v>
      </x:c>
      <x:c r="F1392" s="13" t="str">
        <x:f>IF(D1392=E1392,"PASS","FAIL")</x:f>
        <x:v>PASS</x:v>
      </x:c>
    </x:row>
    <x:row r="1393">
      <x:c r="A1393" s="13" t="str">
        <x:v>IN-5-03</x:v>
      </x:c>
      <x:c r="B1393" s="13" t="str">
        <x:v>Inventory</x:v>
      </x:c>
      <x:c r="C1393" s="13" t="str">
        <x:v>CT-CELL-1 inventory adds</x:v>
      </x:c>
      <x:c r="D1393" s="13" t="b">
        <x:f>ABS(Inventory!G10-SUM(Inventory!D10:F10))&lt;0.000001</x:f>
        <x:v>1</x:v>
      </x:c>
      <x:c r="E1393" s="58" t="b">
        <x:v>1</x:v>
      </x:c>
      <x:c r="F1393" s="13" t="str">
        <x:f>IF(D1393=E1393,"PASS","FAIL")</x:f>
        <x:v>PASS</x:v>
      </x:c>
    </x:row>
    <x:row r="1394">
      <x:c r="A1394" s="13" t="str">
        <x:v>IN-5-04</x:v>
      </x:c>
      <x:c r="B1394" s="13" t="str">
        <x:v>Inventory</x:v>
      </x:c>
      <x:c r="C1394" s="13" t="str">
        <x:v>CT-CELL-1 planning passes</x:v>
      </x:c>
      <x:c r="D1394" s="13" t="str">
        <x:f>Inventory!M10</x:f>
        <x:v>PASS</x:v>
      </x:c>
      <x:c r="E1394" s="13" t="str">
        <x:v>PASS</x:v>
      </x:c>
      <x:c r="F1394" s="13" t="str">
        <x:f>IF(D1394=E1394,"PASS","FAIL")</x:f>
        <x:v>PASS</x:v>
      </x:c>
    </x:row>
    <x:row r="1395">
      <x:c r="A1395" s="13" t="str">
        <x:v>IN-5-05</x:v>
      </x:c>
      <x:c r="B1395" s="13" t="str">
        <x:v>Inventory</x:v>
      </x:c>
      <x:c r="C1395" s="13" t="str">
        <x:v>CT-CELL-1 evidence state empty</x:v>
      </x:c>
      <x:c r="D1395" s="13" t="str">
        <x:f>Inventory!N10</x:f>
        <x:v>SOURCE EMPTY</x:v>
      </x:c>
      <x:c r="E1395" s="13" t="str">
        <x:v>SOURCE EMPTY</x:v>
      </x:c>
      <x:c r="F1395" s="13" t="str">
        <x:f>IF(D1395=E1395,"PASS","FAIL")</x:f>
        <x:v>PASS</x:v>
      </x:c>
    </x:row>
    <x:row r="1396">
      <x:c r="A1396" s="13" t="str">
        <x:v>UI-5-01</x:v>
      </x:c>
      <x:c r="B1396" s="13" t="str">
        <x:v>Utility</x:v>
      </x:c>
      <x:c r="C1396" s="13" t="str">
        <x:v>CT-CELL-1 governing power is maximum</x:v>
      </x:c>
      <x:c r="D1396" s="13" t="b">
        <x:f>ABS('Utility Islands'!F10-MAX('Utility Islands'!D10:E10))&lt;0.000001</x:f>
        <x:v>1</x:v>
      </x:c>
      <x:c r="E1396" s="58" t="b">
        <x:v>1</x:v>
      </x:c>
      <x:c r="F1396" s="13" t="str">
        <x:f>IF(D1396=E1396,"PASS","FAIL")</x:f>
        <x:v>PASS</x:v>
      </x:c>
    </x:row>
    <x:row r="1397">
      <x:c r="A1397" s="13" t="str">
        <x:v>UI-5-02</x:v>
      </x:c>
      <x:c r="B1397" s="13" t="str">
        <x:v>Utility</x:v>
      </x:c>
      <x:c r="C1397" s="13" t="str">
        <x:v>CT-CELL-1 reserve factor</x:v>
      </x:c>
      <x:c r="D1397" s="13" t="b">
        <x:f>'Utility Islands'!G10&gt;=1.25</x:f>
        <x:v>1</x:v>
      </x:c>
      <x:c r="E1397" s="58" t="b">
        <x:v>1</x:v>
      </x:c>
      <x:c r="F1397" s="13" t="str">
        <x:f>IF(D1397=E1397,"PASS","FAIL")</x:f>
        <x:v>PASS</x:v>
      </x:c>
    </x:row>
    <x:row r="1398">
      <x:c r="A1398" s="13" t="str">
        <x:v>UI-5-03</x:v>
      </x:c>
      <x:c r="B1398" s="13" t="str">
        <x:v>Utility</x:v>
      </x:c>
      <x:c r="C1398" s="13" t="str">
        <x:v>CT-CELL-1 six modules</x:v>
      </x:c>
      <x:c r="D1398" s="13" t="n">
        <x:f>'Utility Islands'!I10</x:f>
        <x:v>6</x:v>
      </x:c>
      <x:c r="E1398" s="13" t="n">
        <x:v>6</x:v>
      </x:c>
      <x:c r="F1398" s="13" t="str">
        <x:f>IF(D1398=E1398,"PASS","FAIL")</x:f>
        <x:v>PASS</x:v>
      </x:c>
    </x:row>
    <x:row r="1399">
      <x:c r="A1399" s="13" t="str">
        <x:v>UI-5-04</x:v>
      </x:c>
      <x:c r="B1399" s="13" t="str">
        <x:v>Utility</x:v>
      </x:c>
      <x:c r="C1399" s="13" t="str">
        <x:v>CT-CELL-1 closes after module loss</x:v>
      </x:c>
      <x:c r="D1399" s="13" t="b">
        <x:f>'Utility Islands'!K10&gt;='Utility Islands'!F10*'Utility Islands'!G10</x:f>
        <x:v>1</x:v>
      </x:c>
      <x:c r="E1399" s="58" t="b">
        <x:v>1</x:v>
      </x:c>
      <x:c r="F1399" s="13" t="str">
        <x:f>IF(D1399=E1399,"PASS","FAIL")</x:f>
        <x:v>PASS</x:v>
      </x:c>
    </x:row>
    <x:row r="1400">
      <x:c r="A1400" s="13" t="str">
        <x:v>UI-5-05</x:v>
      </x:c>
      <x:c r="B1400" s="13" t="str">
        <x:v>Utility</x:v>
      </x:c>
      <x:c r="C1400" s="13" t="str">
        <x:v>CT-CELL-1 planning passes</x:v>
      </x:c>
      <x:c r="D1400" s="13" t="str">
        <x:f>'Utility Islands'!P10</x:f>
        <x:v>PASS</x:v>
      </x:c>
      <x:c r="E1400" s="13" t="str">
        <x:v>PASS</x:v>
      </x:c>
      <x:c r="F1400" s="13" t="str">
        <x:f>IF(D1400=E1400,"PASS","FAIL")</x:f>
        <x:v>PASS</x:v>
      </x:c>
    </x:row>
    <x:row r="1401">
      <x:c r="A1401" s="13" t="str">
        <x:v>UI-5-06</x:v>
      </x:c>
      <x:c r="B1401" s="13" t="str">
        <x:v>Utility</x:v>
      </x:c>
      <x:c r="C1401" s="13" t="str">
        <x:v>CT-CELL-1 evidence state empty</x:v>
      </x:c>
      <x:c r="D1401" s="13" t="str">
        <x:f>'Utility Islands'!Q10</x:f>
        <x:v>SOURCE EMPTY</x:v>
      </x:c>
      <x:c r="E1401" s="13" t="str">
        <x:v>SOURCE EMPTY</x:v>
      </x:c>
      <x:c r="F1401" s="13" t="str">
        <x:f>IF(D1401=E1401,"PASS","FAIL")</x:f>
        <x:v>PASS</x:v>
      </x:c>
    </x:row>
    <x:row r="1402">
      <x:c r="A1402" s="13" t="str">
        <x:v>WF-6-01</x:v>
      </x:c>
      <x:c r="B1402" s="13" t="str">
        <x:v>Workforce</x:v>
      </x:c>
      <x:c r="C1402" s="13" t="str">
        <x:v>CT-CELL-2 survives denial</x:v>
      </x:c>
      <x:c r="D1402" s="13" t="b">
        <x:f>Workforce!H11&gt;=Workforce!F11</x:f>
        <x:v>1</x:v>
      </x:c>
      <x:c r="E1402" s="58" t="b">
        <x:v>1</x:v>
      </x:c>
      <x:c r="F1402" s="13" t="str">
        <x:f>IF(D1402=E1402,"PASS","FAIL")</x:f>
        <x:v>PASS</x:v>
      </x:c>
    </x:row>
    <x:row r="1403">
      <x:c r="A1403" s="13" t="str">
        <x:v>WF-6-02</x:v>
      </x:c>
      <x:c r="B1403" s="13" t="str">
        <x:v>Workforce</x:v>
      </x:c>
      <x:c r="C1403" s="13" t="str">
        <x:v>CT-CELL-2 has three cohorts</x:v>
      </x:c>
      <x:c r="D1403" s="13" t="n">
        <x:f>Workforce!J11</x:f>
        <x:v>3</x:v>
      </x:c>
      <x:c r="E1403" s="13" t="n">
        <x:v>3</x:v>
      </x:c>
      <x:c r="F1403" s="13" t="str">
        <x:f>IF(D1403=E1403,"PASS","FAIL")</x:f>
        <x:v>PASS</x:v>
      </x:c>
    </x:row>
    <x:row r="1404">
      <x:c r="A1404" s="13" t="str">
        <x:v>WF-6-03</x:v>
      </x:c>
      <x:c r="B1404" s="13" t="str">
        <x:v>Workforce</x:v>
      </x:c>
      <x:c r="C1404" s="13" t="str">
        <x:v>CT-CELL-2 cohort cap</x:v>
      </x:c>
      <x:c r="D1404" s="13" t="b">
        <x:f>Workforce!K11&lt;=0.4</x:f>
        <x:v>1</x:v>
      </x:c>
      <x:c r="E1404" s="58" t="b">
        <x:v>1</x:v>
      </x:c>
      <x:c r="F1404" s="13" t="str">
        <x:f>IF(D1404=E1404,"PASS","FAIL")</x:f>
        <x:v>PASS</x:v>
      </x:c>
    </x:row>
    <x:row r="1405">
      <x:c r="A1405" s="13" t="str">
        <x:v>WF-6-04</x:v>
      </x:c>
      <x:c r="B1405" s="13" t="str">
        <x:v>Workforce</x:v>
      </x:c>
      <x:c r="C1405" s="13" t="str">
        <x:v>CT-CELL-2 planning passes</x:v>
      </x:c>
      <x:c r="D1405" s="13" t="str">
        <x:f>Workforce!O11</x:f>
        <x:v>PASS</x:v>
      </x:c>
      <x:c r="E1405" s="13" t="str">
        <x:v>PASS</x:v>
      </x:c>
      <x:c r="F1405" s="13" t="str">
        <x:f>IF(D1405=E1405,"PASS","FAIL")</x:f>
        <x:v>PASS</x:v>
      </x:c>
    </x:row>
    <x:row r="1406">
      <x:c r="A1406" s="13" t="str">
        <x:v>WF-6-05</x:v>
      </x:c>
      <x:c r="B1406" s="13" t="str">
        <x:v>Workforce</x:v>
      </x:c>
      <x:c r="C1406" s="13" t="str">
        <x:v>CT-CELL-2 evidence state empty</x:v>
      </x:c>
      <x:c r="D1406" s="13" t="str">
        <x:f>Workforce!P11</x:f>
        <x:v>SOURCE EMPTY</x:v>
      </x:c>
      <x:c r="E1406" s="13" t="str">
        <x:v>SOURCE EMPTY</x:v>
      </x:c>
      <x:c r="F1406" s="13" t="str">
        <x:f>IF(D1406=E1406,"PASS","FAIL")</x:f>
        <x:v>PASS</x:v>
      </x:c>
    </x:row>
    <x:row r="1407">
      <x:c r="A1407" s="13" t="str">
        <x:v>IN-6-01</x:v>
      </x:c>
      <x:c r="B1407" s="13" t="str">
        <x:v>Inventory</x:v>
      </x:c>
      <x:c r="C1407" s="13" t="str">
        <x:v>CT-CELL-2 root-one keystone closes</x:v>
      </x:c>
      <x:c r="D1407" s="13" t="b">
        <x:f>ABS(Inventory!D11-VLOOKUP(Inventory!B11,'Root Units'!$A$6:$K$29,5,FALSE)*Controls!$B$28)&lt;0.000001</x:f>
        <x:v>1</x:v>
      </x:c>
      <x:c r="E1407" s="58" t="b">
        <x:v>1</x:v>
      </x:c>
      <x:c r="F1407" s="13" t="str">
        <x:f>IF(D1407=E1407,"PASS","FAIL")</x:f>
        <x:v>PASS</x:v>
      </x:c>
    </x:row>
    <x:row r="1408">
      <x:c r="A1408" s="13" t="str">
        <x:v>IN-6-02</x:v>
      </x:c>
      <x:c r="B1408" s="13" t="str">
        <x:v>Inventory</x:v>
      </x:c>
      <x:c r="C1408" s="13" t="str">
        <x:v>CT-CELL-2 common feedstock closes</x:v>
      </x:c>
      <x:c r="D1408" s="13" t="b">
        <x:f>Inventory!F11&gt;0</x:f>
        <x:v>1</x:v>
      </x:c>
      <x:c r="E1408" s="58" t="b">
        <x:v>1</x:v>
      </x:c>
      <x:c r="F1408" s="13" t="str">
        <x:f>IF(D1408=E1408,"PASS","FAIL")</x:f>
        <x:v>PASS</x:v>
      </x:c>
    </x:row>
    <x:row r="1409">
      <x:c r="A1409" s="13" t="str">
        <x:v>IN-6-03</x:v>
      </x:c>
      <x:c r="B1409" s="13" t="str">
        <x:v>Inventory</x:v>
      </x:c>
      <x:c r="C1409" s="13" t="str">
        <x:v>CT-CELL-2 inventory adds</x:v>
      </x:c>
      <x:c r="D1409" s="13" t="b">
        <x:f>ABS(Inventory!G11-SUM(Inventory!D11:F11))&lt;0.000001</x:f>
        <x:v>1</x:v>
      </x:c>
      <x:c r="E1409" s="58" t="b">
        <x:v>1</x:v>
      </x:c>
      <x:c r="F1409" s="13" t="str">
        <x:f>IF(D1409=E1409,"PASS","FAIL")</x:f>
        <x:v>PASS</x:v>
      </x:c>
    </x:row>
    <x:row r="1410">
      <x:c r="A1410" s="13" t="str">
        <x:v>IN-6-04</x:v>
      </x:c>
      <x:c r="B1410" s="13" t="str">
        <x:v>Inventory</x:v>
      </x:c>
      <x:c r="C1410" s="13" t="str">
        <x:v>CT-CELL-2 planning passes</x:v>
      </x:c>
      <x:c r="D1410" s="13" t="str">
        <x:f>Inventory!M11</x:f>
        <x:v>PASS</x:v>
      </x:c>
      <x:c r="E1410" s="13" t="str">
        <x:v>PASS</x:v>
      </x:c>
      <x:c r="F1410" s="13" t="str">
        <x:f>IF(D1410=E1410,"PASS","FAIL")</x:f>
        <x:v>PASS</x:v>
      </x:c>
    </x:row>
    <x:row r="1411">
      <x:c r="A1411" s="13" t="str">
        <x:v>IN-6-05</x:v>
      </x:c>
      <x:c r="B1411" s="13" t="str">
        <x:v>Inventory</x:v>
      </x:c>
      <x:c r="C1411" s="13" t="str">
        <x:v>CT-CELL-2 evidence state empty</x:v>
      </x:c>
      <x:c r="D1411" s="13" t="str">
        <x:f>Inventory!N11</x:f>
        <x:v>SOURCE EMPTY</x:v>
      </x:c>
      <x:c r="E1411" s="13" t="str">
        <x:v>SOURCE EMPTY</x:v>
      </x:c>
      <x:c r="F1411" s="13" t="str">
        <x:f>IF(D1411=E1411,"PASS","FAIL")</x:f>
        <x:v>PASS</x:v>
      </x:c>
    </x:row>
    <x:row r="1412">
      <x:c r="A1412" s="13" t="str">
        <x:v>UI-6-01</x:v>
      </x:c>
      <x:c r="B1412" s="13" t="str">
        <x:v>Utility</x:v>
      </x:c>
      <x:c r="C1412" s="13" t="str">
        <x:v>CT-CELL-2 governing power is maximum</x:v>
      </x:c>
      <x:c r="D1412" s="13" t="b">
        <x:f>ABS('Utility Islands'!F11-MAX('Utility Islands'!D11:E11))&lt;0.000001</x:f>
        <x:v>1</x:v>
      </x:c>
      <x:c r="E1412" s="58" t="b">
        <x:v>1</x:v>
      </x:c>
      <x:c r="F1412" s="13" t="str">
        <x:f>IF(D1412=E1412,"PASS","FAIL")</x:f>
        <x:v>PASS</x:v>
      </x:c>
    </x:row>
    <x:row r="1413">
      <x:c r="A1413" s="13" t="str">
        <x:v>UI-6-02</x:v>
      </x:c>
      <x:c r="B1413" s="13" t="str">
        <x:v>Utility</x:v>
      </x:c>
      <x:c r="C1413" s="13" t="str">
        <x:v>CT-CELL-2 reserve factor</x:v>
      </x:c>
      <x:c r="D1413" s="13" t="b">
        <x:f>'Utility Islands'!G11&gt;=1.25</x:f>
        <x:v>1</x:v>
      </x:c>
      <x:c r="E1413" s="58" t="b">
        <x:v>1</x:v>
      </x:c>
      <x:c r="F1413" s="13" t="str">
        <x:f>IF(D1413=E1413,"PASS","FAIL")</x:f>
        <x:v>PASS</x:v>
      </x:c>
    </x:row>
    <x:row r="1414">
      <x:c r="A1414" s="13" t="str">
        <x:v>UI-6-03</x:v>
      </x:c>
      <x:c r="B1414" s="13" t="str">
        <x:v>Utility</x:v>
      </x:c>
      <x:c r="C1414" s="13" t="str">
        <x:v>CT-CELL-2 six modules</x:v>
      </x:c>
      <x:c r="D1414" s="13" t="n">
        <x:f>'Utility Islands'!I11</x:f>
        <x:v>6</x:v>
      </x:c>
      <x:c r="E1414" s="13" t="n">
        <x:v>6</x:v>
      </x:c>
      <x:c r="F1414" s="13" t="str">
        <x:f>IF(D1414=E1414,"PASS","FAIL")</x:f>
        <x:v>PASS</x:v>
      </x:c>
    </x:row>
    <x:row r="1415">
      <x:c r="A1415" s="13" t="str">
        <x:v>UI-6-04</x:v>
      </x:c>
      <x:c r="B1415" s="13" t="str">
        <x:v>Utility</x:v>
      </x:c>
      <x:c r="C1415" s="13" t="str">
        <x:v>CT-CELL-2 closes after module loss</x:v>
      </x:c>
      <x:c r="D1415" s="13" t="b">
        <x:f>'Utility Islands'!K11&gt;='Utility Islands'!F11*'Utility Islands'!G11</x:f>
        <x:v>1</x:v>
      </x:c>
      <x:c r="E1415" s="58" t="b">
        <x:v>1</x:v>
      </x:c>
      <x:c r="F1415" s="13" t="str">
        <x:f>IF(D1415=E1415,"PASS","FAIL")</x:f>
        <x:v>PASS</x:v>
      </x:c>
    </x:row>
    <x:row r="1416">
      <x:c r="A1416" s="13" t="str">
        <x:v>UI-6-05</x:v>
      </x:c>
      <x:c r="B1416" s="13" t="str">
        <x:v>Utility</x:v>
      </x:c>
      <x:c r="C1416" s="13" t="str">
        <x:v>CT-CELL-2 planning passes</x:v>
      </x:c>
      <x:c r="D1416" s="13" t="str">
        <x:f>'Utility Islands'!P11</x:f>
        <x:v>PASS</x:v>
      </x:c>
      <x:c r="E1416" s="13" t="str">
        <x:v>PASS</x:v>
      </x:c>
      <x:c r="F1416" s="13" t="str">
        <x:f>IF(D1416=E1416,"PASS","FAIL")</x:f>
        <x:v>PASS</x:v>
      </x:c>
    </x:row>
    <x:row r="1417">
      <x:c r="A1417" s="13" t="str">
        <x:v>UI-6-06</x:v>
      </x:c>
      <x:c r="B1417" s="13" t="str">
        <x:v>Utility</x:v>
      </x:c>
      <x:c r="C1417" s="13" t="str">
        <x:v>CT-CELL-2 evidence state empty</x:v>
      </x:c>
      <x:c r="D1417" s="13" t="str">
        <x:f>'Utility Islands'!Q11</x:f>
        <x:v>SOURCE EMPTY</x:v>
      </x:c>
      <x:c r="E1417" s="13" t="str">
        <x:v>SOURCE EMPTY</x:v>
      </x:c>
      <x:c r="F1417" s="13" t="str">
        <x:f>IF(D1417=E1417,"PASS","FAIL")</x:f>
        <x:v>PASS</x:v>
      </x:c>
    </x:row>
    <x:row r="1418">
      <x:c r="A1418" s="13" t="str">
        <x:v>WF-7-01</x:v>
      </x:c>
      <x:c r="B1418" s="13" t="str">
        <x:v>Workforce</x:v>
      </x:c>
      <x:c r="C1418" s="13" t="str">
        <x:v>CT-CELL-3 survives denial</x:v>
      </x:c>
      <x:c r="D1418" s="13" t="b">
        <x:f>Workforce!H12&gt;=Workforce!F12</x:f>
        <x:v>1</x:v>
      </x:c>
      <x:c r="E1418" s="58" t="b">
        <x:v>1</x:v>
      </x:c>
      <x:c r="F1418" s="13" t="str">
        <x:f>IF(D1418=E1418,"PASS","FAIL")</x:f>
        <x:v>PASS</x:v>
      </x:c>
    </x:row>
    <x:row r="1419">
      <x:c r="A1419" s="13" t="str">
        <x:v>WF-7-02</x:v>
      </x:c>
      <x:c r="B1419" s="13" t="str">
        <x:v>Workforce</x:v>
      </x:c>
      <x:c r="C1419" s="13" t="str">
        <x:v>CT-CELL-3 has three cohorts</x:v>
      </x:c>
      <x:c r="D1419" s="13" t="n">
        <x:f>Workforce!J12</x:f>
        <x:v>3</x:v>
      </x:c>
      <x:c r="E1419" s="13" t="n">
        <x:v>3</x:v>
      </x:c>
      <x:c r="F1419" s="13" t="str">
        <x:f>IF(D1419=E1419,"PASS","FAIL")</x:f>
        <x:v>PASS</x:v>
      </x:c>
    </x:row>
    <x:row r="1420">
      <x:c r="A1420" s="13" t="str">
        <x:v>WF-7-03</x:v>
      </x:c>
      <x:c r="B1420" s="13" t="str">
        <x:v>Workforce</x:v>
      </x:c>
      <x:c r="C1420" s="13" t="str">
        <x:v>CT-CELL-3 cohort cap</x:v>
      </x:c>
      <x:c r="D1420" s="13" t="b">
        <x:f>Workforce!K12&lt;=0.4</x:f>
        <x:v>1</x:v>
      </x:c>
      <x:c r="E1420" s="58" t="b">
        <x:v>1</x:v>
      </x:c>
      <x:c r="F1420" s="13" t="str">
        <x:f>IF(D1420=E1420,"PASS","FAIL")</x:f>
        <x:v>PASS</x:v>
      </x:c>
    </x:row>
    <x:row r="1421">
      <x:c r="A1421" s="13" t="str">
        <x:v>WF-7-04</x:v>
      </x:c>
      <x:c r="B1421" s="13" t="str">
        <x:v>Workforce</x:v>
      </x:c>
      <x:c r="C1421" s="13" t="str">
        <x:v>CT-CELL-3 planning passes</x:v>
      </x:c>
      <x:c r="D1421" s="13" t="str">
        <x:f>Workforce!O12</x:f>
        <x:v>PASS</x:v>
      </x:c>
      <x:c r="E1421" s="13" t="str">
        <x:v>PASS</x:v>
      </x:c>
      <x:c r="F1421" s="13" t="str">
        <x:f>IF(D1421=E1421,"PASS","FAIL")</x:f>
        <x:v>PASS</x:v>
      </x:c>
    </x:row>
    <x:row r="1422">
      <x:c r="A1422" s="13" t="str">
        <x:v>WF-7-05</x:v>
      </x:c>
      <x:c r="B1422" s="13" t="str">
        <x:v>Workforce</x:v>
      </x:c>
      <x:c r="C1422" s="13" t="str">
        <x:v>CT-CELL-3 evidence state empty</x:v>
      </x:c>
      <x:c r="D1422" s="13" t="str">
        <x:f>Workforce!P12</x:f>
        <x:v>SOURCE EMPTY</x:v>
      </x:c>
      <x:c r="E1422" s="13" t="str">
        <x:v>SOURCE EMPTY</x:v>
      </x:c>
      <x:c r="F1422" s="13" t="str">
        <x:f>IF(D1422=E1422,"PASS","FAIL")</x:f>
        <x:v>PASS</x:v>
      </x:c>
    </x:row>
    <x:row r="1423">
      <x:c r="A1423" s="13" t="str">
        <x:v>IN-7-01</x:v>
      </x:c>
      <x:c r="B1423" s="13" t="str">
        <x:v>Inventory</x:v>
      </x:c>
      <x:c r="C1423" s="13" t="str">
        <x:v>CT-CELL-3 root-one keystone closes</x:v>
      </x:c>
      <x:c r="D1423" s="13" t="b">
        <x:f>ABS(Inventory!D12-VLOOKUP(Inventory!B12,'Root Units'!$A$6:$K$29,5,FALSE)*Controls!$B$28)&lt;0.000001</x:f>
        <x:v>1</x:v>
      </x:c>
      <x:c r="E1423" s="58" t="b">
        <x:v>1</x:v>
      </x:c>
      <x:c r="F1423" s="13" t="str">
        <x:f>IF(D1423=E1423,"PASS","FAIL")</x:f>
        <x:v>PASS</x:v>
      </x:c>
    </x:row>
    <x:row r="1424">
      <x:c r="A1424" s="13" t="str">
        <x:v>IN-7-02</x:v>
      </x:c>
      <x:c r="B1424" s="13" t="str">
        <x:v>Inventory</x:v>
      </x:c>
      <x:c r="C1424" s="13" t="str">
        <x:v>CT-CELL-3 common feedstock closes</x:v>
      </x:c>
      <x:c r="D1424" s="13" t="b">
        <x:f>Inventory!F12&gt;0</x:f>
        <x:v>1</x:v>
      </x:c>
      <x:c r="E1424" s="58" t="b">
        <x:v>1</x:v>
      </x:c>
      <x:c r="F1424" s="13" t="str">
        <x:f>IF(D1424=E1424,"PASS","FAIL")</x:f>
        <x:v>PASS</x:v>
      </x:c>
    </x:row>
    <x:row r="1425">
      <x:c r="A1425" s="13" t="str">
        <x:v>IN-7-03</x:v>
      </x:c>
      <x:c r="B1425" s="13" t="str">
        <x:v>Inventory</x:v>
      </x:c>
      <x:c r="C1425" s="13" t="str">
        <x:v>CT-CELL-3 inventory adds</x:v>
      </x:c>
      <x:c r="D1425" s="13" t="b">
        <x:f>ABS(Inventory!G12-SUM(Inventory!D12:F12))&lt;0.000001</x:f>
        <x:v>1</x:v>
      </x:c>
      <x:c r="E1425" s="58" t="b">
        <x:v>1</x:v>
      </x:c>
      <x:c r="F1425" s="13" t="str">
        <x:f>IF(D1425=E1425,"PASS","FAIL")</x:f>
        <x:v>PASS</x:v>
      </x:c>
    </x:row>
    <x:row r="1426">
      <x:c r="A1426" s="13" t="str">
        <x:v>IN-7-04</x:v>
      </x:c>
      <x:c r="B1426" s="13" t="str">
        <x:v>Inventory</x:v>
      </x:c>
      <x:c r="C1426" s="13" t="str">
        <x:v>CT-CELL-3 planning passes</x:v>
      </x:c>
      <x:c r="D1426" s="13" t="str">
        <x:f>Inventory!M12</x:f>
        <x:v>PASS</x:v>
      </x:c>
      <x:c r="E1426" s="13" t="str">
        <x:v>PASS</x:v>
      </x:c>
      <x:c r="F1426" s="13" t="str">
        <x:f>IF(D1426=E1426,"PASS","FAIL")</x:f>
        <x:v>PASS</x:v>
      </x:c>
    </x:row>
    <x:row r="1427">
      <x:c r="A1427" s="13" t="str">
        <x:v>IN-7-05</x:v>
      </x:c>
      <x:c r="B1427" s="13" t="str">
        <x:v>Inventory</x:v>
      </x:c>
      <x:c r="C1427" s="13" t="str">
        <x:v>CT-CELL-3 evidence state empty</x:v>
      </x:c>
      <x:c r="D1427" s="13" t="str">
        <x:f>Inventory!N12</x:f>
        <x:v>SOURCE EMPTY</x:v>
      </x:c>
      <x:c r="E1427" s="13" t="str">
        <x:v>SOURCE EMPTY</x:v>
      </x:c>
      <x:c r="F1427" s="13" t="str">
        <x:f>IF(D1427=E1427,"PASS","FAIL")</x:f>
        <x:v>PASS</x:v>
      </x:c>
    </x:row>
    <x:row r="1428">
      <x:c r="A1428" s="13" t="str">
        <x:v>UI-7-01</x:v>
      </x:c>
      <x:c r="B1428" s="13" t="str">
        <x:v>Utility</x:v>
      </x:c>
      <x:c r="C1428" s="13" t="str">
        <x:v>CT-CELL-3 governing power is maximum</x:v>
      </x:c>
      <x:c r="D1428" s="13" t="b">
        <x:f>ABS('Utility Islands'!F12-MAX('Utility Islands'!D12:E12))&lt;0.000001</x:f>
        <x:v>1</x:v>
      </x:c>
      <x:c r="E1428" s="58" t="b">
        <x:v>1</x:v>
      </x:c>
      <x:c r="F1428" s="13" t="str">
        <x:f>IF(D1428=E1428,"PASS","FAIL")</x:f>
        <x:v>PASS</x:v>
      </x:c>
    </x:row>
    <x:row r="1429">
      <x:c r="A1429" s="13" t="str">
        <x:v>UI-7-02</x:v>
      </x:c>
      <x:c r="B1429" s="13" t="str">
        <x:v>Utility</x:v>
      </x:c>
      <x:c r="C1429" s="13" t="str">
        <x:v>CT-CELL-3 reserve factor</x:v>
      </x:c>
      <x:c r="D1429" s="13" t="b">
        <x:f>'Utility Islands'!G12&gt;=1.25</x:f>
        <x:v>1</x:v>
      </x:c>
      <x:c r="E1429" s="58" t="b">
        <x:v>1</x:v>
      </x:c>
      <x:c r="F1429" s="13" t="str">
        <x:f>IF(D1429=E1429,"PASS","FAIL")</x:f>
        <x:v>PASS</x:v>
      </x:c>
    </x:row>
    <x:row r="1430">
      <x:c r="A1430" s="13" t="str">
        <x:v>UI-7-03</x:v>
      </x:c>
      <x:c r="B1430" s="13" t="str">
        <x:v>Utility</x:v>
      </x:c>
      <x:c r="C1430" s="13" t="str">
        <x:v>CT-CELL-3 six modules</x:v>
      </x:c>
      <x:c r="D1430" s="13" t="n">
        <x:f>'Utility Islands'!I12</x:f>
        <x:v>6</x:v>
      </x:c>
      <x:c r="E1430" s="13" t="n">
        <x:v>6</x:v>
      </x:c>
      <x:c r="F1430" s="13" t="str">
        <x:f>IF(D1430=E1430,"PASS","FAIL")</x:f>
        <x:v>PASS</x:v>
      </x:c>
    </x:row>
    <x:row r="1431">
      <x:c r="A1431" s="13" t="str">
        <x:v>UI-7-04</x:v>
      </x:c>
      <x:c r="B1431" s="13" t="str">
        <x:v>Utility</x:v>
      </x:c>
      <x:c r="C1431" s="13" t="str">
        <x:v>CT-CELL-3 closes after module loss</x:v>
      </x:c>
      <x:c r="D1431" s="13" t="b">
        <x:f>'Utility Islands'!K12&gt;='Utility Islands'!F12*'Utility Islands'!G12</x:f>
        <x:v>1</x:v>
      </x:c>
      <x:c r="E1431" s="58" t="b">
        <x:v>1</x:v>
      </x:c>
      <x:c r="F1431" s="13" t="str">
        <x:f>IF(D1431=E1431,"PASS","FAIL")</x:f>
        <x:v>PASS</x:v>
      </x:c>
    </x:row>
    <x:row r="1432">
      <x:c r="A1432" s="13" t="str">
        <x:v>UI-7-05</x:v>
      </x:c>
      <x:c r="B1432" s="13" t="str">
        <x:v>Utility</x:v>
      </x:c>
      <x:c r="C1432" s="13" t="str">
        <x:v>CT-CELL-3 planning passes</x:v>
      </x:c>
      <x:c r="D1432" s="13" t="str">
        <x:f>'Utility Islands'!P12</x:f>
        <x:v>PASS</x:v>
      </x:c>
      <x:c r="E1432" s="13" t="str">
        <x:v>PASS</x:v>
      </x:c>
      <x:c r="F1432" s="13" t="str">
        <x:f>IF(D1432=E1432,"PASS","FAIL")</x:f>
        <x:v>PASS</x:v>
      </x:c>
    </x:row>
    <x:row r="1433">
      <x:c r="A1433" s="13" t="str">
        <x:v>UI-7-06</x:v>
      </x:c>
      <x:c r="B1433" s="13" t="str">
        <x:v>Utility</x:v>
      </x:c>
      <x:c r="C1433" s="13" t="str">
        <x:v>CT-CELL-3 evidence state empty</x:v>
      </x:c>
      <x:c r="D1433" s="13" t="str">
        <x:f>'Utility Islands'!Q12</x:f>
        <x:v>SOURCE EMPTY</x:v>
      </x:c>
      <x:c r="E1433" s="13" t="str">
        <x:v>SOURCE EMPTY</x:v>
      </x:c>
      <x:c r="F1433" s="13" t="str">
        <x:f>IF(D1433=E1433,"PASS","FAIL")</x:f>
        <x:v>PASS</x:v>
      </x:c>
    </x:row>
    <x:row r="1434">
      <x:c r="A1434" s="13" t="str">
        <x:v>WF-8-01</x:v>
      </x:c>
      <x:c r="B1434" s="13" t="str">
        <x:v>Workforce</x:v>
      </x:c>
      <x:c r="C1434" s="13" t="str">
        <x:v>CT-CELL-4 survives denial</x:v>
      </x:c>
      <x:c r="D1434" s="13" t="b">
        <x:f>Workforce!H13&gt;=Workforce!F13</x:f>
        <x:v>1</x:v>
      </x:c>
      <x:c r="E1434" s="58" t="b">
        <x:v>1</x:v>
      </x:c>
      <x:c r="F1434" s="13" t="str">
        <x:f>IF(D1434=E1434,"PASS","FAIL")</x:f>
        <x:v>PASS</x:v>
      </x:c>
    </x:row>
    <x:row r="1435">
      <x:c r="A1435" s="13" t="str">
        <x:v>WF-8-02</x:v>
      </x:c>
      <x:c r="B1435" s="13" t="str">
        <x:v>Workforce</x:v>
      </x:c>
      <x:c r="C1435" s="13" t="str">
        <x:v>CT-CELL-4 has three cohorts</x:v>
      </x:c>
      <x:c r="D1435" s="13" t="n">
        <x:f>Workforce!J13</x:f>
        <x:v>3</x:v>
      </x:c>
      <x:c r="E1435" s="13" t="n">
        <x:v>3</x:v>
      </x:c>
      <x:c r="F1435" s="13" t="str">
        <x:f>IF(D1435=E1435,"PASS","FAIL")</x:f>
        <x:v>PASS</x:v>
      </x:c>
    </x:row>
    <x:row r="1436">
      <x:c r="A1436" s="13" t="str">
        <x:v>WF-8-03</x:v>
      </x:c>
      <x:c r="B1436" s="13" t="str">
        <x:v>Workforce</x:v>
      </x:c>
      <x:c r="C1436" s="13" t="str">
        <x:v>CT-CELL-4 cohort cap</x:v>
      </x:c>
      <x:c r="D1436" s="13" t="b">
        <x:f>Workforce!K13&lt;=0.4</x:f>
        <x:v>1</x:v>
      </x:c>
      <x:c r="E1436" s="58" t="b">
        <x:v>1</x:v>
      </x:c>
      <x:c r="F1436" s="13" t="str">
        <x:f>IF(D1436=E1436,"PASS","FAIL")</x:f>
        <x:v>PASS</x:v>
      </x:c>
    </x:row>
    <x:row r="1437">
      <x:c r="A1437" s="13" t="str">
        <x:v>WF-8-04</x:v>
      </x:c>
      <x:c r="B1437" s="13" t="str">
        <x:v>Workforce</x:v>
      </x:c>
      <x:c r="C1437" s="13" t="str">
        <x:v>CT-CELL-4 planning passes</x:v>
      </x:c>
      <x:c r="D1437" s="13" t="str">
        <x:f>Workforce!O13</x:f>
        <x:v>PASS</x:v>
      </x:c>
      <x:c r="E1437" s="13" t="str">
        <x:v>PASS</x:v>
      </x:c>
      <x:c r="F1437" s="13" t="str">
        <x:f>IF(D1437=E1437,"PASS","FAIL")</x:f>
        <x:v>PASS</x:v>
      </x:c>
    </x:row>
    <x:row r="1438">
      <x:c r="A1438" s="13" t="str">
        <x:v>WF-8-05</x:v>
      </x:c>
      <x:c r="B1438" s="13" t="str">
        <x:v>Workforce</x:v>
      </x:c>
      <x:c r="C1438" s="13" t="str">
        <x:v>CT-CELL-4 evidence state empty</x:v>
      </x:c>
      <x:c r="D1438" s="13" t="str">
        <x:f>Workforce!P13</x:f>
        <x:v>SOURCE EMPTY</x:v>
      </x:c>
      <x:c r="E1438" s="13" t="str">
        <x:v>SOURCE EMPTY</x:v>
      </x:c>
      <x:c r="F1438" s="13" t="str">
        <x:f>IF(D1438=E1438,"PASS","FAIL")</x:f>
        <x:v>PASS</x:v>
      </x:c>
    </x:row>
    <x:row r="1439">
      <x:c r="A1439" s="13" t="str">
        <x:v>IN-8-01</x:v>
      </x:c>
      <x:c r="B1439" s="13" t="str">
        <x:v>Inventory</x:v>
      </x:c>
      <x:c r="C1439" s="13" t="str">
        <x:v>CT-CELL-4 root-one keystone closes</x:v>
      </x:c>
      <x:c r="D1439" s="13" t="b">
        <x:f>ABS(Inventory!D13-VLOOKUP(Inventory!B13,'Root Units'!$A$6:$K$29,5,FALSE)*Controls!$B$28)&lt;0.000001</x:f>
        <x:v>1</x:v>
      </x:c>
      <x:c r="E1439" s="58" t="b">
        <x:v>1</x:v>
      </x:c>
      <x:c r="F1439" s="13" t="str">
        <x:f>IF(D1439=E1439,"PASS","FAIL")</x:f>
        <x:v>PASS</x:v>
      </x:c>
    </x:row>
    <x:row r="1440">
      <x:c r="A1440" s="13" t="str">
        <x:v>IN-8-02</x:v>
      </x:c>
      <x:c r="B1440" s="13" t="str">
        <x:v>Inventory</x:v>
      </x:c>
      <x:c r="C1440" s="13" t="str">
        <x:v>CT-CELL-4 common feedstock closes</x:v>
      </x:c>
      <x:c r="D1440" s="13" t="b">
        <x:f>Inventory!F13&gt;0</x:f>
        <x:v>1</x:v>
      </x:c>
      <x:c r="E1440" s="58" t="b">
        <x:v>1</x:v>
      </x:c>
      <x:c r="F1440" s="13" t="str">
        <x:f>IF(D1440=E1440,"PASS","FAIL")</x:f>
        <x:v>PASS</x:v>
      </x:c>
    </x:row>
    <x:row r="1441">
      <x:c r="A1441" s="13" t="str">
        <x:v>IN-8-03</x:v>
      </x:c>
      <x:c r="B1441" s="13" t="str">
        <x:v>Inventory</x:v>
      </x:c>
      <x:c r="C1441" s="13" t="str">
        <x:v>CT-CELL-4 inventory adds</x:v>
      </x:c>
      <x:c r="D1441" s="13" t="b">
        <x:f>ABS(Inventory!G13-SUM(Inventory!D13:F13))&lt;0.000001</x:f>
        <x:v>1</x:v>
      </x:c>
      <x:c r="E1441" s="58" t="b">
        <x:v>1</x:v>
      </x:c>
      <x:c r="F1441" s="13" t="str">
        <x:f>IF(D1441=E1441,"PASS","FAIL")</x:f>
        <x:v>PASS</x:v>
      </x:c>
    </x:row>
    <x:row r="1442">
      <x:c r="A1442" s="13" t="str">
        <x:v>IN-8-04</x:v>
      </x:c>
      <x:c r="B1442" s="13" t="str">
        <x:v>Inventory</x:v>
      </x:c>
      <x:c r="C1442" s="13" t="str">
        <x:v>CT-CELL-4 planning passes</x:v>
      </x:c>
      <x:c r="D1442" s="13" t="str">
        <x:f>Inventory!M13</x:f>
        <x:v>PASS</x:v>
      </x:c>
      <x:c r="E1442" s="13" t="str">
        <x:v>PASS</x:v>
      </x:c>
      <x:c r="F1442" s="13" t="str">
        <x:f>IF(D1442=E1442,"PASS","FAIL")</x:f>
        <x:v>PASS</x:v>
      </x:c>
    </x:row>
    <x:row r="1443">
      <x:c r="A1443" s="13" t="str">
        <x:v>IN-8-05</x:v>
      </x:c>
      <x:c r="B1443" s="13" t="str">
        <x:v>Inventory</x:v>
      </x:c>
      <x:c r="C1443" s="13" t="str">
        <x:v>CT-CELL-4 evidence state empty</x:v>
      </x:c>
      <x:c r="D1443" s="13" t="str">
        <x:f>Inventory!N13</x:f>
        <x:v>SOURCE EMPTY</x:v>
      </x:c>
      <x:c r="E1443" s="13" t="str">
        <x:v>SOURCE EMPTY</x:v>
      </x:c>
      <x:c r="F1443" s="13" t="str">
        <x:f>IF(D1443=E1443,"PASS","FAIL")</x:f>
        <x:v>PASS</x:v>
      </x:c>
    </x:row>
    <x:row r="1444">
      <x:c r="A1444" s="13" t="str">
        <x:v>UI-8-01</x:v>
      </x:c>
      <x:c r="B1444" s="13" t="str">
        <x:v>Utility</x:v>
      </x:c>
      <x:c r="C1444" s="13" t="str">
        <x:v>CT-CELL-4 governing power is maximum</x:v>
      </x:c>
      <x:c r="D1444" s="13" t="b">
        <x:f>ABS('Utility Islands'!F13-MAX('Utility Islands'!D13:E13))&lt;0.000001</x:f>
        <x:v>1</x:v>
      </x:c>
      <x:c r="E1444" s="58" t="b">
        <x:v>1</x:v>
      </x:c>
      <x:c r="F1444" s="13" t="str">
        <x:f>IF(D1444=E1444,"PASS","FAIL")</x:f>
        <x:v>PASS</x:v>
      </x:c>
    </x:row>
    <x:row r="1445">
      <x:c r="A1445" s="13" t="str">
        <x:v>UI-8-02</x:v>
      </x:c>
      <x:c r="B1445" s="13" t="str">
        <x:v>Utility</x:v>
      </x:c>
      <x:c r="C1445" s="13" t="str">
        <x:v>CT-CELL-4 reserve factor</x:v>
      </x:c>
      <x:c r="D1445" s="13" t="b">
        <x:f>'Utility Islands'!G13&gt;=1.25</x:f>
        <x:v>1</x:v>
      </x:c>
      <x:c r="E1445" s="58" t="b">
        <x:v>1</x:v>
      </x:c>
      <x:c r="F1445" s="13" t="str">
        <x:f>IF(D1445=E1445,"PASS","FAIL")</x:f>
        <x:v>PASS</x:v>
      </x:c>
    </x:row>
    <x:row r="1446">
      <x:c r="A1446" s="13" t="str">
        <x:v>UI-8-03</x:v>
      </x:c>
      <x:c r="B1446" s="13" t="str">
        <x:v>Utility</x:v>
      </x:c>
      <x:c r="C1446" s="13" t="str">
        <x:v>CT-CELL-4 six modules</x:v>
      </x:c>
      <x:c r="D1446" s="13" t="n">
        <x:f>'Utility Islands'!I13</x:f>
        <x:v>6</x:v>
      </x:c>
      <x:c r="E1446" s="13" t="n">
        <x:v>6</x:v>
      </x:c>
      <x:c r="F1446" s="13" t="str">
        <x:f>IF(D1446=E1446,"PASS","FAIL")</x:f>
        <x:v>PASS</x:v>
      </x:c>
    </x:row>
    <x:row r="1447">
      <x:c r="A1447" s="13" t="str">
        <x:v>UI-8-04</x:v>
      </x:c>
      <x:c r="B1447" s="13" t="str">
        <x:v>Utility</x:v>
      </x:c>
      <x:c r="C1447" s="13" t="str">
        <x:v>CT-CELL-4 closes after module loss</x:v>
      </x:c>
      <x:c r="D1447" s="13" t="b">
        <x:f>'Utility Islands'!K13&gt;='Utility Islands'!F13*'Utility Islands'!G13</x:f>
        <x:v>1</x:v>
      </x:c>
      <x:c r="E1447" s="58" t="b">
        <x:v>1</x:v>
      </x:c>
      <x:c r="F1447" s="13" t="str">
        <x:f>IF(D1447=E1447,"PASS","FAIL")</x:f>
        <x:v>PASS</x:v>
      </x:c>
    </x:row>
    <x:row r="1448">
      <x:c r="A1448" s="13" t="str">
        <x:v>UI-8-05</x:v>
      </x:c>
      <x:c r="B1448" s="13" t="str">
        <x:v>Utility</x:v>
      </x:c>
      <x:c r="C1448" s="13" t="str">
        <x:v>CT-CELL-4 planning passes</x:v>
      </x:c>
      <x:c r="D1448" s="13" t="str">
        <x:f>'Utility Islands'!P13</x:f>
        <x:v>PASS</x:v>
      </x:c>
      <x:c r="E1448" s="13" t="str">
        <x:v>PASS</x:v>
      </x:c>
      <x:c r="F1448" s="13" t="str">
        <x:f>IF(D1448=E1448,"PASS","FAIL")</x:f>
        <x:v>PASS</x:v>
      </x:c>
    </x:row>
    <x:row r="1449">
      <x:c r="A1449" s="13" t="str">
        <x:v>UI-8-06</x:v>
      </x:c>
      <x:c r="B1449" s="13" t="str">
        <x:v>Utility</x:v>
      </x:c>
      <x:c r="C1449" s="13" t="str">
        <x:v>CT-CELL-4 evidence state empty</x:v>
      </x:c>
      <x:c r="D1449" s="13" t="str">
        <x:f>'Utility Islands'!Q13</x:f>
        <x:v>SOURCE EMPTY</x:v>
      </x:c>
      <x:c r="E1449" s="13" t="str">
        <x:v>SOURCE EMPTY</x:v>
      </x:c>
      <x:c r="F1449" s="13" t="str">
        <x:f>IF(D1449=E1449,"PASS","FAIL")</x:f>
        <x:v>PASS</x:v>
      </x:c>
    </x:row>
    <x:row r="1450">
      <x:c r="A1450" s="13" t="str">
        <x:v>WF-9-01</x:v>
      </x:c>
      <x:c r="B1450" s="13" t="str">
        <x:v>Workforce</x:v>
      </x:c>
      <x:c r="C1450" s="13" t="str">
        <x:v>HC-CELL-1 survives denial</x:v>
      </x:c>
      <x:c r="D1450" s="13" t="b">
        <x:f>Workforce!H14&gt;=Workforce!F14</x:f>
        <x:v>1</x:v>
      </x:c>
      <x:c r="E1450" s="58" t="b">
        <x:v>1</x:v>
      </x:c>
      <x:c r="F1450" s="13" t="str">
        <x:f>IF(D1450=E1450,"PASS","FAIL")</x:f>
        <x:v>PASS</x:v>
      </x:c>
    </x:row>
    <x:row r="1451">
      <x:c r="A1451" s="13" t="str">
        <x:v>WF-9-02</x:v>
      </x:c>
      <x:c r="B1451" s="13" t="str">
        <x:v>Workforce</x:v>
      </x:c>
      <x:c r="C1451" s="13" t="str">
        <x:v>HC-CELL-1 has three cohorts</x:v>
      </x:c>
      <x:c r="D1451" s="13" t="n">
        <x:f>Workforce!J14</x:f>
        <x:v>3</x:v>
      </x:c>
      <x:c r="E1451" s="13" t="n">
        <x:v>3</x:v>
      </x:c>
      <x:c r="F1451" s="13" t="str">
        <x:f>IF(D1451=E1451,"PASS","FAIL")</x:f>
        <x:v>PASS</x:v>
      </x:c>
    </x:row>
    <x:row r="1452">
      <x:c r="A1452" s="13" t="str">
        <x:v>WF-9-03</x:v>
      </x:c>
      <x:c r="B1452" s="13" t="str">
        <x:v>Workforce</x:v>
      </x:c>
      <x:c r="C1452" s="13" t="str">
        <x:v>HC-CELL-1 cohort cap</x:v>
      </x:c>
      <x:c r="D1452" s="13" t="b">
        <x:f>Workforce!K14&lt;=0.4</x:f>
        <x:v>1</x:v>
      </x:c>
      <x:c r="E1452" s="58" t="b">
        <x:v>1</x:v>
      </x:c>
      <x:c r="F1452" s="13" t="str">
        <x:f>IF(D1452=E1452,"PASS","FAIL")</x:f>
        <x:v>PASS</x:v>
      </x:c>
    </x:row>
    <x:row r="1453">
      <x:c r="A1453" s="13" t="str">
        <x:v>WF-9-04</x:v>
      </x:c>
      <x:c r="B1453" s="13" t="str">
        <x:v>Workforce</x:v>
      </x:c>
      <x:c r="C1453" s="13" t="str">
        <x:v>HC-CELL-1 planning passes</x:v>
      </x:c>
      <x:c r="D1453" s="13" t="str">
        <x:f>Workforce!O14</x:f>
        <x:v>PASS</x:v>
      </x:c>
      <x:c r="E1453" s="13" t="str">
        <x:v>PASS</x:v>
      </x:c>
      <x:c r="F1453" s="13" t="str">
        <x:f>IF(D1453=E1453,"PASS","FAIL")</x:f>
        <x:v>PASS</x:v>
      </x:c>
    </x:row>
    <x:row r="1454">
      <x:c r="A1454" s="13" t="str">
        <x:v>WF-9-05</x:v>
      </x:c>
      <x:c r="B1454" s="13" t="str">
        <x:v>Workforce</x:v>
      </x:c>
      <x:c r="C1454" s="13" t="str">
        <x:v>HC-CELL-1 evidence state empty</x:v>
      </x:c>
      <x:c r="D1454" s="13" t="str">
        <x:f>Workforce!P14</x:f>
        <x:v>SOURCE EMPTY</x:v>
      </x:c>
      <x:c r="E1454" s="13" t="str">
        <x:v>SOURCE EMPTY</x:v>
      </x:c>
      <x:c r="F1454" s="13" t="str">
        <x:f>IF(D1454=E1454,"PASS","FAIL")</x:f>
        <x:v>PASS</x:v>
      </x:c>
    </x:row>
    <x:row r="1455">
      <x:c r="A1455" s="13" t="str">
        <x:v>IN-9-01</x:v>
      </x:c>
      <x:c r="B1455" s="13" t="str">
        <x:v>Inventory</x:v>
      </x:c>
      <x:c r="C1455" s="13" t="str">
        <x:v>HC-CELL-1 root-one keystone closes</x:v>
      </x:c>
      <x:c r="D1455" s="13" t="b">
        <x:f>ABS(Inventory!D14-VLOOKUP(Inventory!B14,'Root Units'!$A$6:$K$29,5,FALSE)*Controls!$B$28)&lt;0.000001</x:f>
        <x:v>1</x:v>
      </x:c>
      <x:c r="E1455" s="58" t="b">
        <x:v>1</x:v>
      </x:c>
      <x:c r="F1455" s="13" t="str">
        <x:f>IF(D1455=E1455,"PASS","FAIL")</x:f>
        <x:v>PASS</x:v>
      </x:c>
    </x:row>
    <x:row r="1456">
      <x:c r="A1456" s="13" t="str">
        <x:v>IN-9-02</x:v>
      </x:c>
      <x:c r="B1456" s="13" t="str">
        <x:v>Inventory</x:v>
      </x:c>
      <x:c r="C1456" s="13" t="str">
        <x:v>HC-CELL-1 common feedstock closes</x:v>
      </x:c>
      <x:c r="D1456" s="13" t="b">
        <x:f>Inventory!F14&gt;0</x:f>
        <x:v>1</x:v>
      </x:c>
      <x:c r="E1456" s="58" t="b">
        <x:v>1</x:v>
      </x:c>
      <x:c r="F1456" s="13" t="str">
        <x:f>IF(D1456=E1456,"PASS","FAIL")</x:f>
        <x:v>PASS</x:v>
      </x:c>
    </x:row>
    <x:row r="1457">
      <x:c r="A1457" s="13" t="str">
        <x:v>IN-9-03</x:v>
      </x:c>
      <x:c r="B1457" s="13" t="str">
        <x:v>Inventory</x:v>
      </x:c>
      <x:c r="C1457" s="13" t="str">
        <x:v>HC-CELL-1 inventory adds</x:v>
      </x:c>
      <x:c r="D1457" s="13" t="b">
        <x:f>ABS(Inventory!G14-SUM(Inventory!D14:F14))&lt;0.000001</x:f>
        <x:v>1</x:v>
      </x:c>
      <x:c r="E1457" s="58" t="b">
        <x:v>1</x:v>
      </x:c>
      <x:c r="F1457" s="13" t="str">
        <x:f>IF(D1457=E1457,"PASS","FAIL")</x:f>
        <x:v>PASS</x:v>
      </x:c>
    </x:row>
    <x:row r="1458">
      <x:c r="A1458" s="13" t="str">
        <x:v>IN-9-04</x:v>
      </x:c>
      <x:c r="B1458" s="13" t="str">
        <x:v>Inventory</x:v>
      </x:c>
      <x:c r="C1458" s="13" t="str">
        <x:v>HC-CELL-1 planning passes</x:v>
      </x:c>
      <x:c r="D1458" s="13" t="str">
        <x:f>Inventory!M14</x:f>
        <x:v>PASS</x:v>
      </x:c>
      <x:c r="E1458" s="13" t="str">
        <x:v>PASS</x:v>
      </x:c>
      <x:c r="F1458" s="13" t="str">
        <x:f>IF(D1458=E1458,"PASS","FAIL")</x:f>
        <x:v>PASS</x:v>
      </x:c>
    </x:row>
    <x:row r="1459">
      <x:c r="A1459" s="13" t="str">
        <x:v>IN-9-05</x:v>
      </x:c>
      <x:c r="B1459" s="13" t="str">
        <x:v>Inventory</x:v>
      </x:c>
      <x:c r="C1459" s="13" t="str">
        <x:v>HC-CELL-1 evidence state empty</x:v>
      </x:c>
      <x:c r="D1459" s="13" t="str">
        <x:f>Inventory!N14</x:f>
        <x:v>SOURCE EMPTY</x:v>
      </x:c>
      <x:c r="E1459" s="13" t="str">
        <x:v>SOURCE EMPTY</x:v>
      </x:c>
      <x:c r="F1459" s="13" t="str">
        <x:f>IF(D1459=E1459,"PASS","FAIL")</x:f>
        <x:v>PASS</x:v>
      </x:c>
    </x:row>
    <x:row r="1460">
      <x:c r="A1460" s="13" t="str">
        <x:v>UI-9-01</x:v>
      </x:c>
      <x:c r="B1460" s="13" t="str">
        <x:v>Utility</x:v>
      </x:c>
      <x:c r="C1460" s="13" t="str">
        <x:v>HC-CELL-1 governing power is maximum</x:v>
      </x:c>
      <x:c r="D1460" s="13" t="b">
        <x:f>ABS('Utility Islands'!F14-MAX('Utility Islands'!D14:E14))&lt;0.000001</x:f>
        <x:v>1</x:v>
      </x:c>
      <x:c r="E1460" s="58" t="b">
        <x:v>1</x:v>
      </x:c>
      <x:c r="F1460" s="13" t="str">
        <x:f>IF(D1460=E1460,"PASS","FAIL")</x:f>
        <x:v>PASS</x:v>
      </x:c>
    </x:row>
    <x:row r="1461">
      <x:c r="A1461" s="13" t="str">
        <x:v>UI-9-02</x:v>
      </x:c>
      <x:c r="B1461" s="13" t="str">
        <x:v>Utility</x:v>
      </x:c>
      <x:c r="C1461" s="13" t="str">
        <x:v>HC-CELL-1 reserve factor</x:v>
      </x:c>
      <x:c r="D1461" s="13" t="b">
        <x:f>'Utility Islands'!G14&gt;=1.25</x:f>
        <x:v>1</x:v>
      </x:c>
      <x:c r="E1461" s="58" t="b">
        <x:v>1</x:v>
      </x:c>
      <x:c r="F1461" s="13" t="str">
        <x:f>IF(D1461=E1461,"PASS","FAIL")</x:f>
        <x:v>PASS</x:v>
      </x:c>
    </x:row>
    <x:row r="1462">
      <x:c r="A1462" s="13" t="str">
        <x:v>UI-9-03</x:v>
      </x:c>
      <x:c r="B1462" s="13" t="str">
        <x:v>Utility</x:v>
      </x:c>
      <x:c r="C1462" s="13" t="str">
        <x:v>HC-CELL-1 six modules</x:v>
      </x:c>
      <x:c r="D1462" s="13" t="n">
        <x:f>'Utility Islands'!I14</x:f>
        <x:v>6</x:v>
      </x:c>
      <x:c r="E1462" s="13" t="n">
        <x:v>6</x:v>
      </x:c>
      <x:c r="F1462" s="13" t="str">
        <x:f>IF(D1462=E1462,"PASS","FAIL")</x:f>
        <x:v>PASS</x:v>
      </x:c>
    </x:row>
    <x:row r="1463">
      <x:c r="A1463" s="13" t="str">
        <x:v>UI-9-04</x:v>
      </x:c>
      <x:c r="B1463" s="13" t="str">
        <x:v>Utility</x:v>
      </x:c>
      <x:c r="C1463" s="13" t="str">
        <x:v>HC-CELL-1 closes after module loss</x:v>
      </x:c>
      <x:c r="D1463" s="13" t="b">
        <x:f>'Utility Islands'!K14&gt;='Utility Islands'!F14*'Utility Islands'!G14</x:f>
        <x:v>1</x:v>
      </x:c>
      <x:c r="E1463" s="58" t="b">
        <x:v>1</x:v>
      </x:c>
      <x:c r="F1463" s="13" t="str">
        <x:f>IF(D1463=E1463,"PASS","FAIL")</x:f>
        <x:v>PASS</x:v>
      </x:c>
    </x:row>
    <x:row r="1464">
      <x:c r="A1464" s="13" t="str">
        <x:v>UI-9-05</x:v>
      </x:c>
      <x:c r="B1464" s="13" t="str">
        <x:v>Utility</x:v>
      </x:c>
      <x:c r="C1464" s="13" t="str">
        <x:v>HC-CELL-1 planning passes</x:v>
      </x:c>
      <x:c r="D1464" s="13" t="str">
        <x:f>'Utility Islands'!P14</x:f>
        <x:v>PASS</x:v>
      </x:c>
      <x:c r="E1464" s="13" t="str">
        <x:v>PASS</x:v>
      </x:c>
      <x:c r="F1464" s="13" t="str">
        <x:f>IF(D1464=E1464,"PASS","FAIL")</x:f>
        <x:v>PASS</x:v>
      </x:c>
    </x:row>
    <x:row r="1465">
      <x:c r="A1465" s="13" t="str">
        <x:v>UI-9-06</x:v>
      </x:c>
      <x:c r="B1465" s="13" t="str">
        <x:v>Utility</x:v>
      </x:c>
      <x:c r="C1465" s="13" t="str">
        <x:v>HC-CELL-1 evidence state empty</x:v>
      </x:c>
      <x:c r="D1465" s="13" t="str">
        <x:f>'Utility Islands'!Q14</x:f>
        <x:v>SOURCE EMPTY</x:v>
      </x:c>
      <x:c r="E1465" s="13" t="str">
        <x:v>SOURCE EMPTY</x:v>
      </x:c>
      <x:c r="F1465" s="13" t="str">
        <x:f>IF(D1465=E1465,"PASS","FAIL")</x:f>
        <x:v>PASS</x:v>
      </x:c>
    </x:row>
    <x:row r="1466">
      <x:c r="A1466" s="13" t="str">
        <x:v>WF-10-01</x:v>
      </x:c>
      <x:c r="B1466" s="13" t="str">
        <x:v>Workforce</x:v>
      </x:c>
      <x:c r="C1466" s="13" t="str">
        <x:v>HC-CELL-2 survives denial</x:v>
      </x:c>
      <x:c r="D1466" s="13" t="b">
        <x:f>Workforce!H15&gt;=Workforce!F15</x:f>
        <x:v>1</x:v>
      </x:c>
      <x:c r="E1466" s="58" t="b">
        <x:v>1</x:v>
      </x:c>
      <x:c r="F1466" s="13" t="str">
        <x:f>IF(D1466=E1466,"PASS","FAIL")</x:f>
        <x:v>PASS</x:v>
      </x:c>
    </x:row>
    <x:row r="1467">
      <x:c r="A1467" s="13" t="str">
        <x:v>WF-10-02</x:v>
      </x:c>
      <x:c r="B1467" s="13" t="str">
        <x:v>Workforce</x:v>
      </x:c>
      <x:c r="C1467" s="13" t="str">
        <x:v>HC-CELL-2 has three cohorts</x:v>
      </x:c>
      <x:c r="D1467" s="13" t="n">
        <x:f>Workforce!J15</x:f>
        <x:v>3</x:v>
      </x:c>
      <x:c r="E1467" s="13" t="n">
        <x:v>3</x:v>
      </x:c>
      <x:c r="F1467" s="13" t="str">
        <x:f>IF(D1467=E1467,"PASS","FAIL")</x:f>
        <x:v>PASS</x:v>
      </x:c>
    </x:row>
    <x:row r="1468">
      <x:c r="A1468" s="13" t="str">
        <x:v>WF-10-03</x:v>
      </x:c>
      <x:c r="B1468" s="13" t="str">
        <x:v>Workforce</x:v>
      </x:c>
      <x:c r="C1468" s="13" t="str">
        <x:v>HC-CELL-2 cohort cap</x:v>
      </x:c>
      <x:c r="D1468" s="13" t="b">
        <x:f>Workforce!K15&lt;=0.4</x:f>
        <x:v>1</x:v>
      </x:c>
      <x:c r="E1468" s="58" t="b">
        <x:v>1</x:v>
      </x:c>
      <x:c r="F1468" s="13" t="str">
        <x:f>IF(D1468=E1468,"PASS","FAIL")</x:f>
        <x:v>PASS</x:v>
      </x:c>
    </x:row>
    <x:row r="1469">
      <x:c r="A1469" s="13" t="str">
        <x:v>WF-10-04</x:v>
      </x:c>
      <x:c r="B1469" s="13" t="str">
        <x:v>Workforce</x:v>
      </x:c>
      <x:c r="C1469" s="13" t="str">
        <x:v>HC-CELL-2 planning passes</x:v>
      </x:c>
      <x:c r="D1469" s="13" t="str">
        <x:f>Workforce!O15</x:f>
        <x:v>PASS</x:v>
      </x:c>
      <x:c r="E1469" s="13" t="str">
        <x:v>PASS</x:v>
      </x:c>
      <x:c r="F1469" s="13" t="str">
        <x:f>IF(D1469=E1469,"PASS","FAIL")</x:f>
        <x:v>PASS</x:v>
      </x:c>
    </x:row>
    <x:row r="1470">
      <x:c r="A1470" s="13" t="str">
        <x:v>WF-10-05</x:v>
      </x:c>
      <x:c r="B1470" s="13" t="str">
        <x:v>Workforce</x:v>
      </x:c>
      <x:c r="C1470" s="13" t="str">
        <x:v>HC-CELL-2 evidence state empty</x:v>
      </x:c>
      <x:c r="D1470" s="13" t="str">
        <x:f>Workforce!P15</x:f>
        <x:v>SOURCE EMPTY</x:v>
      </x:c>
      <x:c r="E1470" s="13" t="str">
        <x:v>SOURCE EMPTY</x:v>
      </x:c>
      <x:c r="F1470" s="13" t="str">
        <x:f>IF(D1470=E1470,"PASS","FAIL")</x:f>
        <x:v>PASS</x:v>
      </x:c>
    </x:row>
    <x:row r="1471">
      <x:c r="A1471" s="13" t="str">
        <x:v>IN-10-01</x:v>
      </x:c>
      <x:c r="B1471" s="13" t="str">
        <x:v>Inventory</x:v>
      </x:c>
      <x:c r="C1471" s="13" t="str">
        <x:v>HC-CELL-2 root-one keystone closes</x:v>
      </x:c>
      <x:c r="D1471" s="13" t="b">
        <x:f>ABS(Inventory!D15-VLOOKUP(Inventory!B15,'Root Units'!$A$6:$K$29,5,FALSE)*Controls!$B$28)&lt;0.000001</x:f>
        <x:v>1</x:v>
      </x:c>
      <x:c r="E1471" s="58" t="b">
        <x:v>1</x:v>
      </x:c>
      <x:c r="F1471" s="13" t="str">
        <x:f>IF(D1471=E1471,"PASS","FAIL")</x:f>
        <x:v>PASS</x:v>
      </x:c>
    </x:row>
    <x:row r="1472">
      <x:c r="A1472" s="13" t="str">
        <x:v>IN-10-02</x:v>
      </x:c>
      <x:c r="B1472" s="13" t="str">
        <x:v>Inventory</x:v>
      </x:c>
      <x:c r="C1472" s="13" t="str">
        <x:v>HC-CELL-2 common feedstock closes</x:v>
      </x:c>
      <x:c r="D1472" s="13" t="b">
        <x:f>Inventory!F15&gt;0</x:f>
        <x:v>1</x:v>
      </x:c>
      <x:c r="E1472" s="58" t="b">
        <x:v>1</x:v>
      </x:c>
      <x:c r="F1472" s="13" t="str">
        <x:f>IF(D1472=E1472,"PASS","FAIL")</x:f>
        <x:v>PASS</x:v>
      </x:c>
    </x:row>
    <x:row r="1473">
      <x:c r="A1473" s="13" t="str">
        <x:v>IN-10-03</x:v>
      </x:c>
      <x:c r="B1473" s="13" t="str">
        <x:v>Inventory</x:v>
      </x:c>
      <x:c r="C1473" s="13" t="str">
        <x:v>HC-CELL-2 inventory adds</x:v>
      </x:c>
      <x:c r="D1473" s="13" t="b">
        <x:f>ABS(Inventory!G15-SUM(Inventory!D15:F15))&lt;0.000001</x:f>
        <x:v>1</x:v>
      </x:c>
      <x:c r="E1473" s="58" t="b">
        <x:v>1</x:v>
      </x:c>
      <x:c r="F1473" s="13" t="str">
        <x:f>IF(D1473=E1473,"PASS","FAIL")</x:f>
        <x:v>PASS</x:v>
      </x:c>
    </x:row>
    <x:row r="1474">
      <x:c r="A1474" s="13" t="str">
        <x:v>IN-10-04</x:v>
      </x:c>
      <x:c r="B1474" s="13" t="str">
        <x:v>Inventory</x:v>
      </x:c>
      <x:c r="C1474" s="13" t="str">
        <x:v>HC-CELL-2 planning passes</x:v>
      </x:c>
      <x:c r="D1474" s="13" t="str">
        <x:f>Inventory!M15</x:f>
        <x:v>PASS</x:v>
      </x:c>
      <x:c r="E1474" s="13" t="str">
        <x:v>PASS</x:v>
      </x:c>
      <x:c r="F1474" s="13" t="str">
        <x:f>IF(D1474=E1474,"PASS","FAIL")</x:f>
        <x:v>PASS</x:v>
      </x:c>
    </x:row>
    <x:row r="1475">
      <x:c r="A1475" s="13" t="str">
        <x:v>IN-10-05</x:v>
      </x:c>
      <x:c r="B1475" s="13" t="str">
        <x:v>Inventory</x:v>
      </x:c>
      <x:c r="C1475" s="13" t="str">
        <x:v>HC-CELL-2 evidence state empty</x:v>
      </x:c>
      <x:c r="D1475" s="13" t="str">
        <x:f>Inventory!N15</x:f>
        <x:v>SOURCE EMPTY</x:v>
      </x:c>
      <x:c r="E1475" s="13" t="str">
        <x:v>SOURCE EMPTY</x:v>
      </x:c>
      <x:c r="F1475" s="13" t="str">
        <x:f>IF(D1475=E1475,"PASS","FAIL")</x:f>
        <x:v>PASS</x:v>
      </x:c>
    </x:row>
    <x:row r="1476">
      <x:c r="A1476" s="13" t="str">
        <x:v>UI-10-01</x:v>
      </x:c>
      <x:c r="B1476" s="13" t="str">
        <x:v>Utility</x:v>
      </x:c>
      <x:c r="C1476" s="13" t="str">
        <x:v>HC-CELL-2 governing power is maximum</x:v>
      </x:c>
      <x:c r="D1476" s="13" t="b">
        <x:f>ABS('Utility Islands'!F15-MAX('Utility Islands'!D15:E15))&lt;0.000001</x:f>
        <x:v>1</x:v>
      </x:c>
      <x:c r="E1476" s="58" t="b">
        <x:v>1</x:v>
      </x:c>
      <x:c r="F1476" s="13" t="str">
        <x:f>IF(D1476=E1476,"PASS","FAIL")</x:f>
        <x:v>PASS</x:v>
      </x:c>
    </x:row>
    <x:row r="1477">
      <x:c r="A1477" s="13" t="str">
        <x:v>UI-10-02</x:v>
      </x:c>
      <x:c r="B1477" s="13" t="str">
        <x:v>Utility</x:v>
      </x:c>
      <x:c r="C1477" s="13" t="str">
        <x:v>HC-CELL-2 reserve factor</x:v>
      </x:c>
      <x:c r="D1477" s="13" t="b">
        <x:f>'Utility Islands'!G15&gt;=1.25</x:f>
        <x:v>1</x:v>
      </x:c>
      <x:c r="E1477" s="58" t="b">
        <x:v>1</x:v>
      </x:c>
      <x:c r="F1477" s="13" t="str">
        <x:f>IF(D1477=E1477,"PASS","FAIL")</x:f>
        <x:v>PASS</x:v>
      </x:c>
    </x:row>
    <x:row r="1478">
      <x:c r="A1478" s="13" t="str">
        <x:v>UI-10-03</x:v>
      </x:c>
      <x:c r="B1478" s="13" t="str">
        <x:v>Utility</x:v>
      </x:c>
      <x:c r="C1478" s="13" t="str">
        <x:v>HC-CELL-2 six modules</x:v>
      </x:c>
      <x:c r="D1478" s="13" t="n">
        <x:f>'Utility Islands'!I15</x:f>
        <x:v>6</x:v>
      </x:c>
      <x:c r="E1478" s="13" t="n">
        <x:v>6</x:v>
      </x:c>
      <x:c r="F1478" s="13" t="str">
        <x:f>IF(D1478=E1478,"PASS","FAIL")</x:f>
        <x:v>PASS</x:v>
      </x:c>
    </x:row>
    <x:row r="1479">
      <x:c r="A1479" s="13" t="str">
        <x:v>UI-10-04</x:v>
      </x:c>
      <x:c r="B1479" s="13" t="str">
        <x:v>Utility</x:v>
      </x:c>
      <x:c r="C1479" s="13" t="str">
        <x:v>HC-CELL-2 closes after module loss</x:v>
      </x:c>
      <x:c r="D1479" s="13" t="b">
        <x:f>'Utility Islands'!K15&gt;='Utility Islands'!F15*'Utility Islands'!G15</x:f>
        <x:v>1</x:v>
      </x:c>
      <x:c r="E1479" s="58" t="b">
        <x:v>1</x:v>
      </x:c>
      <x:c r="F1479" s="13" t="str">
        <x:f>IF(D1479=E1479,"PASS","FAIL")</x:f>
        <x:v>PASS</x:v>
      </x:c>
    </x:row>
    <x:row r="1480">
      <x:c r="A1480" s="13" t="str">
        <x:v>UI-10-05</x:v>
      </x:c>
      <x:c r="B1480" s="13" t="str">
        <x:v>Utility</x:v>
      </x:c>
      <x:c r="C1480" s="13" t="str">
        <x:v>HC-CELL-2 planning passes</x:v>
      </x:c>
      <x:c r="D1480" s="13" t="str">
        <x:f>'Utility Islands'!P15</x:f>
        <x:v>PASS</x:v>
      </x:c>
      <x:c r="E1480" s="13" t="str">
        <x:v>PASS</x:v>
      </x:c>
      <x:c r="F1480" s="13" t="str">
        <x:f>IF(D1480=E1480,"PASS","FAIL")</x:f>
        <x:v>PASS</x:v>
      </x:c>
    </x:row>
    <x:row r="1481">
      <x:c r="A1481" s="13" t="str">
        <x:v>UI-10-06</x:v>
      </x:c>
      <x:c r="B1481" s="13" t="str">
        <x:v>Utility</x:v>
      </x:c>
      <x:c r="C1481" s="13" t="str">
        <x:v>HC-CELL-2 evidence state empty</x:v>
      </x:c>
      <x:c r="D1481" s="13" t="str">
        <x:f>'Utility Islands'!Q15</x:f>
        <x:v>SOURCE EMPTY</x:v>
      </x:c>
      <x:c r="E1481" s="13" t="str">
        <x:v>SOURCE EMPTY</x:v>
      </x:c>
      <x:c r="F1481" s="13" t="str">
        <x:f>IF(D1481=E1481,"PASS","FAIL")</x:f>
        <x:v>PASS</x:v>
      </x:c>
    </x:row>
    <x:row r="1482">
      <x:c r="A1482" s="13" t="str">
        <x:v>WF-11-01</x:v>
      </x:c>
      <x:c r="B1482" s="13" t="str">
        <x:v>Workforce</x:v>
      </x:c>
      <x:c r="C1482" s="13" t="str">
        <x:v>HC-CELL-3 survives denial</x:v>
      </x:c>
      <x:c r="D1482" s="13" t="b">
        <x:f>Workforce!H16&gt;=Workforce!F16</x:f>
        <x:v>1</x:v>
      </x:c>
      <x:c r="E1482" s="58" t="b">
        <x:v>1</x:v>
      </x:c>
      <x:c r="F1482" s="13" t="str">
        <x:f>IF(D1482=E1482,"PASS","FAIL")</x:f>
        <x:v>PASS</x:v>
      </x:c>
    </x:row>
    <x:row r="1483">
      <x:c r="A1483" s="13" t="str">
        <x:v>WF-11-02</x:v>
      </x:c>
      <x:c r="B1483" s="13" t="str">
        <x:v>Workforce</x:v>
      </x:c>
      <x:c r="C1483" s="13" t="str">
        <x:v>HC-CELL-3 has three cohorts</x:v>
      </x:c>
      <x:c r="D1483" s="13" t="n">
        <x:f>Workforce!J16</x:f>
        <x:v>3</x:v>
      </x:c>
      <x:c r="E1483" s="13" t="n">
        <x:v>3</x:v>
      </x:c>
      <x:c r="F1483" s="13" t="str">
        <x:f>IF(D1483=E1483,"PASS","FAIL")</x:f>
        <x:v>PASS</x:v>
      </x:c>
    </x:row>
    <x:row r="1484">
      <x:c r="A1484" s="13" t="str">
        <x:v>WF-11-03</x:v>
      </x:c>
      <x:c r="B1484" s="13" t="str">
        <x:v>Workforce</x:v>
      </x:c>
      <x:c r="C1484" s="13" t="str">
        <x:v>HC-CELL-3 cohort cap</x:v>
      </x:c>
      <x:c r="D1484" s="13" t="b">
        <x:f>Workforce!K16&lt;=0.4</x:f>
        <x:v>1</x:v>
      </x:c>
      <x:c r="E1484" s="58" t="b">
        <x:v>1</x:v>
      </x:c>
      <x:c r="F1484" s="13" t="str">
        <x:f>IF(D1484=E1484,"PASS","FAIL")</x:f>
        <x:v>PASS</x:v>
      </x:c>
    </x:row>
    <x:row r="1485">
      <x:c r="A1485" s="13" t="str">
        <x:v>WF-11-04</x:v>
      </x:c>
      <x:c r="B1485" s="13" t="str">
        <x:v>Workforce</x:v>
      </x:c>
      <x:c r="C1485" s="13" t="str">
        <x:v>HC-CELL-3 planning passes</x:v>
      </x:c>
      <x:c r="D1485" s="13" t="str">
        <x:f>Workforce!O16</x:f>
        <x:v>PASS</x:v>
      </x:c>
      <x:c r="E1485" s="13" t="str">
        <x:v>PASS</x:v>
      </x:c>
      <x:c r="F1485" s="13" t="str">
        <x:f>IF(D1485=E1485,"PASS","FAIL")</x:f>
        <x:v>PASS</x:v>
      </x:c>
    </x:row>
    <x:row r="1486">
      <x:c r="A1486" s="13" t="str">
        <x:v>WF-11-05</x:v>
      </x:c>
      <x:c r="B1486" s="13" t="str">
        <x:v>Workforce</x:v>
      </x:c>
      <x:c r="C1486" s="13" t="str">
        <x:v>HC-CELL-3 evidence state empty</x:v>
      </x:c>
      <x:c r="D1486" s="13" t="str">
        <x:f>Workforce!P16</x:f>
        <x:v>SOURCE EMPTY</x:v>
      </x:c>
      <x:c r="E1486" s="13" t="str">
        <x:v>SOURCE EMPTY</x:v>
      </x:c>
      <x:c r="F1486" s="13" t="str">
        <x:f>IF(D1486=E1486,"PASS","FAIL")</x:f>
        <x:v>PASS</x:v>
      </x:c>
    </x:row>
    <x:row r="1487">
      <x:c r="A1487" s="13" t="str">
        <x:v>IN-11-01</x:v>
      </x:c>
      <x:c r="B1487" s="13" t="str">
        <x:v>Inventory</x:v>
      </x:c>
      <x:c r="C1487" s="13" t="str">
        <x:v>HC-CELL-3 root-one keystone closes</x:v>
      </x:c>
      <x:c r="D1487" s="13" t="b">
        <x:f>ABS(Inventory!D16-VLOOKUP(Inventory!B16,'Root Units'!$A$6:$K$29,5,FALSE)*Controls!$B$28)&lt;0.000001</x:f>
        <x:v>1</x:v>
      </x:c>
      <x:c r="E1487" s="58" t="b">
        <x:v>1</x:v>
      </x:c>
      <x:c r="F1487" s="13" t="str">
        <x:f>IF(D1487=E1487,"PASS","FAIL")</x:f>
        <x:v>PASS</x:v>
      </x:c>
    </x:row>
    <x:row r="1488">
      <x:c r="A1488" s="13" t="str">
        <x:v>IN-11-02</x:v>
      </x:c>
      <x:c r="B1488" s="13" t="str">
        <x:v>Inventory</x:v>
      </x:c>
      <x:c r="C1488" s="13" t="str">
        <x:v>HC-CELL-3 common feedstock closes</x:v>
      </x:c>
      <x:c r="D1488" s="13" t="b">
        <x:f>Inventory!F16&gt;0</x:f>
        <x:v>1</x:v>
      </x:c>
      <x:c r="E1488" s="58" t="b">
        <x:v>1</x:v>
      </x:c>
      <x:c r="F1488" s="13" t="str">
        <x:f>IF(D1488=E1488,"PASS","FAIL")</x:f>
        <x:v>PASS</x:v>
      </x:c>
    </x:row>
    <x:row r="1489">
      <x:c r="A1489" s="13" t="str">
        <x:v>IN-11-03</x:v>
      </x:c>
      <x:c r="B1489" s="13" t="str">
        <x:v>Inventory</x:v>
      </x:c>
      <x:c r="C1489" s="13" t="str">
        <x:v>HC-CELL-3 inventory adds</x:v>
      </x:c>
      <x:c r="D1489" s="13" t="b">
        <x:f>ABS(Inventory!G16-SUM(Inventory!D16:F16))&lt;0.000001</x:f>
        <x:v>1</x:v>
      </x:c>
      <x:c r="E1489" s="58" t="b">
        <x:v>1</x:v>
      </x:c>
      <x:c r="F1489" s="13" t="str">
        <x:f>IF(D1489=E1489,"PASS","FAIL")</x:f>
        <x:v>PASS</x:v>
      </x:c>
    </x:row>
    <x:row r="1490">
      <x:c r="A1490" s="13" t="str">
        <x:v>IN-11-04</x:v>
      </x:c>
      <x:c r="B1490" s="13" t="str">
        <x:v>Inventory</x:v>
      </x:c>
      <x:c r="C1490" s="13" t="str">
        <x:v>HC-CELL-3 planning passes</x:v>
      </x:c>
      <x:c r="D1490" s="13" t="str">
        <x:f>Inventory!M16</x:f>
        <x:v>PASS</x:v>
      </x:c>
      <x:c r="E1490" s="13" t="str">
        <x:v>PASS</x:v>
      </x:c>
      <x:c r="F1490" s="13" t="str">
        <x:f>IF(D1490=E1490,"PASS","FAIL")</x:f>
        <x:v>PASS</x:v>
      </x:c>
    </x:row>
    <x:row r="1491">
      <x:c r="A1491" s="13" t="str">
        <x:v>IN-11-05</x:v>
      </x:c>
      <x:c r="B1491" s="13" t="str">
        <x:v>Inventory</x:v>
      </x:c>
      <x:c r="C1491" s="13" t="str">
        <x:v>HC-CELL-3 evidence state empty</x:v>
      </x:c>
      <x:c r="D1491" s="13" t="str">
        <x:f>Inventory!N16</x:f>
        <x:v>SOURCE EMPTY</x:v>
      </x:c>
      <x:c r="E1491" s="13" t="str">
        <x:v>SOURCE EMPTY</x:v>
      </x:c>
      <x:c r="F1491" s="13" t="str">
        <x:f>IF(D1491=E1491,"PASS","FAIL")</x:f>
        <x:v>PASS</x:v>
      </x:c>
    </x:row>
    <x:row r="1492">
      <x:c r="A1492" s="13" t="str">
        <x:v>UI-11-01</x:v>
      </x:c>
      <x:c r="B1492" s="13" t="str">
        <x:v>Utility</x:v>
      </x:c>
      <x:c r="C1492" s="13" t="str">
        <x:v>HC-CELL-3 governing power is maximum</x:v>
      </x:c>
      <x:c r="D1492" s="13" t="b">
        <x:f>ABS('Utility Islands'!F16-MAX('Utility Islands'!D16:E16))&lt;0.000001</x:f>
        <x:v>1</x:v>
      </x:c>
      <x:c r="E1492" s="58" t="b">
        <x:v>1</x:v>
      </x:c>
      <x:c r="F1492" s="13" t="str">
        <x:f>IF(D1492=E1492,"PASS","FAIL")</x:f>
        <x:v>PASS</x:v>
      </x:c>
    </x:row>
    <x:row r="1493">
      <x:c r="A1493" s="13" t="str">
        <x:v>UI-11-02</x:v>
      </x:c>
      <x:c r="B1493" s="13" t="str">
        <x:v>Utility</x:v>
      </x:c>
      <x:c r="C1493" s="13" t="str">
        <x:v>HC-CELL-3 reserve factor</x:v>
      </x:c>
      <x:c r="D1493" s="13" t="b">
        <x:f>'Utility Islands'!G16&gt;=1.25</x:f>
        <x:v>1</x:v>
      </x:c>
      <x:c r="E1493" s="58" t="b">
        <x:v>1</x:v>
      </x:c>
      <x:c r="F1493" s="13" t="str">
        <x:f>IF(D1493=E1493,"PASS","FAIL")</x:f>
        <x:v>PASS</x:v>
      </x:c>
    </x:row>
    <x:row r="1494">
      <x:c r="A1494" s="13" t="str">
        <x:v>UI-11-03</x:v>
      </x:c>
      <x:c r="B1494" s="13" t="str">
        <x:v>Utility</x:v>
      </x:c>
      <x:c r="C1494" s="13" t="str">
        <x:v>HC-CELL-3 six modules</x:v>
      </x:c>
      <x:c r="D1494" s="13" t="n">
        <x:f>'Utility Islands'!I16</x:f>
        <x:v>6</x:v>
      </x:c>
      <x:c r="E1494" s="13" t="n">
        <x:v>6</x:v>
      </x:c>
      <x:c r="F1494" s="13" t="str">
        <x:f>IF(D1494=E1494,"PASS","FAIL")</x:f>
        <x:v>PASS</x:v>
      </x:c>
    </x:row>
    <x:row r="1495">
      <x:c r="A1495" s="13" t="str">
        <x:v>UI-11-04</x:v>
      </x:c>
      <x:c r="B1495" s="13" t="str">
        <x:v>Utility</x:v>
      </x:c>
      <x:c r="C1495" s="13" t="str">
        <x:v>HC-CELL-3 closes after module loss</x:v>
      </x:c>
      <x:c r="D1495" s="13" t="b">
        <x:f>'Utility Islands'!K16&gt;='Utility Islands'!F16*'Utility Islands'!G16</x:f>
        <x:v>1</x:v>
      </x:c>
      <x:c r="E1495" s="58" t="b">
        <x:v>1</x:v>
      </x:c>
      <x:c r="F1495" s="13" t="str">
        <x:f>IF(D1495=E1495,"PASS","FAIL")</x:f>
        <x:v>PASS</x:v>
      </x:c>
    </x:row>
    <x:row r="1496">
      <x:c r="A1496" s="13" t="str">
        <x:v>UI-11-05</x:v>
      </x:c>
      <x:c r="B1496" s="13" t="str">
        <x:v>Utility</x:v>
      </x:c>
      <x:c r="C1496" s="13" t="str">
        <x:v>HC-CELL-3 planning passes</x:v>
      </x:c>
      <x:c r="D1496" s="13" t="str">
        <x:f>'Utility Islands'!P16</x:f>
        <x:v>PASS</x:v>
      </x:c>
      <x:c r="E1496" s="13" t="str">
        <x:v>PASS</x:v>
      </x:c>
      <x:c r="F1496" s="13" t="str">
        <x:f>IF(D1496=E1496,"PASS","FAIL")</x:f>
        <x:v>PASS</x:v>
      </x:c>
    </x:row>
    <x:row r="1497">
      <x:c r="A1497" s="13" t="str">
        <x:v>UI-11-06</x:v>
      </x:c>
      <x:c r="B1497" s="13" t="str">
        <x:v>Utility</x:v>
      </x:c>
      <x:c r="C1497" s="13" t="str">
        <x:v>HC-CELL-3 evidence state empty</x:v>
      </x:c>
      <x:c r="D1497" s="13" t="str">
        <x:f>'Utility Islands'!Q16</x:f>
        <x:v>SOURCE EMPTY</x:v>
      </x:c>
      <x:c r="E1497" s="13" t="str">
        <x:v>SOURCE EMPTY</x:v>
      </x:c>
      <x:c r="F1497" s="13" t="str">
        <x:f>IF(D1497=E1497,"PASS","FAIL")</x:f>
        <x:v>PASS</x:v>
      </x:c>
    </x:row>
    <x:row r="1498">
      <x:c r="A1498" s="13" t="str">
        <x:v>WF-12-01</x:v>
      </x:c>
      <x:c r="B1498" s="13" t="str">
        <x:v>Workforce</x:v>
      </x:c>
      <x:c r="C1498" s="13" t="str">
        <x:v>HC-CELL-4 survives denial</x:v>
      </x:c>
      <x:c r="D1498" s="13" t="b">
        <x:f>Workforce!H17&gt;=Workforce!F17</x:f>
        <x:v>1</x:v>
      </x:c>
      <x:c r="E1498" s="58" t="b">
        <x:v>1</x:v>
      </x:c>
      <x:c r="F1498" s="13" t="str">
        <x:f>IF(D1498=E1498,"PASS","FAIL")</x:f>
        <x:v>PASS</x:v>
      </x:c>
    </x:row>
    <x:row r="1499">
      <x:c r="A1499" s="13" t="str">
        <x:v>WF-12-02</x:v>
      </x:c>
      <x:c r="B1499" s="13" t="str">
        <x:v>Workforce</x:v>
      </x:c>
      <x:c r="C1499" s="13" t="str">
        <x:v>HC-CELL-4 has three cohorts</x:v>
      </x:c>
      <x:c r="D1499" s="13" t="n">
        <x:f>Workforce!J17</x:f>
        <x:v>3</x:v>
      </x:c>
      <x:c r="E1499" s="13" t="n">
        <x:v>3</x:v>
      </x:c>
      <x:c r="F1499" s="13" t="str">
        <x:f>IF(D1499=E1499,"PASS","FAIL")</x:f>
        <x:v>PASS</x:v>
      </x:c>
    </x:row>
    <x:row r="1500">
      <x:c r="A1500" s="13" t="str">
        <x:v>WF-12-03</x:v>
      </x:c>
      <x:c r="B1500" s="13" t="str">
        <x:v>Workforce</x:v>
      </x:c>
      <x:c r="C1500" s="13" t="str">
        <x:v>HC-CELL-4 cohort cap</x:v>
      </x:c>
      <x:c r="D1500" s="13" t="b">
        <x:f>Workforce!K17&lt;=0.4</x:f>
        <x:v>1</x:v>
      </x:c>
      <x:c r="E1500" s="58" t="b">
        <x:v>1</x:v>
      </x:c>
      <x:c r="F1500" s="13" t="str">
        <x:f>IF(D1500=E1500,"PASS","FAIL")</x:f>
        <x:v>PASS</x:v>
      </x:c>
    </x:row>
    <x:row r="1501">
      <x:c r="A1501" s="13" t="str">
        <x:v>WF-12-04</x:v>
      </x:c>
      <x:c r="B1501" s="13" t="str">
        <x:v>Workforce</x:v>
      </x:c>
      <x:c r="C1501" s="13" t="str">
        <x:v>HC-CELL-4 planning passes</x:v>
      </x:c>
      <x:c r="D1501" s="13" t="str">
        <x:f>Workforce!O17</x:f>
        <x:v>PASS</x:v>
      </x:c>
      <x:c r="E1501" s="13" t="str">
        <x:v>PASS</x:v>
      </x:c>
      <x:c r="F1501" s="13" t="str">
        <x:f>IF(D1501=E1501,"PASS","FAIL")</x:f>
        <x:v>PASS</x:v>
      </x:c>
    </x:row>
    <x:row r="1502">
      <x:c r="A1502" s="13" t="str">
        <x:v>WF-12-05</x:v>
      </x:c>
      <x:c r="B1502" s="13" t="str">
        <x:v>Workforce</x:v>
      </x:c>
      <x:c r="C1502" s="13" t="str">
        <x:v>HC-CELL-4 evidence state empty</x:v>
      </x:c>
      <x:c r="D1502" s="13" t="str">
        <x:f>Workforce!P17</x:f>
        <x:v>SOURCE EMPTY</x:v>
      </x:c>
      <x:c r="E1502" s="13" t="str">
        <x:v>SOURCE EMPTY</x:v>
      </x:c>
      <x:c r="F1502" s="13" t="str">
        <x:f>IF(D1502=E1502,"PASS","FAIL")</x:f>
        <x:v>PASS</x:v>
      </x:c>
    </x:row>
    <x:row r="1503">
      <x:c r="A1503" s="13" t="str">
        <x:v>IN-12-01</x:v>
      </x:c>
      <x:c r="B1503" s="13" t="str">
        <x:v>Inventory</x:v>
      </x:c>
      <x:c r="C1503" s="13" t="str">
        <x:v>HC-CELL-4 root-one keystone closes</x:v>
      </x:c>
      <x:c r="D1503" s="13" t="b">
        <x:f>ABS(Inventory!D17-VLOOKUP(Inventory!B17,'Root Units'!$A$6:$K$29,5,FALSE)*Controls!$B$28)&lt;0.000001</x:f>
        <x:v>1</x:v>
      </x:c>
      <x:c r="E1503" s="58" t="b">
        <x:v>1</x:v>
      </x:c>
      <x:c r="F1503" s="13" t="str">
        <x:f>IF(D1503=E1503,"PASS","FAIL")</x:f>
        <x:v>PASS</x:v>
      </x:c>
    </x:row>
    <x:row r="1504">
      <x:c r="A1504" s="13" t="str">
        <x:v>IN-12-02</x:v>
      </x:c>
      <x:c r="B1504" s="13" t="str">
        <x:v>Inventory</x:v>
      </x:c>
      <x:c r="C1504" s="13" t="str">
        <x:v>HC-CELL-4 common feedstock closes</x:v>
      </x:c>
      <x:c r="D1504" s="13" t="b">
        <x:f>Inventory!F17&gt;0</x:f>
        <x:v>1</x:v>
      </x:c>
      <x:c r="E1504" s="58" t="b">
        <x:v>1</x:v>
      </x:c>
      <x:c r="F1504" s="13" t="str">
        <x:f>IF(D1504=E1504,"PASS","FAIL")</x:f>
        <x:v>PASS</x:v>
      </x:c>
    </x:row>
    <x:row r="1505">
      <x:c r="A1505" s="13" t="str">
        <x:v>IN-12-03</x:v>
      </x:c>
      <x:c r="B1505" s="13" t="str">
        <x:v>Inventory</x:v>
      </x:c>
      <x:c r="C1505" s="13" t="str">
        <x:v>HC-CELL-4 inventory adds</x:v>
      </x:c>
      <x:c r="D1505" s="13" t="b">
        <x:f>ABS(Inventory!G17-SUM(Inventory!D17:F17))&lt;0.000001</x:f>
        <x:v>1</x:v>
      </x:c>
      <x:c r="E1505" s="58" t="b">
        <x:v>1</x:v>
      </x:c>
      <x:c r="F1505" s="13" t="str">
        <x:f>IF(D1505=E1505,"PASS","FAIL")</x:f>
        <x:v>PASS</x:v>
      </x:c>
    </x:row>
    <x:row r="1506">
      <x:c r="A1506" s="13" t="str">
        <x:v>IN-12-04</x:v>
      </x:c>
      <x:c r="B1506" s="13" t="str">
        <x:v>Inventory</x:v>
      </x:c>
      <x:c r="C1506" s="13" t="str">
        <x:v>HC-CELL-4 planning passes</x:v>
      </x:c>
      <x:c r="D1506" s="13" t="str">
        <x:f>Inventory!M17</x:f>
        <x:v>PASS</x:v>
      </x:c>
      <x:c r="E1506" s="13" t="str">
        <x:v>PASS</x:v>
      </x:c>
      <x:c r="F1506" s="13" t="str">
        <x:f>IF(D1506=E1506,"PASS","FAIL")</x:f>
        <x:v>PASS</x:v>
      </x:c>
    </x:row>
    <x:row r="1507">
      <x:c r="A1507" s="13" t="str">
        <x:v>IN-12-05</x:v>
      </x:c>
      <x:c r="B1507" s="13" t="str">
        <x:v>Inventory</x:v>
      </x:c>
      <x:c r="C1507" s="13" t="str">
        <x:v>HC-CELL-4 evidence state empty</x:v>
      </x:c>
      <x:c r="D1507" s="13" t="str">
        <x:f>Inventory!N17</x:f>
        <x:v>SOURCE EMPTY</x:v>
      </x:c>
      <x:c r="E1507" s="13" t="str">
        <x:v>SOURCE EMPTY</x:v>
      </x:c>
      <x:c r="F1507" s="13" t="str">
        <x:f>IF(D1507=E1507,"PASS","FAIL")</x:f>
        <x:v>PASS</x:v>
      </x:c>
    </x:row>
    <x:row r="1508">
      <x:c r="A1508" s="13" t="str">
        <x:v>UI-12-01</x:v>
      </x:c>
      <x:c r="B1508" s="13" t="str">
        <x:v>Utility</x:v>
      </x:c>
      <x:c r="C1508" s="13" t="str">
        <x:v>HC-CELL-4 governing power is maximum</x:v>
      </x:c>
      <x:c r="D1508" s="13" t="b">
        <x:f>ABS('Utility Islands'!F17-MAX('Utility Islands'!D17:E17))&lt;0.000001</x:f>
        <x:v>1</x:v>
      </x:c>
      <x:c r="E1508" s="58" t="b">
        <x:v>1</x:v>
      </x:c>
      <x:c r="F1508" s="13" t="str">
        <x:f>IF(D1508=E1508,"PASS","FAIL")</x:f>
        <x:v>PASS</x:v>
      </x:c>
    </x:row>
    <x:row r="1509">
      <x:c r="A1509" s="13" t="str">
        <x:v>UI-12-02</x:v>
      </x:c>
      <x:c r="B1509" s="13" t="str">
        <x:v>Utility</x:v>
      </x:c>
      <x:c r="C1509" s="13" t="str">
        <x:v>HC-CELL-4 reserve factor</x:v>
      </x:c>
      <x:c r="D1509" s="13" t="b">
        <x:f>'Utility Islands'!G17&gt;=1.25</x:f>
        <x:v>1</x:v>
      </x:c>
      <x:c r="E1509" s="58" t="b">
        <x:v>1</x:v>
      </x:c>
      <x:c r="F1509" s="13" t="str">
        <x:f>IF(D1509=E1509,"PASS","FAIL")</x:f>
        <x:v>PASS</x:v>
      </x:c>
    </x:row>
    <x:row r="1510">
      <x:c r="A1510" s="13" t="str">
        <x:v>UI-12-03</x:v>
      </x:c>
      <x:c r="B1510" s="13" t="str">
        <x:v>Utility</x:v>
      </x:c>
      <x:c r="C1510" s="13" t="str">
        <x:v>HC-CELL-4 six modules</x:v>
      </x:c>
      <x:c r="D1510" s="13" t="n">
        <x:f>'Utility Islands'!I17</x:f>
        <x:v>6</x:v>
      </x:c>
      <x:c r="E1510" s="13" t="n">
        <x:v>6</x:v>
      </x:c>
      <x:c r="F1510" s="13" t="str">
        <x:f>IF(D1510=E1510,"PASS","FAIL")</x:f>
        <x:v>PASS</x:v>
      </x:c>
    </x:row>
    <x:row r="1511">
      <x:c r="A1511" s="13" t="str">
        <x:v>UI-12-04</x:v>
      </x:c>
      <x:c r="B1511" s="13" t="str">
        <x:v>Utility</x:v>
      </x:c>
      <x:c r="C1511" s="13" t="str">
        <x:v>HC-CELL-4 closes after module loss</x:v>
      </x:c>
      <x:c r="D1511" s="13" t="b">
        <x:f>'Utility Islands'!K17&gt;='Utility Islands'!F17*'Utility Islands'!G17</x:f>
        <x:v>1</x:v>
      </x:c>
      <x:c r="E1511" s="58" t="b">
        <x:v>1</x:v>
      </x:c>
      <x:c r="F1511" s="13" t="str">
        <x:f>IF(D1511=E1511,"PASS","FAIL")</x:f>
        <x:v>PASS</x:v>
      </x:c>
    </x:row>
    <x:row r="1512">
      <x:c r="A1512" s="13" t="str">
        <x:v>UI-12-05</x:v>
      </x:c>
      <x:c r="B1512" s="13" t="str">
        <x:v>Utility</x:v>
      </x:c>
      <x:c r="C1512" s="13" t="str">
        <x:v>HC-CELL-4 planning passes</x:v>
      </x:c>
      <x:c r="D1512" s="13" t="str">
        <x:f>'Utility Islands'!P17</x:f>
        <x:v>PASS</x:v>
      </x:c>
      <x:c r="E1512" s="13" t="str">
        <x:v>PASS</x:v>
      </x:c>
      <x:c r="F1512" s="13" t="str">
        <x:f>IF(D1512=E1512,"PASS","FAIL")</x:f>
        <x:v>PASS</x:v>
      </x:c>
    </x:row>
    <x:row r="1513">
      <x:c r="A1513" s="13" t="str">
        <x:v>UI-12-06</x:v>
      </x:c>
      <x:c r="B1513" s="13" t="str">
        <x:v>Utility</x:v>
      </x:c>
      <x:c r="C1513" s="13" t="str">
        <x:v>HC-CELL-4 evidence state empty</x:v>
      </x:c>
      <x:c r="D1513" s="13" t="str">
        <x:f>'Utility Islands'!Q17</x:f>
        <x:v>SOURCE EMPTY</x:v>
      </x:c>
      <x:c r="E1513" s="13" t="str">
        <x:v>SOURCE EMPTY</x:v>
      </x:c>
      <x:c r="F1513" s="13" t="str">
        <x:f>IF(D1513=E1513,"PASS","FAIL")</x:f>
        <x:v>PASS</x:v>
      </x:c>
    </x:row>
    <x:row r="1514">
      <x:c r="A1514" s="13" t="str">
        <x:v>WF-13-01</x:v>
      </x:c>
      <x:c r="B1514" s="13" t="str">
        <x:v>Workforce</x:v>
      </x:c>
      <x:c r="C1514" s="13" t="str">
        <x:v>LF-CELL-1 survives denial</x:v>
      </x:c>
      <x:c r="D1514" s="13" t="b">
        <x:f>Workforce!H18&gt;=Workforce!F18</x:f>
        <x:v>1</x:v>
      </x:c>
      <x:c r="E1514" s="58" t="b">
        <x:v>1</x:v>
      </x:c>
      <x:c r="F1514" s="13" t="str">
        <x:f>IF(D1514=E1514,"PASS","FAIL")</x:f>
        <x:v>PASS</x:v>
      </x:c>
    </x:row>
    <x:row r="1515">
      <x:c r="A1515" s="13" t="str">
        <x:v>WF-13-02</x:v>
      </x:c>
      <x:c r="B1515" s="13" t="str">
        <x:v>Workforce</x:v>
      </x:c>
      <x:c r="C1515" s="13" t="str">
        <x:v>LF-CELL-1 has three cohorts</x:v>
      </x:c>
      <x:c r="D1515" s="13" t="n">
        <x:f>Workforce!J18</x:f>
        <x:v>3</x:v>
      </x:c>
      <x:c r="E1515" s="13" t="n">
        <x:v>3</x:v>
      </x:c>
      <x:c r="F1515" s="13" t="str">
        <x:f>IF(D1515=E1515,"PASS","FAIL")</x:f>
        <x:v>PASS</x:v>
      </x:c>
    </x:row>
    <x:row r="1516">
      <x:c r="A1516" s="13" t="str">
        <x:v>WF-13-03</x:v>
      </x:c>
      <x:c r="B1516" s="13" t="str">
        <x:v>Workforce</x:v>
      </x:c>
      <x:c r="C1516" s="13" t="str">
        <x:v>LF-CELL-1 cohort cap</x:v>
      </x:c>
      <x:c r="D1516" s="13" t="b">
        <x:f>Workforce!K18&lt;=0.4</x:f>
        <x:v>1</x:v>
      </x:c>
      <x:c r="E1516" s="58" t="b">
        <x:v>1</x:v>
      </x:c>
      <x:c r="F1516" s="13" t="str">
        <x:f>IF(D1516=E1516,"PASS","FAIL")</x:f>
        <x:v>PASS</x:v>
      </x:c>
    </x:row>
    <x:row r="1517">
      <x:c r="A1517" s="13" t="str">
        <x:v>WF-13-04</x:v>
      </x:c>
      <x:c r="B1517" s="13" t="str">
        <x:v>Workforce</x:v>
      </x:c>
      <x:c r="C1517" s="13" t="str">
        <x:v>LF-CELL-1 planning passes</x:v>
      </x:c>
      <x:c r="D1517" s="13" t="str">
        <x:f>Workforce!O18</x:f>
        <x:v>PASS</x:v>
      </x:c>
      <x:c r="E1517" s="13" t="str">
        <x:v>PASS</x:v>
      </x:c>
      <x:c r="F1517" s="13" t="str">
        <x:f>IF(D1517=E1517,"PASS","FAIL")</x:f>
        <x:v>PASS</x:v>
      </x:c>
    </x:row>
    <x:row r="1518">
      <x:c r="A1518" s="13" t="str">
        <x:v>WF-13-05</x:v>
      </x:c>
      <x:c r="B1518" s="13" t="str">
        <x:v>Workforce</x:v>
      </x:c>
      <x:c r="C1518" s="13" t="str">
        <x:v>LF-CELL-1 evidence state empty</x:v>
      </x:c>
      <x:c r="D1518" s="13" t="str">
        <x:f>Workforce!P18</x:f>
        <x:v>SOURCE EMPTY</x:v>
      </x:c>
      <x:c r="E1518" s="13" t="str">
        <x:v>SOURCE EMPTY</x:v>
      </x:c>
      <x:c r="F1518" s="13" t="str">
        <x:f>IF(D1518=E1518,"PASS","FAIL")</x:f>
        <x:v>PASS</x:v>
      </x:c>
    </x:row>
    <x:row r="1519">
      <x:c r="A1519" s="13" t="str">
        <x:v>IN-13-01</x:v>
      </x:c>
      <x:c r="B1519" s="13" t="str">
        <x:v>Inventory</x:v>
      </x:c>
      <x:c r="C1519" s="13" t="str">
        <x:v>LF-CELL-1 root-one keystone closes</x:v>
      </x:c>
      <x:c r="D1519" s="13" t="b">
        <x:f>ABS(Inventory!D18-VLOOKUP(Inventory!B18,'Root Units'!$A$6:$K$29,5,FALSE)*Controls!$B$28)&lt;0.000001</x:f>
        <x:v>1</x:v>
      </x:c>
      <x:c r="E1519" s="58" t="b">
        <x:v>1</x:v>
      </x:c>
      <x:c r="F1519" s="13" t="str">
        <x:f>IF(D1519=E1519,"PASS","FAIL")</x:f>
        <x:v>PASS</x:v>
      </x:c>
    </x:row>
    <x:row r="1520">
      <x:c r="A1520" s="13" t="str">
        <x:v>IN-13-02</x:v>
      </x:c>
      <x:c r="B1520" s="13" t="str">
        <x:v>Inventory</x:v>
      </x:c>
      <x:c r="C1520" s="13" t="str">
        <x:v>LF-CELL-1 common feedstock closes</x:v>
      </x:c>
      <x:c r="D1520" s="13" t="b">
        <x:f>Inventory!F18&gt;0</x:f>
        <x:v>1</x:v>
      </x:c>
      <x:c r="E1520" s="58" t="b">
        <x:v>1</x:v>
      </x:c>
      <x:c r="F1520" s="13" t="str">
        <x:f>IF(D1520=E1520,"PASS","FAIL")</x:f>
        <x:v>PASS</x:v>
      </x:c>
    </x:row>
    <x:row r="1521">
      <x:c r="A1521" s="13" t="str">
        <x:v>IN-13-03</x:v>
      </x:c>
      <x:c r="B1521" s="13" t="str">
        <x:v>Inventory</x:v>
      </x:c>
      <x:c r="C1521" s="13" t="str">
        <x:v>LF-CELL-1 inventory adds</x:v>
      </x:c>
      <x:c r="D1521" s="13" t="b">
        <x:f>ABS(Inventory!G18-SUM(Inventory!D18:F18))&lt;0.000001</x:f>
        <x:v>1</x:v>
      </x:c>
      <x:c r="E1521" s="58" t="b">
        <x:v>1</x:v>
      </x:c>
      <x:c r="F1521" s="13" t="str">
        <x:f>IF(D1521=E1521,"PASS","FAIL")</x:f>
        <x:v>PASS</x:v>
      </x:c>
    </x:row>
    <x:row r="1522">
      <x:c r="A1522" s="13" t="str">
        <x:v>IN-13-04</x:v>
      </x:c>
      <x:c r="B1522" s="13" t="str">
        <x:v>Inventory</x:v>
      </x:c>
      <x:c r="C1522" s="13" t="str">
        <x:v>LF-CELL-1 planning passes</x:v>
      </x:c>
      <x:c r="D1522" s="13" t="str">
        <x:f>Inventory!M18</x:f>
        <x:v>PASS</x:v>
      </x:c>
      <x:c r="E1522" s="13" t="str">
        <x:v>PASS</x:v>
      </x:c>
      <x:c r="F1522" s="13" t="str">
        <x:f>IF(D1522=E1522,"PASS","FAIL")</x:f>
        <x:v>PASS</x:v>
      </x:c>
    </x:row>
    <x:row r="1523">
      <x:c r="A1523" s="13" t="str">
        <x:v>IN-13-05</x:v>
      </x:c>
      <x:c r="B1523" s="13" t="str">
        <x:v>Inventory</x:v>
      </x:c>
      <x:c r="C1523" s="13" t="str">
        <x:v>LF-CELL-1 evidence state empty</x:v>
      </x:c>
      <x:c r="D1523" s="13" t="str">
        <x:f>Inventory!N18</x:f>
        <x:v>SOURCE EMPTY</x:v>
      </x:c>
      <x:c r="E1523" s="13" t="str">
        <x:v>SOURCE EMPTY</x:v>
      </x:c>
      <x:c r="F1523" s="13" t="str">
        <x:f>IF(D1523=E1523,"PASS","FAIL")</x:f>
        <x:v>PASS</x:v>
      </x:c>
    </x:row>
    <x:row r="1524">
      <x:c r="A1524" s="13" t="str">
        <x:v>UI-13-01</x:v>
      </x:c>
      <x:c r="B1524" s="13" t="str">
        <x:v>Utility</x:v>
      </x:c>
      <x:c r="C1524" s="13" t="str">
        <x:v>LF-CELL-1 governing power is maximum</x:v>
      </x:c>
      <x:c r="D1524" s="13" t="b">
        <x:f>ABS('Utility Islands'!F18-MAX('Utility Islands'!D18:E18))&lt;0.000001</x:f>
        <x:v>1</x:v>
      </x:c>
      <x:c r="E1524" s="58" t="b">
        <x:v>1</x:v>
      </x:c>
      <x:c r="F1524" s="13" t="str">
        <x:f>IF(D1524=E1524,"PASS","FAIL")</x:f>
        <x:v>PASS</x:v>
      </x:c>
    </x:row>
    <x:row r="1525">
      <x:c r="A1525" s="13" t="str">
        <x:v>UI-13-02</x:v>
      </x:c>
      <x:c r="B1525" s="13" t="str">
        <x:v>Utility</x:v>
      </x:c>
      <x:c r="C1525" s="13" t="str">
        <x:v>LF-CELL-1 reserve factor</x:v>
      </x:c>
      <x:c r="D1525" s="13" t="b">
        <x:f>'Utility Islands'!G18&gt;=1.25</x:f>
        <x:v>1</x:v>
      </x:c>
      <x:c r="E1525" s="58" t="b">
        <x:v>1</x:v>
      </x:c>
      <x:c r="F1525" s="13" t="str">
        <x:f>IF(D1525=E1525,"PASS","FAIL")</x:f>
        <x:v>PASS</x:v>
      </x:c>
    </x:row>
    <x:row r="1526">
      <x:c r="A1526" s="13" t="str">
        <x:v>UI-13-03</x:v>
      </x:c>
      <x:c r="B1526" s="13" t="str">
        <x:v>Utility</x:v>
      </x:c>
      <x:c r="C1526" s="13" t="str">
        <x:v>LF-CELL-1 six modules</x:v>
      </x:c>
      <x:c r="D1526" s="13" t="n">
        <x:f>'Utility Islands'!I18</x:f>
        <x:v>6</x:v>
      </x:c>
      <x:c r="E1526" s="13" t="n">
        <x:v>6</x:v>
      </x:c>
      <x:c r="F1526" s="13" t="str">
        <x:f>IF(D1526=E1526,"PASS","FAIL")</x:f>
        <x:v>PASS</x:v>
      </x:c>
    </x:row>
    <x:row r="1527">
      <x:c r="A1527" s="13" t="str">
        <x:v>UI-13-04</x:v>
      </x:c>
      <x:c r="B1527" s="13" t="str">
        <x:v>Utility</x:v>
      </x:c>
      <x:c r="C1527" s="13" t="str">
        <x:v>LF-CELL-1 closes after module loss</x:v>
      </x:c>
      <x:c r="D1527" s="13" t="b">
        <x:f>'Utility Islands'!K18&gt;='Utility Islands'!F18*'Utility Islands'!G18</x:f>
        <x:v>1</x:v>
      </x:c>
      <x:c r="E1527" s="58" t="b">
        <x:v>1</x:v>
      </x:c>
      <x:c r="F1527" s="13" t="str">
        <x:f>IF(D1527=E1527,"PASS","FAIL")</x:f>
        <x:v>PASS</x:v>
      </x:c>
    </x:row>
    <x:row r="1528">
      <x:c r="A1528" s="13" t="str">
        <x:v>UI-13-05</x:v>
      </x:c>
      <x:c r="B1528" s="13" t="str">
        <x:v>Utility</x:v>
      </x:c>
      <x:c r="C1528" s="13" t="str">
        <x:v>LF-CELL-1 planning passes</x:v>
      </x:c>
      <x:c r="D1528" s="13" t="str">
        <x:f>'Utility Islands'!P18</x:f>
        <x:v>PASS</x:v>
      </x:c>
      <x:c r="E1528" s="13" t="str">
        <x:v>PASS</x:v>
      </x:c>
      <x:c r="F1528" s="13" t="str">
        <x:f>IF(D1528=E1528,"PASS","FAIL")</x:f>
        <x:v>PASS</x:v>
      </x:c>
    </x:row>
    <x:row r="1529">
      <x:c r="A1529" s="13" t="str">
        <x:v>UI-13-06</x:v>
      </x:c>
      <x:c r="B1529" s="13" t="str">
        <x:v>Utility</x:v>
      </x:c>
      <x:c r="C1529" s="13" t="str">
        <x:v>LF-CELL-1 evidence state empty</x:v>
      </x:c>
      <x:c r="D1529" s="13" t="str">
        <x:f>'Utility Islands'!Q18</x:f>
        <x:v>SOURCE EMPTY</x:v>
      </x:c>
      <x:c r="E1529" s="13" t="str">
        <x:v>SOURCE EMPTY</x:v>
      </x:c>
      <x:c r="F1529" s="13" t="str">
        <x:f>IF(D1529=E1529,"PASS","FAIL")</x:f>
        <x:v>PASS</x:v>
      </x:c>
    </x:row>
    <x:row r="1530">
      <x:c r="A1530" s="13" t="str">
        <x:v>WF-14-01</x:v>
      </x:c>
      <x:c r="B1530" s="13" t="str">
        <x:v>Workforce</x:v>
      </x:c>
      <x:c r="C1530" s="13" t="str">
        <x:v>LF-CELL-2 survives denial</x:v>
      </x:c>
      <x:c r="D1530" s="13" t="b">
        <x:f>Workforce!H19&gt;=Workforce!F19</x:f>
        <x:v>1</x:v>
      </x:c>
      <x:c r="E1530" s="58" t="b">
        <x:v>1</x:v>
      </x:c>
      <x:c r="F1530" s="13" t="str">
        <x:f>IF(D1530=E1530,"PASS","FAIL")</x:f>
        <x:v>PASS</x:v>
      </x:c>
    </x:row>
    <x:row r="1531">
      <x:c r="A1531" s="13" t="str">
        <x:v>WF-14-02</x:v>
      </x:c>
      <x:c r="B1531" s="13" t="str">
        <x:v>Workforce</x:v>
      </x:c>
      <x:c r="C1531" s="13" t="str">
        <x:v>LF-CELL-2 has three cohorts</x:v>
      </x:c>
      <x:c r="D1531" s="13" t="n">
        <x:f>Workforce!J19</x:f>
        <x:v>3</x:v>
      </x:c>
      <x:c r="E1531" s="13" t="n">
        <x:v>3</x:v>
      </x:c>
      <x:c r="F1531" s="13" t="str">
        <x:f>IF(D1531=E1531,"PASS","FAIL")</x:f>
        <x:v>PASS</x:v>
      </x:c>
    </x:row>
    <x:row r="1532">
      <x:c r="A1532" s="13" t="str">
        <x:v>WF-14-03</x:v>
      </x:c>
      <x:c r="B1532" s="13" t="str">
        <x:v>Workforce</x:v>
      </x:c>
      <x:c r="C1532" s="13" t="str">
        <x:v>LF-CELL-2 cohort cap</x:v>
      </x:c>
      <x:c r="D1532" s="13" t="b">
        <x:f>Workforce!K19&lt;=0.4</x:f>
        <x:v>1</x:v>
      </x:c>
      <x:c r="E1532" s="58" t="b">
        <x:v>1</x:v>
      </x:c>
      <x:c r="F1532" s="13" t="str">
        <x:f>IF(D1532=E1532,"PASS","FAIL")</x:f>
        <x:v>PASS</x:v>
      </x:c>
    </x:row>
    <x:row r="1533">
      <x:c r="A1533" s="13" t="str">
        <x:v>WF-14-04</x:v>
      </x:c>
      <x:c r="B1533" s="13" t="str">
        <x:v>Workforce</x:v>
      </x:c>
      <x:c r="C1533" s="13" t="str">
        <x:v>LF-CELL-2 planning passes</x:v>
      </x:c>
      <x:c r="D1533" s="13" t="str">
        <x:f>Workforce!O19</x:f>
        <x:v>PASS</x:v>
      </x:c>
      <x:c r="E1533" s="13" t="str">
        <x:v>PASS</x:v>
      </x:c>
      <x:c r="F1533" s="13" t="str">
        <x:f>IF(D1533=E1533,"PASS","FAIL")</x:f>
        <x:v>PASS</x:v>
      </x:c>
    </x:row>
    <x:row r="1534">
      <x:c r="A1534" s="13" t="str">
        <x:v>WF-14-05</x:v>
      </x:c>
      <x:c r="B1534" s="13" t="str">
        <x:v>Workforce</x:v>
      </x:c>
      <x:c r="C1534" s="13" t="str">
        <x:v>LF-CELL-2 evidence state empty</x:v>
      </x:c>
      <x:c r="D1534" s="13" t="str">
        <x:f>Workforce!P19</x:f>
        <x:v>SOURCE EMPTY</x:v>
      </x:c>
      <x:c r="E1534" s="13" t="str">
        <x:v>SOURCE EMPTY</x:v>
      </x:c>
      <x:c r="F1534" s="13" t="str">
        <x:f>IF(D1534=E1534,"PASS","FAIL")</x:f>
        <x:v>PASS</x:v>
      </x:c>
    </x:row>
    <x:row r="1535">
      <x:c r="A1535" s="13" t="str">
        <x:v>IN-14-01</x:v>
      </x:c>
      <x:c r="B1535" s="13" t="str">
        <x:v>Inventory</x:v>
      </x:c>
      <x:c r="C1535" s="13" t="str">
        <x:v>LF-CELL-2 root-one keystone closes</x:v>
      </x:c>
      <x:c r="D1535" s="13" t="b">
        <x:f>ABS(Inventory!D19-VLOOKUP(Inventory!B19,'Root Units'!$A$6:$K$29,5,FALSE)*Controls!$B$28)&lt;0.000001</x:f>
        <x:v>1</x:v>
      </x:c>
      <x:c r="E1535" s="58" t="b">
        <x:v>1</x:v>
      </x:c>
      <x:c r="F1535" s="13" t="str">
        <x:f>IF(D1535=E1535,"PASS","FAIL")</x:f>
        <x:v>PASS</x:v>
      </x:c>
    </x:row>
    <x:row r="1536">
      <x:c r="A1536" s="13" t="str">
        <x:v>IN-14-02</x:v>
      </x:c>
      <x:c r="B1536" s="13" t="str">
        <x:v>Inventory</x:v>
      </x:c>
      <x:c r="C1536" s="13" t="str">
        <x:v>LF-CELL-2 common feedstock closes</x:v>
      </x:c>
      <x:c r="D1536" s="13" t="b">
        <x:f>Inventory!F19&gt;0</x:f>
        <x:v>1</x:v>
      </x:c>
      <x:c r="E1536" s="58" t="b">
        <x:v>1</x:v>
      </x:c>
      <x:c r="F1536" s="13" t="str">
        <x:f>IF(D1536=E1536,"PASS","FAIL")</x:f>
        <x:v>PASS</x:v>
      </x:c>
    </x:row>
    <x:row r="1537">
      <x:c r="A1537" s="13" t="str">
        <x:v>IN-14-03</x:v>
      </x:c>
      <x:c r="B1537" s="13" t="str">
        <x:v>Inventory</x:v>
      </x:c>
      <x:c r="C1537" s="13" t="str">
        <x:v>LF-CELL-2 inventory adds</x:v>
      </x:c>
      <x:c r="D1537" s="13" t="b">
        <x:f>ABS(Inventory!G19-SUM(Inventory!D19:F19))&lt;0.000001</x:f>
        <x:v>1</x:v>
      </x:c>
      <x:c r="E1537" s="58" t="b">
        <x:v>1</x:v>
      </x:c>
      <x:c r="F1537" s="13" t="str">
        <x:f>IF(D1537=E1537,"PASS","FAIL")</x:f>
        <x:v>PASS</x:v>
      </x:c>
    </x:row>
    <x:row r="1538">
      <x:c r="A1538" s="13" t="str">
        <x:v>IN-14-04</x:v>
      </x:c>
      <x:c r="B1538" s="13" t="str">
        <x:v>Inventory</x:v>
      </x:c>
      <x:c r="C1538" s="13" t="str">
        <x:v>LF-CELL-2 planning passes</x:v>
      </x:c>
      <x:c r="D1538" s="13" t="str">
        <x:f>Inventory!M19</x:f>
        <x:v>PASS</x:v>
      </x:c>
      <x:c r="E1538" s="13" t="str">
        <x:v>PASS</x:v>
      </x:c>
      <x:c r="F1538" s="13" t="str">
        <x:f>IF(D1538=E1538,"PASS","FAIL")</x:f>
        <x:v>PASS</x:v>
      </x:c>
    </x:row>
    <x:row r="1539">
      <x:c r="A1539" s="13" t="str">
        <x:v>IN-14-05</x:v>
      </x:c>
      <x:c r="B1539" s="13" t="str">
        <x:v>Inventory</x:v>
      </x:c>
      <x:c r="C1539" s="13" t="str">
        <x:v>LF-CELL-2 evidence state empty</x:v>
      </x:c>
      <x:c r="D1539" s="13" t="str">
        <x:f>Inventory!N19</x:f>
        <x:v>SOURCE EMPTY</x:v>
      </x:c>
      <x:c r="E1539" s="13" t="str">
        <x:v>SOURCE EMPTY</x:v>
      </x:c>
      <x:c r="F1539" s="13" t="str">
        <x:f>IF(D1539=E1539,"PASS","FAIL")</x:f>
        <x:v>PASS</x:v>
      </x:c>
    </x:row>
    <x:row r="1540">
      <x:c r="A1540" s="13" t="str">
        <x:v>UI-14-01</x:v>
      </x:c>
      <x:c r="B1540" s="13" t="str">
        <x:v>Utility</x:v>
      </x:c>
      <x:c r="C1540" s="13" t="str">
        <x:v>LF-CELL-2 governing power is maximum</x:v>
      </x:c>
      <x:c r="D1540" s="13" t="b">
        <x:f>ABS('Utility Islands'!F19-MAX('Utility Islands'!D19:E19))&lt;0.000001</x:f>
        <x:v>1</x:v>
      </x:c>
      <x:c r="E1540" s="58" t="b">
        <x:v>1</x:v>
      </x:c>
      <x:c r="F1540" s="13" t="str">
        <x:f>IF(D1540=E1540,"PASS","FAIL")</x:f>
        <x:v>PASS</x:v>
      </x:c>
    </x:row>
    <x:row r="1541">
      <x:c r="A1541" s="13" t="str">
        <x:v>UI-14-02</x:v>
      </x:c>
      <x:c r="B1541" s="13" t="str">
        <x:v>Utility</x:v>
      </x:c>
      <x:c r="C1541" s="13" t="str">
        <x:v>LF-CELL-2 reserve factor</x:v>
      </x:c>
      <x:c r="D1541" s="13" t="b">
        <x:f>'Utility Islands'!G19&gt;=1.25</x:f>
        <x:v>1</x:v>
      </x:c>
      <x:c r="E1541" s="58" t="b">
        <x:v>1</x:v>
      </x:c>
      <x:c r="F1541" s="13" t="str">
        <x:f>IF(D1541=E1541,"PASS","FAIL")</x:f>
        <x:v>PASS</x:v>
      </x:c>
    </x:row>
    <x:row r="1542">
      <x:c r="A1542" s="13" t="str">
        <x:v>UI-14-03</x:v>
      </x:c>
      <x:c r="B1542" s="13" t="str">
        <x:v>Utility</x:v>
      </x:c>
      <x:c r="C1542" s="13" t="str">
        <x:v>LF-CELL-2 six modules</x:v>
      </x:c>
      <x:c r="D1542" s="13" t="n">
        <x:f>'Utility Islands'!I19</x:f>
        <x:v>6</x:v>
      </x:c>
      <x:c r="E1542" s="13" t="n">
        <x:v>6</x:v>
      </x:c>
      <x:c r="F1542" s="13" t="str">
        <x:f>IF(D1542=E1542,"PASS","FAIL")</x:f>
        <x:v>PASS</x:v>
      </x:c>
    </x:row>
    <x:row r="1543">
      <x:c r="A1543" s="13" t="str">
        <x:v>UI-14-04</x:v>
      </x:c>
      <x:c r="B1543" s="13" t="str">
        <x:v>Utility</x:v>
      </x:c>
      <x:c r="C1543" s="13" t="str">
        <x:v>LF-CELL-2 closes after module loss</x:v>
      </x:c>
      <x:c r="D1543" s="13" t="b">
        <x:f>'Utility Islands'!K19&gt;='Utility Islands'!F19*'Utility Islands'!G19</x:f>
        <x:v>1</x:v>
      </x:c>
      <x:c r="E1543" s="58" t="b">
        <x:v>1</x:v>
      </x:c>
      <x:c r="F1543" s="13" t="str">
        <x:f>IF(D1543=E1543,"PASS","FAIL")</x:f>
        <x:v>PASS</x:v>
      </x:c>
    </x:row>
    <x:row r="1544">
      <x:c r="A1544" s="13" t="str">
        <x:v>UI-14-05</x:v>
      </x:c>
      <x:c r="B1544" s="13" t="str">
        <x:v>Utility</x:v>
      </x:c>
      <x:c r="C1544" s="13" t="str">
        <x:v>LF-CELL-2 planning passes</x:v>
      </x:c>
      <x:c r="D1544" s="13" t="str">
        <x:f>'Utility Islands'!P19</x:f>
        <x:v>PASS</x:v>
      </x:c>
      <x:c r="E1544" s="13" t="str">
        <x:v>PASS</x:v>
      </x:c>
      <x:c r="F1544" s="13" t="str">
        <x:f>IF(D1544=E1544,"PASS","FAIL")</x:f>
        <x:v>PASS</x:v>
      </x:c>
    </x:row>
    <x:row r="1545">
      <x:c r="A1545" s="13" t="str">
        <x:v>UI-14-06</x:v>
      </x:c>
      <x:c r="B1545" s="13" t="str">
        <x:v>Utility</x:v>
      </x:c>
      <x:c r="C1545" s="13" t="str">
        <x:v>LF-CELL-2 evidence state empty</x:v>
      </x:c>
      <x:c r="D1545" s="13" t="str">
        <x:f>'Utility Islands'!Q19</x:f>
        <x:v>SOURCE EMPTY</x:v>
      </x:c>
      <x:c r="E1545" s="13" t="str">
        <x:v>SOURCE EMPTY</x:v>
      </x:c>
      <x:c r="F1545" s="13" t="str">
        <x:f>IF(D1545=E1545,"PASS","FAIL")</x:f>
        <x:v>PASS</x:v>
      </x:c>
    </x:row>
    <x:row r="1546">
      <x:c r="A1546" s="13" t="str">
        <x:v>WF-15-01</x:v>
      </x:c>
      <x:c r="B1546" s="13" t="str">
        <x:v>Workforce</x:v>
      </x:c>
      <x:c r="C1546" s="13" t="str">
        <x:v>LF-CELL-3 survives denial</x:v>
      </x:c>
      <x:c r="D1546" s="13" t="b">
        <x:f>Workforce!H20&gt;=Workforce!F20</x:f>
        <x:v>1</x:v>
      </x:c>
      <x:c r="E1546" s="58" t="b">
        <x:v>1</x:v>
      </x:c>
      <x:c r="F1546" s="13" t="str">
        <x:f>IF(D1546=E1546,"PASS","FAIL")</x:f>
        <x:v>PASS</x:v>
      </x:c>
    </x:row>
    <x:row r="1547">
      <x:c r="A1547" s="13" t="str">
        <x:v>WF-15-02</x:v>
      </x:c>
      <x:c r="B1547" s="13" t="str">
        <x:v>Workforce</x:v>
      </x:c>
      <x:c r="C1547" s="13" t="str">
        <x:v>LF-CELL-3 has three cohorts</x:v>
      </x:c>
      <x:c r="D1547" s="13" t="n">
        <x:f>Workforce!J20</x:f>
        <x:v>3</x:v>
      </x:c>
      <x:c r="E1547" s="13" t="n">
        <x:v>3</x:v>
      </x:c>
      <x:c r="F1547" s="13" t="str">
        <x:f>IF(D1547=E1547,"PASS","FAIL")</x:f>
        <x:v>PASS</x:v>
      </x:c>
    </x:row>
    <x:row r="1548">
      <x:c r="A1548" s="13" t="str">
        <x:v>WF-15-03</x:v>
      </x:c>
      <x:c r="B1548" s="13" t="str">
        <x:v>Workforce</x:v>
      </x:c>
      <x:c r="C1548" s="13" t="str">
        <x:v>LF-CELL-3 cohort cap</x:v>
      </x:c>
      <x:c r="D1548" s="13" t="b">
        <x:f>Workforce!K20&lt;=0.4</x:f>
        <x:v>1</x:v>
      </x:c>
      <x:c r="E1548" s="58" t="b">
        <x:v>1</x:v>
      </x:c>
      <x:c r="F1548" s="13" t="str">
        <x:f>IF(D1548=E1548,"PASS","FAIL")</x:f>
        <x:v>PASS</x:v>
      </x:c>
    </x:row>
    <x:row r="1549">
      <x:c r="A1549" s="13" t="str">
        <x:v>WF-15-04</x:v>
      </x:c>
      <x:c r="B1549" s="13" t="str">
        <x:v>Workforce</x:v>
      </x:c>
      <x:c r="C1549" s="13" t="str">
        <x:v>LF-CELL-3 planning passes</x:v>
      </x:c>
      <x:c r="D1549" s="13" t="str">
        <x:f>Workforce!O20</x:f>
        <x:v>PASS</x:v>
      </x:c>
      <x:c r="E1549" s="13" t="str">
        <x:v>PASS</x:v>
      </x:c>
      <x:c r="F1549" s="13" t="str">
        <x:f>IF(D1549=E1549,"PASS","FAIL")</x:f>
        <x:v>PASS</x:v>
      </x:c>
    </x:row>
    <x:row r="1550">
      <x:c r="A1550" s="13" t="str">
        <x:v>WF-15-05</x:v>
      </x:c>
      <x:c r="B1550" s="13" t="str">
        <x:v>Workforce</x:v>
      </x:c>
      <x:c r="C1550" s="13" t="str">
        <x:v>LF-CELL-3 evidence state empty</x:v>
      </x:c>
      <x:c r="D1550" s="13" t="str">
        <x:f>Workforce!P20</x:f>
        <x:v>SOURCE EMPTY</x:v>
      </x:c>
      <x:c r="E1550" s="13" t="str">
        <x:v>SOURCE EMPTY</x:v>
      </x:c>
      <x:c r="F1550" s="13" t="str">
        <x:f>IF(D1550=E1550,"PASS","FAIL")</x:f>
        <x:v>PASS</x:v>
      </x:c>
    </x:row>
    <x:row r="1551">
      <x:c r="A1551" s="13" t="str">
        <x:v>IN-15-01</x:v>
      </x:c>
      <x:c r="B1551" s="13" t="str">
        <x:v>Inventory</x:v>
      </x:c>
      <x:c r="C1551" s="13" t="str">
        <x:v>LF-CELL-3 root-one keystone closes</x:v>
      </x:c>
      <x:c r="D1551" s="13" t="b">
        <x:f>ABS(Inventory!D20-VLOOKUP(Inventory!B20,'Root Units'!$A$6:$K$29,5,FALSE)*Controls!$B$28)&lt;0.000001</x:f>
        <x:v>1</x:v>
      </x:c>
      <x:c r="E1551" s="58" t="b">
        <x:v>1</x:v>
      </x:c>
      <x:c r="F1551" s="13" t="str">
        <x:f>IF(D1551=E1551,"PASS","FAIL")</x:f>
        <x:v>PASS</x:v>
      </x:c>
    </x:row>
    <x:row r="1552">
      <x:c r="A1552" s="13" t="str">
        <x:v>IN-15-02</x:v>
      </x:c>
      <x:c r="B1552" s="13" t="str">
        <x:v>Inventory</x:v>
      </x:c>
      <x:c r="C1552" s="13" t="str">
        <x:v>LF-CELL-3 common feedstock closes</x:v>
      </x:c>
      <x:c r="D1552" s="13" t="b">
        <x:f>Inventory!F20&gt;0</x:f>
        <x:v>1</x:v>
      </x:c>
      <x:c r="E1552" s="58" t="b">
        <x:v>1</x:v>
      </x:c>
      <x:c r="F1552" s="13" t="str">
        <x:f>IF(D1552=E1552,"PASS","FAIL")</x:f>
        <x:v>PASS</x:v>
      </x:c>
    </x:row>
    <x:row r="1553">
      <x:c r="A1553" s="13" t="str">
        <x:v>IN-15-03</x:v>
      </x:c>
      <x:c r="B1553" s="13" t="str">
        <x:v>Inventory</x:v>
      </x:c>
      <x:c r="C1553" s="13" t="str">
        <x:v>LF-CELL-3 inventory adds</x:v>
      </x:c>
      <x:c r="D1553" s="13" t="b">
        <x:f>ABS(Inventory!G20-SUM(Inventory!D20:F20))&lt;0.000001</x:f>
        <x:v>1</x:v>
      </x:c>
      <x:c r="E1553" s="58" t="b">
        <x:v>1</x:v>
      </x:c>
      <x:c r="F1553" s="13" t="str">
        <x:f>IF(D1553=E1553,"PASS","FAIL")</x:f>
        <x:v>PASS</x:v>
      </x:c>
    </x:row>
    <x:row r="1554">
      <x:c r="A1554" s="13" t="str">
        <x:v>IN-15-04</x:v>
      </x:c>
      <x:c r="B1554" s="13" t="str">
        <x:v>Inventory</x:v>
      </x:c>
      <x:c r="C1554" s="13" t="str">
        <x:v>LF-CELL-3 planning passes</x:v>
      </x:c>
      <x:c r="D1554" s="13" t="str">
        <x:f>Inventory!M20</x:f>
        <x:v>PASS</x:v>
      </x:c>
      <x:c r="E1554" s="13" t="str">
        <x:v>PASS</x:v>
      </x:c>
      <x:c r="F1554" s="13" t="str">
        <x:f>IF(D1554=E1554,"PASS","FAIL")</x:f>
        <x:v>PASS</x:v>
      </x:c>
    </x:row>
    <x:row r="1555">
      <x:c r="A1555" s="13" t="str">
        <x:v>IN-15-05</x:v>
      </x:c>
      <x:c r="B1555" s="13" t="str">
        <x:v>Inventory</x:v>
      </x:c>
      <x:c r="C1555" s="13" t="str">
        <x:v>LF-CELL-3 evidence state empty</x:v>
      </x:c>
      <x:c r="D1555" s="13" t="str">
        <x:f>Inventory!N20</x:f>
        <x:v>SOURCE EMPTY</x:v>
      </x:c>
      <x:c r="E1555" s="13" t="str">
        <x:v>SOURCE EMPTY</x:v>
      </x:c>
      <x:c r="F1555" s="13" t="str">
        <x:f>IF(D1555=E1555,"PASS","FAIL")</x:f>
        <x:v>PASS</x:v>
      </x:c>
    </x:row>
    <x:row r="1556">
      <x:c r="A1556" s="13" t="str">
        <x:v>UI-15-01</x:v>
      </x:c>
      <x:c r="B1556" s="13" t="str">
        <x:v>Utility</x:v>
      </x:c>
      <x:c r="C1556" s="13" t="str">
        <x:v>LF-CELL-3 governing power is maximum</x:v>
      </x:c>
      <x:c r="D1556" s="13" t="b">
        <x:f>ABS('Utility Islands'!F20-MAX('Utility Islands'!D20:E20))&lt;0.000001</x:f>
        <x:v>1</x:v>
      </x:c>
      <x:c r="E1556" s="58" t="b">
        <x:v>1</x:v>
      </x:c>
      <x:c r="F1556" s="13" t="str">
        <x:f>IF(D1556=E1556,"PASS","FAIL")</x:f>
        <x:v>PASS</x:v>
      </x:c>
    </x:row>
    <x:row r="1557">
      <x:c r="A1557" s="13" t="str">
        <x:v>UI-15-02</x:v>
      </x:c>
      <x:c r="B1557" s="13" t="str">
        <x:v>Utility</x:v>
      </x:c>
      <x:c r="C1557" s="13" t="str">
        <x:v>LF-CELL-3 reserve factor</x:v>
      </x:c>
      <x:c r="D1557" s="13" t="b">
        <x:f>'Utility Islands'!G20&gt;=1.25</x:f>
        <x:v>1</x:v>
      </x:c>
      <x:c r="E1557" s="58" t="b">
        <x:v>1</x:v>
      </x:c>
      <x:c r="F1557" s="13" t="str">
        <x:f>IF(D1557=E1557,"PASS","FAIL")</x:f>
        <x:v>PASS</x:v>
      </x:c>
    </x:row>
    <x:row r="1558">
      <x:c r="A1558" s="13" t="str">
        <x:v>UI-15-03</x:v>
      </x:c>
      <x:c r="B1558" s="13" t="str">
        <x:v>Utility</x:v>
      </x:c>
      <x:c r="C1558" s="13" t="str">
        <x:v>LF-CELL-3 six modules</x:v>
      </x:c>
      <x:c r="D1558" s="13" t="n">
        <x:f>'Utility Islands'!I20</x:f>
        <x:v>6</x:v>
      </x:c>
      <x:c r="E1558" s="13" t="n">
        <x:v>6</x:v>
      </x:c>
      <x:c r="F1558" s="13" t="str">
        <x:f>IF(D1558=E1558,"PASS","FAIL")</x:f>
        <x:v>PASS</x:v>
      </x:c>
    </x:row>
    <x:row r="1559">
      <x:c r="A1559" s="13" t="str">
        <x:v>UI-15-04</x:v>
      </x:c>
      <x:c r="B1559" s="13" t="str">
        <x:v>Utility</x:v>
      </x:c>
      <x:c r="C1559" s="13" t="str">
        <x:v>LF-CELL-3 closes after module loss</x:v>
      </x:c>
      <x:c r="D1559" s="13" t="b">
        <x:f>'Utility Islands'!K20&gt;='Utility Islands'!F20*'Utility Islands'!G20</x:f>
        <x:v>1</x:v>
      </x:c>
      <x:c r="E1559" s="58" t="b">
        <x:v>1</x:v>
      </x:c>
      <x:c r="F1559" s="13" t="str">
        <x:f>IF(D1559=E1559,"PASS","FAIL")</x:f>
        <x:v>PASS</x:v>
      </x:c>
    </x:row>
    <x:row r="1560">
      <x:c r="A1560" s="13" t="str">
        <x:v>UI-15-05</x:v>
      </x:c>
      <x:c r="B1560" s="13" t="str">
        <x:v>Utility</x:v>
      </x:c>
      <x:c r="C1560" s="13" t="str">
        <x:v>LF-CELL-3 planning passes</x:v>
      </x:c>
      <x:c r="D1560" s="13" t="str">
        <x:f>'Utility Islands'!P20</x:f>
        <x:v>PASS</x:v>
      </x:c>
      <x:c r="E1560" s="13" t="str">
        <x:v>PASS</x:v>
      </x:c>
      <x:c r="F1560" s="13" t="str">
        <x:f>IF(D1560=E1560,"PASS","FAIL")</x:f>
        <x:v>PASS</x:v>
      </x:c>
    </x:row>
    <x:row r="1561">
      <x:c r="A1561" s="13" t="str">
        <x:v>UI-15-06</x:v>
      </x:c>
      <x:c r="B1561" s="13" t="str">
        <x:v>Utility</x:v>
      </x:c>
      <x:c r="C1561" s="13" t="str">
        <x:v>LF-CELL-3 evidence state empty</x:v>
      </x:c>
      <x:c r="D1561" s="13" t="str">
        <x:f>'Utility Islands'!Q20</x:f>
        <x:v>SOURCE EMPTY</x:v>
      </x:c>
      <x:c r="E1561" s="13" t="str">
        <x:v>SOURCE EMPTY</x:v>
      </x:c>
      <x:c r="F1561" s="13" t="str">
        <x:f>IF(D1561=E1561,"PASS","FAIL")</x:f>
        <x:v>PASS</x:v>
      </x:c>
    </x:row>
    <x:row r="1562">
      <x:c r="A1562" s="13" t="str">
        <x:v>WF-16-01</x:v>
      </x:c>
      <x:c r="B1562" s="13" t="str">
        <x:v>Workforce</x:v>
      </x:c>
      <x:c r="C1562" s="13" t="str">
        <x:v>LF-CELL-4 survives denial</x:v>
      </x:c>
      <x:c r="D1562" s="13" t="b">
        <x:f>Workforce!H21&gt;=Workforce!F21</x:f>
        <x:v>1</x:v>
      </x:c>
      <x:c r="E1562" s="58" t="b">
        <x:v>1</x:v>
      </x:c>
      <x:c r="F1562" s="13" t="str">
        <x:f>IF(D1562=E1562,"PASS","FAIL")</x:f>
        <x:v>PASS</x:v>
      </x:c>
    </x:row>
    <x:row r="1563">
      <x:c r="A1563" s="13" t="str">
        <x:v>WF-16-02</x:v>
      </x:c>
      <x:c r="B1563" s="13" t="str">
        <x:v>Workforce</x:v>
      </x:c>
      <x:c r="C1563" s="13" t="str">
        <x:v>LF-CELL-4 has three cohorts</x:v>
      </x:c>
      <x:c r="D1563" s="13" t="n">
        <x:f>Workforce!J21</x:f>
        <x:v>3</x:v>
      </x:c>
      <x:c r="E1563" s="13" t="n">
        <x:v>3</x:v>
      </x:c>
      <x:c r="F1563" s="13" t="str">
        <x:f>IF(D1563=E1563,"PASS","FAIL")</x:f>
        <x:v>PASS</x:v>
      </x:c>
    </x:row>
    <x:row r="1564">
      <x:c r="A1564" s="13" t="str">
        <x:v>WF-16-03</x:v>
      </x:c>
      <x:c r="B1564" s="13" t="str">
        <x:v>Workforce</x:v>
      </x:c>
      <x:c r="C1564" s="13" t="str">
        <x:v>LF-CELL-4 cohort cap</x:v>
      </x:c>
      <x:c r="D1564" s="13" t="b">
        <x:f>Workforce!K21&lt;=0.4</x:f>
        <x:v>1</x:v>
      </x:c>
      <x:c r="E1564" s="58" t="b">
        <x:v>1</x:v>
      </x:c>
      <x:c r="F1564" s="13" t="str">
        <x:f>IF(D1564=E1564,"PASS","FAIL")</x:f>
        <x:v>PASS</x:v>
      </x:c>
    </x:row>
    <x:row r="1565">
      <x:c r="A1565" s="13" t="str">
        <x:v>WF-16-04</x:v>
      </x:c>
      <x:c r="B1565" s="13" t="str">
        <x:v>Workforce</x:v>
      </x:c>
      <x:c r="C1565" s="13" t="str">
        <x:v>LF-CELL-4 planning passes</x:v>
      </x:c>
      <x:c r="D1565" s="13" t="str">
        <x:f>Workforce!O21</x:f>
        <x:v>PASS</x:v>
      </x:c>
      <x:c r="E1565" s="13" t="str">
        <x:v>PASS</x:v>
      </x:c>
      <x:c r="F1565" s="13" t="str">
        <x:f>IF(D1565=E1565,"PASS","FAIL")</x:f>
        <x:v>PASS</x:v>
      </x:c>
    </x:row>
    <x:row r="1566">
      <x:c r="A1566" s="13" t="str">
        <x:v>WF-16-05</x:v>
      </x:c>
      <x:c r="B1566" s="13" t="str">
        <x:v>Workforce</x:v>
      </x:c>
      <x:c r="C1566" s="13" t="str">
        <x:v>LF-CELL-4 evidence state empty</x:v>
      </x:c>
      <x:c r="D1566" s="13" t="str">
        <x:f>Workforce!P21</x:f>
        <x:v>SOURCE EMPTY</x:v>
      </x:c>
      <x:c r="E1566" s="13" t="str">
        <x:v>SOURCE EMPTY</x:v>
      </x:c>
      <x:c r="F1566" s="13" t="str">
        <x:f>IF(D1566=E1566,"PASS","FAIL")</x:f>
        <x:v>PASS</x:v>
      </x:c>
    </x:row>
    <x:row r="1567">
      <x:c r="A1567" s="13" t="str">
        <x:v>IN-16-01</x:v>
      </x:c>
      <x:c r="B1567" s="13" t="str">
        <x:v>Inventory</x:v>
      </x:c>
      <x:c r="C1567" s="13" t="str">
        <x:v>LF-CELL-4 root-one keystone closes</x:v>
      </x:c>
      <x:c r="D1567" s="13" t="b">
        <x:f>ABS(Inventory!D21-VLOOKUP(Inventory!B21,'Root Units'!$A$6:$K$29,5,FALSE)*Controls!$B$28)&lt;0.000001</x:f>
        <x:v>1</x:v>
      </x:c>
      <x:c r="E1567" s="58" t="b">
        <x:v>1</x:v>
      </x:c>
      <x:c r="F1567" s="13" t="str">
        <x:f>IF(D1567=E1567,"PASS","FAIL")</x:f>
        <x:v>PASS</x:v>
      </x:c>
    </x:row>
    <x:row r="1568">
      <x:c r="A1568" s="13" t="str">
        <x:v>IN-16-02</x:v>
      </x:c>
      <x:c r="B1568" s="13" t="str">
        <x:v>Inventory</x:v>
      </x:c>
      <x:c r="C1568" s="13" t="str">
        <x:v>LF-CELL-4 common feedstock closes</x:v>
      </x:c>
      <x:c r="D1568" s="13" t="b">
        <x:f>Inventory!F21&gt;0</x:f>
        <x:v>1</x:v>
      </x:c>
      <x:c r="E1568" s="58" t="b">
        <x:v>1</x:v>
      </x:c>
      <x:c r="F1568" s="13" t="str">
        <x:f>IF(D1568=E1568,"PASS","FAIL")</x:f>
        <x:v>PASS</x:v>
      </x:c>
    </x:row>
    <x:row r="1569">
      <x:c r="A1569" s="13" t="str">
        <x:v>IN-16-03</x:v>
      </x:c>
      <x:c r="B1569" s="13" t="str">
        <x:v>Inventory</x:v>
      </x:c>
      <x:c r="C1569" s="13" t="str">
        <x:v>LF-CELL-4 inventory adds</x:v>
      </x:c>
      <x:c r="D1569" s="13" t="b">
        <x:f>ABS(Inventory!G21-SUM(Inventory!D21:F21))&lt;0.000001</x:f>
        <x:v>1</x:v>
      </x:c>
      <x:c r="E1569" s="58" t="b">
        <x:v>1</x:v>
      </x:c>
      <x:c r="F1569" s="13" t="str">
        <x:f>IF(D1569=E1569,"PASS","FAIL")</x:f>
        <x:v>PASS</x:v>
      </x:c>
    </x:row>
    <x:row r="1570">
      <x:c r="A1570" s="13" t="str">
        <x:v>IN-16-04</x:v>
      </x:c>
      <x:c r="B1570" s="13" t="str">
        <x:v>Inventory</x:v>
      </x:c>
      <x:c r="C1570" s="13" t="str">
        <x:v>LF-CELL-4 planning passes</x:v>
      </x:c>
      <x:c r="D1570" s="13" t="str">
        <x:f>Inventory!M21</x:f>
        <x:v>PASS</x:v>
      </x:c>
      <x:c r="E1570" s="13" t="str">
        <x:v>PASS</x:v>
      </x:c>
      <x:c r="F1570" s="13" t="str">
        <x:f>IF(D1570=E1570,"PASS","FAIL")</x:f>
        <x:v>PASS</x:v>
      </x:c>
    </x:row>
    <x:row r="1571">
      <x:c r="A1571" s="13" t="str">
        <x:v>IN-16-05</x:v>
      </x:c>
      <x:c r="B1571" s="13" t="str">
        <x:v>Inventory</x:v>
      </x:c>
      <x:c r="C1571" s="13" t="str">
        <x:v>LF-CELL-4 evidence state empty</x:v>
      </x:c>
      <x:c r="D1571" s="13" t="str">
        <x:f>Inventory!N21</x:f>
        <x:v>SOURCE EMPTY</x:v>
      </x:c>
      <x:c r="E1571" s="13" t="str">
        <x:v>SOURCE EMPTY</x:v>
      </x:c>
      <x:c r="F1571" s="13" t="str">
        <x:f>IF(D1571=E1571,"PASS","FAIL")</x:f>
        <x:v>PASS</x:v>
      </x:c>
    </x:row>
    <x:row r="1572">
      <x:c r="A1572" s="13" t="str">
        <x:v>UI-16-01</x:v>
      </x:c>
      <x:c r="B1572" s="13" t="str">
        <x:v>Utility</x:v>
      </x:c>
      <x:c r="C1572" s="13" t="str">
        <x:v>LF-CELL-4 governing power is maximum</x:v>
      </x:c>
      <x:c r="D1572" s="13" t="b">
        <x:f>ABS('Utility Islands'!F21-MAX('Utility Islands'!D21:E21))&lt;0.000001</x:f>
        <x:v>1</x:v>
      </x:c>
      <x:c r="E1572" s="58" t="b">
        <x:v>1</x:v>
      </x:c>
      <x:c r="F1572" s="13" t="str">
        <x:f>IF(D1572=E1572,"PASS","FAIL")</x:f>
        <x:v>PASS</x:v>
      </x:c>
    </x:row>
    <x:row r="1573">
      <x:c r="A1573" s="13" t="str">
        <x:v>UI-16-02</x:v>
      </x:c>
      <x:c r="B1573" s="13" t="str">
        <x:v>Utility</x:v>
      </x:c>
      <x:c r="C1573" s="13" t="str">
        <x:v>LF-CELL-4 reserve factor</x:v>
      </x:c>
      <x:c r="D1573" s="13" t="b">
        <x:f>'Utility Islands'!G21&gt;=1.25</x:f>
        <x:v>1</x:v>
      </x:c>
      <x:c r="E1573" s="58" t="b">
        <x:v>1</x:v>
      </x:c>
      <x:c r="F1573" s="13" t="str">
        <x:f>IF(D1573=E1573,"PASS","FAIL")</x:f>
        <x:v>PASS</x:v>
      </x:c>
    </x:row>
    <x:row r="1574">
      <x:c r="A1574" s="13" t="str">
        <x:v>UI-16-03</x:v>
      </x:c>
      <x:c r="B1574" s="13" t="str">
        <x:v>Utility</x:v>
      </x:c>
      <x:c r="C1574" s="13" t="str">
        <x:v>LF-CELL-4 six modules</x:v>
      </x:c>
      <x:c r="D1574" s="13" t="n">
        <x:f>'Utility Islands'!I21</x:f>
        <x:v>6</x:v>
      </x:c>
      <x:c r="E1574" s="13" t="n">
        <x:v>6</x:v>
      </x:c>
      <x:c r="F1574" s="13" t="str">
        <x:f>IF(D1574=E1574,"PASS","FAIL")</x:f>
        <x:v>PASS</x:v>
      </x:c>
    </x:row>
    <x:row r="1575">
      <x:c r="A1575" s="13" t="str">
        <x:v>UI-16-04</x:v>
      </x:c>
      <x:c r="B1575" s="13" t="str">
        <x:v>Utility</x:v>
      </x:c>
      <x:c r="C1575" s="13" t="str">
        <x:v>LF-CELL-4 closes after module loss</x:v>
      </x:c>
      <x:c r="D1575" s="13" t="b">
        <x:f>'Utility Islands'!K21&gt;='Utility Islands'!F21*'Utility Islands'!G21</x:f>
        <x:v>1</x:v>
      </x:c>
      <x:c r="E1575" s="58" t="b">
        <x:v>1</x:v>
      </x:c>
      <x:c r="F1575" s="13" t="str">
        <x:f>IF(D1575=E1575,"PASS","FAIL")</x:f>
        <x:v>PASS</x:v>
      </x:c>
    </x:row>
    <x:row r="1576">
      <x:c r="A1576" s="13" t="str">
        <x:v>UI-16-05</x:v>
      </x:c>
      <x:c r="B1576" s="13" t="str">
        <x:v>Utility</x:v>
      </x:c>
      <x:c r="C1576" s="13" t="str">
        <x:v>LF-CELL-4 planning passes</x:v>
      </x:c>
      <x:c r="D1576" s="13" t="str">
        <x:f>'Utility Islands'!P21</x:f>
        <x:v>PASS</x:v>
      </x:c>
      <x:c r="E1576" s="13" t="str">
        <x:v>PASS</x:v>
      </x:c>
      <x:c r="F1576" s="13" t="str">
        <x:f>IF(D1576=E1576,"PASS","FAIL")</x:f>
        <x:v>PASS</x:v>
      </x:c>
    </x:row>
    <x:row r="1577">
      <x:c r="A1577" s="13" t="str">
        <x:v>UI-16-06</x:v>
      </x:c>
      <x:c r="B1577" s="13" t="str">
        <x:v>Utility</x:v>
      </x:c>
      <x:c r="C1577" s="13" t="str">
        <x:v>LF-CELL-4 evidence state empty</x:v>
      </x:c>
      <x:c r="D1577" s="13" t="str">
        <x:f>'Utility Islands'!Q21</x:f>
        <x:v>SOURCE EMPTY</x:v>
      </x:c>
      <x:c r="E1577" s="13" t="str">
        <x:v>SOURCE EMPTY</x:v>
      </x:c>
      <x:c r="F1577" s="13" t="str">
        <x:f>IF(D1577=E1577,"PASS","FAIL")</x:f>
        <x:v>PASS</x:v>
      </x:c>
    </x:row>
    <x:row r="1578">
      <x:c r="A1578" s="13" t="str">
        <x:v>WF-17-01</x:v>
      </x:c>
      <x:c r="B1578" s="13" t="str">
        <x:v>Workforce</x:v>
      </x:c>
      <x:c r="C1578" s="13" t="str">
        <x:v>HU-CELL-1 survives denial</x:v>
      </x:c>
      <x:c r="D1578" s="13" t="b">
        <x:f>Workforce!H22&gt;=Workforce!F22</x:f>
        <x:v>1</x:v>
      </x:c>
      <x:c r="E1578" s="58" t="b">
        <x:v>1</x:v>
      </x:c>
      <x:c r="F1578" s="13" t="str">
        <x:f>IF(D1578=E1578,"PASS","FAIL")</x:f>
        <x:v>PASS</x:v>
      </x:c>
    </x:row>
    <x:row r="1579">
      <x:c r="A1579" s="13" t="str">
        <x:v>WF-17-02</x:v>
      </x:c>
      <x:c r="B1579" s="13" t="str">
        <x:v>Workforce</x:v>
      </x:c>
      <x:c r="C1579" s="13" t="str">
        <x:v>HU-CELL-1 has three cohorts</x:v>
      </x:c>
      <x:c r="D1579" s="13" t="n">
        <x:f>Workforce!J22</x:f>
        <x:v>3</x:v>
      </x:c>
      <x:c r="E1579" s="13" t="n">
        <x:v>3</x:v>
      </x:c>
      <x:c r="F1579" s="13" t="str">
        <x:f>IF(D1579=E1579,"PASS","FAIL")</x:f>
        <x:v>PASS</x:v>
      </x:c>
    </x:row>
    <x:row r="1580">
      <x:c r="A1580" s="13" t="str">
        <x:v>WF-17-03</x:v>
      </x:c>
      <x:c r="B1580" s="13" t="str">
        <x:v>Workforce</x:v>
      </x:c>
      <x:c r="C1580" s="13" t="str">
        <x:v>HU-CELL-1 cohort cap</x:v>
      </x:c>
      <x:c r="D1580" s="13" t="b">
        <x:f>Workforce!K22&lt;=0.4</x:f>
        <x:v>1</x:v>
      </x:c>
      <x:c r="E1580" s="58" t="b">
        <x:v>1</x:v>
      </x:c>
      <x:c r="F1580" s="13" t="str">
        <x:f>IF(D1580=E1580,"PASS","FAIL")</x:f>
        <x:v>PASS</x:v>
      </x:c>
    </x:row>
    <x:row r="1581">
      <x:c r="A1581" s="13" t="str">
        <x:v>WF-17-04</x:v>
      </x:c>
      <x:c r="B1581" s="13" t="str">
        <x:v>Workforce</x:v>
      </x:c>
      <x:c r="C1581" s="13" t="str">
        <x:v>HU-CELL-1 planning passes</x:v>
      </x:c>
      <x:c r="D1581" s="13" t="str">
        <x:f>Workforce!O22</x:f>
        <x:v>PASS</x:v>
      </x:c>
      <x:c r="E1581" s="13" t="str">
        <x:v>PASS</x:v>
      </x:c>
      <x:c r="F1581" s="13" t="str">
        <x:f>IF(D1581=E1581,"PASS","FAIL")</x:f>
        <x:v>PASS</x:v>
      </x:c>
    </x:row>
    <x:row r="1582">
      <x:c r="A1582" s="13" t="str">
        <x:v>WF-17-05</x:v>
      </x:c>
      <x:c r="B1582" s="13" t="str">
        <x:v>Workforce</x:v>
      </x:c>
      <x:c r="C1582" s="13" t="str">
        <x:v>HU-CELL-1 evidence state empty</x:v>
      </x:c>
      <x:c r="D1582" s="13" t="str">
        <x:f>Workforce!P22</x:f>
        <x:v>SOURCE EMPTY</x:v>
      </x:c>
      <x:c r="E1582" s="13" t="str">
        <x:v>SOURCE EMPTY</x:v>
      </x:c>
      <x:c r="F1582" s="13" t="str">
        <x:f>IF(D1582=E1582,"PASS","FAIL")</x:f>
        <x:v>PASS</x:v>
      </x:c>
    </x:row>
    <x:row r="1583">
      <x:c r="A1583" s="13" t="str">
        <x:v>IN-17-01</x:v>
      </x:c>
      <x:c r="B1583" s="13" t="str">
        <x:v>Inventory</x:v>
      </x:c>
      <x:c r="C1583" s="13" t="str">
        <x:v>HU-CELL-1 root-one keystone closes</x:v>
      </x:c>
      <x:c r="D1583" s="13" t="b">
        <x:f>ABS(Inventory!D22-VLOOKUP(Inventory!B22,'Root Units'!$A$6:$K$29,5,FALSE)*Controls!$B$28)&lt;0.000001</x:f>
        <x:v>1</x:v>
      </x:c>
      <x:c r="E1583" s="58" t="b">
        <x:v>1</x:v>
      </x:c>
      <x:c r="F1583" s="13" t="str">
        <x:f>IF(D1583=E1583,"PASS","FAIL")</x:f>
        <x:v>PASS</x:v>
      </x:c>
    </x:row>
    <x:row r="1584">
      <x:c r="A1584" s="13" t="str">
        <x:v>IN-17-02</x:v>
      </x:c>
      <x:c r="B1584" s="13" t="str">
        <x:v>Inventory</x:v>
      </x:c>
      <x:c r="C1584" s="13" t="str">
        <x:v>HU-CELL-1 common feedstock closes</x:v>
      </x:c>
      <x:c r="D1584" s="13" t="b">
        <x:f>Inventory!F22&gt;0</x:f>
        <x:v>1</x:v>
      </x:c>
      <x:c r="E1584" s="58" t="b">
        <x:v>1</x:v>
      </x:c>
      <x:c r="F1584" s="13" t="str">
        <x:f>IF(D1584=E1584,"PASS","FAIL")</x:f>
        <x:v>PASS</x:v>
      </x:c>
    </x:row>
    <x:row r="1585">
      <x:c r="A1585" s="13" t="str">
        <x:v>IN-17-03</x:v>
      </x:c>
      <x:c r="B1585" s="13" t="str">
        <x:v>Inventory</x:v>
      </x:c>
      <x:c r="C1585" s="13" t="str">
        <x:v>HU-CELL-1 inventory adds</x:v>
      </x:c>
      <x:c r="D1585" s="13" t="b">
        <x:f>ABS(Inventory!G22-SUM(Inventory!D22:F22))&lt;0.000001</x:f>
        <x:v>1</x:v>
      </x:c>
      <x:c r="E1585" s="58" t="b">
        <x:v>1</x:v>
      </x:c>
      <x:c r="F1585" s="13" t="str">
        <x:f>IF(D1585=E1585,"PASS","FAIL")</x:f>
        <x:v>PASS</x:v>
      </x:c>
    </x:row>
    <x:row r="1586">
      <x:c r="A1586" s="13" t="str">
        <x:v>IN-17-04</x:v>
      </x:c>
      <x:c r="B1586" s="13" t="str">
        <x:v>Inventory</x:v>
      </x:c>
      <x:c r="C1586" s="13" t="str">
        <x:v>HU-CELL-1 planning passes</x:v>
      </x:c>
      <x:c r="D1586" s="13" t="str">
        <x:f>Inventory!M22</x:f>
        <x:v>PASS</x:v>
      </x:c>
      <x:c r="E1586" s="13" t="str">
        <x:v>PASS</x:v>
      </x:c>
      <x:c r="F1586" s="13" t="str">
        <x:f>IF(D1586=E1586,"PASS","FAIL")</x:f>
        <x:v>PASS</x:v>
      </x:c>
    </x:row>
    <x:row r="1587">
      <x:c r="A1587" s="13" t="str">
        <x:v>IN-17-05</x:v>
      </x:c>
      <x:c r="B1587" s="13" t="str">
        <x:v>Inventory</x:v>
      </x:c>
      <x:c r="C1587" s="13" t="str">
        <x:v>HU-CELL-1 evidence state empty</x:v>
      </x:c>
      <x:c r="D1587" s="13" t="str">
        <x:f>Inventory!N22</x:f>
        <x:v>SOURCE EMPTY</x:v>
      </x:c>
      <x:c r="E1587" s="13" t="str">
        <x:v>SOURCE EMPTY</x:v>
      </x:c>
      <x:c r="F1587" s="13" t="str">
        <x:f>IF(D1587=E1587,"PASS","FAIL")</x:f>
        <x:v>PASS</x:v>
      </x:c>
    </x:row>
    <x:row r="1588">
      <x:c r="A1588" s="13" t="str">
        <x:v>UI-17-01</x:v>
      </x:c>
      <x:c r="B1588" s="13" t="str">
        <x:v>Utility</x:v>
      </x:c>
      <x:c r="C1588" s="13" t="str">
        <x:v>HU-CELL-1 governing power is maximum</x:v>
      </x:c>
      <x:c r="D1588" s="13" t="b">
        <x:f>ABS('Utility Islands'!F22-MAX('Utility Islands'!D22:E22))&lt;0.000001</x:f>
        <x:v>1</x:v>
      </x:c>
      <x:c r="E1588" s="58" t="b">
        <x:v>1</x:v>
      </x:c>
      <x:c r="F1588" s="13" t="str">
        <x:f>IF(D1588=E1588,"PASS","FAIL")</x:f>
        <x:v>PASS</x:v>
      </x:c>
    </x:row>
    <x:row r="1589">
      <x:c r="A1589" s="13" t="str">
        <x:v>UI-17-02</x:v>
      </x:c>
      <x:c r="B1589" s="13" t="str">
        <x:v>Utility</x:v>
      </x:c>
      <x:c r="C1589" s="13" t="str">
        <x:v>HU-CELL-1 reserve factor</x:v>
      </x:c>
      <x:c r="D1589" s="13" t="b">
        <x:f>'Utility Islands'!G22&gt;=1.25</x:f>
        <x:v>1</x:v>
      </x:c>
      <x:c r="E1589" s="58" t="b">
        <x:v>1</x:v>
      </x:c>
      <x:c r="F1589" s="13" t="str">
        <x:f>IF(D1589=E1589,"PASS","FAIL")</x:f>
        <x:v>PASS</x:v>
      </x:c>
    </x:row>
    <x:row r="1590">
      <x:c r="A1590" s="13" t="str">
        <x:v>UI-17-03</x:v>
      </x:c>
      <x:c r="B1590" s="13" t="str">
        <x:v>Utility</x:v>
      </x:c>
      <x:c r="C1590" s="13" t="str">
        <x:v>HU-CELL-1 six modules</x:v>
      </x:c>
      <x:c r="D1590" s="13" t="n">
        <x:f>'Utility Islands'!I22</x:f>
        <x:v>6</x:v>
      </x:c>
      <x:c r="E1590" s="13" t="n">
        <x:v>6</x:v>
      </x:c>
      <x:c r="F1590" s="13" t="str">
        <x:f>IF(D1590=E1590,"PASS","FAIL")</x:f>
        <x:v>PASS</x:v>
      </x:c>
    </x:row>
    <x:row r="1591">
      <x:c r="A1591" s="13" t="str">
        <x:v>UI-17-04</x:v>
      </x:c>
      <x:c r="B1591" s="13" t="str">
        <x:v>Utility</x:v>
      </x:c>
      <x:c r="C1591" s="13" t="str">
        <x:v>HU-CELL-1 closes after module loss</x:v>
      </x:c>
      <x:c r="D1591" s="13" t="b">
        <x:f>'Utility Islands'!K22&gt;='Utility Islands'!F22*'Utility Islands'!G22</x:f>
        <x:v>1</x:v>
      </x:c>
      <x:c r="E1591" s="58" t="b">
        <x:v>1</x:v>
      </x:c>
      <x:c r="F1591" s="13" t="str">
        <x:f>IF(D1591=E1591,"PASS","FAIL")</x:f>
        <x:v>PASS</x:v>
      </x:c>
    </x:row>
    <x:row r="1592">
      <x:c r="A1592" s="13" t="str">
        <x:v>UI-17-05</x:v>
      </x:c>
      <x:c r="B1592" s="13" t="str">
        <x:v>Utility</x:v>
      </x:c>
      <x:c r="C1592" s="13" t="str">
        <x:v>HU-CELL-1 planning passes</x:v>
      </x:c>
      <x:c r="D1592" s="13" t="str">
        <x:f>'Utility Islands'!P22</x:f>
        <x:v>PASS</x:v>
      </x:c>
      <x:c r="E1592" s="13" t="str">
        <x:v>PASS</x:v>
      </x:c>
      <x:c r="F1592" s="13" t="str">
        <x:f>IF(D1592=E1592,"PASS","FAIL")</x:f>
        <x:v>PASS</x:v>
      </x:c>
    </x:row>
    <x:row r="1593">
      <x:c r="A1593" s="13" t="str">
        <x:v>UI-17-06</x:v>
      </x:c>
      <x:c r="B1593" s="13" t="str">
        <x:v>Utility</x:v>
      </x:c>
      <x:c r="C1593" s="13" t="str">
        <x:v>HU-CELL-1 evidence state empty</x:v>
      </x:c>
      <x:c r="D1593" s="13" t="str">
        <x:f>'Utility Islands'!Q22</x:f>
        <x:v>SOURCE EMPTY</x:v>
      </x:c>
      <x:c r="E1593" s="13" t="str">
        <x:v>SOURCE EMPTY</x:v>
      </x:c>
      <x:c r="F1593" s="13" t="str">
        <x:f>IF(D1593=E1593,"PASS","FAIL")</x:f>
        <x:v>PASS</x:v>
      </x:c>
    </x:row>
    <x:row r="1594">
      <x:c r="A1594" s="13" t="str">
        <x:v>WF-18-01</x:v>
      </x:c>
      <x:c r="B1594" s="13" t="str">
        <x:v>Workforce</x:v>
      </x:c>
      <x:c r="C1594" s="13" t="str">
        <x:v>HU-CELL-2 survives denial</x:v>
      </x:c>
      <x:c r="D1594" s="13" t="b">
        <x:f>Workforce!H23&gt;=Workforce!F23</x:f>
        <x:v>1</x:v>
      </x:c>
      <x:c r="E1594" s="58" t="b">
        <x:v>1</x:v>
      </x:c>
      <x:c r="F1594" s="13" t="str">
        <x:f>IF(D1594=E1594,"PASS","FAIL")</x:f>
        <x:v>PASS</x:v>
      </x:c>
    </x:row>
    <x:row r="1595">
      <x:c r="A1595" s="13" t="str">
        <x:v>WF-18-02</x:v>
      </x:c>
      <x:c r="B1595" s="13" t="str">
        <x:v>Workforce</x:v>
      </x:c>
      <x:c r="C1595" s="13" t="str">
        <x:v>HU-CELL-2 has three cohorts</x:v>
      </x:c>
      <x:c r="D1595" s="13" t="n">
        <x:f>Workforce!J23</x:f>
        <x:v>3</x:v>
      </x:c>
      <x:c r="E1595" s="13" t="n">
        <x:v>3</x:v>
      </x:c>
      <x:c r="F1595" s="13" t="str">
        <x:f>IF(D1595=E1595,"PASS","FAIL")</x:f>
        <x:v>PASS</x:v>
      </x:c>
    </x:row>
    <x:row r="1596">
      <x:c r="A1596" s="13" t="str">
        <x:v>WF-18-03</x:v>
      </x:c>
      <x:c r="B1596" s="13" t="str">
        <x:v>Workforce</x:v>
      </x:c>
      <x:c r="C1596" s="13" t="str">
        <x:v>HU-CELL-2 cohort cap</x:v>
      </x:c>
      <x:c r="D1596" s="13" t="b">
        <x:f>Workforce!K23&lt;=0.4</x:f>
        <x:v>1</x:v>
      </x:c>
      <x:c r="E1596" s="58" t="b">
        <x:v>1</x:v>
      </x:c>
      <x:c r="F1596" s="13" t="str">
        <x:f>IF(D1596=E1596,"PASS","FAIL")</x:f>
        <x:v>PASS</x:v>
      </x:c>
    </x:row>
    <x:row r="1597">
      <x:c r="A1597" s="13" t="str">
        <x:v>WF-18-04</x:v>
      </x:c>
      <x:c r="B1597" s="13" t="str">
        <x:v>Workforce</x:v>
      </x:c>
      <x:c r="C1597" s="13" t="str">
        <x:v>HU-CELL-2 planning passes</x:v>
      </x:c>
      <x:c r="D1597" s="13" t="str">
        <x:f>Workforce!O23</x:f>
        <x:v>PASS</x:v>
      </x:c>
      <x:c r="E1597" s="13" t="str">
        <x:v>PASS</x:v>
      </x:c>
      <x:c r="F1597" s="13" t="str">
        <x:f>IF(D1597=E1597,"PASS","FAIL")</x:f>
        <x:v>PASS</x:v>
      </x:c>
    </x:row>
    <x:row r="1598">
      <x:c r="A1598" s="13" t="str">
        <x:v>WF-18-05</x:v>
      </x:c>
      <x:c r="B1598" s="13" t="str">
        <x:v>Workforce</x:v>
      </x:c>
      <x:c r="C1598" s="13" t="str">
        <x:v>HU-CELL-2 evidence state empty</x:v>
      </x:c>
      <x:c r="D1598" s="13" t="str">
        <x:f>Workforce!P23</x:f>
        <x:v>SOURCE EMPTY</x:v>
      </x:c>
      <x:c r="E1598" s="13" t="str">
        <x:v>SOURCE EMPTY</x:v>
      </x:c>
      <x:c r="F1598" s="13" t="str">
        <x:f>IF(D1598=E1598,"PASS","FAIL")</x:f>
        <x:v>PASS</x:v>
      </x:c>
    </x:row>
    <x:row r="1599">
      <x:c r="A1599" s="13" t="str">
        <x:v>IN-18-01</x:v>
      </x:c>
      <x:c r="B1599" s="13" t="str">
        <x:v>Inventory</x:v>
      </x:c>
      <x:c r="C1599" s="13" t="str">
        <x:v>HU-CELL-2 root-one keystone closes</x:v>
      </x:c>
      <x:c r="D1599" s="13" t="b">
        <x:f>ABS(Inventory!D23-VLOOKUP(Inventory!B23,'Root Units'!$A$6:$K$29,5,FALSE)*Controls!$B$28)&lt;0.000001</x:f>
        <x:v>1</x:v>
      </x:c>
      <x:c r="E1599" s="58" t="b">
        <x:v>1</x:v>
      </x:c>
      <x:c r="F1599" s="13" t="str">
        <x:f>IF(D1599=E1599,"PASS","FAIL")</x:f>
        <x:v>PASS</x:v>
      </x:c>
    </x:row>
    <x:row r="1600">
      <x:c r="A1600" s="13" t="str">
        <x:v>IN-18-02</x:v>
      </x:c>
      <x:c r="B1600" s="13" t="str">
        <x:v>Inventory</x:v>
      </x:c>
      <x:c r="C1600" s="13" t="str">
        <x:v>HU-CELL-2 common feedstock closes</x:v>
      </x:c>
      <x:c r="D1600" s="13" t="b">
        <x:f>Inventory!F23&gt;0</x:f>
        <x:v>1</x:v>
      </x:c>
      <x:c r="E1600" s="58" t="b">
        <x:v>1</x:v>
      </x:c>
      <x:c r="F1600" s="13" t="str">
        <x:f>IF(D1600=E1600,"PASS","FAIL")</x:f>
        <x:v>PASS</x:v>
      </x:c>
    </x:row>
    <x:row r="1601">
      <x:c r="A1601" s="13" t="str">
        <x:v>IN-18-03</x:v>
      </x:c>
      <x:c r="B1601" s="13" t="str">
        <x:v>Inventory</x:v>
      </x:c>
      <x:c r="C1601" s="13" t="str">
        <x:v>HU-CELL-2 inventory adds</x:v>
      </x:c>
      <x:c r="D1601" s="13" t="b">
        <x:f>ABS(Inventory!G23-SUM(Inventory!D23:F23))&lt;0.000001</x:f>
        <x:v>1</x:v>
      </x:c>
      <x:c r="E1601" s="58" t="b">
        <x:v>1</x:v>
      </x:c>
      <x:c r="F1601" s="13" t="str">
        <x:f>IF(D1601=E1601,"PASS","FAIL")</x:f>
        <x:v>PASS</x:v>
      </x:c>
    </x:row>
    <x:row r="1602">
      <x:c r="A1602" s="13" t="str">
        <x:v>IN-18-04</x:v>
      </x:c>
      <x:c r="B1602" s="13" t="str">
        <x:v>Inventory</x:v>
      </x:c>
      <x:c r="C1602" s="13" t="str">
        <x:v>HU-CELL-2 planning passes</x:v>
      </x:c>
      <x:c r="D1602" s="13" t="str">
        <x:f>Inventory!M23</x:f>
        <x:v>PASS</x:v>
      </x:c>
      <x:c r="E1602" s="13" t="str">
        <x:v>PASS</x:v>
      </x:c>
      <x:c r="F1602" s="13" t="str">
        <x:f>IF(D1602=E1602,"PASS","FAIL")</x:f>
        <x:v>PASS</x:v>
      </x:c>
    </x:row>
    <x:row r="1603">
      <x:c r="A1603" s="13" t="str">
        <x:v>IN-18-05</x:v>
      </x:c>
      <x:c r="B1603" s="13" t="str">
        <x:v>Inventory</x:v>
      </x:c>
      <x:c r="C1603" s="13" t="str">
        <x:v>HU-CELL-2 evidence state empty</x:v>
      </x:c>
      <x:c r="D1603" s="13" t="str">
        <x:f>Inventory!N23</x:f>
        <x:v>SOURCE EMPTY</x:v>
      </x:c>
      <x:c r="E1603" s="13" t="str">
        <x:v>SOURCE EMPTY</x:v>
      </x:c>
      <x:c r="F1603" s="13" t="str">
        <x:f>IF(D1603=E1603,"PASS","FAIL")</x:f>
        <x:v>PASS</x:v>
      </x:c>
    </x:row>
    <x:row r="1604">
      <x:c r="A1604" s="13" t="str">
        <x:v>UI-18-01</x:v>
      </x:c>
      <x:c r="B1604" s="13" t="str">
        <x:v>Utility</x:v>
      </x:c>
      <x:c r="C1604" s="13" t="str">
        <x:v>HU-CELL-2 governing power is maximum</x:v>
      </x:c>
      <x:c r="D1604" s="13" t="b">
        <x:f>ABS('Utility Islands'!F23-MAX('Utility Islands'!D23:E23))&lt;0.000001</x:f>
        <x:v>1</x:v>
      </x:c>
      <x:c r="E1604" s="58" t="b">
        <x:v>1</x:v>
      </x:c>
      <x:c r="F1604" s="13" t="str">
        <x:f>IF(D1604=E1604,"PASS","FAIL")</x:f>
        <x:v>PASS</x:v>
      </x:c>
    </x:row>
    <x:row r="1605">
      <x:c r="A1605" s="13" t="str">
        <x:v>UI-18-02</x:v>
      </x:c>
      <x:c r="B1605" s="13" t="str">
        <x:v>Utility</x:v>
      </x:c>
      <x:c r="C1605" s="13" t="str">
        <x:v>HU-CELL-2 reserve factor</x:v>
      </x:c>
      <x:c r="D1605" s="13" t="b">
        <x:f>'Utility Islands'!G23&gt;=1.25</x:f>
        <x:v>1</x:v>
      </x:c>
      <x:c r="E1605" s="58" t="b">
        <x:v>1</x:v>
      </x:c>
      <x:c r="F1605" s="13" t="str">
        <x:f>IF(D1605=E1605,"PASS","FAIL")</x:f>
        <x:v>PASS</x:v>
      </x:c>
    </x:row>
    <x:row r="1606">
      <x:c r="A1606" s="13" t="str">
        <x:v>UI-18-03</x:v>
      </x:c>
      <x:c r="B1606" s="13" t="str">
        <x:v>Utility</x:v>
      </x:c>
      <x:c r="C1606" s="13" t="str">
        <x:v>HU-CELL-2 six modules</x:v>
      </x:c>
      <x:c r="D1606" s="13" t="n">
        <x:f>'Utility Islands'!I23</x:f>
        <x:v>6</x:v>
      </x:c>
      <x:c r="E1606" s="13" t="n">
        <x:v>6</x:v>
      </x:c>
      <x:c r="F1606" s="13" t="str">
        <x:f>IF(D1606=E1606,"PASS","FAIL")</x:f>
        <x:v>PASS</x:v>
      </x:c>
    </x:row>
    <x:row r="1607">
      <x:c r="A1607" s="13" t="str">
        <x:v>UI-18-04</x:v>
      </x:c>
      <x:c r="B1607" s="13" t="str">
        <x:v>Utility</x:v>
      </x:c>
      <x:c r="C1607" s="13" t="str">
        <x:v>HU-CELL-2 closes after module loss</x:v>
      </x:c>
      <x:c r="D1607" s="13" t="b">
        <x:f>'Utility Islands'!K23&gt;='Utility Islands'!F23*'Utility Islands'!G23</x:f>
        <x:v>1</x:v>
      </x:c>
      <x:c r="E1607" s="58" t="b">
        <x:v>1</x:v>
      </x:c>
      <x:c r="F1607" s="13" t="str">
        <x:f>IF(D1607=E1607,"PASS","FAIL")</x:f>
        <x:v>PASS</x:v>
      </x:c>
    </x:row>
    <x:row r="1608">
      <x:c r="A1608" s="13" t="str">
        <x:v>UI-18-05</x:v>
      </x:c>
      <x:c r="B1608" s="13" t="str">
        <x:v>Utility</x:v>
      </x:c>
      <x:c r="C1608" s="13" t="str">
        <x:v>HU-CELL-2 planning passes</x:v>
      </x:c>
      <x:c r="D1608" s="13" t="str">
        <x:f>'Utility Islands'!P23</x:f>
        <x:v>PASS</x:v>
      </x:c>
      <x:c r="E1608" s="13" t="str">
        <x:v>PASS</x:v>
      </x:c>
      <x:c r="F1608" s="13" t="str">
        <x:f>IF(D1608=E1608,"PASS","FAIL")</x:f>
        <x:v>PASS</x:v>
      </x:c>
    </x:row>
    <x:row r="1609">
      <x:c r="A1609" s="13" t="str">
        <x:v>UI-18-06</x:v>
      </x:c>
      <x:c r="B1609" s="13" t="str">
        <x:v>Utility</x:v>
      </x:c>
      <x:c r="C1609" s="13" t="str">
        <x:v>HU-CELL-2 evidence state empty</x:v>
      </x:c>
      <x:c r="D1609" s="13" t="str">
        <x:f>'Utility Islands'!Q23</x:f>
        <x:v>SOURCE EMPTY</x:v>
      </x:c>
      <x:c r="E1609" s="13" t="str">
        <x:v>SOURCE EMPTY</x:v>
      </x:c>
      <x:c r="F1609" s="13" t="str">
        <x:f>IF(D1609=E1609,"PASS","FAIL")</x:f>
        <x:v>PASS</x:v>
      </x:c>
    </x:row>
    <x:row r="1610">
      <x:c r="A1610" s="13" t="str">
        <x:v>WF-19-01</x:v>
      </x:c>
      <x:c r="B1610" s="13" t="str">
        <x:v>Workforce</x:v>
      </x:c>
      <x:c r="C1610" s="13" t="str">
        <x:v>HU-CELL-3 survives denial</x:v>
      </x:c>
      <x:c r="D1610" s="13" t="b">
        <x:f>Workforce!H24&gt;=Workforce!F24</x:f>
        <x:v>1</x:v>
      </x:c>
      <x:c r="E1610" s="58" t="b">
        <x:v>1</x:v>
      </x:c>
      <x:c r="F1610" s="13" t="str">
        <x:f>IF(D1610=E1610,"PASS","FAIL")</x:f>
        <x:v>PASS</x:v>
      </x:c>
    </x:row>
    <x:row r="1611">
      <x:c r="A1611" s="13" t="str">
        <x:v>WF-19-02</x:v>
      </x:c>
      <x:c r="B1611" s="13" t="str">
        <x:v>Workforce</x:v>
      </x:c>
      <x:c r="C1611" s="13" t="str">
        <x:v>HU-CELL-3 has three cohorts</x:v>
      </x:c>
      <x:c r="D1611" s="13" t="n">
        <x:f>Workforce!J24</x:f>
        <x:v>3</x:v>
      </x:c>
      <x:c r="E1611" s="13" t="n">
        <x:v>3</x:v>
      </x:c>
      <x:c r="F1611" s="13" t="str">
        <x:f>IF(D1611=E1611,"PASS","FAIL")</x:f>
        <x:v>PASS</x:v>
      </x:c>
    </x:row>
    <x:row r="1612">
      <x:c r="A1612" s="13" t="str">
        <x:v>WF-19-03</x:v>
      </x:c>
      <x:c r="B1612" s="13" t="str">
        <x:v>Workforce</x:v>
      </x:c>
      <x:c r="C1612" s="13" t="str">
        <x:v>HU-CELL-3 cohort cap</x:v>
      </x:c>
      <x:c r="D1612" s="13" t="b">
        <x:f>Workforce!K24&lt;=0.4</x:f>
        <x:v>1</x:v>
      </x:c>
      <x:c r="E1612" s="58" t="b">
        <x:v>1</x:v>
      </x:c>
      <x:c r="F1612" s="13" t="str">
        <x:f>IF(D1612=E1612,"PASS","FAIL")</x:f>
        <x:v>PASS</x:v>
      </x:c>
    </x:row>
    <x:row r="1613">
      <x:c r="A1613" s="13" t="str">
        <x:v>WF-19-04</x:v>
      </x:c>
      <x:c r="B1613" s="13" t="str">
        <x:v>Workforce</x:v>
      </x:c>
      <x:c r="C1613" s="13" t="str">
        <x:v>HU-CELL-3 planning passes</x:v>
      </x:c>
      <x:c r="D1613" s="13" t="str">
        <x:f>Workforce!O24</x:f>
        <x:v>PASS</x:v>
      </x:c>
      <x:c r="E1613" s="13" t="str">
        <x:v>PASS</x:v>
      </x:c>
      <x:c r="F1613" s="13" t="str">
        <x:f>IF(D1613=E1613,"PASS","FAIL")</x:f>
        <x:v>PASS</x:v>
      </x:c>
    </x:row>
    <x:row r="1614">
      <x:c r="A1614" s="13" t="str">
        <x:v>WF-19-05</x:v>
      </x:c>
      <x:c r="B1614" s="13" t="str">
        <x:v>Workforce</x:v>
      </x:c>
      <x:c r="C1614" s="13" t="str">
        <x:v>HU-CELL-3 evidence state empty</x:v>
      </x:c>
      <x:c r="D1614" s="13" t="str">
        <x:f>Workforce!P24</x:f>
        <x:v>SOURCE EMPTY</x:v>
      </x:c>
      <x:c r="E1614" s="13" t="str">
        <x:v>SOURCE EMPTY</x:v>
      </x:c>
      <x:c r="F1614" s="13" t="str">
        <x:f>IF(D1614=E1614,"PASS","FAIL")</x:f>
        <x:v>PASS</x:v>
      </x:c>
    </x:row>
    <x:row r="1615">
      <x:c r="A1615" s="13" t="str">
        <x:v>IN-19-01</x:v>
      </x:c>
      <x:c r="B1615" s="13" t="str">
        <x:v>Inventory</x:v>
      </x:c>
      <x:c r="C1615" s="13" t="str">
        <x:v>HU-CELL-3 root-one keystone closes</x:v>
      </x:c>
      <x:c r="D1615" s="13" t="b">
        <x:f>ABS(Inventory!D24-VLOOKUP(Inventory!B24,'Root Units'!$A$6:$K$29,5,FALSE)*Controls!$B$28)&lt;0.000001</x:f>
        <x:v>1</x:v>
      </x:c>
      <x:c r="E1615" s="58" t="b">
        <x:v>1</x:v>
      </x:c>
      <x:c r="F1615" s="13" t="str">
        <x:f>IF(D1615=E1615,"PASS","FAIL")</x:f>
        <x:v>PASS</x:v>
      </x:c>
    </x:row>
    <x:row r="1616">
      <x:c r="A1616" s="13" t="str">
        <x:v>IN-19-02</x:v>
      </x:c>
      <x:c r="B1616" s="13" t="str">
        <x:v>Inventory</x:v>
      </x:c>
      <x:c r="C1616" s="13" t="str">
        <x:v>HU-CELL-3 common feedstock closes</x:v>
      </x:c>
      <x:c r="D1616" s="13" t="b">
        <x:f>Inventory!F24&gt;0</x:f>
        <x:v>1</x:v>
      </x:c>
      <x:c r="E1616" s="58" t="b">
        <x:v>1</x:v>
      </x:c>
      <x:c r="F1616" s="13" t="str">
        <x:f>IF(D1616=E1616,"PASS","FAIL")</x:f>
        <x:v>PASS</x:v>
      </x:c>
    </x:row>
    <x:row r="1617">
      <x:c r="A1617" s="13" t="str">
        <x:v>IN-19-03</x:v>
      </x:c>
      <x:c r="B1617" s="13" t="str">
        <x:v>Inventory</x:v>
      </x:c>
      <x:c r="C1617" s="13" t="str">
        <x:v>HU-CELL-3 inventory adds</x:v>
      </x:c>
      <x:c r="D1617" s="13" t="b">
        <x:f>ABS(Inventory!G24-SUM(Inventory!D24:F24))&lt;0.000001</x:f>
        <x:v>1</x:v>
      </x:c>
      <x:c r="E1617" s="58" t="b">
        <x:v>1</x:v>
      </x:c>
      <x:c r="F1617" s="13" t="str">
        <x:f>IF(D1617=E1617,"PASS","FAIL")</x:f>
        <x:v>PASS</x:v>
      </x:c>
    </x:row>
    <x:row r="1618">
      <x:c r="A1618" s="13" t="str">
        <x:v>IN-19-04</x:v>
      </x:c>
      <x:c r="B1618" s="13" t="str">
        <x:v>Inventory</x:v>
      </x:c>
      <x:c r="C1618" s="13" t="str">
        <x:v>HU-CELL-3 planning passes</x:v>
      </x:c>
      <x:c r="D1618" s="13" t="str">
        <x:f>Inventory!M24</x:f>
        <x:v>PASS</x:v>
      </x:c>
      <x:c r="E1618" s="13" t="str">
        <x:v>PASS</x:v>
      </x:c>
      <x:c r="F1618" s="13" t="str">
        <x:f>IF(D1618=E1618,"PASS","FAIL")</x:f>
        <x:v>PASS</x:v>
      </x:c>
    </x:row>
    <x:row r="1619">
      <x:c r="A1619" s="13" t="str">
        <x:v>IN-19-05</x:v>
      </x:c>
      <x:c r="B1619" s="13" t="str">
        <x:v>Inventory</x:v>
      </x:c>
      <x:c r="C1619" s="13" t="str">
        <x:v>HU-CELL-3 evidence state empty</x:v>
      </x:c>
      <x:c r="D1619" s="13" t="str">
        <x:f>Inventory!N24</x:f>
        <x:v>SOURCE EMPTY</x:v>
      </x:c>
      <x:c r="E1619" s="13" t="str">
        <x:v>SOURCE EMPTY</x:v>
      </x:c>
      <x:c r="F1619" s="13" t="str">
        <x:f>IF(D1619=E1619,"PASS","FAIL")</x:f>
        <x:v>PASS</x:v>
      </x:c>
    </x:row>
    <x:row r="1620">
      <x:c r="A1620" s="13" t="str">
        <x:v>UI-19-01</x:v>
      </x:c>
      <x:c r="B1620" s="13" t="str">
        <x:v>Utility</x:v>
      </x:c>
      <x:c r="C1620" s="13" t="str">
        <x:v>HU-CELL-3 governing power is maximum</x:v>
      </x:c>
      <x:c r="D1620" s="13" t="b">
        <x:f>ABS('Utility Islands'!F24-MAX('Utility Islands'!D24:E24))&lt;0.000001</x:f>
        <x:v>1</x:v>
      </x:c>
      <x:c r="E1620" s="58" t="b">
        <x:v>1</x:v>
      </x:c>
      <x:c r="F1620" s="13" t="str">
        <x:f>IF(D1620=E1620,"PASS","FAIL")</x:f>
        <x:v>PASS</x:v>
      </x:c>
    </x:row>
    <x:row r="1621">
      <x:c r="A1621" s="13" t="str">
        <x:v>UI-19-02</x:v>
      </x:c>
      <x:c r="B1621" s="13" t="str">
        <x:v>Utility</x:v>
      </x:c>
      <x:c r="C1621" s="13" t="str">
        <x:v>HU-CELL-3 reserve factor</x:v>
      </x:c>
      <x:c r="D1621" s="13" t="b">
        <x:f>'Utility Islands'!G24&gt;=1.25</x:f>
        <x:v>1</x:v>
      </x:c>
      <x:c r="E1621" s="58" t="b">
        <x:v>1</x:v>
      </x:c>
      <x:c r="F1621" s="13" t="str">
        <x:f>IF(D1621=E1621,"PASS","FAIL")</x:f>
        <x:v>PASS</x:v>
      </x:c>
    </x:row>
    <x:row r="1622">
      <x:c r="A1622" s="13" t="str">
        <x:v>UI-19-03</x:v>
      </x:c>
      <x:c r="B1622" s="13" t="str">
        <x:v>Utility</x:v>
      </x:c>
      <x:c r="C1622" s="13" t="str">
        <x:v>HU-CELL-3 six modules</x:v>
      </x:c>
      <x:c r="D1622" s="13" t="n">
        <x:f>'Utility Islands'!I24</x:f>
        <x:v>6</x:v>
      </x:c>
      <x:c r="E1622" s="13" t="n">
        <x:v>6</x:v>
      </x:c>
      <x:c r="F1622" s="13" t="str">
        <x:f>IF(D1622=E1622,"PASS","FAIL")</x:f>
        <x:v>PASS</x:v>
      </x:c>
    </x:row>
    <x:row r="1623">
      <x:c r="A1623" s="13" t="str">
        <x:v>UI-19-04</x:v>
      </x:c>
      <x:c r="B1623" s="13" t="str">
        <x:v>Utility</x:v>
      </x:c>
      <x:c r="C1623" s="13" t="str">
        <x:v>HU-CELL-3 closes after module loss</x:v>
      </x:c>
      <x:c r="D1623" s="13" t="b">
        <x:f>'Utility Islands'!K24&gt;='Utility Islands'!F24*'Utility Islands'!G24</x:f>
        <x:v>1</x:v>
      </x:c>
      <x:c r="E1623" s="58" t="b">
        <x:v>1</x:v>
      </x:c>
      <x:c r="F1623" s="13" t="str">
        <x:f>IF(D1623=E1623,"PASS","FAIL")</x:f>
        <x:v>PASS</x:v>
      </x:c>
    </x:row>
    <x:row r="1624">
      <x:c r="A1624" s="13" t="str">
        <x:v>UI-19-05</x:v>
      </x:c>
      <x:c r="B1624" s="13" t="str">
        <x:v>Utility</x:v>
      </x:c>
      <x:c r="C1624" s="13" t="str">
        <x:v>HU-CELL-3 planning passes</x:v>
      </x:c>
      <x:c r="D1624" s="13" t="str">
        <x:f>'Utility Islands'!P24</x:f>
        <x:v>PASS</x:v>
      </x:c>
      <x:c r="E1624" s="13" t="str">
        <x:v>PASS</x:v>
      </x:c>
      <x:c r="F1624" s="13" t="str">
        <x:f>IF(D1624=E1624,"PASS","FAIL")</x:f>
        <x:v>PASS</x:v>
      </x:c>
    </x:row>
    <x:row r="1625">
      <x:c r="A1625" s="13" t="str">
        <x:v>UI-19-06</x:v>
      </x:c>
      <x:c r="B1625" s="13" t="str">
        <x:v>Utility</x:v>
      </x:c>
      <x:c r="C1625" s="13" t="str">
        <x:v>HU-CELL-3 evidence state empty</x:v>
      </x:c>
      <x:c r="D1625" s="13" t="str">
        <x:f>'Utility Islands'!Q24</x:f>
        <x:v>SOURCE EMPTY</x:v>
      </x:c>
      <x:c r="E1625" s="13" t="str">
        <x:v>SOURCE EMPTY</x:v>
      </x:c>
      <x:c r="F1625" s="13" t="str">
        <x:f>IF(D1625=E1625,"PASS","FAIL")</x:f>
        <x:v>PASS</x:v>
      </x:c>
    </x:row>
    <x:row r="1626">
      <x:c r="A1626" s="13" t="str">
        <x:v>WF-20-01</x:v>
      </x:c>
      <x:c r="B1626" s="13" t="str">
        <x:v>Workforce</x:v>
      </x:c>
      <x:c r="C1626" s="13" t="str">
        <x:v>HU-CELL-4 survives denial</x:v>
      </x:c>
      <x:c r="D1626" s="13" t="b">
        <x:f>Workforce!H25&gt;=Workforce!F25</x:f>
        <x:v>1</x:v>
      </x:c>
      <x:c r="E1626" s="58" t="b">
        <x:v>1</x:v>
      </x:c>
      <x:c r="F1626" s="13" t="str">
        <x:f>IF(D1626=E1626,"PASS","FAIL")</x:f>
        <x:v>PASS</x:v>
      </x:c>
    </x:row>
    <x:row r="1627">
      <x:c r="A1627" s="13" t="str">
        <x:v>WF-20-02</x:v>
      </x:c>
      <x:c r="B1627" s="13" t="str">
        <x:v>Workforce</x:v>
      </x:c>
      <x:c r="C1627" s="13" t="str">
        <x:v>HU-CELL-4 has three cohorts</x:v>
      </x:c>
      <x:c r="D1627" s="13" t="n">
        <x:f>Workforce!J25</x:f>
        <x:v>3</x:v>
      </x:c>
      <x:c r="E1627" s="13" t="n">
        <x:v>3</x:v>
      </x:c>
      <x:c r="F1627" s="13" t="str">
        <x:f>IF(D1627=E1627,"PASS","FAIL")</x:f>
        <x:v>PASS</x:v>
      </x:c>
    </x:row>
    <x:row r="1628">
      <x:c r="A1628" s="13" t="str">
        <x:v>WF-20-03</x:v>
      </x:c>
      <x:c r="B1628" s="13" t="str">
        <x:v>Workforce</x:v>
      </x:c>
      <x:c r="C1628" s="13" t="str">
        <x:v>HU-CELL-4 cohort cap</x:v>
      </x:c>
      <x:c r="D1628" s="13" t="b">
        <x:f>Workforce!K25&lt;=0.4</x:f>
        <x:v>1</x:v>
      </x:c>
      <x:c r="E1628" s="58" t="b">
        <x:v>1</x:v>
      </x:c>
      <x:c r="F1628" s="13" t="str">
        <x:f>IF(D1628=E1628,"PASS","FAIL")</x:f>
        <x:v>PASS</x:v>
      </x:c>
    </x:row>
    <x:row r="1629">
      <x:c r="A1629" s="13" t="str">
        <x:v>WF-20-04</x:v>
      </x:c>
      <x:c r="B1629" s="13" t="str">
        <x:v>Workforce</x:v>
      </x:c>
      <x:c r="C1629" s="13" t="str">
        <x:v>HU-CELL-4 planning passes</x:v>
      </x:c>
      <x:c r="D1629" s="13" t="str">
        <x:f>Workforce!O25</x:f>
        <x:v>PASS</x:v>
      </x:c>
      <x:c r="E1629" s="13" t="str">
        <x:v>PASS</x:v>
      </x:c>
      <x:c r="F1629" s="13" t="str">
        <x:f>IF(D1629=E1629,"PASS","FAIL")</x:f>
        <x:v>PASS</x:v>
      </x:c>
    </x:row>
    <x:row r="1630">
      <x:c r="A1630" s="13" t="str">
        <x:v>WF-20-05</x:v>
      </x:c>
      <x:c r="B1630" s="13" t="str">
        <x:v>Workforce</x:v>
      </x:c>
      <x:c r="C1630" s="13" t="str">
        <x:v>HU-CELL-4 evidence state empty</x:v>
      </x:c>
      <x:c r="D1630" s="13" t="str">
        <x:f>Workforce!P25</x:f>
        <x:v>SOURCE EMPTY</x:v>
      </x:c>
      <x:c r="E1630" s="13" t="str">
        <x:v>SOURCE EMPTY</x:v>
      </x:c>
      <x:c r="F1630" s="13" t="str">
        <x:f>IF(D1630=E1630,"PASS","FAIL")</x:f>
        <x:v>PASS</x:v>
      </x:c>
    </x:row>
    <x:row r="1631">
      <x:c r="A1631" s="13" t="str">
        <x:v>IN-20-01</x:v>
      </x:c>
      <x:c r="B1631" s="13" t="str">
        <x:v>Inventory</x:v>
      </x:c>
      <x:c r="C1631" s="13" t="str">
        <x:v>HU-CELL-4 root-one keystone closes</x:v>
      </x:c>
      <x:c r="D1631" s="13" t="b">
        <x:f>ABS(Inventory!D25-VLOOKUP(Inventory!B25,'Root Units'!$A$6:$K$29,5,FALSE)*Controls!$B$28)&lt;0.000001</x:f>
        <x:v>1</x:v>
      </x:c>
      <x:c r="E1631" s="58" t="b">
        <x:v>1</x:v>
      </x:c>
      <x:c r="F1631" s="13" t="str">
        <x:f>IF(D1631=E1631,"PASS","FAIL")</x:f>
        <x:v>PASS</x:v>
      </x:c>
    </x:row>
    <x:row r="1632">
      <x:c r="A1632" s="13" t="str">
        <x:v>IN-20-02</x:v>
      </x:c>
      <x:c r="B1632" s="13" t="str">
        <x:v>Inventory</x:v>
      </x:c>
      <x:c r="C1632" s="13" t="str">
        <x:v>HU-CELL-4 common feedstock closes</x:v>
      </x:c>
      <x:c r="D1632" s="13" t="b">
        <x:f>Inventory!F25&gt;0</x:f>
        <x:v>1</x:v>
      </x:c>
      <x:c r="E1632" s="58" t="b">
        <x:v>1</x:v>
      </x:c>
      <x:c r="F1632" s="13" t="str">
        <x:f>IF(D1632=E1632,"PASS","FAIL")</x:f>
        <x:v>PASS</x:v>
      </x:c>
    </x:row>
    <x:row r="1633">
      <x:c r="A1633" s="13" t="str">
        <x:v>IN-20-03</x:v>
      </x:c>
      <x:c r="B1633" s="13" t="str">
        <x:v>Inventory</x:v>
      </x:c>
      <x:c r="C1633" s="13" t="str">
        <x:v>HU-CELL-4 inventory adds</x:v>
      </x:c>
      <x:c r="D1633" s="13" t="b">
        <x:f>ABS(Inventory!G25-SUM(Inventory!D25:F25))&lt;0.000001</x:f>
        <x:v>1</x:v>
      </x:c>
      <x:c r="E1633" s="58" t="b">
        <x:v>1</x:v>
      </x:c>
      <x:c r="F1633" s="13" t="str">
        <x:f>IF(D1633=E1633,"PASS","FAIL")</x:f>
        <x:v>PASS</x:v>
      </x:c>
    </x:row>
    <x:row r="1634">
      <x:c r="A1634" s="13" t="str">
        <x:v>IN-20-04</x:v>
      </x:c>
      <x:c r="B1634" s="13" t="str">
        <x:v>Inventory</x:v>
      </x:c>
      <x:c r="C1634" s="13" t="str">
        <x:v>HU-CELL-4 planning passes</x:v>
      </x:c>
      <x:c r="D1634" s="13" t="str">
        <x:f>Inventory!M25</x:f>
        <x:v>PASS</x:v>
      </x:c>
      <x:c r="E1634" s="13" t="str">
        <x:v>PASS</x:v>
      </x:c>
      <x:c r="F1634" s="13" t="str">
        <x:f>IF(D1634=E1634,"PASS","FAIL")</x:f>
        <x:v>PASS</x:v>
      </x:c>
    </x:row>
    <x:row r="1635">
      <x:c r="A1635" s="13" t="str">
        <x:v>IN-20-05</x:v>
      </x:c>
      <x:c r="B1635" s="13" t="str">
        <x:v>Inventory</x:v>
      </x:c>
      <x:c r="C1635" s="13" t="str">
        <x:v>HU-CELL-4 evidence state empty</x:v>
      </x:c>
      <x:c r="D1635" s="13" t="str">
        <x:f>Inventory!N25</x:f>
        <x:v>SOURCE EMPTY</x:v>
      </x:c>
      <x:c r="E1635" s="13" t="str">
        <x:v>SOURCE EMPTY</x:v>
      </x:c>
      <x:c r="F1635" s="13" t="str">
        <x:f>IF(D1635=E1635,"PASS","FAIL")</x:f>
        <x:v>PASS</x:v>
      </x:c>
    </x:row>
    <x:row r="1636">
      <x:c r="A1636" s="13" t="str">
        <x:v>UI-20-01</x:v>
      </x:c>
      <x:c r="B1636" s="13" t="str">
        <x:v>Utility</x:v>
      </x:c>
      <x:c r="C1636" s="13" t="str">
        <x:v>HU-CELL-4 governing power is maximum</x:v>
      </x:c>
      <x:c r="D1636" s="13" t="b">
        <x:f>ABS('Utility Islands'!F25-MAX('Utility Islands'!D25:E25))&lt;0.000001</x:f>
        <x:v>1</x:v>
      </x:c>
      <x:c r="E1636" s="58" t="b">
        <x:v>1</x:v>
      </x:c>
      <x:c r="F1636" s="13" t="str">
        <x:f>IF(D1636=E1636,"PASS","FAIL")</x:f>
        <x:v>PASS</x:v>
      </x:c>
    </x:row>
    <x:row r="1637">
      <x:c r="A1637" s="13" t="str">
        <x:v>UI-20-02</x:v>
      </x:c>
      <x:c r="B1637" s="13" t="str">
        <x:v>Utility</x:v>
      </x:c>
      <x:c r="C1637" s="13" t="str">
        <x:v>HU-CELL-4 reserve factor</x:v>
      </x:c>
      <x:c r="D1637" s="13" t="b">
        <x:f>'Utility Islands'!G25&gt;=1.25</x:f>
        <x:v>1</x:v>
      </x:c>
      <x:c r="E1637" s="58" t="b">
        <x:v>1</x:v>
      </x:c>
      <x:c r="F1637" s="13" t="str">
        <x:f>IF(D1637=E1637,"PASS","FAIL")</x:f>
        <x:v>PASS</x:v>
      </x:c>
    </x:row>
    <x:row r="1638">
      <x:c r="A1638" s="13" t="str">
        <x:v>UI-20-03</x:v>
      </x:c>
      <x:c r="B1638" s="13" t="str">
        <x:v>Utility</x:v>
      </x:c>
      <x:c r="C1638" s="13" t="str">
        <x:v>HU-CELL-4 six modules</x:v>
      </x:c>
      <x:c r="D1638" s="13" t="n">
        <x:f>'Utility Islands'!I25</x:f>
        <x:v>6</x:v>
      </x:c>
      <x:c r="E1638" s="13" t="n">
        <x:v>6</x:v>
      </x:c>
      <x:c r="F1638" s="13" t="str">
        <x:f>IF(D1638=E1638,"PASS","FAIL")</x:f>
        <x:v>PASS</x:v>
      </x:c>
    </x:row>
    <x:row r="1639">
      <x:c r="A1639" s="13" t="str">
        <x:v>UI-20-04</x:v>
      </x:c>
      <x:c r="B1639" s="13" t="str">
        <x:v>Utility</x:v>
      </x:c>
      <x:c r="C1639" s="13" t="str">
        <x:v>HU-CELL-4 closes after module loss</x:v>
      </x:c>
      <x:c r="D1639" s="13" t="b">
        <x:f>'Utility Islands'!K25&gt;='Utility Islands'!F25*'Utility Islands'!G25</x:f>
        <x:v>1</x:v>
      </x:c>
      <x:c r="E1639" s="58" t="b">
        <x:v>1</x:v>
      </x:c>
      <x:c r="F1639" s="13" t="str">
        <x:f>IF(D1639=E1639,"PASS","FAIL")</x:f>
        <x:v>PASS</x:v>
      </x:c>
    </x:row>
    <x:row r="1640">
      <x:c r="A1640" s="13" t="str">
        <x:v>UI-20-05</x:v>
      </x:c>
      <x:c r="B1640" s="13" t="str">
        <x:v>Utility</x:v>
      </x:c>
      <x:c r="C1640" s="13" t="str">
        <x:v>HU-CELL-4 planning passes</x:v>
      </x:c>
      <x:c r="D1640" s="13" t="str">
        <x:f>'Utility Islands'!P25</x:f>
        <x:v>PASS</x:v>
      </x:c>
      <x:c r="E1640" s="13" t="str">
        <x:v>PASS</x:v>
      </x:c>
      <x:c r="F1640" s="13" t="str">
        <x:f>IF(D1640=E1640,"PASS","FAIL")</x:f>
        <x:v>PASS</x:v>
      </x:c>
    </x:row>
    <x:row r="1641">
      <x:c r="A1641" s="13" t="str">
        <x:v>UI-20-06</x:v>
      </x:c>
      <x:c r="B1641" s="13" t="str">
        <x:v>Utility</x:v>
      </x:c>
      <x:c r="C1641" s="13" t="str">
        <x:v>HU-CELL-4 evidence state empty</x:v>
      </x:c>
      <x:c r="D1641" s="13" t="str">
        <x:f>'Utility Islands'!Q25</x:f>
        <x:v>SOURCE EMPTY</x:v>
      </x:c>
      <x:c r="E1641" s="13" t="str">
        <x:v>SOURCE EMPTY</x:v>
      </x:c>
      <x:c r="F1641" s="13" t="str">
        <x:f>IF(D1641=E1641,"PASS","FAIL")</x:f>
        <x:v>PASS</x:v>
      </x:c>
    </x:row>
    <x:row r="1642">
      <x:c r="A1642" s="13" t="str">
        <x:v>WF-21-01</x:v>
      </x:c>
      <x:c r="B1642" s="13" t="str">
        <x:v>Workforce</x:v>
      </x:c>
      <x:c r="C1642" s="13" t="str">
        <x:v>RT-CELL-1 survives denial</x:v>
      </x:c>
      <x:c r="D1642" s="13" t="b">
        <x:f>Workforce!H26&gt;=Workforce!F26</x:f>
        <x:v>1</x:v>
      </x:c>
      <x:c r="E1642" s="58" t="b">
        <x:v>1</x:v>
      </x:c>
      <x:c r="F1642" s="13" t="str">
        <x:f>IF(D1642=E1642,"PASS","FAIL")</x:f>
        <x:v>PASS</x:v>
      </x:c>
    </x:row>
    <x:row r="1643">
      <x:c r="A1643" s="13" t="str">
        <x:v>WF-21-02</x:v>
      </x:c>
      <x:c r="B1643" s="13" t="str">
        <x:v>Workforce</x:v>
      </x:c>
      <x:c r="C1643" s="13" t="str">
        <x:v>RT-CELL-1 has three cohorts</x:v>
      </x:c>
      <x:c r="D1643" s="13" t="n">
        <x:f>Workforce!J26</x:f>
        <x:v>3</x:v>
      </x:c>
      <x:c r="E1643" s="13" t="n">
        <x:v>3</x:v>
      </x:c>
      <x:c r="F1643" s="13" t="str">
        <x:f>IF(D1643=E1643,"PASS","FAIL")</x:f>
        <x:v>PASS</x:v>
      </x:c>
    </x:row>
    <x:row r="1644">
      <x:c r="A1644" s="13" t="str">
        <x:v>WF-21-03</x:v>
      </x:c>
      <x:c r="B1644" s="13" t="str">
        <x:v>Workforce</x:v>
      </x:c>
      <x:c r="C1644" s="13" t="str">
        <x:v>RT-CELL-1 cohort cap</x:v>
      </x:c>
      <x:c r="D1644" s="13" t="b">
        <x:f>Workforce!K26&lt;=0.4</x:f>
        <x:v>1</x:v>
      </x:c>
      <x:c r="E1644" s="58" t="b">
        <x:v>1</x:v>
      </x:c>
      <x:c r="F1644" s="13" t="str">
        <x:f>IF(D1644=E1644,"PASS","FAIL")</x:f>
        <x:v>PASS</x:v>
      </x:c>
    </x:row>
    <x:row r="1645">
      <x:c r="A1645" s="13" t="str">
        <x:v>WF-21-04</x:v>
      </x:c>
      <x:c r="B1645" s="13" t="str">
        <x:v>Workforce</x:v>
      </x:c>
      <x:c r="C1645" s="13" t="str">
        <x:v>RT-CELL-1 planning passes</x:v>
      </x:c>
      <x:c r="D1645" s="13" t="str">
        <x:f>Workforce!O26</x:f>
        <x:v>PASS</x:v>
      </x:c>
      <x:c r="E1645" s="13" t="str">
        <x:v>PASS</x:v>
      </x:c>
      <x:c r="F1645" s="13" t="str">
        <x:f>IF(D1645=E1645,"PASS","FAIL")</x:f>
        <x:v>PASS</x:v>
      </x:c>
    </x:row>
    <x:row r="1646">
      <x:c r="A1646" s="13" t="str">
        <x:v>WF-21-05</x:v>
      </x:c>
      <x:c r="B1646" s="13" t="str">
        <x:v>Workforce</x:v>
      </x:c>
      <x:c r="C1646" s="13" t="str">
        <x:v>RT-CELL-1 evidence state empty</x:v>
      </x:c>
      <x:c r="D1646" s="13" t="str">
        <x:f>Workforce!P26</x:f>
        <x:v>SOURCE EMPTY</x:v>
      </x:c>
      <x:c r="E1646" s="13" t="str">
        <x:v>SOURCE EMPTY</x:v>
      </x:c>
      <x:c r="F1646" s="13" t="str">
        <x:f>IF(D1646=E1646,"PASS","FAIL")</x:f>
        <x:v>PASS</x:v>
      </x:c>
    </x:row>
    <x:row r="1647">
      <x:c r="A1647" s="13" t="str">
        <x:v>IN-21-01</x:v>
      </x:c>
      <x:c r="B1647" s="13" t="str">
        <x:v>Inventory</x:v>
      </x:c>
      <x:c r="C1647" s="13" t="str">
        <x:v>RT-CELL-1 root-one keystone closes</x:v>
      </x:c>
      <x:c r="D1647" s="13" t="b">
        <x:f>ABS(Inventory!D26-VLOOKUP(Inventory!B26,'Root Units'!$A$6:$K$29,5,FALSE)*Controls!$B$28)&lt;0.000001</x:f>
        <x:v>1</x:v>
      </x:c>
      <x:c r="E1647" s="58" t="b">
        <x:v>1</x:v>
      </x:c>
      <x:c r="F1647" s="13" t="str">
        <x:f>IF(D1647=E1647,"PASS","FAIL")</x:f>
        <x:v>PASS</x:v>
      </x:c>
    </x:row>
    <x:row r="1648">
      <x:c r="A1648" s="13" t="str">
        <x:v>IN-21-02</x:v>
      </x:c>
      <x:c r="B1648" s="13" t="str">
        <x:v>Inventory</x:v>
      </x:c>
      <x:c r="C1648" s="13" t="str">
        <x:v>RT-CELL-1 common feedstock closes</x:v>
      </x:c>
      <x:c r="D1648" s="13" t="b">
        <x:f>Inventory!F26&gt;0</x:f>
        <x:v>1</x:v>
      </x:c>
      <x:c r="E1648" s="58" t="b">
        <x:v>1</x:v>
      </x:c>
      <x:c r="F1648" s="13" t="str">
        <x:f>IF(D1648=E1648,"PASS","FAIL")</x:f>
        <x:v>PASS</x:v>
      </x:c>
    </x:row>
    <x:row r="1649">
      <x:c r="A1649" s="13" t="str">
        <x:v>IN-21-03</x:v>
      </x:c>
      <x:c r="B1649" s="13" t="str">
        <x:v>Inventory</x:v>
      </x:c>
      <x:c r="C1649" s="13" t="str">
        <x:v>RT-CELL-1 inventory adds</x:v>
      </x:c>
      <x:c r="D1649" s="13" t="b">
        <x:f>ABS(Inventory!G26-SUM(Inventory!D26:F26))&lt;0.000001</x:f>
        <x:v>1</x:v>
      </x:c>
      <x:c r="E1649" s="58" t="b">
        <x:v>1</x:v>
      </x:c>
      <x:c r="F1649" s="13" t="str">
        <x:f>IF(D1649=E1649,"PASS","FAIL")</x:f>
        <x:v>PASS</x:v>
      </x:c>
    </x:row>
    <x:row r="1650">
      <x:c r="A1650" s="13" t="str">
        <x:v>IN-21-04</x:v>
      </x:c>
      <x:c r="B1650" s="13" t="str">
        <x:v>Inventory</x:v>
      </x:c>
      <x:c r="C1650" s="13" t="str">
        <x:v>RT-CELL-1 planning passes</x:v>
      </x:c>
      <x:c r="D1650" s="13" t="str">
        <x:f>Inventory!M26</x:f>
        <x:v>PASS</x:v>
      </x:c>
      <x:c r="E1650" s="13" t="str">
        <x:v>PASS</x:v>
      </x:c>
      <x:c r="F1650" s="13" t="str">
        <x:f>IF(D1650=E1650,"PASS","FAIL")</x:f>
        <x:v>PASS</x:v>
      </x:c>
    </x:row>
    <x:row r="1651">
      <x:c r="A1651" s="13" t="str">
        <x:v>IN-21-05</x:v>
      </x:c>
      <x:c r="B1651" s="13" t="str">
        <x:v>Inventory</x:v>
      </x:c>
      <x:c r="C1651" s="13" t="str">
        <x:v>RT-CELL-1 evidence state empty</x:v>
      </x:c>
      <x:c r="D1651" s="13" t="str">
        <x:f>Inventory!N26</x:f>
        <x:v>SOURCE EMPTY</x:v>
      </x:c>
      <x:c r="E1651" s="13" t="str">
        <x:v>SOURCE EMPTY</x:v>
      </x:c>
      <x:c r="F1651" s="13" t="str">
        <x:f>IF(D1651=E1651,"PASS","FAIL")</x:f>
        <x:v>PASS</x:v>
      </x:c>
    </x:row>
    <x:row r="1652">
      <x:c r="A1652" s="13" t="str">
        <x:v>UI-21-01</x:v>
      </x:c>
      <x:c r="B1652" s="13" t="str">
        <x:v>Utility</x:v>
      </x:c>
      <x:c r="C1652" s="13" t="str">
        <x:v>RT-CELL-1 governing power is maximum</x:v>
      </x:c>
      <x:c r="D1652" s="13" t="b">
        <x:f>ABS('Utility Islands'!F26-MAX('Utility Islands'!D26:E26))&lt;0.000001</x:f>
        <x:v>1</x:v>
      </x:c>
      <x:c r="E1652" s="58" t="b">
        <x:v>1</x:v>
      </x:c>
      <x:c r="F1652" s="13" t="str">
        <x:f>IF(D1652=E1652,"PASS","FAIL")</x:f>
        <x:v>PASS</x:v>
      </x:c>
    </x:row>
    <x:row r="1653">
      <x:c r="A1653" s="13" t="str">
        <x:v>UI-21-02</x:v>
      </x:c>
      <x:c r="B1653" s="13" t="str">
        <x:v>Utility</x:v>
      </x:c>
      <x:c r="C1653" s="13" t="str">
        <x:v>RT-CELL-1 reserve factor</x:v>
      </x:c>
      <x:c r="D1653" s="13" t="b">
        <x:f>'Utility Islands'!G26&gt;=1.25</x:f>
        <x:v>1</x:v>
      </x:c>
      <x:c r="E1653" s="58" t="b">
        <x:v>1</x:v>
      </x:c>
      <x:c r="F1653" s="13" t="str">
        <x:f>IF(D1653=E1653,"PASS","FAIL")</x:f>
        <x:v>PASS</x:v>
      </x:c>
    </x:row>
    <x:row r="1654">
      <x:c r="A1654" s="13" t="str">
        <x:v>UI-21-03</x:v>
      </x:c>
      <x:c r="B1654" s="13" t="str">
        <x:v>Utility</x:v>
      </x:c>
      <x:c r="C1654" s="13" t="str">
        <x:v>RT-CELL-1 six modules</x:v>
      </x:c>
      <x:c r="D1654" s="13" t="n">
        <x:f>'Utility Islands'!I26</x:f>
        <x:v>6</x:v>
      </x:c>
      <x:c r="E1654" s="13" t="n">
        <x:v>6</x:v>
      </x:c>
      <x:c r="F1654" s="13" t="str">
        <x:f>IF(D1654=E1654,"PASS","FAIL")</x:f>
        <x:v>PASS</x:v>
      </x:c>
    </x:row>
    <x:row r="1655">
      <x:c r="A1655" s="13" t="str">
        <x:v>UI-21-04</x:v>
      </x:c>
      <x:c r="B1655" s="13" t="str">
        <x:v>Utility</x:v>
      </x:c>
      <x:c r="C1655" s="13" t="str">
        <x:v>RT-CELL-1 closes after module loss</x:v>
      </x:c>
      <x:c r="D1655" s="13" t="b">
        <x:f>'Utility Islands'!K26&gt;='Utility Islands'!F26*'Utility Islands'!G26</x:f>
        <x:v>1</x:v>
      </x:c>
      <x:c r="E1655" s="58" t="b">
        <x:v>1</x:v>
      </x:c>
      <x:c r="F1655" s="13" t="str">
        <x:f>IF(D1655=E1655,"PASS","FAIL")</x:f>
        <x:v>PASS</x:v>
      </x:c>
    </x:row>
    <x:row r="1656">
      <x:c r="A1656" s="13" t="str">
        <x:v>UI-21-05</x:v>
      </x:c>
      <x:c r="B1656" s="13" t="str">
        <x:v>Utility</x:v>
      </x:c>
      <x:c r="C1656" s="13" t="str">
        <x:v>RT-CELL-1 planning passes</x:v>
      </x:c>
      <x:c r="D1656" s="13" t="str">
        <x:f>'Utility Islands'!P26</x:f>
        <x:v>PASS</x:v>
      </x:c>
      <x:c r="E1656" s="13" t="str">
        <x:v>PASS</x:v>
      </x:c>
      <x:c r="F1656" s="13" t="str">
        <x:f>IF(D1656=E1656,"PASS","FAIL")</x:f>
        <x:v>PASS</x:v>
      </x:c>
    </x:row>
    <x:row r="1657">
      <x:c r="A1657" s="13" t="str">
        <x:v>UI-21-06</x:v>
      </x:c>
      <x:c r="B1657" s="13" t="str">
        <x:v>Utility</x:v>
      </x:c>
      <x:c r="C1657" s="13" t="str">
        <x:v>RT-CELL-1 evidence state empty</x:v>
      </x:c>
      <x:c r="D1657" s="13" t="str">
        <x:f>'Utility Islands'!Q26</x:f>
        <x:v>SOURCE EMPTY</x:v>
      </x:c>
      <x:c r="E1657" s="13" t="str">
        <x:v>SOURCE EMPTY</x:v>
      </x:c>
      <x:c r="F1657" s="13" t="str">
        <x:f>IF(D1657=E1657,"PASS","FAIL")</x:f>
        <x:v>PASS</x:v>
      </x:c>
    </x:row>
    <x:row r="1658">
      <x:c r="A1658" s="13" t="str">
        <x:v>WF-22-01</x:v>
      </x:c>
      <x:c r="B1658" s="13" t="str">
        <x:v>Workforce</x:v>
      </x:c>
      <x:c r="C1658" s="13" t="str">
        <x:v>RT-CELL-2 survives denial</x:v>
      </x:c>
      <x:c r="D1658" s="13" t="b">
        <x:f>Workforce!H27&gt;=Workforce!F27</x:f>
        <x:v>1</x:v>
      </x:c>
      <x:c r="E1658" s="58" t="b">
        <x:v>1</x:v>
      </x:c>
      <x:c r="F1658" s="13" t="str">
        <x:f>IF(D1658=E1658,"PASS","FAIL")</x:f>
        <x:v>PASS</x:v>
      </x:c>
    </x:row>
    <x:row r="1659">
      <x:c r="A1659" s="13" t="str">
        <x:v>WF-22-02</x:v>
      </x:c>
      <x:c r="B1659" s="13" t="str">
        <x:v>Workforce</x:v>
      </x:c>
      <x:c r="C1659" s="13" t="str">
        <x:v>RT-CELL-2 has three cohorts</x:v>
      </x:c>
      <x:c r="D1659" s="13" t="n">
        <x:f>Workforce!J27</x:f>
        <x:v>3</x:v>
      </x:c>
      <x:c r="E1659" s="13" t="n">
        <x:v>3</x:v>
      </x:c>
      <x:c r="F1659" s="13" t="str">
        <x:f>IF(D1659=E1659,"PASS","FAIL")</x:f>
        <x:v>PASS</x:v>
      </x:c>
    </x:row>
    <x:row r="1660">
      <x:c r="A1660" s="13" t="str">
        <x:v>WF-22-03</x:v>
      </x:c>
      <x:c r="B1660" s="13" t="str">
        <x:v>Workforce</x:v>
      </x:c>
      <x:c r="C1660" s="13" t="str">
        <x:v>RT-CELL-2 cohort cap</x:v>
      </x:c>
      <x:c r="D1660" s="13" t="b">
        <x:f>Workforce!K27&lt;=0.4</x:f>
        <x:v>1</x:v>
      </x:c>
      <x:c r="E1660" s="58" t="b">
        <x:v>1</x:v>
      </x:c>
      <x:c r="F1660" s="13" t="str">
        <x:f>IF(D1660=E1660,"PASS","FAIL")</x:f>
        <x:v>PASS</x:v>
      </x:c>
    </x:row>
    <x:row r="1661">
      <x:c r="A1661" s="13" t="str">
        <x:v>WF-22-04</x:v>
      </x:c>
      <x:c r="B1661" s="13" t="str">
        <x:v>Workforce</x:v>
      </x:c>
      <x:c r="C1661" s="13" t="str">
        <x:v>RT-CELL-2 planning passes</x:v>
      </x:c>
      <x:c r="D1661" s="13" t="str">
        <x:f>Workforce!O27</x:f>
        <x:v>PASS</x:v>
      </x:c>
      <x:c r="E1661" s="13" t="str">
        <x:v>PASS</x:v>
      </x:c>
      <x:c r="F1661" s="13" t="str">
        <x:f>IF(D1661=E1661,"PASS","FAIL")</x:f>
        <x:v>PASS</x:v>
      </x:c>
    </x:row>
    <x:row r="1662">
      <x:c r="A1662" s="13" t="str">
        <x:v>WF-22-05</x:v>
      </x:c>
      <x:c r="B1662" s="13" t="str">
        <x:v>Workforce</x:v>
      </x:c>
      <x:c r="C1662" s="13" t="str">
        <x:v>RT-CELL-2 evidence state empty</x:v>
      </x:c>
      <x:c r="D1662" s="13" t="str">
        <x:f>Workforce!P27</x:f>
        <x:v>SOURCE EMPTY</x:v>
      </x:c>
      <x:c r="E1662" s="13" t="str">
        <x:v>SOURCE EMPTY</x:v>
      </x:c>
      <x:c r="F1662" s="13" t="str">
        <x:f>IF(D1662=E1662,"PASS","FAIL")</x:f>
        <x:v>PASS</x:v>
      </x:c>
    </x:row>
    <x:row r="1663">
      <x:c r="A1663" s="13" t="str">
        <x:v>IN-22-01</x:v>
      </x:c>
      <x:c r="B1663" s="13" t="str">
        <x:v>Inventory</x:v>
      </x:c>
      <x:c r="C1663" s="13" t="str">
        <x:v>RT-CELL-2 root-one keystone closes</x:v>
      </x:c>
      <x:c r="D1663" s="13" t="b">
        <x:f>ABS(Inventory!D27-VLOOKUP(Inventory!B27,'Root Units'!$A$6:$K$29,5,FALSE)*Controls!$B$28)&lt;0.000001</x:f>
        <x:v>1</x:v>
      </x:c>
      <x:c r="E1663" s="58" t="b">
        <x:v>1</x:v>
      </x:c>
      <x:c r="F1663" s="13" t="str">
        <x:f>IF(D1663=E1663,"PASS","FAIL")</x:f>
        <x:v>PASS</x:v>
      </x:c>
    </x:row>
    <x:row r="1664">
      <x:c r="A1664" s="13" t="str">
        <x:v>IN-22-02</x:v>
      </x:c>
      <x:c r="B1664" s="13" t="str">
        <x:v>Inventory</x:v>
      </x:c>
      <x:c r="C1664" s="13" t="str">
        <x:v>RT-CELL-2 common feedstock closes</x:v>
      </x:c>
      <x:c r="D1664" s="13" t="b">
        <x:f>Inventory!F27&gt;0</x:f>
        <x:v>1</x:v>
      </x:c>
      <x:c r="E1664" s="58" t="b">
        <x:v>1</x:v>
      </x:c>
      <x:c r="F1664" s="13" t="str">
        <x:f>IF(D1664=E1664,"PASS","FAIL")</x:f>
        <x:v>PASS</x:v>
      </x:c>
    </x:row>
    <x:row r="1665">
      <x:c r="A1665" s="13" t="str">
        <x:v>IN-22-03</x:v>
      </x:c>
      <x:c r="B1665" s="13" t="str">
        <x:v>Inventory</x:v>
      </x:c>
      <x:c r="C1665" s="13" t="str">
        <x:v>RT-CELL-2 inventory adds</x:v>
      </x:c>
      <x:c r="D1665" s="13" t="b">
        <x:f>ABS(Inventory!G27-SUM(Inventory!D27:F27))&lt;0.000001</x:f>
        <x:v>1</x:v>
      </x:c>
      <x:c r="E1665" s="58" t="b">
        <x:v>1</x:v>
      </x:c>
      <x:c r="F1665" s="13" t="str">
        <x:f>IF(D1665=E1665,"PASS","FAIL")</x:f>
        <x:v>PASS</x:v>
      </x:c>
    </x:row>
    <x:row r="1666">
      <x:c r="A1666" s="13" t="str">
        <x:v>IN-22-04</x:v>
      </x:c>
      <x:c r="B1666" s="13" t="str">
        <x:v>Inventory</x:v>
      </x:c>
      <x:c r="C1666" s="13" t="str">
        <x:v>RT-CELL-2 planning passes</x:v>
      </x:c>
      <x:c r="D1666" s="13" t="str">
        <x:f>Inventory!M27</x:f>
        <x:v>PASS</x:v>
      </x:c>
      <x:c r="E1666" s="13" t="str">
        <x:v>PASS</x:v>
      </x:c>
      <x:c r="F1666" s="13" t="str">
        <x:f>IF(D1666=E1666,"PASS","FAIL")</x:f>
        <x:v>PASS</x:v>
      </x:c>
    </x:row>
    <x:row r="1667">
      <x:c r="A1667" s="13" t="str">
        <x:v>IN-22-05</x:v>
      </x:c>
      <x:c r="B1667" s="13" t="str">
        <x:v>Inventory</x:v>
      </x:c>
      <x:c r="C1667" s="13" t="str">
        <x:v>RT-CELL-2 evidence state empty</x:v>
      </x:c>
      <x:c r="D1667" s="13" t="str">
        <x:f>Inventory!N27</x:f>
        <x:v>SOURCE EMPTY</x:v>
      </x:c>
      <x:c r="E1667" s="13" t="str">
        <x:v>SOURCE EMPTY</x:v>
      </x:c>
      <x:c r="F1667" s="13" t="str">
        <x:f>IF(D1667=E1667,"PASS","FAIL")</x:f>
        <x:v>PASS</x:v>
      </x:c>
    </x:row>
    <x:row r="1668">
      <x:c r="A1668" s="13" t="str">
        <x:v>UI-22-01</x:v>
      </x:c>
      <x:c r="B1668" s="13" t="str">
        <x:v>Utility</x:v>
      </x:c>
      <x:c r="C1668" s="13" t="str">
        <x:v>RT-CELL-2 governing power is maximum</x:v>
      </x:c>
      <x:c r="D1668" s="13" t="b">
        <x:f>ABS('Utility Islands'!F27-MAX('Utility Islands'!D27:E27))&lt;0.000001</x:f>
        <x:v>1</x:v>
      </x:c>
      <x:c r="E1668" s="58" t="b">
        <x:v>1</x:v>
      </x:c>
      <x:c r="F1668" s="13" t="str">
        <x:f>IF(D1668=E1668,"PASS","FAIL")</x:f>
        <x:v>PASS</x:v>
      </x:c>
    </x:row>
    <x:row r="1669">
      <x:c r="A1669" s="13" t="str">
        <x:v>UI-22-02</x:v>
      </x:c>
      <x:c r="B1669" s="13" t="str">
        <x:v>Utility</x:v>
      </x:c>
      <x:c r="C1669" s="13" t="str">
        <x:v>RT-CELL-2 reserve factor</x:v>
      </x:c>
      <x:c r="D1669" s="13" t="b">
        <x:f>'Utility Islands'!G27&gt;=1.25</x:f>
        <x:v>1</x:v>
      </x:c>
      <x:c r="E1669" s="58" t="b">
        <x:v>1</x:v>
      </x:c>
      <x:c r="F1669" s="13" t="str">
        <x:f>IF(D1669=E1669,"PASS","FAIL")</x:f>
        <x:v>PASS</x:v>
      </x:c>
    </x:row>
    <x:row r="1670">
      <x:c r="A1670" s="13" t="str">
        <x:v>UI-22-03</x:v>
      </x:c>
      <x:c r="B1670" s="13" t="str">
        <x:v>Utility</x:v>
      </x:c>
      <x:c r="C1670" s="13" t="str">
        <x:v>RT-CELL-2 six modules</x:v>
      </x:c>
      <x:c r="D1670" s="13" t="n">
        <x:f>'Utility Islands'!I27</x:f>
        <x:v>6</x:v>
      </x:c>
      <x:c r="E1670" s="13" t="n">
        <x:v>6</x:v>
      </x:c>
      <x:c r="F1670" s="13" t="str">
        <x:f>IF(D1670=E1670,"PASS","FAIL")</x:f>
        <x:v>PASS</x:v>
      </x:c>
    </x:row>
    <x:row r="1671">
      <x:c r="A1671" s="13" t="str">
        <x:v>UI-22-04</x:v>
      </x:c>
      <x:c r="B1671" s="13" t="str">
        <x:v>Utility</x:v>
      </x:c>
      <x:c r="C1671" s="13" t="str">
        <x:v>RT-CELL-2 closes after module loss</x:v>
      </x:c>
      <x:c r="D1671" s="13" t="b">
        <x:f>'Utility Islands'!K27&gt;='Utility Islands'!F27*'Utility Islands'!G27</x:f>
        <x:v>1</x:v>
      </x:c>
      <x:c r="E1671" s="58" t="b">
        <x:v>1</x:v>
      </x:c>
      <x:c r="F1671" s="13" t="str">
        <x:f>IF(D1671=E1671,"PASS","FAIL")</x:f>
        <x:v>PASS</x:v>
      </x:c>
    </x:row>
    <x:row r="1672">
      <x:c r="A1672" s="13" t="str">
        <x:v>UI-22-05</x:v>
      </x:c>
      <x:c r="B1672" s="13" t="str">
        <x:v>Utility</x:v>
      </x:c>
      <x:c r="C1672" s="13" t="str">
        <x:v>RT-CELL-2 planning passes</x:v>
      </x:c>
      <x:c r="D1672" s="13" t="str">
        <x:f>'Utility Islands'!P27</x:f>
        <x:v>PASS</x:v>
      </x:c>
      <x:c r="E1672" s="13" t="str">
        <x:v>PASS</x:v>
      </x:c>
      <x:c r="F1672" s="13" t="str">
        <x:f>IF(D1672=E1672,"PASS","FAIL")</x:f>
        <x:v>PASS</x:v>
      </x:c>
    </x:row>
    <x:row r="1673">
      <x:c r="A1673" s="13" t="str">
        <x:v>UI-22-06</x:v>
      </x:c>
      <x:c r="B1673" s="13" t="str">
        <x:v>Utility</x:v>
      </x:c>
      <x:c r="C1673" s="13" t="str">
        <x:v>RT-CELL-2 evidence state empty</x:v>
      </x:c>
      <x:c r="D1673" s="13" t="str">
        <x:f>'Utility Islands'!Q27</x:f>
        <x:v>SOURCE EMPTY</x:v>
      </x:c>
      <x:c r="E1673" s="13" t="str">
        <x:v>SOURCE EMPTY</x:v>
      </x:c>
      <x:c r="F1673" s="13" t="str">
        <x:f>IF(D1673=E1673,"PASS","FAIL")</x:f>
        <x:v>PASS</x:v>
      </x:c>
    </x:row>
    <x:row r="1674">
      <x:c r="A1674" s="13" t="str">
        <x:v>WF-23-01</x:v>
      </x:c>
      <x:c r="B1674" s="13" t="str">
        <x:v>Workforce</x:v>
      </x:c>
      <x:c r="C1674" s="13" t="str">
        <x:v>RT-CELL-3 survives denial</x:v>
      </x:c>
      <x:c r="D1674" s="13" t="b">
        <x:f>Workforce!H28&gt;=Workforce!F28</x:f>
        <x:v>1</x:v>
      </x:c>
      <x:c r="E1674" s="58" t="b">
        <x:v>1</x:v>
      </x:c>
      <x:c r="F1674" s="13" t="str">
        <x:f>IF(D1674=E1674,"PASS","FAIL")</x:f>
        <x:v>PASS</x:v>
      </x:c>
    </x:row>
    <x:row r="1675">
      <x:c r="A1675" s="13" t="str">
        <x:v>WF-23-02</x:v>
      </x:c>
      <x:c r="B1675" s="13" t="str">
        <x:v>Workforce</x:v>
      </x:c>
      <x:c r="C1675" s="13" t="str">
        <x:v>RT-CELL-3 has three cohorts</x:v>
      </x:c>
      <x:c r="D1675" s="13" t="n">
        <x:f>Workforce!J28</x:f>
        <x:v>3</x:v>
      </x:c>
      <x:c r="E1675" s="13" t="n">
        <x:v>3</x:v>
      </x:c>
      <x:c r="F1675" s="13" t="str">
        <x:f>IF(D1675=E1675,"PASS","FAIL")</x:f>
        <x:v>PASS</x:v>
      </x:c>
    </x:row>
    <x:row r="1676">
      <x:c r="A1676" s="13" t="str">
        <x:v>WF-23-03</x:v>
      </x:c>
      <x:c r="B1676" s="13" t="str">
        <x:v>Workforce</x:v>
      </x:c>
      <x:c r="C1676" s="13" t="str">
        <x:v>RT-CELL-3 cohort cap</x:v>
      </x:c>
      <x:c r="D1676" s="13" t="b">
        <x:f>Workforce!K28&lt;=0.4</x:f>
        <x:v>1</x:v>
      </x:c>
      <x:c r="E1676" s="58" t="b">
        <x:v>1</x:v>
      </x:c>
      <x:c r="F1676" s="13" t="str">
        <x:f>IF(D1676=E1676,"PASS","FAIL")</x:f>
        <x:v>PASS</x:v>
      </x:c>
    </x:row>
    <x:row r="1677">
      <x:c r="A1677" s="13" t="str">
        <x:v>WF-23-04</x:v>
      </x:c>
      <x:c r="B1677" s="13" t="str">
        <x:v>Workforce</x:v>
      </x:c>
      <x:c r="C1677" s="13" t="str">
        <x:v>RT-CELL-3 planning passes</x:v>
      </x:c>
      <x:c r="D1677" s="13" t="str">
        <x:f>Workforce!O28</x:f>
        <x:v>PASS</x:v>
      </x:c>
      <x:c r="E1677" s="13" t="str">
        <x:v>PASS</x:v>
      </x:c>
      <x:c r="F1677" s="13" t="str">
        <x:f>IF(D1677=E1677,"PASS","FAIL")</x:f>
        <x:v>PASS</x:v>
      </x:c>
    </x:row>
    <x:row r="1678">
      <x:c r="A1678" s="13" t="str">
        <x:v>WF-23-05</x:v>
      </x:c>
      <x:c r="B1678" s="13" t="str">
        <x:v>Workforce</x:v>
      </x:c>
      <x:c r="C1678" s="13" t="str">
        <x:v>RT-CELL-3 evidence state empty</x:v>
      </x:c>
      <x:c r="D1678" s="13" t="str">
        <x:f>Workforce!P28</x:f>
        <x:v>SOURCE EMPTY</x:v>
      </x:c>
      <x:c r="E1678" s="13" t="str">
        <x:v>SOURCE EMPTY</x:v>
      </x:c>
      <x:c r="F1678" s="13" t="str">
        <x:f>IF(D1678=E1678,"PASS","FAIL")</x:f>
        <x:v>PASS</x:v>
      </x:c>
    </x:row>
    <x:row r="1679">
      <x:c r="A1679" s="13" t="str">
        <x:v>IN-23-01</x:v>
      </x:c>
      <x:c r="B1679" s="13" t="str">
        <x:v>Inventory</x:v>
      </x:c>
      <x:c r="C1679" s="13" t="str">
        <x:v>RT-CELL-3 root-one keystone closes</x:v>
      </x:c>
      <x:c r="D1679" s="13" t="b">
        <x:f>ABS(Inventory!D28-VLOOKUP(Inventory!B28,'Root Units'!$A$6:$K$29,5,FALSE)*Controls!$B$28)&lt;0.000001</x:f>
        <x:v>1</x:v>
      </x:c>
      <x:c r="E1679" s="58" t="b">
        <x:v>1</x:v>
      </x:c>
      <x:c r="F1679" s="13" t="str">
        <x:f>IF(D1679=E1679,"PASS","FAIL")</x:f>
        <x:v>PASS</x:v>
      </x:c>
    </x:row>
    <x:row r="1680">
      <x:c r="A1680" s="13" t="str">
        <x:v>IN-23-02</x:v>
      </x:c>
      <x:c r="B1680" s="13" t="str">
        <x:v>Inventory</x:v>
      </x:c>
      <x:c r="C1680" s="13" t="str">
        <x:v>RT-CELL-3 common feedstock closes</x:v>
      </x:c>
      <x:c r="D1680" s="13" t="b">
        <x:f>Inventory!F28&gt;0</x:f>
        <x:v>1</x:v>
      </x:c>
      <x:c r="E1680" s="58" t="b">
        <x:v>1</x:v>
      </x:c>
      <x:c r="F1680" s="13" t="str">
        <x:f>IF(D1680=E1680,"PASS","FAIL")</x:f>
        <x:v>PASS</x:v>
      </x:c>
    </x:row>
    <x:row r="1681">
      <x:c r="A1681" s="13" t="str">
        <x:v>IN-23-03</x:v>
      </x:c>
      <x:c r="B1681" s="13" t="str">
        <x:v>Inventory</x:v>
      </x:c>
      <x:c r="C1681" s="13" t="str">
        <x:v>RT-CELL-3 inventory adds</x:v>
      </x:c>
      <x:c r="D1681" s="13" t="b">
        <x:f>ABS(Inventory!G28-SUM(Inventory!D28:F28))&lt;0.000001</x:f>
        <x:v>1</x:v>
      </x:c>
      <x:c r="E1681" s="58" t="b">
        <x:v>1</x:v>
      </x:c>
      <x:c r="F1681" s="13" t="str">
        <x:f>IF(D1681=E1681,"PASS","FAIL")</x:f>
        <x:v>PASS</x:v>
      </x:c>
    </x:row>
    <x:row r="1682">
      <x:c r="A1682" s="13" t="str">
        <x:v>IN-23-04</x:v>
      </x:c>
      <x:c r="B1682" s="13" t="str">
        <x:v>Inventory</x:v>
      </x:c>
      <x:c r="C1682" s="13" t="str">
        <x:v>RT-CELL-3 planning passes</x:v>
      </x:c>
      <x:c r="D1682" s="13" t="str">
        <x:f>Inventory!M28</x:f>
        <x:v>PASS</x:v>
      </x:c>
      <x:c r="E1682" s="13" t="str">
        <x:v>PASS</x:v>
      </x:c>
      <x:c r="F1682" s="13" t="str">
        <x:f>IF(D1682=E1682,"PASS","FAIL")</x:f>
        <x:v>PASS</x:v>
      </x:c>
    </x:row>
    <x:row r="1683">
      <x:c r="A1683" s="13" t="str">
        <x:v>IN-23-05</x:v>
      </x:c>
      <x:c r="B1683" s="13" t="str">
        <x:v>Inventory</x:v>
      </x:c>
      <x:c r="C1683" s="13" t="str">
        <x:v>RT-CELL-3 evidence state empty</x:v>
      </x:c>
      <x:c r="D1683" s="13" t="str">
        <x:f>Inventory!N28</x:f>
        <x:v>SOURCE EMPTY</x:v>
      </x:c>
      <x:c r="E1683" s="13" t="str">
        <x:v>SOURCE EMPTY</x:v>
      </x:c>
      <x:c r="F1683" s="13" t="str">
        <x:f>IF(D1683=E1683,"PASS","FAIL")</x:f>
        <x:v>PASS</x:v>
      </x:c>
    </x:row>
    <x:row r="1684">
      <x:c r="A1684" s="13" t="str">
        <x:v>UI-23-01</x:v>
      </x:c>
      <x:c r="B1684" s="13" t="str">
        <x:v>Utility</x:v>
      </x:c>
      <x:c r="C1684" s="13" t="str">
        <x:v>RT-CELL-3 governing power is maximum</x:v>
      </x:c>
      <x:c r="D1684" s="13" t="b">
        <x:f>ABS('Utility Islands'!F28-MAX('Utility Islands'!D28:E28))&lt;0.000001</x:f>
        <x:v>1</x:v>
      </x:c>
      <x:c r="E1684" s="58" t="b">
        <x:v>1</x:v>
      </x:c>
      <x:c r="F1684" s="13" t="str">
        <x:f>IF(D1684=E1684,"PASS","FAIL")</x:f>
        <x:v>PASS</x:v>
      </x:c>
    </x:row>
    <x:row r="1685">
      <x:c r="A1685" s="13" t="str">
        <x:v>UI-23-02</x:v>
      </x:c>
      <x:c r="B1685" s="13" t="str">
        <x:v>Utility</x:v>
      </x:c>
      <x:c r="C1685" s="13" t="str">
        <x:v>RT-CELL-3 reserve factor</x:v>
      </x:c>
      <x:c r="D1685" s="13" t="b">
        <x:f>'Utility Islands'!G28&gt;=1.25</x:f>
        <x:v>1</x:v>
      </x:c>
      <x:c r="E1685" s="58" t="b">
        <x:v>1</x:v>
      </x:c>
      <x:c r="F1685" s="13" t="str">
        <x:f>IF(D1685=E1685,"PASS","FAIL")</x:f>
        <x:v>PASS</x:v>
      </x:c>
    </x:row>
    <x:row r="1686">
      <x:c r="A1686" s="13" t="str">
        <x:v>UI-23-03</x:v>
      </x:c>
      <x:c r="B1686" s="13" t="str">
        <x:v>Utility</x:v>
      </x:c>
      <x:c r="C1686" s="13" t="str">
        <x:v>RT-CELL-3 six modules</x:v>
      </x:c>
      <x:c r="D1686" s="13" t="n">
        <x:f>'Utility Islands'!I28</x:f>
        <x:v>6</x:v>
      </x:c>
      <x:c r="E1686" s="13" t="n">
        <x:v>6</x:v>
      </x:c>
      <x:c r="F1686" s="13" t="str">
        <x:f>IF(D1686=E1686,"PASS","FAIL")</x:f>
        <x:v>PASS</x:v>
      </x:c>
    </x:row>
    <x:row r="1687">
      <x:c r="A1687" s="13" t="str">
        <x:v>UI-23-04</x:v>
      </x:c>
      <x:c r="B1687" s="13" t="str">
        <x:v>Utility</x:v>
      </x:c>
      <x:c r="C1687" s="13" t="str">
        <x:v>RT-CELL-3 closes after module loss</x:v>
      </x:c>
      <x:c r="D1687" s="13" t="b">
        <x:f>'Utility Islands'!K28&gt;='Utility Islands'!F28*'Utility Islands'!G28</x:f>
        <x:v>1</x:v>
      </x:c>
      <x:c r="E1687" s="58" t="b">
        <x:v>1</x:v>
      </x:c>
      <x:c r="F1687" s="13" t="str">
        <x:f>IF(D1687=E1687,"PASS","FAIL")</x:f>
        <x:v>PASS</x:v>
      </x:c>
    </x:row>
    <x:row r="1688">
      <x:c r="A1688" s="13" t="str">
        <x:v>UI-23-05</x:v>
      </x:c>
      <x:c r="B1688" s="13" t="str">
        <x:v>Utility</x:v>
      </x:c>
      <x:c r="C1688" s="13" t="str">
        <x:v>RT-CELL-3 planning passes</x:v>
      </x:c>
      <x:c r="D1688" s="13" t="str">
        <x:f>'Utility Islands'!P28</x:f>
        <x:v>PASS</x:v>
      </x:c>
      <x:c r="E1688" s="13" t="str">
        <x:v>PASS</x:v>
      </x:c>
      <x:c r="F1688" s="13" t="str">
        <x:f>IF(D1688=E1688,"PASS","FAIL")</x:f>
        <x:v>PASS</x:v>
      </x:c>
    </x:row>
    <x:row r="1689">
      <x:c r="A1689" s="13" t="str">
        <x:v>UI-23-06</x:v>
      </x:c>
      <x:c r="B1689" s="13" t="str">
        <x:v>Utility</x:v>
      </x:c>
      <x:c r="C1689" s="13" t="str">
        <x:v>RT-CELL-3 evidence state empty</x:v>
      </x:c>
      <x:c r="D1689" s="13" t="str">
        <x:f>'Utility Islands'!Q28</x:f>
        <x:v>SOURCE EMPTY</x:v>
      </x:c>
      <x:c r="E1689" s="13" t="str">
        <x:v>SOURCE EMPTY</x:v>
      </x:c>
      <x:c r="F1689" s="13" t="str">
        <x:f>IF(D1689=E1689,"PASS","FAIL")</x:f>
        <x:v>PASS</x:v>
      </x:c>
    </x:row>
    <x:row r="1690">
      <x:c r="A1690" s="13" t="str">
        <x:v>WF-24-01</x:v>
      </x:c>
      <x:c r="B1690" s="13" t="str">
        <x:v>Workforce</x:v>
      </x:c>
      <x:c r="C1690" s="13" t="str">
        <x:v>RT-CELL-4 survives denial</x:v>
      </x:c>
      <x:c r="D1690" s="13" t="b">
        <x:f>Workforce!H29&gt;=Workforce!F29</x:f>
        <x:v>1</x:v>
      </x:c>
      <x:c r="E1690" s="58" t="b">
        <x:v>1</x:v>
      </x:c>
      <x:c r="F1690" s="13" t="str">
        <x:f>IF(D1690=E1690,"PASS","FAIL")</x:f>
        <x:v>PASS</x:v>
      </x:c>
    </x:row>
    <x:row r="1691">
      <x:c r="A1691" s="13" t="str">
        <x:v>WF-24-02</x:v>
      </x:c>
      <x:c r="B1691" s="13" t="str">
        <x:v>Workforce</x:v>
      </x:c>
      <x:c r="C1691" s="13" t="str">
        <x:v>RT-CELL-4 has three cohorts</x:v>
      </x:c>
      <x:c r="D1691" s="13" t="n">
        <x:f>Workforce!J29</x:f>
        <x:v>3</x:v>
      </x:c>
      <x:c r="E1691" s="13" t="n">
        <x:v>3</x:v>
      </x:c>
      <x:c r="F1691" s="13" t="str">
        <x:f>IF(D1691=E1691,"PASS","FAIL")</x:f>
        <x:v>PASS</x:v>
      </x:c>
    </x:row>
    <x:row r="1692">
      <x:c r="A1692" s="13" t="str">
        <x:v>WF-24-03</x:v>
      </x:c>
      <x:c r="B1692" s="13" t="str">
        <x:v>Workforce</x:v>
      </x:c>
      <x:c r="C1692" s="13" t="str">
        <x:v>RT-CELL-4 cohort cap</x:v>
      </x:c>
      <x:c r="D1692" s="13" t="b">
        <x:f>Workforce!K29&lt;=0.4</x:f>
        <x:v>1</x:v>
      </x:c>
      <x:c r="E1692" s="58" t="b">
        <x:v>1</x:v>
      </x:c>
      <x:c r="F1692" s="13" t="str">
        <x:f>IF(D1692=E1692,"PASS","FAIL")</x:f>
        <x:v>PASS</x:v>
      </x:c>
    </x:row>
    <x:row r="1693">
      <x:c r="A1693" s="13" t="str">
        <x:v>WF-24-04</x:v>
      </x:c>
      <x:c r="B1693" s="13" t="str">
        <x:v>Workforce</x:v>
      </x:c>
      <x:c r="C1693" s="13" t="str">
        <x:v>RT-CELL-4 planning passes</x:v>
      </x:c>
      <x:c r="D1693" s="13" t="str">
        <x:f>Workforce!O29</x:f>
        <x:v>PASS</x:v>
      </x:c>
      <x:c r="E1693" s="13" t="str">
        <x:v>PASS</x:v>
      </x:c>
      <x:c r="F1693" s="13" t="str">
        <x:f>IF(D1693=E1693,"PASS","FAIL")</x:f>
        <x:v>PASS</x:v>
      </x:c>
    </x:row>
    <x:row r="1694">
      <x:c r="A1694" s="13" t="str">
        <x:v>WF-24-05</x:v>
      </x:c>
      <x:c r="B1694" s="13" t="str">
        <x:v>Workforce</x:v>
      </x:c>
      <x:c r="C1694" s="13" t="str">
        <x:v>RT-CELL-4 evidence state empty</x:v>
      </x:c>
      <x:c r="D1694" s="13" t="str">
        <x:f>Workforce!P29</x:f>
        <x:v>SOURCE EMPTY</x:v>
      </x:c>
      <x:c r="E1694" s="13" t="str">
        <x:v>SOURCE EMPTY</x:v>
      </x:c>
      <x:c r="F1694" s="13" t="str">
        <x:f>IF(D1694=E1694,"PASS","FAIL")</x:f>
        <x:v>PASS</x:v>
      </x:c>
    </x:row>
    <x:row r="1695">
      <x:c r="A1695" s="13" t="str">
        <x:v>IN-24-01</x:v>
      </x:c>
      <x:c r="B1695" s="13" t="str">
        <x:v>Inventory</x:v>
      </x:c>
      <x:c r="C1695" s="13" t="str">
        <x:v>RT-CELL-4 root-one keystone closes</x:v>
      </x:c>
      <x:c r="D1695" s="13" t="b">
        <x:f>ABS(Inventory!D29-VLOOKUP(Inventory!B29,'Root Units'!$A$6:$K$29,5,FALSE)*Controls!$B$28)&lt;0.000001</x:f>
        <x:v>1</x:v>
      </x:c>
      <x:c r="E1695" s="58" t="b">
        <x:v>1</x:v>
      </x:c>
      <x:c r="F1695" s="13" t="str">
        <x:f>IF(D1695=E1695,"PASS","FAIL")</x:f>
        <x:v>PASS</x:v>
      </x:c>
    </x:row>
    <x:row r="1696">
      <x:c r="A1696" s="13" t="str">
        <x:v>IN-24-02</x:v>
      </x:c>
      <x:c r="B1696" s="13" t="str">
        <x:v>Inventory</x:v>
      </x:c>
      <x:c r="C1696" s="13" t="str">
        <x:v>RT-CELL-4 common feedstock closes</x:v>
      </x:c>
      <x:c r="D1696" s="13" t="b">
        <x:f>Inventory!F29&gt;0</x:f>
        <x:v>1</x:v>
      </x:c>
      <x:c r="E1696" s="58" t="b">
        <x:v>1</x:v>
      </x:c>
      <x:c r="F1696" s="13" t="str">
        <x:f>IF(D1696=E1696,"PASS","FAIL")</x:f>
        <x:v>PASS</x:v>
      </x:c>
    </x:row>
    <x:row r="1697">
      <x:c r="A1697" s="13" t="str">
        <x:v>IN-24-03</x:v>
      </x:c>
      <x:c r="B1697" s="13" t="str">
        <x:v>Inventory</x:v>
      </x:c>
      <x:c r="C1697" s="13" t="str">
        <x:v>RT-CELL-4 inventory adds</x:v>
      </x:c>
      <x:c r="D1697" s="13" t="b">
        <x:f>ABS(Inventory!G29-SUM(Inventory!D29:F29))&lt;0.000001</x:f>
        <x:v>1</x:v>
      </x:c>
      <x:c r="E1697" s="58" t="b">
        <x:v>1</x:v>
      </x:c>
      <x:c r="F1697" s="13" t="str">
        <x:f>IF(D1697=E1697,"PASS","FAIL")</x:f>
        <x:v>PASS</x:v>
      </x:c>
    </x:row>
    <x:row r="1698">
      <x:c r="A1698" s="13" t="str">
        <x:v>IN-24-04</x:v>
      </x:c>
      <x:c r="B1698" s="13" t="str">
        <x:v>Inventory</x:v>
      </x:c>
      <x:c r="C1698" s="13" t="str">
        <x:v>RT-CELL-4 planning passes</x:v>
      </x:c>
      <x:c r="D1698" s="13" t="str">
        <x:f>Inventory!M29</x:f>
        <x:v>PASS</x:v>
      </x:c>
      <x:c r="E1698" s="13" t="str">
        <x:v>PASS</x:v>
      </x:c>
      <x:c r="F1698" s="13" t="str">
        <x:f>IF(D1698=E1698,"PASS","FAIL")</x:f>
        <x:v>PASS</x:v>
      </x:c>
    </x:row>
    <x:row r="1699">
      <x:c r="A1699" s="13" t="str">
        <x:v>IN-24-05</x:v>
      </x:c>
      <x:c r="B1699" s="13" t="str">
        <x:v>Inventory</x:v>
      </x:c>
      <x:c r="C1699" s="13" t="str">
        <x:v>RT-CELL-4 evidence state empty</x:v>
      </x:c>
      <x:c r="D1699" s="13" t="str">
        <x:f>Inventory!N29</x:f>
        <x:v>SOURCE EMPTY</x:v>
      </x:c>
      <x:c r="E1699" s="13" t="str">
        <x:v>SOURCE EMPTY</x:v>
      </x:c>
      <x:c r="F1699" s="13" t="str">
        <x:f>IF(D1699=E1699,"PASS","FAIL")</x:f>
        <x:v>PASS</x:v>
      </x:c>
    </x:row>
    <x:row r="1700">
      <x:c r="A1700" s="13" t="str">
        <x:v>UI-24-01</x:v>
      </x:c>
      <x:c r="B1700" s="13" t="str">
        <x:v>Utility</x:v>
      </x:c>
      <x:c r="C1700" s="13" t="str">
        <x:v>RT-CELL-4 governing power is maximum</x:v>
      </x:c>
      <x:c r="D1700" s="13" t="b">
        <x:f>ABS('Utility Islands'!F29-MAX('Utility Islands'!D29:E29))&lt;0.000001</x:f>
        <x:v>1</x:v>
      </x:c>
      <x:c r="E1700" s="58" t="b">
        <x:v>1</x:v>
      </x:c>
      <x:c r="F1700" s="13" t="str">
        <x:f>IF(D1700=E1700,"PASS","FAIL")</x:f>
        <x:v>PASS</x:v>
      </x:c>
    </x:row>
    <x:row r="1701">
      <x:c r="A1701" s="13" t="str">
        <x:v>UI-24-02</x:v>
      </x:c>
      <x:c r="B1701" s="13" t="str">
        <x:v>Utility</x:v>
      </x:c>
      <x:c r="C1701" s="13" t="str">
        <x:v>RT-CELL-4 reserve factor</x:v>
      </x:c>
      <x:c r="D1701" s="13" t="b">
        <x:f>'Utility Islands'!G29&gt;=1.25</x:f>
        <x:v>1</x:v>
      </x:c>
      <x:c r="E1701" s="58" t="b">
        <x:v>1</x:v>
      </x:c>
      <x:c r="F1701" s="13" t="str">
        <x:f>IF(D1701=E1701,"PASS","FAIL")</x:f>
        <x:v>PASS</x:v>
      </x:c>
    </x:row>
    <x:row r="1702">
      <x:c r="A1702" s="13" t="str">
        <x:v>UI-24-03</x:v>
      </x:c>
      <x:c r="B1702" s="13" t="str">
        <x:v>Utility</x:v>
      </x:c>
      <x:c r="C1702" s="13" t="str">
        <x:v>RT-CELL-4 six modules</x:v>
      </x:c>
      <x:c r="D1702" s="13" t="n">
        <x:f>'Utility Islands'!I29</x:f>
        <x:v>6</x:v>
      </x:c>
      <x:c r="E1702" s="13" t="n">
        <x:v>6</x:v>
      </x:c>
      <x:c r="F1702" s="13" t="str">
        <x:f>IF(D1702=E1702,"PASS","FAIL")</x:f>
        <x:v>PASS</x:v>
      </x:c>
    </x:row>
    <x:row r="1703">
      <x:c r="A1703" s="13" t="str">
        <x:v>UI-24-04</x:v>
      </x:c>
      <x:c r="B1703" s="13" t="str">
        <x:v>Utility</x:v>
      </x:c>
      <x:c r="C1703" s="13" t="str">
        <x:v>RT-CELL-4 closes after module loss</x:v>
      </x:c>
      <x:c r="D1703" s="13" t="b">
        <x:f>'Utility Islands'!K29&gt;='Utility Islands'!F29*'Utility Islands'!G29</x:f>
        <x:v>1</x:v>
      </x:c>
      <x:c r="E1703" s="58" t="b">
        <x:v>1</x:v>
      </x:c>
      <x:c r="F1703" s="13" t="str">
        <x:f>IF(D1703=E1703,"PASS","FAIL")</x:f>
        <x:v>PASS</x:v>
      </x:c>
    </x:row>
    <x:row r="1704">
      <x:c r="A1704" s="13" t="str">
        <x:v>UI-24-05</x:v>
      </x:c>
      <x:c r="B1704" s="13" t="str">
        <x:v>Utility</x:v>
      </x:c>
      <x:c r="C1704" s="13" t="str">
        <x:v>RT-CELL-4 planning passes</x:v>
      </x:c>
      <x:c r="D1704" s="13" t="str">
        <x:f>'Utility Islands'!P29</x:f>
        <x:v>PASS</x:v>
      </x:c>
      <x:c r="E1704" s="13" t="str">
        <x:v>PASS</x:v>
      </x:c>
      <x:c r="F1704" s="13" t="str">
        <x:f>IF(D1704=E1704,"PASS","FAIL")</x:f>
        <x:v>PASS</x:v>
      </x:c>
    </x:row>
    <x:row r="1705">
      <x:c r="A1705" s="13" t="str">
        <x:v>UI-24-06</x:v>
      </x:c>
      <x:c r="B1705" s="13" t="str">
        <x:v>Utility</x:v>
      </x:c>
      <x:c r="C1705" s="13" t="str">
        <x:v>RT-CELL-4 evidence state empty</x:v>
      </x:c>
      <x:c r="D1705" s="13" t="str">
        <x:f>'Utility Islands'!Q29</x:f>
        <x:v>SOURCE EMPTY</x:v>
      </x:c>
      <x:c r="E1705" s="13" t="str">
        <x:v>SOURCE EMPTY</x:v>
      </x:c>
      <x:c r="F1705" s="13" t="str">
        <x:f>IF(D1705=E1705,"PASS","FAIL")</x:f>
        <x:v>PASS</x:v>
      </x:c>
    </x:row>
    <x:row r="1706">
      <x:c r="A1706" s="13" t="str">
        <x:v>CE-1-01</x:v>
      </x:c>
      <x:c r="B1706" s="13" t="str">
        <x:v>Cohort</x:v>
      </x:c>
      <x:c r="C1706" s="13" t="str">
        <x:v>MS-ET ordered mass envelope</x:v>
      </x:c>
      <x:c r="D1706" s="13" t="b">
        <x:f>AND('Cohort Envelope'!B6&lt;='Cohort Envelope'!C6,'Cohort Envelope'!C6&lt;='Cohort Envelope'!D6)</x:f>
        <x:v>1</x:v>
      </x:c>
      <x:c r="E1706" s="58" t="b">
        <x:v>1</x:v>
      </x:c>
      <x:c r="F1706" s="13" t="str">
        <x:f>IF(D1706=E1706,"PASS","FAIL")</x:f>
        <x:v>PASS</x:v>
      </x:c>
    </x:row>
    <x:row r="1707">
      <x:c r="A1707" s="13" t="str">
        <x:v>CE-1-02</x:v>
      </x:c>
      <x:c r="B1707" s="13" t="str">
        <x:v>Cohort</x:v>
      </x:c>
      <x:c r="C1707" s="13" t="str">
        <x:v>MS-ET four roots</x:v>
      </x:c>
      <x:c r="D1707" s="13" t="n">
        <x:f>'Cohort Envelope'!J6</x:f>
        <x:v>4</x:v>
      </x:c>
      <x:c r="E1707" s="13" t="n">
        <x:v>4</x:v>
      </x:c>
      <x:c r="F1707" s="13" t="str">
        <x:f>IF(D1707=E1707,"PASS","FAIL")</x:f>
        <x:v>PASS</x:v>
      </x:c>
    </x:row>
    <x:row r="1708">
      <x:c r="A1708" s="13" t="str">
        <x:v>CE-1-03</x:v>
      </x:c>
      <x:c r="B1708" s="13" t="str">
        <x:v>Cohort</x:v>
      </x:c>
      <x:c r="C1708" s="13" t="str">
        <x:v>MS-ET public rate positive</x:v>
      </x:c>
      <x:c r="D1708" s="13" t="b">
        <x:f>'Cohort Envelope'!G6&gt;0</x:f>
        <x:v>1</x:v>
      </x:c>
      <x:c r="E1708" s="58" t="b">
        <x:v>1</x:v>
      </x:c>
      <x:c r="F1708" s="13" t="str">
        <x:f>IF(D1708=E1708,"PASS","FAIL")</x:f>
        <x:v>PASS</x:v>
      </x:c>
    </x:row>
    <x:row r="1709">
      <x:c r="A1709" s="13" t="str">
        <x:v>CE-1-04</x:v>
      </x:c>
      <x:c r="B1709" s="13" t="str">
        <x:v>Cohort</x:v>
      </x:c>
      <x:c r="C1709" s="13" t="str">
        <x:v>MS-ET process power positive</x:v>
      </x:c>
      <x:c r="D1709" s="13" t="b">
        <x:f>'Cohort Envelope'!I6&gt;0</x:f>
        <x:v>1</x:v>
      </x:c>
      <x:c r="E1709" s="58" t="b">
        <x:v>1</x:v>
      </x:c>
      <x:c r="F1709" s="13" t="str">
        <x:f>IF(D1709=E1709,"PASS","FAIL")</x:f>
        <x:v>PASS</x:v>
      </x:c>
    </x:row>
    <x:row r="1710">
      <x:c r="A1710" s="13" t="str">
        <x:v>CE-2-01</x:v>
      </x:c>
      <x:c r="B1710" s="13" t="str">
        <x:v>Cohort</x:v>
      </x:c>
      <x:c r="C1710" s="13" t="str">
        <x:v>MS-CT ordered mass envelope</x:v>
      </x:c>
      <x:c r="D1710" s="13" t="b">
        <x:f>AND('Cohort Envelope'!B7&lt;='Cohort Envelope'!C7,'Cohort Envelope'!C7&lt;='Cohort Envelope'!D7)</x:f>
        <x:v>1</x:v>
      </x:c>
      <x:c r="E1710" s="58" t="b">
        <x:v>1</x:v>
      </x:c>
      <x:c r="F1710" s="13" t="str">
        <x:f>IF(D1710=E1710,"PASS","FAIL")</x:f>
        <x:v>PASS</x:v>
      </x:c>
    </x:row>
    <x:row r="1711">
      <x:c r="A1711" s="13" t="str">
        <x:v>CE-2-02</x:v>
      </x:c>
      <x:c r="B1711" s="13" t="str">
        <x:v>Cohort</x:v>
      </x:c>
      <x:c r="C1711" s="13" t="str">
        <x:v>MS-CT four roots</x:v>
      </x:c>
      <x:c r="D1711" s="13" t="n">
        <x:f>'Cohort Envelope'!J7</x:f>
        <x:v>4</x:v>
      </x:c>
      <x:c r="E1711" s="13" t="n">
        <x:v>4</x:v>
      </x:c>
      <x:c r="F1711" s="13" t="str">
        <x:f>IF(D1711=E1711,"PASS","FAIL")</x:f>
        <x:v>PASS</x:v>
      </x:c>
    </x:row>
    <x:row r="1712">
      <x:c r="A1712" s="13" t="str">
        <x:v>CE-2-03</x:v>
      </x:c>
      <x:c r="B1712" s="13" t="str">
        <x:v>Cohort</x:v>
      </x:c>
      <x:c r="C1712" s="13" t="str">
        <x:v>MS-CT public rate positive</x:v>
      </x:c>
      <x:c r="D1712" s="13" t="b">
        <x:f>'Cohort Envelope'!G7&gt;0</x:f>
        <x:v>1</x:v>
      </x:c>
      <x:c r="E1712" s="58" t="b">
        <x:v>1</x:v>
      </x:c>
      <x:c r="F1712" s="13" t="str">
        <x:f>IF(D1712=E1712,"PASS","FAIL")</x:f>
        <x:v>PASS</x:v>
      </x:c>
    </x:row>
    <x:row r="1713">
      <x:c r="A1713" s="13" t="str">
        <x:v>CE-2-04</x:v>
      </x:c>
      <x:c r="B1713" s="13" t="str">
        <x:v>Cohort</x:v>
      </x:c>
      <x:c r="C1713" s="13" t="str">
        <x:v>MS-CT process power positive</x:v>
      </x:c>
      <x:c r="D1713" s="13" t="b">
        <x:f>'Cohort Envelope'!I7&gt;0</x:f>
        <x:v>1</x:v>
      </x:c>
      <x:c r="E1713" s="58" t="b">
        <x:v>1</x:v>
      </x:c>
      <x:c r="F1713" s="13" t="str">
        <x:f>IF(D1713=E1713,"PASS","FAIL")</x:f>
        <x:v>PASS</x:v>
      </x:c>
    </x:row>
    <x:row r="1714">
      <x:c r="A1714" s="13" t="str">
        <x:v>CE-3-01</x:v>
      </x:c>
      <x:c r="B1714" s="13" t="str">
        <x:v>Cohort</x:v>
      </x:c>
      <x:c r="C1714" s="13" t="str">
        <x:v>MS-HC ordered mass envelope</x:v>
      </x:c>
      <x:c r="D1714" s="13" t="b">
        <x:f>AND('Cohort Envelope'!B8&lt;='Cohort Envelope'!C8,'Cohort Envelope'!C8&lt;='Cohort Envelope'!D8)</x:f>
        <x:v>1</x:v>
      </x:c>
      <x:c r="E1714" s="58" t="b">
        <x:v>1</x:v>
      </x:c>
      <x:c r="F1714" s="13" t="str">
        <x:f>IF(D1714=E1714,"PASS","FAIL")</x:f>
        <x:v>PASS</x:v>
      </x:c>
    </x:row>
    <x:row r="1715">
      <x:c r="A1715" s="13" t="str">
        <x:v>CE-3-02</x:v>
      </x:c>
      <x:c r="B1715" s="13" t="str">
        <x:v>Cohort</x:v>
      </x:c>
      <x:c r="C1715" s="13" t="str">
        <x:v>MS-HC four roots</x:v>
      </x:c>
      <x:c r="D1715" s="13" t="n">
        <x:f>'Cohort Envelope'!J8</x:f>
        <x:v>4</x:v>
      </x:c>
      <x:c r="E1715" s="13" t="n">
        <x:v>4</x:v>
      </x:c>
      <x:c r="F1715" s="13" t="str">
        <x:f>IF(D1715=E1715,"PASS","FAIL")</x:f>
        <x:v>PASS</x:v>
      </x:c>
    </x:row>
    <x:row r="1716">
      <x:c r="A1716" s="13" t="str">
        <x:v>CE-3-03</x:v>
      </x:c>
      <x:c r="B1716" s="13" t="str">
        <x:v>Cohort</x:v>
      </x:c>
      <x:c r="C1716" s="13" t="str">
        <x:v>MS-HC public rate positive</x:v>
      </x:c>
      <x:c r="D1716" s="13" t="b">
        <x:f>'Cohort Envelope'!G8&gt;0</x:f>
        <x:v>1</x:v>
      </x:c>
      <x:c r="E1716" s="58" t="b">
        <x:v>1</x:v>
      </x:c>
      <x:c r="F1716" s="13" t="str">
        <x:f>IF(D1716=E1716,"PASS","FAIL")</x:f>
        <x:v>PASS</x:v>
      </x:c>
    </x:row>
    <x:row r="1717">
      <x:c r="A1717" s="13" t="str">
        <x:v>CE-3-04</x:v>
      </x:c>
      <x:c r="B1717" s="13" t="str">
        <x:v>Cohort</x:v>
      </x:c>
      <x:c r="C1717" s="13" t="str">
        <x:v>MS-HC process power positive</x:v>
      </x:c>
      <x:c r="D1717" s="13" t="b">
        <x:f>'Cohort Envelope'!I8&gt;0</x:f>
        <x:v>1</x:v>
      </x:c>
      <x:c r="E1717" s="58" t="b">
        <x:v>1</x:v>
      </x:c>
      <x:c r="F1717" s="13" t="str">
        <x:f>IF(D1717=E1717,"PASS","FAIL")</x:f>
        <x:v>PASS</x:v>
      </x:c>
    </x:row>
    <x:row r="1718">
      <x:c r="A1718" s="13" t="str">
        <x:v>CE-4-01</x:v>
      </x:c>
      <x:c r="B1718" s="13" t="str">
        <x:v>Cohort</x:v>
      </x:c>
      <x:c r="C1718" s="13" t="str">
        <x:v>MS-LF ordered mass envelope</x:v>
      </x:c>
      <x:c r="D1718" s="13" t="b">
        <x:f>AND('Cohort Envelope'!B9&lt;='Cohort Envelope'!C9,'Cohort Envelope'!C9&lt;='Cohort Envelope'!D9)</x:f>
        <x:v>1</x:v>
      </x:c>
      <x:c r="E1718" s="58" t="b">
        <x:v>1</x:v>
      </x:c>
      <x:c r="F1718" s="13" t="str">
        <x:f>IF(D1718=E1718,"PASS","FAIL")</x:f>
        <x:v>PASS</x:v>
      </x:c>
    </x:row>
    <x:row r="1719">
      <x:c r="A1719" s="13" t="str">
        <x:v>CE-4-02</x:v>
      </x:c>
      <x:c r="B1719" s="13" t="str">
        <x:v>Cohort</x:v>
      </x:c>
      <x:c r="C1719" s="13" t="str">
        <x:v>MS-LF four roots</x:v>
      </x:c>
      <x:c r="D1719" s="13" t="n">
        <x:f>'Cohort Envelope'!J9</x:f>
        <x:v>4</x:v>
      </x:c>
      <x:c r="E1719" s="13" t="n">
        <x:v>4</x:v>
      </x:c>
      <x:c r="F1719" s="13" t="str">
        <x:f>IF(D1719=E1719,"PASS","FAIL")</x:f>
        <x:v>PASS</x:v>
      </x:c>
    </x:row>
    <x:row r="1720">
      <x:c r="A1720" s="13" t="str">
        <x:v>CE-4-03</x:v>
      </x:c>
      <x:c r="B1720" s="13" t="str">
        <x:v>Cohort</x:v>
      </x:c>
      <x:c r="C1720" s="13" t="str">
        <x:v>MS-LF public rate positive</x:v>
      </x:c>
      <x:c r="D1720" s="13" t="b">
        <x:f>'Cohort Envelope'!G9&gt;0</x:f>
        <x:v>1</x:v>
      </x:c>
      <x:c r="E1720" s="58" t="b">
        <x:v>1</x:v>
      </x:c>
      <x:c r="F1720" s="13" t="str">
        <x:f>IF(D1720=E1720,"PASS","FAIL")</x:f>
        <x:v>PASS</x:v>
      </x:c>
    </x:row>
    <x:row r="1721">
      <x:c r="A1721" s="13" t="str">
        <x:v>CE-4-04</x:v>
      </x:c>
      <x:c r="B1721" s="13" t="str">
        <x:v>Cohort</x:v>
      </x:c>
      <x:c r="C1721" s="13" t="str">
        <x:v>MS-LF process power positive</x:v>
      </x:c>
      <x:c r="D1721" s="13" t="b">
        <x:f>'Cohort Envelope'!I9&gt;0</x:f>
        <x:v>1</x:v>
      </x:c>
      <x:c r="E1721" s="58" t="b">
        <x:v>1</x:v>
      </x:c>
      <x:c r="F1721" s="13" t="str">
        <x:f>IF(D1721=E1721,"PASS","FAIL")</x:f>
        <x:v>PASS</x:v>
      </x:c>
    </x:row>
    <x:row r="1722">
      <x:c r="A1722" s="13" t="str">
        <x:v>CE-5-01</x:v>
      </x:c>
      <x:c r="B1722" s="13" t="str">
        <x:v>Cohort</x:v>
      </x:c>
      <x:c r="C1722" s="13" t="str">
        <x:v>MS-HU ordered mass envelope</x:v>
      </x:c>
      <x:c r="D1722" s="13" t="b">
        <x:f>AND('Cohort Envelope'!B10&lt;='Cohort Envelope'!C10,'Cohort Envelope'!C10&lt;='Cohort Envelope'!D10)</x:f>
        <x:v>1</x:v>
      </x:c>
      <x:c r="E1722" s="58" t="b">
        <x:v>1</x:v>
      </x:c>
      <x:c r="F1722" s="13" t="str">
        <x:f>IF(D1722=E1722,"PASS","FAIL")</x:f>
        <x:v>PASS</x:v>
      </x:c>
    </x:row>
    <x:row r="1723">
      <x:c r="A1723" s="13" t="str">
        <x:v>CE-5-02</x:v>
      </x:c>
      <x:c r="B1723" s="13" t="str">
        <x:v>Cohort</x:v>
      </x:c>
      <x:c r="C1723" s="13" t="str">
        <x:v>MS-HU four roots</x:v>
      </x:c>
      <x:c r="D1723" s="13" t="n">
        <x:f>'Cohort Envelope'!J10</x:f>
        <x:v>4</x:v>
      </x:c>
      <x:c r="E1723" s="13" t="n">
        <x:v>4</x:v>
      </x:c>
      <x:c r="F1723" s="13" t="str">
        <x:f>IF(D1723=E1723,"PASS","FAIL")</x:f>
        <x:v>PASS</x:v>
      </x:c>
    </x:row>
    <x:row r="1724">
      <x:c r="A1724" s="13" t="str">
        <x:v>CE-5-03</x:v>
      </x:c>
      <x:c r="B1724" s="13" t="str">
        <x:v>Cohort</x:v>
      </x:c>
      <x:c r="C1724" s="13" t="str">
        <x:v>MS-HU public rate positive</x:v>
      </x:c>
      <x:c r="D1724" s="13" t="b">
        <x:f>'Cohort Envelope'!G10&gt;0</x:f>
        <x:v>1</x:v>
      </x:c>
      <x:c r="E1724" s="58" t="b">
        <x:v>1</x:v>
      </x:c>
      <x:c r="F1724" s="13" t="str">
        <x:f>IF(D1724=E1724,"PASS","FAIL")</x:f>
        <x:v>PASS</x:v>
      </x:c>
    </x:row>
    <x:row r="1725">
      <x:c r="A1725" s="13" t="str">
        <x:v>CE-5-04</x:v>
      </x:c>
      <x:c r="B1725" s="13" t="str">
        <x:v>Cohort</x:v>
      </x:c>
      <x:c r="C1725" s="13" t="str">
        <x:v>MS-HU process power positive</x:v>
      </x:c>
      <x:c r="D1725" s="13" t="b">
        <x:f>'Cohort Envelope'!I10&gt;0</x:f>
        <x:v>1</x:v>
      </x:c>
      <x:c r="E1725" s="58" t="b">
        <x:v>1</x:v>
      </x:c>
      <x:c r="F1725" s="13" t="str">
        <x:f>IF(D1725=E1725,"PASS","FAIL")</x:f>
        <x:v>PASS</x:v>
      </x:c>
    </x:row>
    <x:row r="1726">
      <x:c r="A1726" s="13" t="str">
        <x:v>CE-6-01</x:v>
      </x:c>
      <x:c r="B1726" s="13" t="str">
        <x:v>Cohort</x:v>
      </x:c>
      <x:c r="C1726" s="13" t="str">
        <x:v>MS-RT ordered mass envelope</x:v>
      </x:c>
      <x:c r="D1726" s="13" t="b">
        <x:f>AND('Cohort Envelope'!B11&lt;='Cohort Envelope'!C11,'Cohort Envelope'!C11&lt;='Cohort Envelope'!D11)</x:f>
        <x:v>1</x:v>
      </x:c>
      <x:c r="E1726" s="58" t="b">
        <x:v>1</x:v>
      </x:c>
      <x:c r="F1726" s="13" t="str">
        <x:f>IF(D1726=E1726,"PASS","FAIL")</x:f>
        <x:v>PASS</x:v>
      </x:c>
    </x:row>
    <x:row r="1727">
      <x:c r="A1727" s="13" t="str">
        <x:v>CE-6-02</x:v>
      </x:c>
      <x:c r="B1727" s="13" t="str">
        <x:v>Cohort</x:v>
      </x:c>
      <x:c r="C1727" s="13" t="str">
        <x:v>MS-RT four roots</x:v>
      </x:c>
      <x:c r="D1727" s="13" t="n">
        <x:f>'Cohort Envelope'!J11</x:f>
        <x:v>4</x:v>
      </x:c>
      <x:c r="E1727" s="13" t="n">
        <x:v>4</x:v>
      </x:c>
      <x:c r="F1727" s="13" t="str">
        <x:f>IF(D1727=E1727,"PASS","FAIL")</x:f>
        <x:v>PASS</x:v>
      </x:c>
    </x:row>
    <x:row r="1728">
      <x:c r="A1728" s="13" t="str">
        <x:v>CE-6-03</x:v>
      </x:c>
      <x:c r="B1728" s="13" t="str">
        <x:v>Cohort</x:v>
      </x:c>
      <x:c r="C1728" s="13" t="str">
        <x:v>MS-RT public rate positive</x:v>
      </x:c>
      <x:c r="D1728" s="13" t="b">
        <x:f>'Cohort Envelope'!G11&gt;0</x:f>
        <x:v>1</x:v>
      </x:c>
      <x:c r="E1728" s="58" t="b">
        <x:v>1</x:v>
      </x:c>
      <x:c r="F1728" s="13" t="str">
        <x:f>IF(D1728=E1728,"PASS","FAIL")</x:f>
        <x:v>PASS</x:v>
      </x:c>
    </x:row>
    <x:row r="1729">
      <x:c r="A1729" s="13" t="str">
        <x:v>CE-6-04</x:v>
      </x:c>
      <x:c r="B1729" s="13" t="str">
        <x:v>Cohort</x:v>
      </x:c>
      <x:c r="C1729" s="13" t="str">
        <x:v>MS-RT process power positive</x:v>
      </x:c>
      <x:c r="D1729" s="13" t="b">
        <x:f>'Cohort Envelope'!I11&gt;0</x:f>
        <x:v>1</x:v>
      </x:c>
      <x:c r="E1729" s="58" t="b">
        <x:v>1</x:v>
      </x:c>
      <x:c r="F1729" s="13" t="str">
        <x:f>IF(D1729=E1729,"PASS","FAIL")</x:f>
        <x:v>PASS</x:v>
      </x:c>
    </x:row>
    <x:row r="1730">
      <x:c r="A1730" s="13" t="str">
        <x:v>CP-1-01</x:v>
      </x:c>
      <x:c r="B1730" s="13" t="str">
        <x:v>Capital</x:v>
      </x:c>
      <x:c r="C1730" s="13" t="str">
        <x:v>Cell sites and utility islands calculation matches plan</x:v>
      </x:c>
      <x:c r="D1730" s="13" t="b">
        <x:f>ABS('Capital Plan'!G6)&lt;0.000001</x:f>
        <x:v>1</x:v>
      </x:c>
      <x:c r="E1730" s="58" t="b">
        <x:v>1</x:v>
      </x:c>
      <x:c r="F1730" s="13" t="str">
        <x:f>IF(D1730=E1730,"PASS","FAIL")</x:f>
        <x:v>PASS</x:v>
      </x:c>
    </x:row>
    <x:row r="1731">
      <x:c r="A1731" s="13" t="str">
        <x:v>WS-1-01</x:v>
      </x:c>
      <x:c r="B1731" s="13" t="str">
        <x:v>Capital</x:v>
      </x:c>
      <x:c r="C1731" s="13" t="str">
        <x:v>Cell sites and utility islands wave total matches plan</x:v>
      </x:c>
      <x:c r="D1731" s="13" t="b">
        <x:f>ABS('Wave Schedule'!I6)&lt;0.000001</x:f>
        <x:v>1</x:v>
      </x:c>
      <x:c r="E1731" s="58" t="b">
        <x:v>1</x:v>
      </x:c>
      <x:c r="F1731" s="13" t="str">
        <x:f>IF(D1731=E1731,"PASS","FAIL")</x:f>
        <x:v>PASS</x:v>
      </x:c>
    </x:row>
    <x:row r="1732">
      <x:c r="A1732" s="13" t="str">
        <x:v>CP-2-01</x:v>
      </x:c>
      <x:c r="B1732" s="13" t="str">
        <x:v>Capital</x:v>
      </x:c>
      <x:c r="C1732" s="13" t="str">
        <x:v>Adaptive production bays calculation matches plan</x:v>
      </x:c>
      <x:c r="D1732" s="13" t="b">
        <x:f>ABS('Capital Plan'!G7)&lt;0.000001</x:f>
        <x:v>1</x:v>
      </x:c>
      <x:c r="E1732" s="58" t="b">
        <x:v>1</x:v>
      </x:c>
      <x:c r="F1732" s="13" t="str">
        <x:f>IF(D1732=E1732,"PASS","FAIL")</x:f>
        <x:v>PASS</x:v>
      </x:c>
    </x:row>
    <x:row r="1733">
      <x:c r="A1733" s="13" t="str">
        <x:v>WS-2-01</x:v>
      </x:c>
      <x:c r="B1733" s="13" t="str">
        <x:v>Capital</x:v>
      </x:c>
      <x:c r="C1733" s="13" t="str">
        <x:v>Adaptive production bays wave total matches plan</x:v>
      </x:c>
      <x:c r="D1733" s="13" t="b">
        <x:f>ABS('Wave Schedule'!I7)&lt;0.000001</x:f>
        <x:v>1</x:v>
      </x:c>
      <x:c r="E1733" s="58" t="b">
        <x:v>1</x:v>
      </x:c>
      <x:c r="F1733" s="13" t="str">
        <x:f>IF(D1733=E1733,"PASS","FAIL")</x:f>
        <x:v>PASS</x:v>
      </x:c>
    </x:row>
    <x:row r="1734">
      <x:c r="A1734" s="13" t="str">
        <x:v>CP-3-01</x:v>
      </x:c>
      <x:c r="B1734" s="13" t="str">
        <x:v>Capital</x:v>
      </x:c>
      <x:c r="C1734" s="13" t="str">
        <x:v>Root-specific tooling capsules calculation matches plan</x:v>
      </x:c>
      <x:c r="D1734" s="13" t="b">
        <x:f>ABS('Capital Plan'!G8)&lt;0.000001</x:f>
        <x:v>1</x:v>
      </x:c>
      <x:c r="E1734" s="58" t="b">
        <x:v>1</x:v>
      </x:c>
      <x:c r="F1734" s="13" t="str">
        <x:f>IF(D1734=E1734,"PASS","FAIL")</x:f>
        <x:v>PASS</x:v>
      </x:c>
    </x:row>
    <x:row r="1735">
      <x:c r="A1735" s="13" t="str">
        <x:v>WS-3-01</x:v>
      </x:c>
      <x:c r="B1735" s="13" t="str">
        <x:v>Capital</x:v>
      </x:c>
      <x:c r="C1735" s="13" t="str">
        <x:v>Root-specific tooling capsules wave total matches plan</x:v>
      </x:c>
      <x:c r="D1735" s="13" t="b">
        <x:f>ABS('Wave Schedule'!I8)&lt;0.000001</x:f>
        <x:v>1</x:v>
      </x:c>
      <x:c r="E1735" s="58" t="b">
        <x:v>1</x:v>
      </x:c>
      <x:c r="F1735" s="13" t="str">
        <x:f>IF(D1735=E1735,"PASS","FAIL")</x:f>
        <x:v>PASS</x:v>
      </x:c>
    </x:row>
    <x:row r="1736">
      <x:c r="A1736" s="13" t="str">
        <x:v>CP-4-01</x:v>
      </x:c>
      <x:c r="B1736" s="13" t="str">
        <x:v>Capital</x:v>
      </x:c>
      <x:c r="C1736" s="13" t="str">
        <x:v>Material and keystone banks calculation matches plan</x:v>
      </x:c>
      <x:c r="D1736" s="13" t="b">
        <x:f>ABS('Capital Plan'!G9)&lt;0.000001</x:f>
        <x:v>1</x:v>
      </x:c>
      <x:c r="E1736" s="58" t="b">
        <x:v>1</x:v>
      </x:c>
      <x:c r="F1736" s="13" t="str">
        <x:f>IF(D1736=E1736,"PASS","FAIL")</x:f>
        <x:v>PASS</x:v>
      </x:c>
    </x:row>
    <x:row r="1737">
      <x:c r="A1737" s="13" t="str">
        <x:v>WS-4-01</x:v>
      </x:c>
      <x:c r="B1737" s="13" t="str">
        <x:v>Capital</x:v>
      </x:c>
      <x:c r="C1737" s="13" t="str">
        <x:v>Material and keystone banks wave total matches plan</x:v>
      </x:c>
      <x:c r="D1737" s="13" t="b">
        <x:f>ABS('Wave Schedule'!I9)&lt;0.000001</x:f>
        <x:v>1</x:v>
      </x:c>
      <x:c r="E1737" s="58" t="b">
        <x:v>1</x:v>
      </x:c>
      <x:c r="F1737" s="13" t="str">
        <x:f>IF(D1737=E1737,"PASS","FAIL")</x:f>
        <x:v>PASS</x:v>
      </x:c>
    </x:row>
    <x:row r="1738">
      <x:c r="A1738" s="13" t="str">
        <x:v>CP-5-01</x:v>
      </x:c>
      <x:c r="B1738" s="13" t="str">
        <x:v>Capital</x:v>
      </x:c>
      <x:c r="C1738" s="13" t="str">
        <x:v>Reference and qualification articles calculation matches plan</x:v>
      </x:c>
      <x:c r="D1738" s="13" t="b">
        <x:f>ABS('Capital Plan'!G10)&lt;0.000001</x:f>
        <x:v>1</x:v>
      </x:c>
      <x:c r="E1738" s="58" t="b">
        <x:v>1</x:v>
      </x:c>
      <x:c r="F1738" s="13" t="str">
        <x:f>IF(D1738=E1738,"PASS","FAIL")</x:f>
        <x:v>PASS</x:v>
      </x:c>
    </x:row>
    <x:row r="1739">
      <x:c r="A1739" s="13" t="str">
        <x:v>WS-5-01</x:v>
      </x:c>
      <x:c r="B1739" s="13" t="str">
        <x:v>Capital</x:v>
      </x:c>
      <x:c r="C1739" s="13" t="str">
        <x:v>Reference and qualification articles wave total matches plan</x:v>
      </x:c>
      <x:c r="D1739" s="13" t="b">
        <x:f>ABS('Wave Schedule'!I10)&lt;0.000001</x:f>
        <x:v>1</x:v>
      </x:c>
      <x:c r="E1739" s="58" t="b">
        <x:v>1</x:v>
      </x:c>
      <x:c r="F1739" s="13" t="str">
        <x:f>IF(D1739=E1739,"PASS","FAIL")</x:f>
        <x:v>PASS</x:v>
      </x:c>
    </x:row>
    <x:row r="1740">
      <x:c r="A1740" s="13" t="str">
        <x:v>CP-6-01</x:v>
      </x:c>
      <x:c r="B1740" s="13" t="str">
        <x:v>Capital</x:v>
      </x:c>
      <x:c r="C1740" s="13" t="str">
        <x:v>Workforce schools and credential twins calculation matches plan</x:v>
      </x:c>
      <x:c r="D1740" s="13" t="b">
        <x:f>ABS('Capital Plan'!G11)&lt;0.000001</x:f>
        <x:v>1</x:v>
      </x:c>
      <x:c r="E1740" s="58" t="b">
        <x:v>1</x:v>
      </x:c>
      <x:c r="F1740" s="13" t="str">
        <x:f>IF(D1740=E1740,"PASS","FAIL")</x:f>
        <x:v>PASS</x:v>
      </x:c>
    </x:row>
    <x:row r="1741">
      <x:c r="A1741" s="13" t="str">
        <x:v>WS-6-01</x:v>
      </x:c>
      <x:c r="B1741" s="13" t="str">
        <x:v>Capital</x:v>
      </x:c>
      <x:c r="C1741" s="13" t="str">
        <x:v>Workforce schools and credential twins wave total matches plan</x:v>
      </x:c>
      <x:c r="D1741" s="13" t="b">
        <x:f>ABS('Wave Schedule'!I11)&lt;0.000001</x:f>
        <x:v>1</x:v>
      </x:c>
      <x:c r="E1741" s="58" t="b">
        <x:v>1</x:v>
      </x:c>
      <x:c r="F1741" s="13" t="str">
        <x:f>IF(D1741=E1741,"PASS","FAIL")</x:f>
        <x:v>PASS</x:v>
      </x:c>
    </x:row>
    <x:row r="1742">
      <x:c r="A1742" s="13" t="str">
        <x:v>CP-7-01</x:v>
      </x:c>
      <x:c r="B1742" s="13" t="str">
        <x:v>Capital</x:v>
      </x:c>
      <x:c r="C1742" s="13" t="str">
        <x:v>Metrology and configuration custody calculation matches plan</x:v>
      </x:c>
      <x:c r="D1742" s="13" t="b">
        <x:f>ABS('Capital Plan'!G12)&lt;0.000001</x:f>
        <x:v>1</x:v>
      </x:c>
      <x:c r="E1742" s="58" t="b">
        <x:v>1</x:v>
      </x:c>
      <x:c r="F1742" s="13" t="str">
        <x:f>IF(D1742=E1742,"PASS","FAIL")</x:f>
        <x:v>PASS</x:v>
      </x:c>
    </x:row>
    <x:row r="1743">
      <x:c r="A1743" s="13" t="str">
        <x:v>WS-7-01</x:v>
      </x:c>
      <x:c r="B1743" s="13" t="str">
        <x:v>Capital</x:v>
      </x:c>
      <x:c r="C1743" s="13" t="str">
        <x:v>Metrology and configuration custody wave total matches plan</x:v>
      </x:c>
      <x:c r="D1743" s="13" t="b">
        <x:f>ABS('Wave Schedule'!I12)&lt;0.000001</x:f>
        <x:v>1</x:v>
      </x:c>
      <x:c r="E1743" s="58" t="b">
        <x:v>1</x:v>
      </x:c>
      <x:c r="F1743" s="13" t="str">
        <x:f>IF(D1743=E1743,"PASS","FAIL")</x:f>
        <x:v>PASS</x:v>
      </x:c>
    </x:row>
    <x:row r="1744">
      <x:c r="A1744" s="13" t="str">
        <x:v>CP-8-01</x:v>
      </x:c>
      <x:c r="B1744" s="13" t="str">
        <x:v>Capital</x:v>
      </x:c>
      <x:c r="C1744" s="13" t="str">
        <x:v>Transport and receiver bridges calculation matches plan</x:v>
      </x:c>
      <x:c r="D1744" s="13" t="b">
        <x:f>ABS('Capital Plan'!G13)&lt;0.000001</x:f>
        <x:v>1</x:v>
      </x:c>
      <x:c r="E1744" s="58" t="b">
        <x:v>1</x:v>
      </x:c>
      <x:c r="F1744" s="13" t="str">
        <x:f>IF(D1744=E1744,"PASS","FAIL")</x:f>
        <x:v>PASS</x:v>
      </x:c>
    </x:row>
    <x:row r="1745">
      <x:c r="A1745" s="13" t="str">
        <x:v>WS-8-01</x:v>
      </x:c>
      <x:c r="B1745" s="13" t="str">
        <x:v>Capital</x:v>
      </x:c>
      <x:c r="C1745" s="13" t="str">
        <x:v>Transport and receiver bridges wave total matches plan</x:v>
      </x:c>
      <x:c r="D1745" s="13" t="b">
        <x:f>ABS('Wave Schedule'!I13)&lt;0.000001</x:f>
        <x:v>1</x:v>
      </x:c>
      <x:c r="E1745" s="58" t="b">
        <x:v>1</x:v>
      </x:c>
      <x:c r="F1745" s="13" t="str">
        <x:f>IF(D1745=E1745,"PASS","FAIL")</x:f>
        <x:v>PASS</x:v>
      </x:c>
    </x:row>
    <x:row r="1746">
      <x:c r="A1746" s="13" t="str">
        <x:v>CP-9-01</x:v>
      </x:c>
      <x:c r="B1746" s="13" t="str">
        <x:v>Capital</x:v>
      </x:c>
      <x:c r="C1746" s="13" t="str">
        <x:v>Renewal and reconfiguration reserve calculation matches plan</x:v>
      </x:c>
      <x:c r="D1746" s="13" t="b">
        <x:f>ABS('Capital Plan'!G14)&lt;0.000001</x:f>
        <x:v>1</x:v>
      </x:c>
      <x:c r="E1746" s="58" t="b">
        <x:v>1</x:v>
      </x:c>
      <x:c r="F1746" s="13" t="str">
        <x:f>IF(D1746=E1746,"PASS","FAIL")</x:f>
        <x:v>PASS</x:v>
      </x:c>
    </x:row>
    <x:row r="1747">
      <x:c r="A1747" s="13" t="str">
        <x:v>WS-9-01</x:v>
      </x:c>
      <x:c r="B1747" s="13" t="str">
        <x:v>Capital</x:v>
      </x:c>
      <x:c r="C1747" s="13" t="str">
        <x:v>Renewal and reconfiguration reserve wave total matches plan</x:v>
      </x:c>
      <x:c r="D1747" s="13" t="b">
        <x:f>ABS('Wave Schedule'!I14)&lt;0.000001</x:f>
        <x:v>1</x:v>
      </x:c>
      <x:c r="E1747" s="58" t="b">
        <x:v>1</x:v>
      </x:c>
      <x:c r="F1747" s="13" t="str">
        <x:f>IF(D1747=E1747,"PASS","FAIL")</x:f>
        <x:v>PASS</x:v>
      </x:c>
    </x:row>
    <x:row r="1748">
      <x:c r="A1748" s="13" t="str">
        <x:v>IP-1-01</x:v>
      </x:c>
      <x:c r="B1748" s="13" t="str">
        <x:v>Innovation</x:v>
      </x:c>
      <x:c r="C1748" s="13" t="str">
        <x:v>Programmable denial worlds authority positive</x:v>
      </x:c>
      <x:c r="D1748" s="13" t="b">
        <x:f>'Innovation Program'!D6&gt;0</x:f>
        <x:v>1</x:v>
      </x:c>
      <x:c r="E1748" s="58" t="b">
        <x:v>1</x:v>
      </x:c>
      <x:c r="F1748" s="13" t="str">
        <x:f>IF(D1748=E1748,"PASS","FAIL")</x:f>
        <x:v>PASS</x:v>
      </x:c>
    </x:row>
    <x:row r="1749">
      <x:c r="A1749" s="13" t="str">
        <x:v>IP-2-01</x:v>
      </x:c>
      <x:c r="B1749" s="13" t="str">
        <x:v>Innovation</x:v>
      </x:c>
      <x:c r="C1749" s="13" t="str">
        <x:v>Matched counterfactual environments authority positive</x:v>
      </x:c>
      <x:c r="D1749" s="13" t="b">
        <x:f>'Innovation Program'!D7&gt;0</x:f>
        <x:v>1</x:v>
      </x:c>
      <x:c r="E1749" s="58" t="b">
        <x:v>1</x:v>
      </x:c>
      <x:c r="F1749" s="13" t="str">
        <x:f>IF(D1749=E1749,"PASS","FAIL")</x:f>
        <x:v>PASS</x:v>
      </x:c>
    </x:row>
    <x:row r="1750">
      <x:c r="A1750" s="13" t="str">
        <x:v>IP-3-01</x:v>
      </x:c>
      <x:c r="B1750" s="13" t="str">
        <x:v>Innovation</x:v>
      </x:c>
      <x:c r="C1750" s="13" t="str">
        <x:v>Cold reconstruction factories authority positive</x:v>
      </x:c>
      <x:c r="D1750" s="13" t="b">
        <x:f>'Innovation Program'!D8&gt;0</x:f>
        <x:v>1</x:v>
      </x:c>
      <x:c r="E1750" s="58" t="b">
        <x:v>1</x:v>
      </x:c>
      <x:c r="F1750" s="13" t="str">
        <x:f>IF(D1750=E1750,"PASS","FAIL")</x:f>
        <x:v>PASS</x:v>
      </x:c>
    </x:row>
    <x:row r="1751">
      <x:c r="A1751" s="13" t="str">
        <x:v>IP-4-01</x:v>
      </x:c>
      <x:c r="B1751" s="13" t="str">
        <x:v>Innovation</x:v>
      </x:c>
      <x:c r="C1751" s="13" t="str">
        <x:v>Public metrology and custody authority positive</x:v>
      </x:c>
      <x:c r="D1751" s="13" t="b">
        <x:f>'Innovation Program'!D9&gt;0</x:f>
        <x:v>1</x:v>
      </x:c>
      <x:c r="E1751" s="58" t="b">
        <x:v>1</x:v>
      </x:c>
      <x:c r="F1751" s="13" t="str">
        <x:f>IF(D1751=E1751,"PASS","FAIL")</x:f>
        <x:v>PASS</x:v>
      </x:c>
    </x:row>
    <x:row r="1752">
      <x:c r="A1752" s="13" t="str">
        <x:v>IP-5-01</x:v>
      </x:c>
      <x:c r="B1752" s="13" t="str">
        <x:v>Innovation</x:v>
      </x:c>
      <x:c r="C1752" s="13" t="str">
        <x:v>Industrial-ancestry observation authority positive</x:v>
      </x:c>
      <x:c r="D1752" s="13" t="b">
        <x:f>'Innovation Program'!D10&gt;0</x:f>
        <x:v>1</x:v>
      </x:c>
      <x:c r="E1752" s="58" t="b">
        <x:v>1</x:v>
      </x:c>
      <x:c r="F1752" s="13" t="str">
        <x:f>IF(D1752=E1752,"PASS","FAIL")</x:f>
        <x:v>PASS</x:v>
      </x:c>
    </x:row>
    <x:row r="1753">
      <x:c r="A1753" s="13" t="str">
        <x:v>IP-6-01</x:v>
      </x:c>
      <x:c r="B1753" s="13" t="str">
        <x:v>Innovation</x:v>
      </x:c>
      <x:c r="C1753" s="13" t="str">
        <x:v>Authority provenance authority positive</x:v>
      </x:c>
      <x:c r="D1753" s="13" t="b">
        <x:f>'Innovation Program'!D11&gt;0</x:f>
        <x:v>1</x:v>
      </x:c>
      <x:c r="E1753" s="58" t="b">
        <x:v>1</x:v>
      </x:c>
      <x:c r="F1753" s="13" t="str">
        <x:f>IF(D1753=E1753,"PASS","FAIL")</x:f>
        <x:v>PASS</x:v>
      </x:c>
    </x:row>
    <x:row r="1754">
      <x:c r="A1754" s="13" t="str">
        <x:v>IP-7-01</x:v>
      </x:c>
      <x:c r="B1754" s="13" t="str">
        <x:v>Innovation</x:v>
      </x:c>
      <x:c r="C1754" s="13" t="str">
        <x:v>Machine-readable service contracts authority positive</x:v>
      </x:c>
      <x:c r="D1754" s="13" t="b">
        <x:f>'Innovation Program'!D12&gt;0</x:f>
        <x:v>1</x:v>
      </x:c>
      <x:c r="E1754" s="58" t="b">
        <x:v>1</x:v>
      </x:c>
      <x:c r="F1754" s="13" t="str">
        <x:f>IF(D1754=E1754,"PASS","FAIL")</x:f>
        <x:v>PASS</x:v>
      </x:c>
    </x:row>
    <x:row r="1755">
      <x:c r="A1755" s="13" t="str">
        <x:v>IP-8-01</x:v>
      </x:c>
      <x:c r="B1755" s="13" t="str">
        <x:v>Innovation</x:v>
      </x:c>
      <x:c r="C1755" s="13" t="str">
        <x:v>Dynamic serial reservation authority positive</x:v>
      </x:c>
      <x:c r="D1755" s="13" t="b">
        <x:f>'Innovation Program'!D13&gt;0</x:f>
        <x:v>1</x:v>
      </x:c>
      <x:c r="E1755" s="58" t="b">
        <x:v>1</x:v>
      </x:c>
      <x:c r="F1755" s="13" t="str">
        <x:f>IF(D1755=E1755,"PASS","FAIL")</x:f>
        <x:v>PASS</x:v>
      </x:c>
    </x:row>
    <x:row r="1756">
      <x:c r="A1756" s="13" t="str">
        <x:v>IP-9-01</x:v>
      </x:c>
      <x:c r="B1756" s="13" t="str">
        <x:v>Innovation</x:v>
      </x:c>
      <x:c r="C1756" s="13" t="str">
        <x:v>Open-interface verification authority positive</x:v>
      </x:c>
      <x:c r="D1756" s="13" t="b">
        <x:f>'Innovation Program'!D14&gt;0</x:f>
        <x:v>1</x:v>
      </x:c>
      <x:c r="E1756" s="58" t="b">
        <x:v>1</x:v>
      </x:c>
      <x:c r="F1756" s="13" t="str">
        <x:f>IF(D1756=E1756,"PASS","FAIL")</x:f>
        <x:v>PASS</x:v>
      </x:c>
    </x:row>
    <x:row r="1757">
      <x:c r="A1757" s="13" t="str">
        <x:v>IP-10-01</x:v>
      </x:c>
      <x:c r="B1757" s="13" t="str">
        <x:v>Innovation</x:v>
      </x:c>
      <x:c r="C1757" s="13" t="str">
        <x:v>Synthetic civil populations authority positive</x:v>
      </x:c>
      <x:c r="D1757" s="13" t="b">
        <x:f>'Innovation Program'!D15&gt;0</x:f>
        <x:v>1</x:v>
      </x:c>
      <x:c r="E1757" s="58" t="b">
        <x:v>1</x:v>
      </x:c>
      <x:c r="F1757" s="13" t="str">
        <x:f>IF(D1757=E1757,"PASS","FAIL")</x:f>
        <x:v>PASS</x:v>
      </x:c>
    </x:row>
    <x:row r="1758">
      <x:c r="A1758" s="13" t="str">
        <x:v>IP-11-01</x:v>
      </x:c>
      <x:c r="B1758" s="13" t="str">
        <x:v>Innovation</x:v>
      </x:c>
      <x:c r="C1758" s="13" t="str">
        <x:v>Relationship-state instruments authority positive</x:v>
      </x:c>
      <x:c r="D1758" s="13" t="b">
        <x:f>'Innovation Program'!D16&gt;0</x:f>
        <x:v>1</x:v>
      </x:c>
      <x:c r="E1758" s="58" t="b">
        <x:v>1</x:v>
      </x:c>
      <x:c r="F1758" s="13" t="str">
        <x:f>IF(D1758=E1758,"PASS","FAIL")</x:f>
        <x:v>PASS</x:v>
      </x:c>
    </x:row>
    <x:row r="1759">
      <x:c r="A1759" s="13" t="str">
        <x:v>IP-12-01</x:v>
      </x:c>
      <x:c r="B1759" s="13" t="str">
        <x:v>Innovation</x:v>
      </x:c>
      <x:c r="C1759" s="13" t="str">
        <x:v>Causal service telemetry authority positive</x:v>
      </x:c>
      <x:c r="D1759" s="13" t="b">
        <x:f>'Innovation Program'!D17&gt;0</x:f>
        <x:v>1</x:v>
      </x:c>
      <x:c r="E1759" s="58" t="b">
        <x:v>1</x:v>
      </x:c>
      <x:c r="F1759" s="13" t="str">
        <x:f>IF(D1759=E1759,"PASS","FAIL")</x:f>
        <x:v>PASS</x:v>
      </x:c>
    </x:row>
    <x:row r="1760">
      <x:c r="A1760" s="13" t="str">
        <x:v>IP-13-01</x:v>
      </x:c>
      <x:c r="B1760" s="13" t="str">
        <x:v>Innovation</x:v>
      </x:c>
      <x:c r="C1760" s="13" t="str">
        <x:v>Self-forming standards authority positive</x:v>
      </x:c>
      <x:c r="D1760" s="13" t="b">
        <x:f>'Innovation Program'!D18&gt;0</x:f>
        <x:v>1</x:v>
      </x:c>
      <x:c r="E1760" s="58" t="b">
        <x:v>1</x:v>
      </x:c>
      <x:c r="F1760" s="13" t="str">
        <x:f>IF(D1760=E1760,"PASS","FAIL")</x:f>
        <x:v>PASS</x:v>
      </x:c>
    </x:row>
    <x:row r="1761">
      <x:c r="A1761" s="13" t="str">
        <x:v>IP-14-01</x:v>
      </x:c>
      <x:c r="B1761" s="13" t="str">
        <x:v>Innovation</x:v>
      </x:c>
      <x:c r="C1761" s="13" t="str">
        <x:v>Adverse-evidence incentives authority positive</x:v>
      </x:c>
      <x:c r="D1761" s="13" t="b">
        <x:f>'Innovation Program'!D19&gt;0</x:f>
        <x:v>1</x:v>
      </x:c>
      <x:c r="E1761" s="58" t="b">
        <x:v>1</x:v>
      </x:c>
      <x:c r="F1761" s="13" t="str">
        <x:f>IF(D1761=E1761,"PASS","FAIL")</x:f>
        <x:v>PASS</x:v>
      </x:c>
    </x:row>
    <x:row r="1762">
      <x:c r="A1762" s="13" t="str">
        <x:v>IP-15-01</x:v>
      </x:c>
      <x:c r="B1762" s="13" t="str">
        <x:v>Innovation</x:v>
      </x:c>
      <x:c r="C1762" s="13" t="str">
        <x:v>Rapid recertification authority positive</x:v>
      </x:c>
      <x:c r="D1762" s="13" t="b">
        <x:f>'Innovation Program'!D20&gt;0</x:f>
        <x:v>1</x:v>
      </x:c>
      <x:c r="E1762" s="58" t="b">
        <x:v>1</x:v>
      </x:c>
      <x:c r="F1762" s="13" t="str">
        <x:f>IF(D1762=E1762,"PASS","FAIL")</x:f>
        <x:v>PASS</x:v>
      </x:c>
    </x:row>
    <x:row r="1763">
      <x:c r="A1763" s="13" t="str">
        <x:v>IP-16-01</x:v>
      </x:c>
      <x:c r="B1763" s="13" t="str">
        <x:v>Innovation</x:v>
      </x:c>
      <x:c r="C1763" s="13" t="str">
        <x:v>Regenerative calibration roots authority positive</x:v>
      </x:c>
      <x:c r="D1763" s="13" t="b">
        <x:f>'Innovation Program'!D21&gt;0</x:f>
        <x:v>1</x:v>
      </x:c>
      <x:c r="E1763" s="58" t="b">
        <x:v>1</x:v>
      </x:c>
      <x:c r="F1763" s="13" t="str">
        <x:f>IF(D1763=E1763,"PASS","FAIL")</x:f>
        <x:v>PASS</x:v>
      </x:c>
    </x:row>
  </x:sheetData>
  <x:conditionalFormatting sqref="F6:F1763">
    <x:cfRule type="containsText" dxfId="20" priority="1" operator="containsText" text="FAIL"/>
    <x:cfRule type="containsText" dxfId="21" priority="2" operator="containsText" text="SOURCE EMPTY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6" hidden="0" customWidth="1"/>
    <x:col min="4" max="4" width="72" hidden="0" customWidth="1"/>
    <x:col min="5" max="5" width="34" hidden="0" customWidth="1"/>
  </x:cols>
  <x:sheetData>
    <x:row r="2">
      <x:c r="A2" s="59" t="str">
        <x:v>Internal source register</x:v>
      </x:c>
      <x:c r="B2" s="60"/>
      <x:c r="C2" s="60"/>
      <x:c r="D2" s="60"/>
      <x:c r="E2" s="60"/>
    </x:row>
    <x:row r="3">
      <x:c r="A3" s="61" t="str">
        <x:v>No external-site research is introduced. Hypotheses are separated from inherited controlled values.</x:v>
      </x:c>
      <x:c r="B3" s="61"/>
      <x:c r="C3" s="61"/>
      <x:c r="D3" s="61"/>
      <x:c r="E3" s="61"/>
    </x:row>
    <x:row r="4">
      <x:c r="A4" s="62"/>
      <x:c r="B4" s="62"/>
      <x:c r="C4" s="62"/>
      <x:c r="D4" s="62"/>
      <x:c r="E4" s="62"/>
    </x:row>
    <x:row r="5" ht="30" customHeight="1">
      <x:c r="A5" s="9" t="str">
        <x:v>Authority</x:v>
      </x:c>
      <x:c r="B5" s="9" t="str">
        <x:v>Artifact</x:v>
      </x:c>
      <x:c r="C5" s="9" t="str">
        <x:v>Access</x:v>
      </x:c>
      <x:c r="D5" s="9" t="str">
        <x:v>Use</x:v>
      </x:c>
      <x:c r="E5" s="9" t="str">
        <x:v>Limitation</x:v>
      </x:c>
    </x:row>
    <x:row r="6">
      <x:c r="A6" s="12" t="str">
        <x:v>Pass 180</x:v>
      </x:c>
      <x:c r="B6" s="12" t="str">
        <x:v>Six-system G3 proof-unit and evidence-estate constitution</x:v>
      </x:c>
      <x:c r="C6" s="12" t="str">
        <x:v>Internal workbook and analysis</x:v>
      </x:c>
      <x:c r="D6" s="12" t="str">
        <x:v>System-native positions and root campaign denominator</x:v>
      </x:c>
      <x:c r="E6" s="12" t="str">
        <x:v>No external site</x:v>
      </x:c>
    </x:row>
    <x:row r="7">
      <x:c r="A7" s="13" t="str">
        <x:v>Pass 182</x:v>
      </x:c>
      <x:c r="B7" s="13" t="str">
        <x:v>Twenty non-lifeline root physical-balance constitution</x:v>
      </x:c>
      <x:c r="C7" s="13" t="str">
        <x:v>Internal workbook and analysis</x:v>
      </x:c>
      <x:c r="D7" s="13" t="str">
        <x:v>Twenty controlled dry-mass and workforce envelopes</x:v>
      </x:c>
      <x:c r="E7" s="13" t="str">
        <x:v>No external site</x:v>
      </x:c>
    </x:row>
    <x:row r="8">
      <x:c r="A8" s="13" t="str">
        <x:v>Pass 176</x:v>
      </x:c>
      <x:c r="B8" s="13" t="str">
        <x:v>Lifeline four-root physical configuration constitution</x:v>
      </x:c>
      <x:c r="C8" s="13" t="str">
        <x:v>Internal workbook and analysis</x:v>
      </x:c>
      <x:c r="D8" s="13" t="str">
        <x:v>Four lifeline root masses divided by the inherited quarter-service denominator</x:v>
      </x:c>
      <x:c r="E8" s="13" t="str">
        <x:v>No external site</x:v>
      </x:c>
    </x:row>
    <x:row r="9">
      <x:c r="A9" s="13" t="str">
        <x:v>Pass 185</x:v>
      </x:c>
      <x:c r="B9" s="13" t="str">
        <x:v>Industrial command constitution</x:v>
      </x:c>
      <x:c r="C9" s="13" t="str">
        <x:v>Internal workbook and analysis</x:v>
      </x:c>
      <x:c r="D9" s="13" t="str">
        <x:v>Industrial Mobilization Administration, warrants and USD 100B technology account</x:v>
      </x:c>
      <x:c r="E9" s="13" t="str">
        <x:v>No external site</x:v>
      </x:c>
    </x:row>
    <x:row r="10">
      <x:c r="A10" s="13" t="str">
        <x:v>Pass 186</x:v>
      </x:c>
      <x:c r="B10" s="13" t="str">
        <x:v>Chartered root-house market, production and export constitution</x:v>
      </x:c>
      <x:c r="C10" s="13" t="str">
        <x:v>Internal workbook and analysis</x:v>
      </x:c>
      <x:c r="D10" s="13" t="str">
        <x:v>Twenty-four roots, twenty-four public cells, forty-eight qualifications and USD 250B estate</x:v>
      </x:c>
      <x:c r="E10" s="13" t="str">
        <x:v>No external site</x:v>
      </x:c>
    </x:row>
    <x:row r="11">
      <x:c r="A11" s="13" t="str">
        <x:v>Pass 187</x:v>
      </x:c>
      <x:c r="B11" s="13" t="str">
        <x:v>Controlled acquisition hypotheses</x:v>
      </x:c>
      <x:c r="C11" s="13" t="str">
        <x:v>This workbook</x:v>
      </x:c>
      <x:c r="D11" s="13" t="str">
        <x:v>Recovery clocks, labor intensity, process energy, inventory fractions and capital distribution</x:v>
      </x:c>
      <x:c r="E11" s="13" t="str">
        <x:v>Unproved; evidence fields remain empty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2">
      <x:c r="A2" s="59" t="str">
        <x:v>Workbook use and limits</x:v>
      </x:c>
      <x:c r="B2" s="60"/>
    </x:row>
    <x:row r="3">
      <x:c r="A3" s="61" t="str">
        <x:v>Pass 187 production-recovery service constitution.</x:v>
      </x:c>
      <x:c r="B3" s="61"/>
    </x:row>
    <x:row r="4">
      <x:c r="A4" s="62"/>
      <x:c r="B4" s="62"/>
    </x:row>
    <x:row r="5" ht="30" customHeight="1">
      <x:c r="A5" s="9" t="str">
        <x:v>Topic</x:v>
      </x:c>
      <x:c r="B5" s="9" t="str">
        <x:v>Rule</x:v>
      </x:c>
    </x:row>
    <x:row r="6">
      <x:c r="A6" s="12" t="str">
        <x:v>Decision</x:v>
      </x:c>
      <x:c r="B6" s="12" t="str">
        <x:v>Selects the dual-path root recovery service and summarizes the physical/fiscal envelope.</x:v>
      </x:c>
    </x:row>
    <x:row r="7">
      <x:c r="A7" s="13" t="str">
        <x:v>Editing</x:v>
      </x:c>
      <x:c r="B7" s="13" t="str">
        <x:v>Only blue/yellow cells are controlled planning inputs or source-empty implementation fields.</x:v>
      </x:c>
    </x:row>
    <x:row r="8">
      <x:c r="A8" s="13" t="str">
        <x:v>Recovery unit</x:v>
      </x:c>
      <x:c r="B8" s="13" t="str">
        <x:v>One complete system-native quarter-service unit; partial machines, stock and tonnes earn no unit credit.</x:v>
      </x:c>
    </x:row>
    <x:row r="9">
      <x:c r="A9" s="13" t="str">
        <x:v>Private world</x:v>
      </x:c>
      <x:c r="B9" s="13" t="str">
        <x:v>Largest private site, one decisive supplier and twenty-five percent of qualified workers are unavailable.</x:v>
      </x:c>
    </x:row>
    <x:row r="10">
      <x:c r="A10" s="13" t="str">
        <x:v>Public world</x:v>
      </x:c>
      <x:c r="B10" s="13" t="str">
        <x:v>The entire firm, one of two public cells, one decisive supplier, one bay and twenty-five percent of workers are unavailable.</x:v>
      </x:c>
    </x:row>
    <x:row r="11">
      <x:c r="A11" s="13" t="str">
        <x:v>Cohort</x:v>
      </x:c>
      <x:c r="B11" s="13" t="str">
        <x:v>One root per mission system may fail concurrently. The resulting space contains 4^6 exact cohorts.</x:v>
      </x:c>
    </x:row>
    <x:row r="12">
      <x:c r="A12" s="13" t="str">
        <x:v>Authority</x:v>
      </x:c>
      <x:c r="B12" s="13" t="str">
        <x:v>Planning PASS means arithmetic consistency only. Empty identities and events keep every route at SOURCE EMPTY.</x:v>
      </x:c>
    </x:row>
    <x:row r="13">
      <x:c r="A13" s="13" t="str">
        <x:v>Finance</x:v>
      </x:c>
      <x:c r="B13" s="13" t="str">
        <x:v>USD 250B and USD 100B views cross-classify existing accounts; do not add them to the USD 1.00T program.</x:v>
      </x:c>
    </x:row>
    <x:row r="14">
      <x:c r="A14" s="13" t="str">
        <x:v>Audit</x:v>
      </x:c>
      <x:c r="B14" s="13" t="str">
        <x:v>Terminal checks read the model. No operating or decision formula depends on the Audit sheet.</x:v>
      </x:c>
    </x:row>
    <x:row r="15">
      <x:c r="A15" s="13" t="str">
        <x:v>Evidence</x:v>
      </x:c>
      <x:c r="B15" s="13" t="str">
        <x:v>All labor, energy, clock, inventory, site and performance assumptions require physical qualification.</x:v>
      </x:c>
    </x:row>
    <x:row r="16">
      <x:c r="A16" s="13" t="str">
        <x:v>Rendering</x:v>
      </x:c>
      <x:c r="B16" s="13" t="str">
        <x:v>Exterior vehicle and facility renderings remain blocked.</x:v>
      </x:c>
    </x:row>
  </x:sheetData>
  <x:pageMargins left="0.7" right="0.7" top="0.75" bottom="0.75" header="0.3" footer="0.3"/>
</x:worksheet>
</file>