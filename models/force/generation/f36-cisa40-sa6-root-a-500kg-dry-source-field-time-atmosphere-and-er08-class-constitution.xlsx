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0253c5f06640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dd7f2d208c54102"/>
    <x:sheet xmlns:r="http://schemas.openxmlformats.org/officeDocument/2006/relationships" name="Decision Map" sheetId="2" r:id="R8eda8d99e8f54803"/>
    <x:sheet xmlns:r="http://schemas.openxmlformats.org/officeDocument/2006/relationships" name="Assumptions" sheetId="3" r:id="R0fdf4a0b8fea4167"/>
    <x:sheet xmlns:r="http://schemas.openxmlformats.org/officeDocument/2006/relationships" name="Scale Transition" sheetId="4" r:id="Rc4a5f4e326cc4eee"/>
    <x:sheet xmlns:r="http://schemas.openxmlformats.org/officeDocument/2006/relationships" name="Temporal Screen" sheetId="5" r:id="Re225e887e7e04ce6"/>
    <x:sheet xmlns:r="http://schemas.openxmlformats.org/officeDocument/2006/relationships" name="Atmosphere Screen" sheetId="6" r:id="R19c506d383454294"/>
    <x:sheet xmlns:r="http://schemas.openxmlformats.org/officeDocument/2006/relationships" name="Architecture Candidates" sheetId="7" r:id="Rc20d4234484440be"/>
    <x:sheet xmlns:r="http://schemas.openxmlformats.org/officeDocument/2006/relationships" name="Candidate Campaign" sheetId="8" r:id="R8b1bac3eba5b40b8"/>
    <x:sheet xmlns:r="http://schemas.openxmlformats.org/officeDocument/2006/relationships" name="Matched Comparisons" sheetId="9" r:id="R2bf36a8bd9d14bf4"/>
    <x:sheet xmlns:r="http://schemas.openxmlformats.org/officeDocument/2006/relationships" name="Selection" sheetId="10" r:id="Rc7c764e889184207"/>
    <x:sheet xmlns:r="http://schemas.openxmlformats.org/officeDocument/2006/relationships" name="Module Bank" sheetId="11" r:id="Reda6e415e70644c3"/>
    <x:sheet xmlns:r="http://schemas.openxmlformats.org/officeDocument/2006/relationships" name="Qualification" sheetId="12" r:id="R08b56a08b1e54a3e"/>
    <x:sheet xmlns:r="http://schemas.openxmlformats.org/officeDocument/2006/relationships" name="Scale Contrasts" sheetId="13" r:id="Rd0e0be851dd046dc"/>
    <x:sheet xmlns:r="http://schemas.openxmlformats.org/officeDocument/2006/relationships" name="Root Constitution" sheetId="14" r:id="R765d02a94b564da3"/>
    <x:sheet xmlns:r="http://schemas.openxmlformats.org/officeDocument/2006/relationships" name="Topology Root" sheetId="15" r:id="R27bfe28b4a014418"/>
    <x:sheet xmlns:r="http://schemas.openxmlformats.org/officeDocument/2006/relationships" name="Class Matrix" sheetId="16" r:id="Rea547f36814043cd"/>
    <x:sheet xmlns:r="http://schemas.openxmlformats.org/officeDocument/2006/relationships" name="Reserve Register" sheetId="17" r:id="Rd6e12670444a48ad"/>
    <x:sheet xmlns:r="http://schemas.openxmlformats.org/officeDocument/2006/relationships" name="Event Contract" sheetId="18" r:id="R4a58e84e40e2401f"/>
    <x:sheet xmlns:r="http://schemas.openxmlformats.org/officeDocument/2006/relationships" name="Dispositions" sheetId="19" r:id="R7d376d6ed11b447d"/>
    <x:sheet xmlns:r="http://schemas.openxmlformats.org/officeDocument/2006/relationships" name="Event Clock" sheetId="20" r:id="R6dd384baeb484193"/>
    <x:sheet xmlns:r="http://schemas.openxmlformats.org/officeDocument/2006/relationships" name="Gate Registry" sheetId="21" r:id="R4c2b07e6969a4d30"/>
    <x:sheet xmlns:r="http://schemas.openxmlformats.org/officeDocument/2006/relationships" name="Evidence Records" sheetId="22" r:id="Rb6cfab9d332c4877"/>
    <x:sheet xmlns:r="http://schemas.openxmlformats.org/officeDocument/2006/relationships" name="Channel Registry" sheetId="23" r:id="R58f70fa5de124246"/>
    <x:sheet xmlns:r="http://schemas.openxmlformats.org/officeDocument/2006/relationships" name="Safeing" sheetId="24" r:id="R43f0b4eff6ea47e8"/>
    <x:sheet xmlns:r="http://schemas.openxmlformats.org/officeDocument/2006/relationships" name="Source Account" sheetId="25" r:id="R4fb07d5629494dc5"/>
    <x:sheet xmlns:r="http://schemas.openxmlformats.org/officeDocument/2006/relationships" name="Product Account" sheetId="26" r:id="R06f7d1a0b7bc4034"/>
    <x:sheet xmlns:r="http://schemas.openxmlformats.org/officeDocument/2006/relationships" name="Energy Account" sheetId="27" r:id="Rb07cc8f10a8b4be8"/>
    <x:sheet xmlns:r="http://schemas.openxmlformats.org/officeDocument/2006/relationships" name="Atmosphere Account" sheetId="28" r:id="R5cd5b26544d44857"/>
    <x:sheet xmlns:r="http://schemas.openxmlformats.org/officeDocument/2006/relationships" name="Material Ledger" sheetId="29" r:id="R368b8466d0424060"/>
    <x:sheet xmlns:r="http://schemas.openxmlformats.org/officeDocument/2006/relationships" name="Evidence Build" sheetId="30" r:id="R8d5a4541daa64135"/>
    <x:sheet xmlns:r="http://schemas.openxmlformats.org/officeDocument/2006/relationships" name="Return Program" sheetId="31" r:id="Rcee28cae7b2046cd"/>
    <x:sheet xmlns:r="http://schemas.openxmlformats.org/officeDocument/2006/relationships" name="Exchange Trials" sheetId="32" r:id="R6794b1adafdb41ab"/>
    <x:sheet xmlns:r="http://schemas.openxmlformats.org/officeDocument/2006/relationships" name="Schedule" sheetId="33" r:id="R1cd88182486e45af"/>
    <x:sheet xmlns:r="http://schemas.openxmlformats.org/officeDocument/2006/relationships" name="Workforce" sheetId="34" r:id="R751082e9ca8349d7"/>
    <x:sheet xmlns:r="http://schemas.openxmlformats.org/officeDocument/2006/relationships" name="Capital" sheetId="35" r:id="Rdd25b45dc1284c7e"/>
    <x:sheet xmlns:r="http://schemas.openxmlformats.org/officeDocument/2006/relationships" name="Annual Cost" sheetId="36" r:id="Rb2a54f9ba2004aff"/>
    <x:sheet xmlns:r="http://schemas.openxmlformats.org/officeDocument/2006/relationships" name="Technology" sheetId="37" r:id="R2e5800f52050412f"/>
    <x:sheet xmlns:r="http://schemas.openxmlformats.org/officeDocument/2006/relationships" name="Parent Amendment" sheetId="38" r:id="R203ff191ddde484c"/>
    <x:sheet xmlns:r="http://schemas.openxmlformats.org/officeDocument/2006/relationships" name="Sensitivity" sheetId="39" r:id="R3403ab15733a42c5"/>
    <x:sheet xmlns:r="http://schemas.openxmlformats.org/officeDocument/2006/relationships" name="Release" sheetId="40" r:id="R28ac0344b7084703"/>
    <x:sheet xmlns:r="http://schemas.openxmlformats.org/officeDocument/2006/relationships" name="Audit" sheetId="41" r:id="R9b20368e48a847a5"/>
    <x:sheet xmlns:r="http://schemas.openxmlformats.org/officeDocument/2006/relationships" name="Sources" sheetId="42" r:id="R5a9208a4085a4f60"/>
    <x:sheet xmlns:r="http://schemas.openxmlformats.org/officeDocument/2006/relationships" name="ReadMe" sheetId="43" r:id="R30e8f5f2f3724d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000"/>
    <x:numFmt numFmtId="201" formatCode="#,##0.000"/>
    <x:numFmt numFmtId="202" formatCode="#,##0"/>
    <x:numFmt numFmtId="203" formatCode="#,##0.0"/>
    <x:numFmt numFmtId="204" formatCode="#,##0.000000"/>
  </x:numFmts>
  <x:fonts count="7">
    <x:font>
      <x:sz val="11"/>
      <x:name val="Carlito"/>
    </x:font>
    <x:font>
      <x:b/>
      <x:sz val="14"/>
      <x:color rgb="FF17365D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sz val="10"/>
      <x:color rgb="FF0070C0"/>
      <x:name val="Arial"/>
    </x:font>
    <x:font>
      <x:sz val="10"/>
      <x:color rgb="FF008000"/>
      <x:name val="Arial"/>
    </x:font>
    <x:font>
      <x:b/>
      <x:sz val="10"/>
      <x:color rgb="FF00800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  <x:fill>
      <x:patternFill patternType="solid">
        <x:fgColor rgb="FF0F6B78"/>
      </x:patternFill>
    </x:fill>
    <x:fill>
      <x:patternFill patternType="solid">
        <x:fgColor rgb="FFFCE8E6"/>
      </x:patternFill>
    </x:fill>
  </x:fills>
  <x:borders count="8">
    <x:border/>
    <x:border>
      <x:bottom style="thin">
        <x:color rgb="FF17365D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D6DFEA"/>
      </x:bottom>
    </x:border>
    <x:border>
      <x:top style="thin">
        <x:color rgb="FFD6DFEA"/>
      </x:top>
      <x:bottom style="thin">
        <x:color rgb="FFD6DFEA"/>
      </x:bottom>
    </x:border>
    <x:border>
      <x:top style="thin">
        <x:color rgb="FFD6DFEA"/>
      </x:top>
    </x:border>
  </x:borders>
  <x:cellStyleXfs count="1">
    <x:xf numFmtId="0" fontId="0" fillId="0" borderId="0"/>
  </x:cellStyleXfs>
  <x:cellXfs count="141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2" fillId="2" borderId="4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3" borderId="5" xfId="0" applyNumberFormat="1" applyFont="1" applyFill="1" applyBorder="1"/>
    <x:xf numFmtId="0" fontId="3" fillId="3" borderId="6" xfId="0" applyNumberFormat="1" applyFont="1" applyFill="1" applyBorder="1"/>
    <x:xf numFmtId="0" fontId="3" fillId="3" borderId="7" xfId="0" applyNumberFormat="1" applyFont="1" applyFill="1" applyBorder="1"/>
    <x:xf numFmtId="0" fontId="4" fillId="3" borderId="5" xfId="0" applyNumberFormat="1" applyFont="1" applyFill="1" applyBorder="1"/>
    <x:xf numFmtId="0" fontId="4" fillId="3" borderId="6" xfId="0" applyNumberFormat="1" applyFont="1" applyFill="1" applyBorder="1"/>
    <x:xf numFmtId="0" fontId="4" fillId="3" borderId="7" xfId="0" applyNumberFormat="1" applyFont="1" applyFill="1" applyBorder="1"/>
    <x:xf numFmtId="200" fontId="4" fillId="3" borderId="5" xfId="0" applyNumberFormat="1" applyFont="1" applyFill="1" applyBorder="1"/>
    <x:xf numFmtId="200" fontId="4" fillId="3" borderId="6" xfId="0" applyNumberFormat="1" applyFont="1" applyFill="1" applyBorder="1"/>
    <x:xf numFmtId="200" fontId="4" fillId="3" borderId="7" xfId="0" applyNumberFormat="1" applyFont="1" applyFill="1" applyBorder="1"/>
    <x:xf numFmtId="200" fontId="4" fillId="4" borderId="7" xfId="0" applyNumberFormat="1" applyFont="1" applyFill="1" applyBorder="1"/>
    <x:xf numFmtId="0" fontId="3" fillId="4" borderId="7" xfId="0" applyNumberFormat="1" applyFont="1" applyFill="1" applyBorder="1"/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5" fillId="0" borderId="7" xfId="0" applyNumberFormat="1" applyFont="1" applyFill="1" applyBorder="1"/>
    <x:xf numFmtId="200" fontId="5" fillId="0" borderId="5" xfId="0" applyNumberFormat="1" applyFont="1" applyFill="1" applyBorder="1"/>
    <x:xf numFmtId="200" fontId="5" fillId="0" borderId="6" xfId="0" applyNumberFormat="1" applyFont="1" applyFill="1" applyBorder="1"/>
    <x:xf numFmtId="200" fontId="5" fillId="0" borderId="7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201" fontId="3" fillId="0" borderId="5" xfId="0" applyNumberFormat="1" applyFont="1" applyFill="1" applyBorder="1"/>
    <x:xf numFmtId="201" fontId="3" fillId="0" borderId="6" xfId="0" applyNumberFormat="1" applyFont="1" applyFill="1" applyBorder="1"/>
    <x:xf numFmtId="201" fontId="3" fillId="0" borderId="7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horizontal="center"/>
    </x:xf>
    <x:xf numFmtId="0" fontId="2" fillId="5" borderId="0" xfId="0" applyNumberFormat="1" applyFont="1" applyFill="1" applyBorder="1" applyAlignment="1">
      <x:alignment horizontal="center" vertical="center"/>
    </x:xf>
    <x:xf numFmtId="0" fontId="2" fillId="5" borderId="2" xfId="0" applyNumberFormat="1" applyFont="1" applyFill="1" applyBorder="1" applyAlignment="1">
      <x:alignment horizontal="center" vertical="center"/>
    </x:xf>
    <x:xf numFmtId="0" fontId="2" fillId="5" borderId="3" xfId="0" applyNumberFormat="1" applyFont="1" applyFill="1" applyBorder="1" applyAlignment="1">
      <x:alignment horizontal="center" vertical="center"/>
    </x:xf>
    <x:xf numFmtId="0" fontId="2" fillId="5" borderId="4" xfId="0" applyNumberFormat="1" applyFont="1" applyFill="1" applyBorder="1" applyAlignment="1">
      <x:alignment horizontal="center" vertical="center"/>
    </x:xf>
    <x:xf numFmtId="202" fontId="3" fillId="0" borderId="5" xfId="0" applyNumberFormat="1" applyFont="1" applyFill="1" applyBorder="1"/>
    <x:xf numFmtId="202" fontId="3" fillId="0" borderId="6" xfId="0" applyNumberFormat="1" applyFont="1" applyFill="1" applyBorder="1"/>
    <x:xf numFmtId="202" fontId="3" fillId="0" borderId="7" xfId="0" applyNumberFormat="1" applyFont="1" applyFill="1" applyBorder="1"/>
    <x:xf numFmtId="0" fontId="3" fillId="0" borderId="5" xfId="0" applyNumberFormat="1" applyFont="1" applyFill="1" applyBorder="1" applyAlignment="1">
      <x:alignment horizontal="center"/>
    </x:xf>
    <x:xf numFmtId="0" fontId="3" fillId="0" borderId="6" xfId="0" applyNumberFormat="1" applyFont="1" applyFill="1" applyBorder="1" applyAlignment="1">
      <x:alignment horizontal="center"/>
    </x:xf>
    <x:xf numFmtId="0" fontId="3" fillId="0" borderId="7" xfId="0" applyNumberFormat="1" applyFont="1" applyFill="1" applyBorder="1" applyAlignment="1">
      <x:alignment horizontal="center"/>
    </x:xf>
    <x:xf numFmtId="202" fontId="3" fillId="0" borderId="5" xfId="0" applyNumberFormat="1" applyFont="1" applyFill="1" applyBorder="1" applyAlignment="1">
      <x:alignment horizontal="center"/>
    </x:xf>
    <x:xf numFmtId="202" fontId="3" fillId="0" borderId="6" xfId="0" applyNumberFormat="1" applyFont="1" applyFill="1" applyBorder="1" applyAlignment="1">
      <x:alignment horizontal="center"/>
    </x:xf>
    <x:xf numFmtId="202" fontId="3" fillId="0" borderId="7" xfId="0" applyNumberFormat="1" applyFont="1" applyFill="1" applyBorder="1" applyAlignment="1">
      <x:alignment horizontal="center"/>
    </x:xf>
    <x:xf numFmtId="0" fontId="3" fillId="4" borderId="5" xfId="0" applyNumberFormat="1" applyFont="1" applyFill="1" applyBorder="1" applyAlignment="1">
      <x:alignment horizontal="center"/>
    </x:xf>
    <x:xf numFmtId="0" fontId="3" fillId="4" borderId="6" xfId="0" applyNumberFormat="1" applyFont="1" applyFill="1" applyBorder="1" applyAlignment="1">
      <x:alignment horizontal="center"/>
    </x:xf>
    <x:xf numFmtId="203" fontId="5" fillId="0" borderId="5" xfId="0" applyNumberFormat="1" applyFont="1" applyFill="1" applyBorder="1"/>
    <x:xf numFmtId="203" fontId="5" fillId="0" borderId="6" xfId="0" applyNumberFormat="1" applyFont="1" applyFill="1" applyBorder="1"/>
    <x:xf numFmtId="203" fontId="5" fillId="0" borderId="7" xfId="0" applyNumberFormat="1" applyFont="1" applyFill="1" applyBorder="1"/>
    <x:xf numFmtId="203" fontId="5" fillId="0" borderId="5" xfId="0" applyNumberFormat="1" applyFont="1" applyFill="1" applyBorder="1" applyAlignment="1">
      <x:alignment horizontal="center"/>
    </x:xf>
    <x:xf numFmtId="203" fontId="5" fillId="0" borderId="6" xfId="0" applyNumberFormat="1" applyFont="1" applyFill="1" applyBorder="1" applyAlignment="1">
      <x:alignment horizontal="center"/>
    </x:xf>
    <x:xf numFmtId="203" fontId="5" fillId="0" borderId="7" xfId="0" applyNumberFormat="1" applyFont="1" applyFill="1" applyBorder="1" applyAlignment="1">
      <x:alignment horizontal="center"/>
    </x:xf>
    <x:xf numFmtId="201" fontId="5" fillId="0" borderId="5" xfId="0" applyNumberFormat="1" applyFont="1" applyFill="1" applyBorder="1"/>
    <x:xf numFmtId="201" fontId="5" fillId="0" borderId="6" xfId="0" applyNumberFormat="1" applyFont="1" applyFill="1" applyBorder="1"/>
    <x:xf numFmtId="201" fontId="5" fillId="0" borderId="7" xfId="0" applyNumberFormat="1" applyFont="1" applyFill="1" applyBorder="1"/>
    <x:xf numFmtId="201" fontId="5" fillId="0" borderId="5" xfId="0" applyNumberFormat="1" applyFont="1" applyFill="1" applyBorder="1" applyAlignment="1">
      <x:alignment horizontal="center"/>
    </x:xf>
    <x:xf numFmtId="201" fontId="5" fillId="0" borderId="6" xfId="0" applyNumberFormat="1" applyFont="1" applyFill="1" applyBorder="1" applyAlignment="1">
      <x:alignment horizontal="center"/>
    </x:xf>
    <x:xf numFmtId="201" fontId="5" fillId="0" borderId="7" xfId="0" applyNumberFormat="1" applyFont="1" applyFill="1" applyBorder="1" applyAlignment="1">
      <x:alignment horizontal="center"/>
    </x:xf>
    <x:xf numFmtId="0" fontId="5" fillId="4" borderId="5" xfId="0" applyNumberFormat="1" applyFont="1" applyFill="1" applyBorder="1"/>
    <x:xf numFmtId="0" fontId="5" fillId="4" borderId="6" xfId="0" applyNumberFormat="1" applyFont="1" applyFill="1" applyBorder="1"/>
    <x:xf numFmtId="0" fontId="5" fillId="4" borderId="7" xfId="0" applyNumberFormat="1" applyFont="1" applyFill="1" applyBorder="1"/>
    <x:xf numFmtId="0" fontId="6" fillId="5" borderId="4" xfId="0" applyNumberFormat="1" applyFont="1" applyFill="1" applyBorder="1" applyAlignment="1">
      <x:alignment horizontal="center" vertical="center"/>
    </x:xf>
    <x:xf numFmtId="0" fontId="3" fillId="6" borderId="5" xfId="0" applyNumberFormat="1" applyFont="1" applyFill="1" applyBorder="1"/>
    <x:xf numFmtId="0" fontId="3" fillId="6" borderId="6" xfId="0" applyNumberFormat="1" applyFont="1" applyFill="1" applyBorder="1"/>
    <x:xf numFmtId="0" fontId="3" fillId="6" borderId="7" xfId="0" applyNumberFormat="1" applyFont="1" applyFill="1" applyBorder="1"/>
    <x:xf numFmtId="204" fontId="5" fillId="0" borderId="5" xfId="0" applyNumberFormat="1" applyFont="1" applyFill="1" applyBorder="1"/>
    <x:xf numFmtId="204" fontId="3" fillId="0" borderId="5" xfId="0" applyNumberFormat="1" applyFont="1" applyFill="1" applyBorder="1"/>
    <x:xf numFmtId="204" fontId="5" fillId="0" borderId="6" xfId="0" applyNumberFormat="1" applyFont="1" applyFill="1" applyBorder="1"/>
    <x:xf numFmtId="204" fontId="3" fillId="0" borderId="6" xfId="0" applyNumberFormat="1" applyFont="1" applyFill="1" applyBorder="1"/>
    <x:xf numFmtId="204" fontId="5" fillId="0" borderId="7" xfId="0" applyNumberFormat="1" applyFont="1" applyFill="1" applyBorder="1"/>
    <x:xf numFmtId="204" fontId="3" fillId="0" borderId="7" xfId="0" applyNumberFormat="1" applyFont="1" applyFill="1" applyBorder="1"/>
    <x:xf numFmtId="0" fontId="3" fillId="0" borderId="5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wrapText="1"/>
    </x:xf>
    <x:xf numFmtId="0" fontId="3" fillId="0" borderId="7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vertical="center"/>
    </x:xf>
    <x:xf numFmtId="0" fontId="3" fillId="6" borderId="5" xfId="0" applyNumberFormat="1" applyFont="1" applyFill="1" applyBorder="1" applyAlignment="1">
      <x:alignment vertical="center"/>
    </x:xf>
    <x:xf numFmtId="0" fontId="3" fillId="6" borderId="6" xfId="0" applyNumberFormat="1" applyFont="1" applyFill="1" applyBorder="1" applyAlignment="1">
      <x:alignment vertical="center"/>
    </x:xf>
    <x:xf numFmtId="0" fontId="3" fillId="6" borderId="7" xfId="0" applyNumberFormat="1" applyFont="1" applyFill="1" applyBorder="1" applyAlignment="1">
      <x:alignment vertical="center"/>
    </x:xf>
    <x:xf numFmtId="0" fontId="3" fillId="4" borderId="6" xfId="0" applyNumberFormat="1" applyFont="1" applyFill="1" applyBorder="1" applyAlignment="1">
      <x:alignment vertical="center"/>
    </x:xf>
    <x:xf numFmtId="200" fontId="4" fillId="3" borderId="5" xfId="0" applyNumberFormat="1" applyFont="1" applyFill="1" applyBorder="1" applyAlignment="1">
      <x:alignment vertical="center"/>
    </x:xf>
    <x:xf numFmtId="200" fontId="4" fillId="3" borderId="6" xfId="0" applyNumberFormat="1" applyFont="1" applyFill="1" applyBorder="1" applyAlignment="1">
      <x:alignment vertical="center"/>
    </x:xf>
    <x:xf numFmtId="200" fontId="4" fillId="4" borderId="7" xfId="0" applyNumberFormat="1" applyFont="1" applyFill="1" applyBorder="1" applyAlignment="1">
      <x:alignment vertical="center"/>
    </x:xf>
    <x:xf numFmtId="0" fontId="3" fillId="4" borderId="7" xfId="0" applyNumberFormat="1" applyFont="1" applyFill="1" applyBorder="1" applyAlignment="1">
      <x:alignment vertical="center"/>
    </x:xf>
    <x:xf numFmtId="200" fontId="5" fillId="0" borderId="5" xfId="0" applyNumberFormat="1" applyFont="1" applyFill="1" applyBorder="1" applyAlignment="1">
      <x:alignment vertical="center"/>
    </x:xf>
    <x:xf numFmtId="200" fontId="5" fillId="0" borderId="6" xfId="0" applyNumberFormat="1" applyFont="1" applyFill="1" applyBorder="1" applyAlignment="1">
      <x:alignment vertical="center"/>
    </x:xf>
    <x:xf numFmtId="200" fontId="5" fillId="0" borderId="7" xfId="0" applyNumberFormat="1" applyFont="1" applyFill="1" applyBorder="1" applyAlignment="1">
      <x:alignment vertical="center"/>
    </x:xf>
    <x:xf numFmtId="201" fontId="3" fillId="0" borderId="5" xfId="0" applyNumberFormat="1" applyFont="1" applyFill="1" applyBorder="1" applyAlignment="1">
      <x:alignment vertical="center"/>
    </x:xf>
    <x:xf numFmtId="0" fontId="3" fillId="4" borderId="5" xfId="0" applyNumberFormat="1" applyFont="1" applyFill="1" applyBorder="1" applyAlignment="1">
      <x:alignment vertical="center"/>
    </x:xf>
    <x:xf numFmtId="201" fontId="3" fillId="0" borderId="6" xfId="0" applyNumberFormat="1" applyFont="1" applyFill="1" applyBorder="1" applyAlignment="1">
      <x:alignment vertical="center"/>
    </x:xf>
    <x:xf numFmtId="201" fontId="3" fillId="0" borderId="7" xfId="0" applyNumberFormat="1" applyFont="1" applyFill="1" applyBorder="1" applyAlignment="1">
      <x:alignment vertical="center"/>
    </x:xf>
    <x:xf numFmtId="202" fontId="3" fillId="0" borderId="5" xfId="0" applyNumberFormat="1" applyFont="1" applyFill="1" applyBorder="1" applyAlignment="1">
      <x:alignment vertical="center"/>
    </x:xf>
    <x:xf numFmtId="202" fontId="3" fillId="0" borderId="6" xfId="0" applyNumberFormat="1" applyFont="1" applyFill="1" applyBorder="1" applyAlignment="1">
      <x:alignment vertical="center"/>
    </x:xf>
    <x:xf numFmtId="202" fontId="3" fillId="0" borderId="7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horizontal="center" vertical="center"/>
    </x:xf>
    <x:xf numFmtId="202" fontId="3" fillId="0" borderId="5" xfId="0" applyNumberFormat="1" applyFont="1" applyFill="1" applyBorder="1" applyAlignment="1">
      <x:alignment horizontal="center" vertical="center"/>
    </x:xf>
    <x:xf numFmtId="0" fontId="3" fillId="0" borderId="6" xfId="0" applyNumberFormat="1" applyFont="1" applyFill="1" applyBorder="1" applyAlignment="1">
      <x:alignment horizontal="center" vertical="center"/>
    </x:xf>
    <x:xf numFmtId="202" fontId="3" fillId="0" borderId="6" xfId="0" applyNumberFormat="1" applyFont="1" applyFill="1" applyBorder="1" applyAlignment="1">
      <x:alignment horizontal="center" vertical="center"/>
    </x:xf>
    <x:xf numFmtId="0" fontId="3" fillId="0" borderId="7" xfId="0" applyNumberFormat="1" applyFont="1" applyFill="1" applyBorder="1" applyAlignment="1">
      <x:alignment horizontal="center" vertical="center"/>
    </x:xf>
    <x:xf numFmtId="202" fontId="3" fillId="0" borderId="7" xfId="0" applyNumberFormat="1" applyFont="1" applyFill="1" applyBorder="1" applyAlignment="1">
      <x:alignment horizontal="center" vertical="center"/>
    </x:xf>
    <x:xf numFmtId="0" fontId="3" fillId="4" borderId="5" xfId="0" applyNumberFormat="1" applyFont="1" applyFill="1" applyBorder="1" applyAlignment="1">
      <x:alignment horizontal="center" vertical="center"/>
    </x:xf>
    <x:xf numFmtId="0" fontId="3" fillId="4" borderId="6" xfId="0" applyNumberFormat="1" applyFont="1" applyFill="1" applyBorder="1" applyAlignment="1">
      <x:alignment horizontal="center" vertical="center"/>
    </x:xf>
    <x:xf numFmtId="203" fontId="5" fillId="0" borderId="5" xfId="0" applyNumberFormat="1" applyFont="1" applyFill="1" applyBorder="1" applyAlignment="1">
      <x:alignment horizontal="center" vertical="center"/>
    </x:xf>
    <x:xf numFmtId="203" fontId="5" fillId="0" borderId="6" xfId="0" applyNumberFormat="1" applyFont="1" applyFill="1" applyBorder="1" applyAlignment="1">
      <x:alignment horizontal="center" vertical="center"/>
    </x:xf>
    <x:xf numFmtId="203" fontId="5" fillId="0" borderId="7" xfId="0" applyNumberFormat="1" applyFont="1" applyFill="1" applyBorder="1" applyAlignment="1">
      <x:alignment horizontal="center" vertical="center"/>
    </x:xf>
    <x:xf numFmtId="201" fontId="5" fillId="0" borderId="5" xfId="0" applyNumberFormat="1" applyFont="1" applyFill="1" applyBorder="1" applyAlignment="1">
      <x:alignment horizontal="center" vertical="center"/>
    </x:xf>
    <x:xf numFmtId="201" fontId="5" fillId="0" borderId="6" xfId="0" applyNumberFormat="1" applyFont="1" applyFill="1" applyBorder="1" applyAlignment="1">
      <x:alignment horizontal="center" vertical="center"/>
    </x:xf>
    <x:xf numFmtId="201" fontId="5" fillId="0" borderId="7" xfId="0" applyNumberFormat="1" applyFont="1" applyFill="1" applyBorder="1" applyAlignment="1">
      <x:alignment horizontal="center" vertical="center"/>
    </x:xf>
    <x:xf numFmtId="0" fontId="5" fillId="4" borderId="5" xfId="0" applyNumberFormat="1" applyFont="1" applyFill="1" applyBorder="1" applyAlignment="1">
      <x:alignment vertical="center"/>
    </x:xf>
    <x:xf numFmtId="0" fontId="5" fillId="4" borderId="6" xfId="0" applyNumberFormat="1" applyFont="1" applyFill="1" applyBorder="1" applyAlignment="1">
      <x:alignment vertical="center"/>
    </x:xf>
    <x:xf numFmtId="0" fontId="5" fillId="4" borderId="7" xfId="0" applyNumberFormat="1" applyFont="1" applyFill="1" applyBorder="1" applyAlignment="1">
      <x:alignment vertical="center"/>
    </x:xf>
    <x:xf numFmtId="0" fontId="5" fillId="0" borderId="5" xfId="0" applyNumberFormat="1" applyFont="1" applyFill="1" applyBorder="1" applyAlignment="1">
      <x:alignment vertical="center"/>
    </x:xf>
    <x:xf numFmtId="0" fontId="5" fillId="0" borderId="6" xfId="0" applyNumberFormat="1" applyFont="1" applyFill="1" applyBorder="1" applyAlignment="1">
      <x:alignment vertical="center"/>
    </x:xf>
    <x:xf numFmtId="0" fontId="5" fillId="0" borderId="7" xfId="0" applyNumberFormat="1" applyFont="1" applyFill="1" applyBorder="1" applyAlignment="1">
      <x:alignment vertical="center"/>
    </x:xf>
    <x:xf numFmtId="201" fontId="5" fillId="0" borderId="5" xfId="0" applyNumberFormat="1" applyFont="1" applyFill="1" applyBorder="1" applyAlignment="1">
      <x:alignment vertical="center"/>
    </x:xf>
    <x:xf numFmtId="201" fontId="5" fillId="0" borderId="6" xfId="0" applyNumberFormat="1" applyFont="1" applyFill="1" applyBorder="1" applyAlignment="1">
      <x:alignment vertical="center"/>
    </x:xf>
    <x:xf numFmtId="201" fontId="5" fillId="0" borderId="7" xfId="0" applyNumberFormat="1" applyFont="1" applyFill="1" applyBorder="1" applyAlignment="1">
      <x:alignment vertical="center"/>
    </x:xf>
    <x:xf numFmtId="203" fontId="5" fillId="0" borderId="5" xfId="0" applyNumberFormat="1" applyFont="1" applyFill="1" applyBorder="1" applyAlignment="1">
      <x:alignment vertical="center"/>
    </x:xf>
    <x:xf numFmtId="203" fontId="5" fillId="0" borderId="6" xfId="0" applyNumberFormat="1" applyFont="1" applyFill="1" applyBorder="1" applyAlignment="1">
      <x:alignment vertical="center"/>
    </x:xf>
    <x:xf numFmtId="203" fontId="5" fillId="0" borderId="7" xfId="0" applyNumberFormat="1" applyFont="1" applyFill="1" applyBorder="1" applyAlignment="1">
      <x:alignment vertical="center"/>
    </x:xf>
    <x:xf numFmtId="204" fontId="5" fillId="0" borderId="5" xfId="0" applyNumberFormat="1" applyFont="1" applyFill="1" applyBorder="1" applyAlignment="1">
      <x:alignment vertical="center"/>
    </x:xf>
    <x:xf numFmtId="204" fontId="3" fillId="0" borderId="5" xfId="0" applyNumberFormat="1" applyFont="1" applyFill="1" applyBorder="1" applyAlignment="1">
      <x:alignment vertical="center"/>
    </x:xf>
    <x:xf numFmtId="204" fontId="5" fillId="0" borderId="6" xfId="0" applyNumberFormat="1" applyFont="1" applyFill="1" applyBorder="1" applyAlignment="1">
      <x:alignment vertical="center"/>
    </x:xf>
    <x:xf numFmtId="204" fontId="3" fillId="0" borderId="6" xfId="0" applyNumberFormat="1" applyFont="1" applyFill="1" applyBorder="1" applyAlignment="1">
      <x:alignment vertical="center"/>
    </x:xf>
    <x:xf numFmtId="204" fontId="5" fillId="0" borderId="7" xfId="0" applyNumberFormat="1" applyFont="1" applyFill="1" applyBorder="1" applyAlignment="1">
      <x:alignment vertical="center"/>
    </x:xf>
    <x:xf numFmtId="204" fontId="3" fillId="0" borderId="7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0" fontId="3" fillId="0" borderId="7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4076b90f264407" /><Relationship Type="http://schemas.openxmlformats.org/officeDocument/2006/relationships/theme" Target="/xl/theme/theme1.xml" Id="Re8aa12ec443f4c21" /><Relationship Type="http://schemas.openxmlformats.org/officeDocument/2006/relationships/sharedStrings" Target="/xl/sharedStrings.xml" Id="R78989967d89a4115" /><Relationship Type="http://schemas.openxmlformats.org/officeDocument/2006/relationships/worksheet" Target="/xl/worksheets/sheet1.xml" Id="Radd7f2d208c54102" /><Relationship Type="http://schemas.openxmlformats.org/officeDocument/2006/relationships/worksheet" Target="/xl/worksheets/sheet2.xml" Id="R8eda8d99e8f54803" /><Relationship Type="http://schemas.openxmlformats.org/officeDocument/2006/relationships/worksheet" Target="/xl/worksheets/sheet3.xml" Id="R0fdf4a0b8fea4167" /><Relationship Type="http://schemas.openxmlformats.org/officeDocument/2006/relationships/worksheet" Target="/xl/worksheets/sheet4.xml" Id="Rc4a5f4e326cc4eee" /><Relationship Type="http://schemas.openxmlformats.org/officeDocument/2006/relationships/worksheet" Target="/xl/worksheets/sheet5.xml" Id="Re225e887e7e04ce6" /><Relationship Type="http://schemas.openxmlformats.org/officeDocument/2006/relationships/worksheet" Target="/xl/worksheets/sheet6.xml" Id="R19c506d383454294" /><Relationship Type="http://schemas.openxmlformats.org/officeDocument/2006/relationships/worksheet" Target="/xl/worksheets/sheet7.xml" Id="Rc20d4234484440be" /><Relationship Type="http://schemas.openxmlformats.org/officeDocument/2006/relationships/worksheet" Target="/xl/worksheets/sheet8.xml" Id="R8b1bac3eba5b40b8" /><Relationship Type="http://schemas.openxmlformats.org/officeDocument/2006/relationships/worksheet" Target="/xl/worksheets/sheet9.xml" Id="R2bf36a8bd9d14bf4" /><Relationship Type="http://schemas.openxmlformats.org/officeDocument/2006/relationships/worksheet" Target="/xl/worksheets/sheet10.xml" Id="Rc7c764e889184207" /><Relationship Type="http://schemas.openxmlformats.org/officeDocument/2006/relationships/worksheet" Target="/xl/worksheets/sheet11.xml" Id="Reda6e415e70644c3" /><Relationship Type="http://schemas.openxmlformats.org/officeDocument/2006/relationships/worksheet" Target="/xl/worksheets/sheet12.xml" Id="R08b56a08b1e54a3e" /><Relationship Type="http://schemas.openxmlformats.org/officeDocument/2006/relationships/worksheet" Target="/xl/worksheets/sheet13.xml" Id="Rd0e0be851dd046dc" /><Relationship Type="http://schemas.openxmlformats.org/officeDocument/2006/relationships/worksheet" Target="/xl/worksheets/sheet14.xml" Id="R765d02a94b564da3" /><Relationship Type="http://schemas.openxmlformats.org/officeDocument/2006/relationships/worksheet" Target="/xl/worksheets/sheet15.xml" Id="R27bfe28b4a014418" /><Relationship Type="http://schemas.openxmlformats.org/officeDocument/2006/relationships/worksheet" Target="/xl/worksheets/sheet16.xml" Id="Rea547f36814043cd" /><Relationship Type="http://schemas.openxmlformats.org/officeDocument/2006/relationships/worksheet" Target="/xl/worksheets/sheet17.xml" Id="Rd6e12670444a48ad" /><Relationship Type="http://schemas.openxmlformats.org/officeDocument/2006/relationships/worksheet" Target="/xl/worksheets/sheet18.xml" Id="R4a58e84e40e2401f" /><Relationship Type="http://schemas.openxmlformats.org/officeDocument/2006/relationships/worksheet" Target="/xl/worksheets/sheet19.xml" Id="R7d376d6ed11b447d" /><Relationship Type="http://schemas.openxmlformats.org/officeDocument/2006/relationships/worksheet" Target="/xl/worksheets/sheet20.xml" Id="R6dd384baeb484193" /><Relationship Type="http://schemas.openxmlformats.org/officeDocument/2006/relationships/worksheet" Target="/xl/worksheets/sheet21.xml" Id="R4c2b07e6969a4d30" /><Relationship Type="http://schemas.openxmlformats.org/officeDocument/2006/relationships/worksheet" Target="/xl/worksheets/sheet22.xml" Id="Rb6cfab9d332c4877" /><Relationship Type="http://schemas.openxmlformats.org/officeDocument/2006/relationships/worksheet" Target="/xl/worksheets/sheet23.xml" Id="R58f70fa5de124246" /><Relationship Type="http://schemas.openxmlformats.org/officeDocument/2006/relationships/worksheet" Target="/xl/worksheets/sheet24.xml" Id="R43f0b4eff6ea47e8" /><Relationship Type="http://schemas.openxmlformats.org/officeDocument/2006/relationships/worksheet" Target="/xl/worksheets/sheet25.xml" Id="R4fb07d5629494dc5" /><Relationship Type="http://schemas.openxmlformats.org/officeDocument/2006/relationships/worksheet" Target="/xl/worksheets/sheet26.xml" Id="R06f7d1a0b7bc4034" /><Relationship Type="http://schemas.openxmlformats.org/officeDocument/2006/relationships/worksheet" Target="/xl/worksheets/sheet27.xml" Id="Rb07cc8f10a8b4be8" /><Relationship Type="http://schemas.openxmlformats.org/officeDocument/2006/relationships/worksheet" Target="/xl/worksheets/sheet28.xml" Id="R5cd5b26544d44857" /><Relationship Type="http://schemas.openxmlformats.org/officeDocument/2006/relationships/worksheet" Target="/xl/worksheets/sheet29.xml" Id="R368b8466d0424060" /><Relationship Type="http://schemas.openxmlformats.org/officeDocument/2006/relationships/worksheet" Target="/xl/worksheets/sheet30.xml" Id="R8d5a4541daa64135" /><Relationship Type="http://schemas.openxmlformats.org/officeDocument/2006/relationships/worksheet" Target="/xl/worksheets/sheet31.xml" Id="Rcee28cae7b2046cd" /><Relationship Type="http://schemas.openxmlformats.org/officeDocument/2006/relationships/worksheet" Target="/xl/worksheets/sheet32.xml" Id="R6794b1adafdb41ab" /><Relationship Type="http://schemas.openxmlformats.org/officeDocument/2006/relationships/worksheet" Target="/xl/worksheets/sheet33.xml" Id="R1cd88182486e45af" /><Relationship Type="http://schemas.openxmlformats.org/officeDocument/2006/relationships/worksheet" Target="/xl/worksheets/sheet34.xml" Id="R751082e9ca8349d7" /><Relationship Type="http://schemas.openxmlformats.org/officeDocument/2006/relationships/worksheet" Target="/xl/worksheets/sheet35.xml" Id="Rdd25b45dc1284c7e" /><Relationship Type="http://schemas.openxmlformats.org/officeDocument/2006/relationships/worksheet" Target="/xl/worksheets/sheet36.xml" Id="Rb2a54f9ba2004aff" /><Relationship Type="http://schemas.openxmlformats.org/officeDocument/2006/relationships/worksheet" Target="/xl/worksheets/sheet37.xml" Id="R2e5800f52050412f" /><Relationship Type="http://schemas.openxmlformats.org/officeDocument/2006/relationships/worksheet" Target="/xl/worksheets/sheet38.xml" Id="R203ff191ddde484c" /><Relationship Type="http://schemas.openxmlformats.org/officeDocument/2006/relationships/worksheet" Target="/xl/worksheets/sheet39.xml" Id="R3403ab15733a42c5" /><Relationship Type="http://schemas.openxmlformats.org/officeDocument/2006/relationships/worksheet" Target="/xl/worksheets/sheet40.xml" Id="R28ac0344b7084703" /><Relationship Type="http://schemas.openxmlformats.org/officeDocument/2006/relationships/worksheet" Target="/xl/worksheets/sheet41.xml" Id="R9b20368e48a847a5" /><Relationship Type="http://schemas.openxmlformats.org/officeDocument/2006/relationships/worksheet" Target="/xl/worksheets/sheet42.xml" Id="R5a9208a4085a4f60" /><Relationship Type="http://schemas.openxmlformats.org/officeDocument/2006/relationships/worksheet" Target="/xl/worksheets/sheet43.xml" Id="R30e8f5f2f3724d4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0" hidden="0" customWidth="1"/>
    <x:col min="3" max="3" width="16" hidden="0" customWidth="1"/>
    <x:col min="4" max="4" width="30" hidden="0" customWidth="1"/>
    <x:col min="5" max="5" width="18" hidden="0" customWidth="1"/>
    <x:col min="6" max="6" width="54" hidden="0" customWidth="1"/>
  </x:cols>
  <x:sheetData>
    <x:row r="2" ht="24" customHeight="1">
      <x:c r="A2" s="82" t="str">
        <x:v>RBO-1 500 kg dry-source field-time and ER-08 class</x:v>
      </x:c>
      <x:c r="B2" s="83"/>
      <x:c r="C2" s="83"/>
      <x:c r="D2" s="83"/>
      <x:c r="E2" s="83"/>
      <x:c r="F2" s="83"/>
    </x:row>
    <x:row r="3">
      <x:c r="A3" s="84"/>
      <x:c r="B3" s="84"/>
      <x:c r="C3" s="84"/>
      <x:c r="D3" s="84"/>
      <x:c r="E3" s="84"/>
      <x:c r="F3" s="84"/>
    </x:row>
    <x:row r="4">
      <x:c r="A4" s="83"/>
      <x:c r="B4" s="83"/>
      <x:c r="C4" s="83"/>
      <x:c r="D4" s="83"/>
      <x:c r="E4" s="83"/>
      <x:c r="F4" s="83"/>
    </x:row>
    <x:row r="5" ht="22" customHeight="1">
      <x:c r="A5" s="7" t="str">
        <x:v>Decision</x:v>
      </x:c>
      <x:c r="B5" s="8" t="str">
        <x:v>Result</x:v>
      </x:c>
      <x:c r="C5" s="8" t="str">
        <x:v>Unit</x:v>
      </x:c>
      <x:c r="D5" s="8" t="str">
        <x:v>State</x:v>
      </x:c>
      <x:c r="E5" s="8" t="str">
        <x:v>Consequence</x:v>
      </x:c>
      <x:c r="F5" s="9" t="str">
        <x:v>Owner</x:v>
      </x:c>
    </x:row>
    <x:row r="6">
      <x:c r="A6" s="85" t="str">
        <x:v>field-time architectures</x:v>
      </x:c>
      <x:c r="B6" s="85" t="n">
        <x:v>4</x:v>
      </x:c>
      <x:c r="C6" s="85" t="str">
        <x:v>families</x:v>
      </x:c>
      <x:c r="D6" s="85" t="str">
        <x:v>DESIGN COMPLETE</x:v>
      </x:c>
      <x:c r="E6" s="85" t="str">
        <x:v>four rival observability principles</x:v>
      </x:c>
      <x:c r="F6" s="85" t="str">
        <x:v>selection board</x:v>
      </x:c>
    </x:row>
    <x:row r="7">
      <x:c r="A7" s="86" t="str">
        <x:v>candidate articles</x:v>
      </x:c>
      <x:c r="B7" s="86" t="n">
        <x:v>24</x:v>
      </x:c>
      <x:c r="C7" s="86" t="str">
        <x:v>articles</x:v>
      </x:c>
      <x:c r="D7" s="86" t="str">
        <x:v>PLANNED</x:v>
      </x:c>
      <x:c r="E7" s="86" t="str">
        <x:v>two lineages at three campuses</x:v>
      </x:c>
      <x:c r="F7" s="86" t="str">
        <x:v>program authority</x:v>
      </x:c>
    </x:row>
    <x:row r="8">
      <x:c r="A8" s="86" t="str">
        <x:v>candidate trials</x:v>
      </x:c>
      <x:c r="B8" s="86" t="n">
        <x:v>240</x:v>
      </x:c>
      <x:c r="C8" s="86" t="str">
        <x:v>trials</x:v>
      </x:c>
      <x:c r="D8" s="86" t="str">
        <x:v>OPEN</x:v>
      </x:c>
      <x:c r="E8" s="86" t="str">
        <x:v>nonenergetic evidence unearned</x:v>
      </x:c>
      <x:c r="F8" s="86" t="str">
        <x:v>candidate board</x:v>
      </x:c>
    </x:row>
    <x:row r="9">
      <x:c r="A9" s="86" t="str">
        <x:v>matched comparisons</x:v>
      </x:c>
      <x:c r="B9" s="86" t="n">
        <x:v>144</x:v>
      </x:c>
      <x:c r="C9" s="86" t="str">
        <x:v>trials</x:v>
      </x:c>
      <x:c r="D9" s="86" t="str">
        <x:v>OPEN</x:v>
      </x:c>
      <x:c r="E9" s="86" t="str">
        <x:v>common truth remains unproved</x:v>
      </x:c>
      <x:c r="F9" s="86" t="str">
        <x:v>comparison board</x:v>
      </x:c>
    </x:row>
    <x:row r="10">
      <x:c r="A10" s="86" t="str">
        <x:v>new topology root</x:v>
      </x:c>
      <x:c r="B10" s="86" t="n">
        <x:v>1</x:v>
      </x:c>
      <x:c r="C10" s="86" t="str">
        <x:v>root</x:v>
      </x:c>
      <x:c r="D10" s="86" t="str">
        <x:v>DESIGN COMPLETE</x:v>
      </x:c>
      <x:c r="E10" s="86" t="str">
        <x:v>source inventory becomes three-dimensional</x:v>
      </x:c>
      <x:c r="F10" s="86" t="str">
        <x:v>topology board</x:v>
      </x:c>
    </x:row>
    <x:row r="11">
      <x:c r="A11" s="86" t="str">
        <x:v>FRC-500 bank</x:v>
      </x:c>
      <x:c r="B11" s="86" t="n">
        <x:v>18</x:v>
      </x:c>
      <x:c r="C11" s="86" t="str">
        <x:v>modules</x:v>
      </x:c>
      <x:c r="D11" s="86" t="str">
        <x:v>PLANNED</x:v>
      </x:c>
      <x:c r="E11" s="86" t="str">
        <x:v>12 active, 4 spare, 2 forensic</x:v>
      </x:c>
      <x:c r="F11" s="86" t="str">
        <x:v>configuration authority</x:v>
      </x:c>
    </x:row>
    <x:row r="12">
      <x:c r="A12" s="86" t="str">
        <x:v>integrated qualification</x:v>
      </x:c>
      <x:c r="B12" s="86" t="n">
        <x:v>128</x:v>
      </x:c>
      <x:c r="C12" s="86" t="str">
        <x:v>cycles</x:v>
      </x:c>
      <x:c r="D12" s="86" t="str">
        <x:v>OPEN</x:v>
      </x:c>
      <x:c r="E12" s="86" t="str">
        <x:v>eight-state scale bridge unearned</x:v>
      </x:c>
      <x:c r="F12" s="86" t="str">
        <x:v>qualification board</x:v>
      </x:c>
    </x:row>
    <x:row r="13">
      <x:c r="A13" s="86" t="str">
        <x:v>exact ER-08 class</x:v>
      </x:c>
      <x:c r="B13" s="86" t="n">
        <x:v>12</x:v>
      </x:c>
      <x:c r="C13" s="86" t="str">
        <x:v>credits</x:v>
      </x:c>
      <x:c r="D13" s="86" t="str">
        <x:v>OPEN</x:v>
      </x:c>
      <x:c r="E13" s="86" t="str">
        <x:v>one bounded event earns one credit</x:v>
      </x:c>
      <x:c r="F13" s="86" t="str">
        <x:v>class board</x:v>
      </x:c>
    </x:row>
    <x:row r="14">
      <x:c r="A14" s="86" t="str">
        <x:v>source per area increase</x:v>
      </x:c>
      <x:c r="B14" s="86" t="n">
        <x:f>'Scale Transition'!E10</x:f>
        <x:v>1.6</x:v>
      </x:c>
      <x:c r="C14" s="86" t="str">
        <x:v>ratio</x:v>
      </x:c>
      <x:c r="D14" s="86" t="str">
        <x:v>SCREEN ONLY</x:v>
      </x:c>
      <x:c r="E14" s="86" t="str">
        <x:v>80 kg/m² target</x:v>
      </x:c>
      <x:c r="F14" s="86" t="str">
        <x:v>geometry authority</x:v>
      </x:c>
    </x:row>
    <x:row r="15">
      <x:c r="A15" s="86" t="str">
        <x:v>duration increase</x:v>
      </x:c>
      <x:c r="B15" s="86" t="n">
        <x:f>'Scale Transition'!E18</x:f>
        <x:v>1.6</x:v>
      </x:c>
      <x:c r="C15" s="86" t="str">
        <x:v>ratio</x:v>
      </x:c>
      <x:c r="D15" s="86" t="str">
        <x:v>SCREEN ONLY</x:v>
      </x:c>
      <x:c r="E15" s="86" t="str">
        <x:v>longer causal interval</x:v>
      </x:c>
      <x:c r="F15" s="86" t="str">
        <x:v>causal-time board</x:v>
      </x:c>
    </x:row>
    <x:row r="16">
      <x:c r="A16" s="86" t="str">
        <x:v>energy per boundary increase</x:v>
      </x:c>
      <x:c r="B16" s="86" t="n">
        <x:f>'Scale Transition'!E19</x:f>
        <x:v>1.7888543819998322</x:v>
      </x:c>
      <x:c r="C16" s="86" t="str">
        <x:v>ratio</x:v>
      </x:c>
      <x:c r="D16" s="86" t="str">
        <x:v>SCREEN ONLY</x:v>
      </x:c>
      <x:c r="E16" s="86" t="str">
        <x:v>local boundary burden rises</x:v>
      </x:c>
      <x:c r="F16" s="86" t="str">
        <x:v>thermal authority</x:v>
      </x:c>
    </x:row>
    <x:row r="17">
      <x:c r="A17" s="86" t="str">
        <x:v>provisioned exhaust</x:v>
      </x:c>
      <x:c r="B17" s="86" t="n">
        <x:f>'Atmosphere Screen'!B15</x:f>
        <x:v>58.884630259900995</x:v>
      </x:c>
      <x:c r="C17" s="86" t="str">
        <x:v>m³/s</x:v>
      </x:c>
      <x:c r="D17" s="86" t="str">
        <x:v>SCREEN ONLY</x:v>
      </x:c>
      <x:c r="E17" s="86" t="str">
        <x:v>facility capacity only</x:v>
      </x:c>
      <x:c r="F17" s="86" t="str">
        <x:v>atmosphere boards</x:v>
      </x:c>
    </x:row>
    <x:row r="18">
      <x:c r="A18" s="86" t="str">
        <x:v>maximum integrated source</x:v>
      </x:c>
      <x:c r="B18" s="86" t="n">
        <x:f>'Class Matrix'!B24</x:f>
        <x:v>56000</x:v>
      </x:c>
      <x:c r="C18" s="86" t="str">
        <x:v>kg</x:v>
      </x:c>
      <x:c r="D18" s="86" t="str">
        <x:v>PLANNING</x:v>
      </x:c>
      <x:c r="E18" s="86" t="str">
        <x:v>qualification plus class reserves</x:v>
      </x:c>
      <x:c r="F18" s="86" t="str">
        <x:v>source custody</x:v>
      </x:c>
    </x:row>
    <x:row r="19">
      <x:c r="A19" s="86" t="str">
        <x:v>evidence provision</x:v>
      </x:c>
      <x:c r="B19" s="86" t="n">
        <x:f>'Evidence Build'!B18</x:f>
        <x:v>262.9659156480001</x:v>
      </x:c>
      <x:c r="C19" s="86" t="str">
        <x:v>TB</x:v>
      </x:c>
      <x:c r="D19" s="86" t="str">
        <x:v>PLANNING</x:v>
      </x:c>
      <x:c r="E19" s="86" t="str">
        <x:v>digital capacity only</x:v>
      </x:c>
      <x:c r="F19" s="86" t="str">
        <x:v>evidence custody</x:v>
      </x:c>
    </x:row>
    <x:row r="20">
      <x:c r="A20" s="86" t="str">
        <x:v>RBO primary / maximum</x:v>
      </x:c>
      <x:c r="B20" s="86" t="str">
        <x:f>'Schedule'!B18&amp;" / "&amp;'Schedule'!C18</x:f>
        <x:v>123 / 127</x:v>
      </x:c>
      <x:c r="C20" s="86" t="str">
        <x:v>weeks</x:v>
      </x:c>
      <x:c r="D20" s="86" t="str">
        <x:v>CONSTITUTED</x:v>
      </x:c>
      <x:c r="E20" s="86" t="str">
        <x:v>child calendar</x:v>
      </x:c>
      <x:c r="F20" s="86" t="str">
        <x:v>program authority</x:v>
      </x:c>
    </x:row>
    <x:row r="21">
      <x:c r="A21" s="87" t="str">
        <x:v>RBO capital</x:v>
      </x:c>
      <x:c r="B21" s="87" t="n">
        <x:f>'Capital'!B20</x:f>
        <x:v>2600</x:v>
      </x:c>
      <x:c r="C21" s="87" t="str">
        <x:v>USD M</x:v>
      </x:c>
      <x:c r="D21" s="87" t="str">
        <x:v>CONSTITUTED</x:v>
      </x:c>
      <x:c r="E21" s="87" t="str">
        <x:v>field-time institution</x:v>
      </x:c>
      <x:c r="F21" s="87" t="str">
        <x:v>program authority</x:v>
      </x:c>
    </x:row>
    <x:row r="22">
      <x:c r="A22" s="83"/>
      <x:c r="B22" s="83"/>
      <x:c r="C22" s="83"/>
      <x:c r="D22" s="83"/>
      <x:c r="E22" s="83"/>
      <x:c r="F22" s="83"/>
    </x:row>
    <x:row r="23">
      <x:c r="A23" s="83"/>
      <x:c r="B23" s="83"/>
      <x:c r="C23" s="83"/>
      <x:c r="D23" s="83"/>
      <x:c r="E23" s="83"/>
      <x:c r="F23" s="83"/>
    </x:row>
    <x:row r="24" ht="22" customHeight="1">
      <x:c r="A24" s="40" t="str">
        <x:v>RAS-3R6 remainder after RBO</x:v>
      </x:c>
      <x:c r="B24" s="42" t="str">
        <x:v>Result</x:v>
      </x:c>
      <x:c r="C24" s="83"/>
      <x:c r="D24" s="40" t="str">
        <x:v>Release boundary</x:v>
      </x:c>
      <x:c r="E24" s="41" t="str">
        <x:v>State</x:v>
      </x:c>
      <x:c r="F24" s="42" t="str">
        <x:v>Reason</x:v>
      </x:c>
    </x:row>
    <x:row r="25">
      <x:c r="A25" s="83" t="str">
        <x:v>capital (USD M)</x:v>
      </x:c>
      <x:c r="B25" s="83" t="n">
        <x:f>'Parent Amendment'!F8</x:f>
        <x:v>5720</x:v>
      </x:c>
      <x:c r="C25" s="83"/>
      <x:c r="D25" s="85" t="str">
        <x:v>architecture selection</x:v>
      </x:c>
      <x:c r="E25" s="88" t="str">
        <x:v>BLOCKED</x:v>
      </x:c>
      <x:c r="F25" s="85" t="str">
        <x:v>no physical candidate campaign</x:v>
      </x:c>
    </x:row>
    <x:row r="26">
      <x:c r="A26" s="83" t="str">
        <x:v>annual support (USD M/year)</x:v>
      </x:c>
      <x:c r="B26" s="83" t="n">
        <x:f>'Parent Amendment'!F9</x:f>
        <x:v>300</x:v>
      </x:c>
      <x:c r="C26" s="83"/>
      <x:c r="D26" s="86" t="str">
        <x:v>topology blind-volume bound</x:v>
      </x:c>
      <x:c r="E26" s="89" t="str">
        <x:v>BLOCKED</x:v>
      </x:c>
      <x:c r="F26" s="86" t="str">
        <x:v>qualification has not established it</x:v>
      </x:c>
    </x:row>
    <x:row r="27">
      <x:c r="A27" s="83" t="str">
        <x:v>technology (USD M)</x:v>
      </x:c>
      <x:c r="B27" s="83" t="n">
        <x:f>'Parent Amendment'!F10</x:f>
        <x:v>2865</x:v>
      </x:c>
      <x:c r="C27" s="83"/>
      <x:c r="D27" s="86" t="str">
        <x:v>ER-08 credit</x:v>
      </x:c>
      <x:c r="E27" s="89" t="str">
        <x:v>BLOCKED</x:v>
      </x:c>
      <x:c r="F27" s="86" t="str">
        <x:v>no physical event</x:v>
      </x:c>
    </x:row>
    <x:row r="28">
      <x:c r="A28" s="83" t="str">
        <x:v>positions</x:v>
      </x:c>
      <x:c r="B28" s="83" t="n">
        <x:f>'Parent Amendment'!F7</x:f>
        <x:v>1100</x:v>
      </x:c>
      <x:c r="C28" s="83"/>
      <x:c r="D28" s="86" t="str">
        <x:v>500 kg / 24 m³ coupling</x:v>
      </x:c>
      <x:c r="E28" s="89" t="str">
        <x:v>BLOCKED</x:v>
      </x:c>
      <x:c r="F28" s="86" t="str">
        <x:v>RBP-1 not constituted</x:v>
      </x:c>
    </x:row>
    <x:row r="29">
      <x:c r="A29" s="83"/>
      <x:c r="B29" s="83"/>
      <x:c r="C29" s="83"/>
      <x:c r="D29" s="86" t="str">
        <x:v>candidate admission</x:v>
      </x:c>
      <x:c r="E29" s="89" t="str">
        <x:v>BLOCKED</x:v>
      </x:c>
      <x:c r="F29" s="86" t="str">
        <x:v>reference class is not qualification</x:v>
      </x:c>
    </x:row>
    <x:row r="30">
      <x:c r="A30" s="83"/>
      <x:c r="B30" s="83"/>
      <x:c r="C30" s="83"/>
      <x:c r="D30" s="86" t="str">
        <x:v>procurement and deployment</x:v>
      </x:c>
      <x:c r="E30" s="89" t="str">
        <x:v>BLOCKED</x:v>
      </x:c>
      <x:c r="F30" s="86" t="str">
        <x:v>no operational article</x:v>
      </x:c>
    </x:row>
    <x:row r="31">
      <x:c r="A31" s="83"/>
      <x:c r="B31" s="83"/>
      <x:c r="C31" s="83"/>
      <x:c r="D31" s="87" t="str">
        <x:v>exterior rendering</x:v>
      </x:c>
      <x:c r="E31" s="90" t="str">
        <x:v>BLOCKED</x:v>
      </x:c>
      <x:c r="F31" s="87" t="str">
        <x:v>wet and casualty interfaces unresolved</x:v>
      </x:c>
    </x:row>
  </x:sheetData>
  <x:mergeCells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4" hidden="0" customWidth="1"/>
    <x:col min="3" max="3" width="58" hidden="0" customWidth="1"/>
    <x:col min="4" max="4" width="46" hidden="0" customWidth="1"/>
    <x:col min="5" max="5" width="20" hidden="0" customWidth="1"/>
    <x:col min="6" max="6" width="30" hidden="0" customWidth="1"/>
  </x:cols>
  <x:sheetData>
    <x:row r="2" ht="24" customHeight="1">
      <x:c r="A2" s="82" t="str">
        <x:v>RBO-1 decisions, evidence and stop conditions</x:v>
      </x:c>
      <x:c r="B2" s="83"/>
      <x:c r="C2" s="83"/>
      <x:c r="D2" s="83"/>
      <x:c r="E2" s="83"/>
      <x:c r="F2" s="83"/>
    </x:row>
    <x:row r="3">
      <x:c r="A3" s="84"/>
      <x:c r="B3" s="84"/>
      <x:c r="C3" s="84"/>
      <x:c r="D3" s="84"/>
      <x:c r="E3" s="84"/>
      <x:c r="F3" s="84"/>
    </x:row>
    <x:row r="4">
      <x:c r="A4" s="83"/>
      <x:c r="B4" s="83"/>
      <x:c r="C4" s="83"/>
      <x:c r="D4" s="83"/>
      <x:c r="E4" s="83"/>
      <x:c r="F4" s="83"/>
    </x:row>
    <x:row r="5" ht="22" customHeight="1">
      <x:c r="A5" s="7" t="str">
        <x:v>Decision</x:v>
      </x:c>
      <x:c r="B5" s="8" t="str">
        <x:v>Constituted object</x:v>
      </x:c>
      <x:c r="C5" s="8" t="str">
        <x:v>Required evidence</x:v>
      </x:c>
      <x:c r="D5" s="8" t="str">
        <x:v>Stop condition</x:v>
      </x:c>
      <x:c r="E5" s="8" t="str">
        <x:v>Present state</x:v>
      </x:c>
      <x:c r="F5" s="9" t="str">
        <x:v>Next authority</x:v>
      </x:c>
    </x:row>
    <x:row r="6">
      <x:c r="A6" s="85" t="str">
        <x:v>scale interpretation</x:v>
      </x:c>
      <x:c r="B6" s="85" t="str">
        <x:v>field-time discontinuity</x:v>
      </x:c>
      <x:c r="C6" s="85" t="str">
        <x:v>separate source, area, depth, duration and boundary screens</x:v>
      </x:c>
      <x:c r="D6" s="85" t="str">
        <x:v>universal exponent substituted</x:v>
      </x:c>
      <x:c r="E6" s="85" t="str">
        <x:v>DESIGN COMPLETE</x:v>
      </x:c>
      <x:c r="F6" s="85" t="str">
        <x:v>architecture campaign</x:v>
      </x:c>
    </x:row>
    <x:row r="7">
      <x:c r="A7" s="86" t="str">
        <x:v>architecture selection</x:v>
      </x:c>
      <x:c r="B7" s="86" t="str">
        <x:v>one FGT-625 architecture</x:v>
      </x:c>
      <x:c r="C7" s="86" t="str">
        <x:v>240 trials and 144 comparisons</x:v>
      </x:c>
      <x:c r="D7" s="86" t="str">
        <x:v>any hard gate open</x:v>
      </x:c>
      <x:c r="E7" s="91" t="str">
        <x:v>OPEN</x:v>
      </x:c>
      <x:c r="F7" s="86" t="str">
        <x:v>module construction</x:v>
      </x:c>
    </x:row>
    <x:row r="8">
      <x:c r="A8" s="86" t="str">
        <x:v>topology root</x:v>
      </x:c>
      <x:c r="B8" s="86" t="str">
        <x:v>TOP-500</x:v>
      </x:c>
      <x:c r="C8" s="86" t="str">
        <x:v>depth, void, redistribution and blind volume</x:v>
      </x:c>
      <x:c r="D8" s="86" t="str">
        <x:v>another root supplies decisive label</x:v>
      </x:c>
      <x:c r="E8" s="91" t="str">
        <x:v>OPEN</x:v>
      </x:c>
      <x:c r="F8" s="86" t="str">
        <x:v>qualification</x:v>
      </x:c>
    </x:row>
    <x:row r="9">
      <x:c r="A9" s="86" t="str">
        <x:v>module qualification</x:v>
      </x:c>
      <x:c r="B9" s="86" t="str">
        <x:v>sixteen serviceable FRC-500 modules</x:v>
      </x:c>
      <x:c r="C9" s="86" t="str">
        <x:v>128 eight-state cycles</x:v>
      </x:c>
      <x:c r="D9" s="86" t="str">
        <x:v>scale state borrowed</x:v>
      </x:c>
      <x:c r="E9" s="91" t="str">
        <x:v>OPEN</x:v>
      </x:c>
      <x:c r="F9" s="86" t="str">
        <x:v>exact class issue</x:v>
      </x:c>
    </x:row>
    <x:row r="10">
      <x:c r="A10" s="86" t="str">
        <x:v>ER-08 class</x:v>
      </x:c>
      <x:c r="B10" s="86" t="str">
        <x:v>twelve exact cells</x:v>
      </x:c>
      <x:c r="C10" s="86" t="str">
        <x:v>sixteen propositions and complete return</x:v>
      </x:c>
      <x:c r="D10" s="86" t="str">
        <x:v>valid adverse event repeated</x:v>
      </x:c>
      <x:c r="E10" s="91" t="str">
        <x:v>OPEN</x:v>
      </x:c>
      <x:c r="F10" s="86" t="str">
        <x:v>RBP-1 research</x:v>
      </x:c>
    </x:row>
    <x:row r="11">
      <x:c r="A11" s="86" t="str">
        <x:v>parent capacity</x:v>
      </x:c>
      <x:c r="B11" s="86" t="str">
        <x:v>RAS-3R6</x:v>
      </x:c>
      <x:c r="C11" s="86" t="str">
        <x:v>calendar, formation, capital, annual and technology accounts</x:v>
      </x:c>
      <x:c r="D11" s="86" t="str">
        <x:v>maximum child exceeds remaining parent</x:v>
      </x:c>
      <x:c r="E11" s="86" t="str">
        <x:v>AMENDED</x:v>
      </x:c>
      <x:c r="F11" s="86" t="str">
        <x:v>final two rungs</x:v>
      </x:c>
    </x:row>
    <x:row r="12">
      <x:c r="A12" s="87" t="str">
        <x:v>exterior form</x:v>
      </x:c>
      <x:c r="B12" s="87" t="str">
        <x:v>none</x:v>
      </x:c>
      <x:c r="C12" s="87" t="str">
        <x:v>500 kg wet interface and casualty state still absent</x:v>
      </x:c>
      <x:c r="D12" s="87" t="str">
        <x:v>rendering precedes physical constitution</x:v>
      </x:c>
      <x:c r="E12" s="90" t="str">
        <x:v>BLOCKED</x:v>
      </x:c>
      <x:c r="F12" s="87" t="str">
        <x:v>later research</x:v>
      </x:c>
    </x:row>
  </x:sheetData>
  <x:mergeCells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40" hidden="0" customWidth="1"/>
    <x:col min="2" max="2" width="18" hidden="0" customWidth="1"/>
    <x:col min="3" max="3" width="18" hidden="0" customWidth="1"/>
    <x:col min="4" max="4" width="18" hidden="0" customWidth="1"/>
    <x:col min="5" max="5" width="48" hidden="0" customWidth="1"/>
  </x:cols>
  <x:sheetData>
    <x:row r="2" ht="24" customHeight="1">
      <x:c r="A2" s="82" t="str">
        <x:v>Registered inputs and program controls</x:v>
      </x:c>
      <x:c r="B2" s="83"/>
      <x:c r="C2" s="83"/>
      <x:c r="D2" s="83"/>
      <x:c r="E2" s="83"/>
    </x:row>
    <x:row r="3">
      <x:c r="A3" s="84"/>
      <x:c r="B3" s="84"/>
      <x:c r="C3" s="84"/>
      <x:c r="D3" s="84"/>
      <x:c r="E3" s="84"/>
    </x:row>
    <x:row r="4">
      <x:c r="A4" s="83"/>
      <x:c r="B4" s="83"/>
      <x:c r="C4" s="83"/>
      <x:c r="D4" s="83"/>
      <x:c r="E4" s="83"/>
    </x:row>
    <x:row r="5" ht="22" customHeight="1">
      <x:c r="A5" s="7" t="str">
        <x:v>Input</x:v>
      </x:c>
      <x:c r="B5" s="8" t="str">
        <x:v>Value</x:v>
      </x:c>
      <x:c r="C5" s="8" t="str">
        <x:v>Unit</x:v>
      </x:c>
      <x:c r="D5" s="8" t="str">
        <x:v>Status</x:v>
      </x:c>
      <x:c r="E5" s="9" t="str">
        <x:v>Meaning</x:v>
      </x:c>
    </x:row>
    <x:row r="6">
      <x:c r="A6" s="85" t="str">
        <x:v>low-source anchor</x:v>
      </x:c>
      <x:c r="B6" s="92" t="n">
        <x:v>100</x:v>
      </x:c>
      <x:c r="C6" s="85" t="str">
        <x:v>kg</x:v>
      </x:c>
      <x:c r="D6" s="85" t="str">
        <x:v>INHERITED</x:v>
      </x:c>
      <x:c r="E6" s="85" t="str">
        <x:v>ER-04</x:v>
      </x:c>
    </x:row>
    <x:row r="7">
      <x:c r="A7" s="86" t="str">
        <x:v>intermediate-source anchor</x:v>
      </x:c>
      <x:c r="B7" s="93" t="n">
        <x:v>250</x:v>
      </x:c>
      <x:c r="C7" s="86" t="str">
        <x:v>kg</x:v>
      </x:c>
      <x:c r="D7" s="86" t="str">
        <x:v>INHERITED</x:v>
      </x:c>
      <x:c r="E7" s="86" t="str">
        <x:v>ER-06</x:v>
      </x:c>
    </x:row>
    <x:row r="8">
      <x:c r="A8" s="86" t="str">
        <x:v>target source</x:v>
      </x:c>
      <x:c r="B8" s="93" t="n">
        <x:v>500</x:v>
      </x:c>
      <x:c r="C8" s="86" t="str">
        <x:v>kg</x:v>
      </x:c>
      <x:c r="D8" s="86" t="str">
        <x:v>REGISTERED</x:v>
      </x:c>
      <x:c r="E8" s="86" t="str">
        <x:v>ER-08</x:v>
      </x:c>
    </x:row>
    <x:row r="9">
      <x:c r="A9" s="86" t="str">
        <x:v>low-source area</x:v>
      </x:c>
      <x:c r="B9" s="93" t="n">
        <x:v>2.5</x:v>
      </x:c>
      <x:c r="C9" s="86" t="str">
        <x:v>m²</x:v>
      </x:c>
      <x:c r="D9" s="86" t="str">
        <x:v>INHERITED</x:v>
      </x:c>
      <x:c r="E9" s="86" t="str">
        <x:v>ER-04</x:v>
      </x:c>
    </x:row>
    <x:row r="10">
      <x:c r="A10" s="86" t="str">
        <x:v>intermediate-source area</x:v>
      </x:c>
      <x:c r="B10" s="93" t="n">
        <x:v>5</x:v>
      </x:c>
      <x:c r="C10" s="86" t="str">
        <x:v>m²</x:v>
      </x:c>
      <x:c r="D10" s="86" t="str">
        <x:v>INHERITED</x:v>
      </x:c>
      <x:c r="E10" s="86" t="str">
        <x:v>ER-06</x:v>
      </x:c>
    </x:row>
    <x:row r="11">
      <x:c r="A11" s="86" t="str">
        <x:v>target area</x:v>
      </x:c>
      <x:c r="B11" s="93" t="n">
        <x:v>6.25</x:v>
      </x:c>
      <x:c r="C11" s="86" t="str">
        <x:v>m²</x:v>
      </x:c>
      <x:c r="D11" s="86" t="str">
        <x:v>REGISTERED</x:v>
      </x:c>
      <x:c r="E11" s="86" t="str">
        <x:v>ER-08</x:v>
      </x:c>
    </x:row>
    <x:row r="12">
      <x:c r="A12" s="86" t="str">
        <x:v>source density screen</x:v>
      </x:c>
      <x:c r="B12" s="93" t="n">
        <x:v>800</x:v>
      </x:c>
      <x:c r="C12" s="86" t="str">
        <x:v>kg/m³</x:v>
      </x:c>
      <x:c r="D12" s="86" t="str">
        <x:v>INHERITED</x:v>
      </x:c>
      <x:c r="E12" s="86" t="str">
        <x:v>planning value</x:v>
      </x:c>
    </x:row>
    <x:row r="13">
      <x:c r="A13" s="86" t="str">
        <x:v>source issue interval</x:v>
      </x:c>
      <x:c r="B13" s="93" t="n">
        <x:v>120</x:v>
      </x:c>
      <x:c r="C13" s="86" t="str">
        <x:v>s</x:v>
      </x:c>
      <x:c r="D13" s="86" t="str">
        <x:v>INHERITED</x:v>
      </x:c>
      <x:c r="E13" s="86" t="str">
        <x:v>rate screen</x:v>
      </x:c>
    </x:row>
    <x:row r="14">
      <x:c r="A14" s="86" t="str">
        <x:v>burning flux screen</x:v>
      </x:c>
      <x:c r="B14" s="93" t="n">
        <x:v>0.055</x:v>
      </x:c>
      <x:c r="C14" s="86" t="str">
        <x:v>kg/m²-s</x:v>
      </x:c>
      <x:c r="D14" s="86" t="str">
        <x:v>INHERITED</x:v>
      </x:c>
      <x:c r="E14" s="86" t="str">
        <x:v>not an observation</x:v>
      </x:c>
    </x:row>
    <x:row r="15">
      <x:c r="A15" s="86" t="str">
        <x:v>lower heating value</x:v>
      </x:c>
      <x:c r="B15" s="93" t="n">
        <x:v>42.588</x:v>
      </x:c>
      <x:c r="C15" s="86" t="str">
        <x:v>MJ/kg</x:v>
      </x:c>
      <x:c r="D15" s="86" t="str">
        <x:v>INHERITED</x:v>
      </x:c>
      <x:c r="E15" s="86" t="str">
        <x:v>source-energy screen</x:v>
      </x:c>
    </x:row>
    <x:row r="16">
      <x:c r="A16" s="86" t="str">
        <x:v>radiant fraction</x:v>
      </x:c>
      <x:c r="B16" s="93" t="n">
        <x:v>0.35</x:v>
      </x:c>
      <x:c r="C16" s="86" t="str">
        <x:v>ratio</x:v>
      </x:c>
      <x:c r="D16" s="86" t="str">
        <x:v>INHERITED</x:v>
      </x:c>
      <x:c r="E16" s="86" t="str">
        <x:v>boundary screen</x:v>
      </x:c>
    </x:row>
    <x:row r="17">
      <x:c r="A17" s="86" t="str">
        <x:v>oxygen per source</x:v>
      </x:c>
      <x:c r="B17" s="93" t="n">
        <x:v>3.5</x:v>
      </x:c>
      <x:c r="C17" s="86" t="str">
        <x:v>kg/kg</x:v>
      </x:c>
      <x:c r="D17" s="86" t="str">
        <x:v>PLANNING</x:v>
      </x:c>
      <x:c r="E17" s="86" t="str">
        <x:v>assay pending</x:v>
      </x:c>
    </x:row>
    <x:row r="18">
      <x:c r="A18" s="86" t="str">
        <x:v>oxygen mass fraction</x:v>
      </x:c>
      <x:c r="B18" s="93" t="n">
        <x:v>0.232</x:v>
      </x:c>
      <x:c r="C18" s="86" t="str">
        <x:v>ratio</x:v>
      </x:c>
      <x:c r="D18" s="86" t="str">
        <x:v>PLANNING</x:v>
      </x:c>
      <x:c r="E18" s="86" t="str">
        <x:v>supply screen</x:v>
      </x:c>
    </x:row>
    <x:row r="19">
      <x:c r="A19" s="86" t="str">
        <x:v>excess-air fraction</x:v>
      </x:c>
      <x:c r="B19" s="93" t="n">
        <x:v>0.5</x:v>
      </x:c>
      <x:c r="C19" s="86" t="str">
        <x:v>ratio</x:v>
      </x:c>
      <x:c r="D19" s="86" t="str">
        <x:v>PLANNING</x:v>
      </x:c>
      <x:c r="E19" s="86" t="str">
        <x:v>supply screen</x:v>
      </x:c>
    </x:row>
    <x:row r="20">
      <x:c r="A20" s="86" t="str">
        <x:v>air density</x:v>
      </x:c>
      <x:c r="B20" s="93" t="n">
        <x:v>1.2</x:v>
      </x:c>
      <x:c r="C20" s="86" t="str">
        <x:v>kg/m³</x:v>
      </x:c>
      <x:c r="D20" s="86" t="str">
        <x:v>PLANNING</x:v>
      </x:c>
      <x:c r="E20" s="86" t="str">
        <x:v>supply conversion</x:v>
      </x:c>
    </x:row>
    <x:row r="21">
      <x:c r="A21" s="86" t="str">
        <x:v>heat to controlled exhaust</x:v>
      </x:c>
      <x:c r="B21" s="93" t="n">
        <x:v>0.65</x:v>
      </x:c>
      <x:c r="C21" s="86" t="str">
        <x:v>ratio</x:v>
      </x:c>
      <x:c r="D21" s="86" t="str">
        <x:v>PLANNING</x:v>
      </x:c>
      <x:c r="E21" s="86" t="str">
        <x:v>thermal screen</x:v>
      </x:c>
    </x:row>
    <x:row r="22">
      <x:c r="A22" s="86" t="str">
        <x:v>gas heat capacity</x:v>
      </x:c>
      <x:c r="B22" s="93" t="n">
        <x:v>1.01</x:v>
      </x:c>
      <x:c r="C22" s="86" t="str">
        <x:v>kJ/kg-K</x:v>
      </x:c>
      <x:c r="D22" s="86" t="str">
        <x:v>PLANNING</x:v>
      </x:c>
      <x:c r="E22" s="86" t="str">
        <x:v>thermal screen</x:v>
      </x:c>
    </x:row>
    <x:row r="23">
      <x:c r="A23" s="86" t="str">
        <x:v>accepted exhaust temperature rise</x:v>
      </x:c>
      <x:c r="B23" s="93" t="n">
        <x:v>200</x:v>
      </x:c>
      <x:c r="C23" s="86" t="str">
        <x:v>K</x:v>
      </x:c>
      <x:c r="D23" s="86" t="str">
        <x:v>PLANNING</x:v>
      </x:c>
      <x:c r="E23" s="86" t="str">
        <x:v>thermal screen</x:v>
      </x:c>
    </x:row>
    <x:row r="24">
      <x:c r="A24" s="86" t="str">
        <x:v>exhaust capacity factor</x:v>
      </x:c>
      <x:c r="B24" s="93" t="n">
        <x:v>1.5</x:v>
      </x:c>
      <x:c r="C24" s="86" t="str">
        <x:v>ratio</x:v>
      </x:c>
      <x:c r="D24" s="86" t="str">
        <x:v>PLANNING</x:v>
      </x:c>
      <x:c r="E24" s="86" t="str">
        <x:v>facility screen</x:v>
      </x:c>
    </x:row>
    <x:row r="25">
      <x:c r="A25" s="86" t="str">
        <x:v>full evidence rate</x:v>
      </x:c>
      <x:c r="B25" s="93" t="n">
        <x:v>160</x:v>
      </x:c>
      <x:c r="C25" s="86" t="str">
        <x:v>MB/s</x:v>
      </x:c>
      <x:c r="D25" s="86" t="str">
        <x:v>PLANNING</x:v>
      </x:c>
      <x:c r="E25" s="86" t="str">
        <x:v>first evidence tier</x:v>
      </x:c>
    </x:row>
    <x:row r="26">
      <x:c r="A26" s="86" t="str">
        <x:v>full evidence interval</x:v>
      </x:c>
      <x:c r="B26" s="93" t="n">
        <x:v>2700</x:v>
      </x:c>
      <x:c r="C26" s="86" t="str">
        <x:v>s</x:v>
      </x:c>
      <x:c r="D26" s="86" t="str">
        <x:v>PLANNING</x:v>
      </x:c>
      <x:c r="E26" s="86" t="str">
        <x:v>through 45 minutes</x:v>
      </x:c>
    </x:row>
    <x:row r="27">
      <x:c r="A27" s="86" t="str">
        <x:v>intermediate evidence rate</x:v>
      </x:c>
      <x:c r="B27" s="93" t="n">
        <x:v>3.6</x:v>
      </x:c>
      <x:c r="C27" s="86" t="str">
        <x:v>MB/s</x:v>
      </x:c>
      <x:c r="D27" s="86" t="str">
        <x:v>PLANNING</x:v>
      </x:c>
      <x:c r="E27" s="86" t="str">
        <x:v>second tier</x:v>
      </x:c>
    </x:row>
    <x:row r="28">
      <x:c r="A28" s="86" t="str">
        <x:v>intermediate tier end</x:v>
      </x:c>
      <x:c r="B28" s="93" t="n">
        <x:v>21600</x:v>
      </x:c>
      <x:c r="C28" s="86" t="str">
        <x:v>s</x:v>
      </x:c>
      <x:c r="D28" s="86" t="str">
        <x:v>PLANNING</x:v>
      </x:c>
      <x:c r="E28" s="86" t="str">
        <x:v>through six hours</x:v>
      </x:c>
    </x:row>
    <x:row r="29">
      <x:c r="A29" s="86" t="str">
        <x:v>return evidence rate</x:v>
      </x:c>
      <x:c r="B29" s="93" t="n">
        <x:v>0.014</x:v>
      </x:c>
      <x:c r="C29" s="86" t="str">
        <x:v>MB/s</x:v>
      </x:c>
      <x:c r="D29" s="86" t="str">
        <x:v>PLANNING</x:v>
      </x:c>
      <x:c r="E29" s="86" t="str">
        <x:v>return tier</x:v>
      </x:c>
    </x:row>
    <x:row r="30">
      <x:c r="A30" s="86" t="str">
        <x:v>return tier end</x:v>
      </x:c>
      <x:c r="B30" s="93" t="n">
        <x:v>3628800</x:v>
      </x:c>
      <x:c r="C30" s="86" t="str">
        <x:v>s</x:v>
      </x:c>
      <x:c r="D30" s="86" t="str">
        <x:v>INHERITED</x:v>
      </x:c>
      <x:c r="E30" s="86" t="str">
        <x:v>1,008 hours</x:v>
      </x:c>
    </x:row>
    <x:row r="31">
      <x:c r="A31" s="86" t="str">
        <x:v>separated originals</x:v>
      </x:c>
      <x:c r="B31" s="93" t="n">
        <x:v>2</x:v>
      </x:c>
      <x:c r="C31" s="86" t="str">
        <x:v>count</x:v>
      </x:c>
      <x:c r="D31" s="86" t="str">
        <x:v>INHERITED</x:v>
      </x:c>
      <x:c r="E31" s="86" t="str">
        <x:v>evidence custody</x:v>
      </x:c>
    </x:row>
    <x:row r="32">
      <x:c r="A32" s="86" t="str">
        <x:v>custody factor</x:v>
      </x:c>
      <x:c r="B32" s="93" t="n">
        <x:v>1.35</x:v>
      </x:c>
      <x:c r="C32" s="86" t="str">
        <x:v>ratio</x:v>
      </x:c>
      <x:c r="D32" s="86" t="str">
        <x:v>INHERITED</x:v>
      </x:c>
      <x:c r="E32" s="86" t="str">
        <x:v>evidence provision</x:v>
      </x:c>
    </x:row>
    <x:row r="33">
      <x:c r="A33" s="86" t="str">
        <x:v>candidate evidence per trial</x:v>
      </x:c>
      <x:c r="B33" s="93" t="n">
        <x:v>14</x:v>
      </x:c>
      <x:c r="C33" s="86" t="str">
        <x:v>GB</x:v>
      </x:c>
      <x:c r="D33" s="86" t="str">
        <x:v>PLANNING</x:v>
      </x:c>
      <x:c r="E33" s="86" t="str">
        <x:v>240 trials</x:v>
      </x:c>
    </x:row>
    <x:row r="34">
      <x:c r="A34" s="86" t="str">
        <x:v>comparison evidence per trial</x:v>
      </x:c>
      <x:c r="B34" s="93" t="n">
        <x:v>12</x:v>
      </x:c>
      <x:c r="C34" s="86" t="str">
        <x:v>GB</x:v>
      </x:c>
      <x:c r="D34" s="86" t="str">
        <x:v>PLANNING</x:v>
      </x:c>
      <x:c r="E34" s="86" t="str">
        <x:v>144 trials</x:v>
      </x:c>
    </x:row>
    <x:row r="35">
      <x:c r="A35" s="86" t="str">
        <x:v>forensic evidence allowance</x:v>
      </x:c>
      <x:c r="B35" s="93" t="n">
        <x:v>0.2</x:v>
      </x:c>
      <x:c r="C35" s="86" t="str">
        <x:v>ratio</x:v>
      </x:c>
      <x:c r="D35" s="86" t="str">
        <x:v>PLANNING</x:v>
      </x:c>
      <x:c r="E35" s="86" t="str">
        <x:v>after subtotal</x:v>
      </x:c>
    </x:row>
    <x:row r="36">
      <x:c r="A36" s="86" t="str">
        <x:v>candidate articles</x:v>
      </x:c>
      <x:c r="B36" s="93" t="n">
        <x:v>24</x:v>
      </x:c>
      <x:c r="C36" s="86" t="str">
        <x:v>count</x:v>
      </x:c>
      <x:c r="D36" s="86" t="str">
        <x:v>CONSTITUTED</x:v>
      </x:c>
      <x:c r="E36" s="86" t="str">
        <x:v>four by two by three</x:v>
      </x:c>
    </x:row>
    <x:row r="37">
      <x:c r="A37" s="86" t="str">
        <x:v>trials per candidate article</x:v>
      </x:c>
      <x:c r="B37" s="93" t="n">
        <x:v>10</x:v>
      </x:c>
      <x:c r="C37" s="86" t="str">
        <x:v>count</x:v>
      </x:c>
      <x:c r="D37" s="86" t="str">
        <x:v>CONSTITUTED</x:v>
      </x:c>
      <x:c r="E37" s="86" t="str">
        <x:v>240 trials</x:v>
      </x:c>
    </x:row>
    <x:row r="38">
      <x:c r="A38" s="86" t="str">
        <x:v>matched comparisons</x:v>
      </x:c>
      <x:c r="B38" s="93" t="n">
        <x:v>144</x:v>
      </x:c>
      <x:c r="C38" s="86" t="str">
        <x:v>count</x:v>
      </x:c>
      <x:c r="D38" s="86" t="str">
        <x:v>CONSTITUTED</x:v>
      </x:c>
      <x:c r="E38" s="86" t="str">
        <x:v>six pairs by two states by twelve</x:v>
      </x:c>
    </x:row>
    <x:row r="39">
      <x:c r="A39" s="86" t="str">
        <x:v>serviceable modules</x:v>
      </x:c>
      <x:c r="B39" s="93" t="n">
        <x:v>16</x:v>
      </x:c>
      <x:c r="C39" s="86" t="str">
        <x:v>count</x:v>
      </x:c>
      <x:c r="D39" s="86" t="str">
        <x:v>CONSTITUTED</x:v>
      </x:c>
      <x:c r="E39" s="86" t="str">
        <x:v>active plus spares</x:v>
      </x:c>
    </x:row>
    <x:row r="40">
      <x:c r="A40" s="86" t="str">
        <x:v>qualification cycles per module</x:v>
      </x:c>
      <x:c r="B40" s="93" t="n">
        <x:v>8</x:v>
      </x:c>
      <x:c r="C40" s="86" t="str">
        <x:v>count</x:v>
      </x:c>
      <x:c r="D40" s="86" t="str">
        <x:v>CONSTITUTED</x:v>
      </x:c>
      <x:c r="E40" s="86" t="str">
        <x:v>scale bridge</x:v>
      </x:c>
    </x:row>
    <x:row r="41">
      <x:c r="A41" s="86" t="str">
        <x:v>required class credits</x:v>
      </x:c>
      <x:c r="B41" s="93" t="n">
        <x:v>12</x:v>
      </x:c>
      <x:c r="C41" s="86" t="str">
        <x:v>count</x:v>
      </x:c>
      <x:c r="D41" s="86" t="str">
        <x:v>CONSTITUTED</x:v>
      </x:c>
      <x:c r="E41" s="86" t="str">
        <x:v>exact cells</x:v>
      </x:c>
    </x:row>
    <x:row r="42">
      <x:c r="A42" s="86" t="str">
        <x:v>invalidity reserves</x:v>
      </x:c>
      <x:c r="B42" s="93" t="n">
        <x:v>4</x:v>
      </x:c>
      <x:c r="C42" s="86" t="str">
        <x:v>count</x:v>
      </x:c>
      <x:c r="D42" s="86" t="str">
        <x:v>CONSTITUTED</x:v>
      </x:c>
      <x:c r="E42" s="86" t="str">
        <x:v>exact-cell only</x:v>
      </x:c>
    </x:row>
    <x:row r="43">
      <x:c r="A43" s="86" t="str">
        <x:v>event phases</x:v>
      </x:c>
      <x:c r="B43" s="93" t="n">
        <x:v>16</x:v>
      </x:c>
      <x:c r="C43" s="86" t="str">
        <x:v>count</x:v>
      </x:c>
      <x:c r="D43" s="86" t="str">
        <x:v>CONSTITUTED</x:v>
      </x:c>
      <x:c r="E43" s="86" t="str">
        <x:v>gate lattice</x:v>
      </x:c>
    </x:row>
    <x:row r="44">
      <x:c r="A44" s="86" t="str">
        <x:v>gate domains</x:v>
      </x:c>
      <x:c r="B44" s="93" t="n">
        <x:v>8</x:v>
      </x:c>
      <x:c r="C44" s="86" t="str">
        <x:v>count</x:v>
      </x:c>
      <x:c r="D44" s="86" t="str">
        <x:v>CONSTITUTED</x:v>
      </x:c>
      <x:c r="E44" s="86" t="str">
        <x:v>gate lattice</x:v>
      </x:c>
    </x:row>
    <x:row r="45">
      <x:c r="A45" s="86" t="str">
        <x:v>records per gate</x:v>
      </x:c>
      <x:c r="B45" s="93" t="n">
        <x:v>4</x:v>
      </x:c>
      <x:c r="C45" s="86" t="str">
        <x:v>count</x:v>
      </x:c>
      <x:c r="D45" s="86" t="str">
        <x:v>CONSTITUTED</x:v>
      </x:c>
      <x:c r="E45" s="86" t="str">
        <x:v>native replicas</x:v>
      </x:c>
    </x:row>
    <x:row r="46">
      <x:c r="A46" s="86" t="str">
        <x:v>channel systems</x:v>
      </x:c>
      <x:c r="B46" s="93" t="n">
        <x:v>18</x:v>
      </x:c>
      <x:c r="C46" s="86" t="str">
        <x:v>count</x:v>
      </x:c>
      <x:c r="D46" s="86" t="str">
        <x:v>CONSTITUTED</x:v>
      </x:c>
      <x:c r="E46" s="86" t="str">
        <x:v>five-root event</x:v>
      </x:c>
    </x:row>
    <x:row r="47">
      <x:c r="A47" s="86" t="str">
        <x:v>channels per system</x:v>
      </x:c>
      <x:c r="B47" s="93" t="n">
        <x:v>64</x:v>
      </x:c>
      <x:c r="C47" s="86" t="str">
        <x:v>count</x:v>
      </x:c>
      <x:c r="D47" s="86" t="str">
        <x:v>CONSTITUTED</x:v>
      </x:c>
      <x:c r="E47" s="86" t="str">
        <x:v>active registry</x:v>
      </x:c>
    </x:row>
    <x:row r="48">
      <x:c r="A48" s="86" t="str">
        <x:v>safeing functions</x:v>
      </x:c>
      <x:c r="B48" s="93" t="n">
        <x:v>9</x:v>
      </x:c>
      <x:c r="C48" s="86" t="str">
        <x:v>count</x:v>
      </x:c>
      <x:c r="D48" s="86" t="str">
        <x:v>CONSTITUTED</x:v>
      </x:c>
      <x:c r="E48" s="86" t="str">
        <x:v>physical functions</x:v>
      </x:c>
    </x:row>
    <x:row r="49">
      <x:c r="A49" s="86" t="str">
        <x:v>paths per safeing function</x:v>
      </x:c>
      <x:c r="B49" s="93" t="n">
        <x:v>4</x:v>
      </x:c>
      <x:c r="C49" s="86" t="str">
        <x:v>count</x:v>
      </x:c>
      <x:c r="D49" s="86" t="str">
        <x:v>CONSTITUTED</x:v>
      </x:c>
      <x:c r="E49" s="86" t="str">
        <x:v>primary, diverse, passive, manual</x:v>
      </x:c>
    </x:row>
    <x:row r="50">
      <x:c r="A50" s="86" t="str">
        <x:v>return work packages</x:v>
      </x:c>
      <x:c r="B50" s="93" t="n">
        <x:v>44</x:v>
      </x:c>
      <x:c r="C50" s="86" t="str">
        <x:v>count</x:v>
      </x:c>
      <x:c r="D50" s="86" t="str">
        <x:v>CONSTITUTED</x:v>
      </x:c>
      <x:c r="E50" s="86" t="str">
        <x:v>1,008-hour return</x:v>
      </x:c>
    </x:row>
    <x:row r="51">
      <x:c r="A51" s="86" t="str">
        <x:v>return decisions</x:v>
      </x:c>
      <x:c r="B51" s="93" t="n">
        <x:v>40</x:v>
      </x:c>
      <x:c r="C51" s="86" t="str">
        <x:v>count</x:v>
      </x:c>
      <x:c r="D51" s="86" t="str">
        <x:v>CONSTITUTED</x:v>
      </x:c>
      <x:c r="E51" s="86" t="str">
        <x:v>independent boards</x:v>
      </x:c>
    </x:row>
    <x:row r="52">
      <x:c r="A52" s="86" t="str">
        <x:v>exchange trials</x:v>
      </x:c>
      <x:c r="B52" s="93" t="n">
        <x:v>216</x:v>
      </x:c>
      <x:c r="C52" s="86" t="str">
        <x:v>count</x:v>
      </x:c>
      <x:c r="D52" s="86" t="str">
        <x:v>CONSTITUTED</x:v>
      </x:c>
      <x:c r="E52" s="86" t="str">
        <x:v>six hosts by two directions by three states by six</x:v>
      </x:c>
    </x:row>
    <x:row r="53">
      <x:c r="A53" s="86" t="str">
        <x:v>child primary calendar</x:v>
      </x:c>
      <x:c r="B53" s="93" t="n">
        <x:v>123</x:v>
      </x:c>
      <x:c r="C53" s="86" t="str">
        <x:v>weeks</x:v>
      </x:c>
      <x:c r="D53" s="86" t="str">
        <x:v>CONSTITUTED</x:v>
      </x:c>
      <x:c r="E53" s="86" t="str">
        <x:v>RBO schedule</x:v>
      </x:c>
    </x:row>
    <x:row r="54">
      <x:c r="A54" s="86" t="str">
        <x:v>child maximum calendar</x:v>
      </x:c>
      <x:c r="B54" s="93" t="n">
        <x:v>127</x:v>
      </x:c>
      <x:c r="C54" s="86" t="str">
        <x:v>weeks</x:v>
      </x:c>
      <x:c r="D54" s="86" t="str">
        <x:v>CONSTITUTED</x:v>
      </x:c>
      <x:c r="E54" s="86" t="str">
        <x:v>includes reserves</x:v>
      </x:c>
    </x:row>
    <x:row r="55">
      <x:c r="A55" s="86" t="str">
        <x:v>programs through RBN primary</x:v>
      </x:c>
      <x:c r="B55" s="93" t="n">
        <x:v>522</x:v>
      </x:c>
      <x:c r="C55" s="86" t="str">
        <x:v>weeks</x:v>
      </x:c>
      <x:c r="D55" s="86" t="str">
        <x:v>REGISTERED</x:v>
      </x:c>
      <x:c r="E55" s="86" t="str">
        <x:v>prior total</x:v>
      </x:c>
    </x:row>
    <x:row r="56">
      <x:c r="A56" s="86" t="str">
        <x:v>programs through RBN maximum</x:v>
      </x:c>
      <x:c r="B56" s="93" t="n">
        <x:v>544</x:v>
      </x:c>
      <x:c r="C56" s="86" t="str">
        <x:v>weeks</x:v>
      </x:c>
      <x:c r="D56" s="86" t="str">
        <x:v>REGISTERED</x:v>
      </x:c>
      <x:c r="E56" s="86" t="str">
        <x:v>prior total</x:v>
      </x:c>
    </x:row>
    <x:row r="57">
      <x:c r="A57" s="86" t="str">
        <x:v>later provisional rungs</x:v>
      </x:c>
      <x:c r="B57" s="93" t="n">
        <x:v>2</x:v>
      </x:c>
      <x:c r="C57" s="86" t="str">
        <x:v>count</x:v>
      </x:c>
      <x:c r="D57" s="86" t="str">
        <x:v>PLANNING</x:v>
      </x:c>
      <x:c r="E57" s="86" t="str">
        <x:v>ER-09 and ER-10</x:v>
      </x:c>
    </x:row>
    <x:row r="58">
      <x:c r="A58" s="86" t="str">
        <x:v>later primary allowance</x:v>
      </x:c>
      <x:c r="B58" s="93" t="n">
        <x:v>17</x:v>
      </x:c>
      <x:c r="C58" s="86" t="str">
        <x:v>weeks/rung</x:v>
      </x:c>
      <x:c r="D58" s="86" t="str">
        <x:v>PLANNING</x:v>
      </x:c>
      <x:c r="E58" s="86" t="str">
        <x:v>not constituted</x:v>
      </x:c>
    </x:row>
    <x:row r="59">
      <x:c r="A59" s="86" t="str">
        <x:v>later maximum allowance</x:v>
      </x:c>
      <x:c r="B59" s="93" t="n">
        <x:v>21</x:v>
      </x:c>
      <x:c r="C59" s="86" t="str">
        <x:v>weeks/rung</x:v>
      </x:c>
      <x:c r="D59" s="86" t="str">
        <x:v>PLANNING</x:v>
      </x:c>
      <x:c r="E59" s="86" t="str">
        <x:v>not constituted</x:v>
      </x:c>
    </x:row>
    <x:row r="60">
      <x:c r="A60" s="86" t="str">
        <x:v>RBO capital</x:v>
      </x:c>
      <x:c r="B60" s="93" t="n">
        <x:v>2600</x:v>
      </x:c>
      <x:c r="C60" s="86" t="str">
        <x:v>USD M</x:v>
      </x:c>
      <x:c r="D60" s="86" t="str">
        <x:v>CONSTITUTED</x:v>
      </x:c>
      <x:c r="E60" s="86" t="str">
        <x:v>child program</x:v>
      </x:c>
    </x:row>
    <x:row r="61">
      <x:c r="A61" s="86" t="str">
        <x:v>RBO annual support</x:v>
      </x:c>
      <x:c r="B61" s="93" t="n">
        <x:v>300</x:v>
      </x:c>
      <x:c r="C61" s="86" t="str">
        <x:v>USD M/year</x:v>
      </x:c>
      <x:c r="D61" s="86" t="str">
        <x:v>CONSTITUTED</x:v>
      </x:c>
      <x:c r="E61" s="86" t="str">
        <x:v>execution</x:v>
      </x:c>
    </x:row>
    <x:row r="62">
      <x:c r="A62" s="86" t="str">
        <x:v>RBO technology</x:v>
      </x:c>
      <x:c r="B62" s="93" t="n">
        <x:v>1000</x:v>
      </x:c>
      <x:c r="C62" s="86" t="str">
        <x:v>USD M</x:v>
      </x:c>
      <x:c r="D62" s="86" t="str">
        <x:v>CONSTITUTED</x:v>
      </x:c>
      <x:c r="E62" s="86" t="str">
        <x:v>mission-led research</x:v>
      </x:c>
    </x:row>
    <x:row r="63">
      <x:c r="A63" s="86" t="str">
        <x:v>RBO execution positions</x:v>
      </x:c>
      <x:c r="B63" s="93" t="n">
        <x:v>1500</x:v>
      </x:c>
      <x:c r="C63" s="86" t="str">
        <x:v>positions</x:v>
      </x:c>
      <x:c r="D63" s="86" t="str">
        <x:v>CONSTITUTED</x:v>
      </x:c>
      <x:c r="E63" s="86" t="str">
        <x:v>child formation</x:v>
      </x:c>
    </x:row>
    <x:row r="64">
      <x:c r="A64" s="86" t="str">
        <x:v>retained positions</x:v>
      </x:c>
      <x:c r="B64" s="93" t="n">
        <x:v>1600</x:v>
      </x:c>
      <x:c r="C64" s="86" t="str">
        <x:v>positions</x:v>
      </x:c>
      <x:c r="D64" s="86" t="str">
        <x:v>CONSTITUTED</x:v>
      </x:c>
      <x:c r="E64" s="86" t="str">
        <x:v>prior banks and campuses</x:v>
      </x:c>
    </x:row>
    <x:row r="65">
      <x:c r="A65" s="86" t="str">
        <x:v>retained annual support</x:v>
      </x:c>
      <x:c r="B65" s="93" t="n">
        <x:v>300</x:v>
      </x:c>
      <x:c r="C65" s="86" t="str">
        <x:v>USD M/year</x:v>
      </x:c>
      <x:c r="D65" s="86" t="str">
        <x:v>CONSTITUTED</x:v>
      </x:c>
      <x:c r="E65" s="86" t="str">
        <x:v>prior banks</x:v>
      </x:c>
    </x:row>
    <x:row r="66">
      <x:c r="A66" s="86" t="str">
        <x:v>RAS-3R5 calendar</x:v>
      </x:c>
      <x:c r="B66" s="93" t="n">
        <x:v>728</x:v>
      </x:c>
      <x:c r="C66" s="86" t="str">
        <x:v>weeks</x:v>
      </x:c>
      <x:c r="D66" s="86" t="str">
        <x:v>REGISTERED</x:v>
      </x:c>
      <x:c r="E66" s="86" t="str">
        <x:v>prior parent</x:v>
      </x:c>
    </x:row>
    <x:row r="67">
      <x:c r="A67" s="86" t="str">
        <x:v>RAS-3R5 positions</x:v>
      </x:c>
      <x:c r="B67" s="93" t="n">
        <x:v>3200</x:v>
      </x:c>
      <x:c r="C67" s="86" t="str">
        <x:v>positions</x:v>
      </x:c>
      <x:c r="D67" s="86" t="str">
        <x:v>REGISTERED</x:v>
      </x:c>
      <x:c r="E67" s="86" t="str">
        <x:v>prior parent</x:v>
      </x:c>
    </x:row>
    <x:row r="68">
      <x:c r="A68" s="86" t="str">
        <x:v>RAS-3R5 capital</x:v>
      </x:c>
      <x:c r="B68" s="93" t="n">
        <x:v>10500</x:v>
      </x:c>
      <x:c r="C68" s="86" t="str">
        <x:v>USD M</x:v>
      </x:c>
      <x:c r="D68" s="86" t="str">
        <x:v>REGISTERED</x:v>
      </x:c>
      <x:c r="E68" s="86" t="str">
        <x:v>prior parent</x:v>
      </x:c>
    </x:row>
    <x:row r="69">
      <x:c r="A69" s="86" t="str">
        <x:v>RAS-3R5 annual support</x:v>
      </x:c>
      <x:c r="B69" s="93" t="n">
        <x:v>700</x:v>
      </x:c>
      <x:c r="C69" s="86" t="str">
        <x:v>USD M/year</x:v>
      </x:c>
      <x:c r="D69" s="86" t="str">
        <x:v>REGISTERED</x:v>
      </x:c>
      <x:c r="E69" s="86" t="str">
        <x:v>prior parent</x:v>
      </x:c>
    </x:row>
    <x:row r="70">
      <x:c r="A70" s="86" t="str">
        <x:v>RAS-3R5 technology</x:v>
      </x:c>
      <x:c r="B70" s="93" t="n">
        <x:v>4200</x:v>
      </x:c>
      <x:c r="C70" s="86" t="str">
        <x:v>USD M</x:v>
      </x:c>
      <x:c r="D70" s="86" t="str">
        <x:v>REGISTERED</x:v>
      </x:c>
      <x:c r="E70" s="86" t="str">
        <x:v>prior parent</x:v>
      </x:c>
    </x:row>
    <x:row r="71">
      <x:c r="A71" s="86" t="str">
        <x:v>RAS-3R6 calendar</x:v>
      </x:c>
      <x:c r="B71" s="93" t="n">
        <x:v>832</x:v>
      </x:c>
      <x:c r="C71" s="86" t="str">
        <x:v>weeks</x:v>
      </x:c>
      <x:c r="D71" s="86" t="str">
        <x:v>AMENDED</x:v>
      </x:c>
      <x:c r="E71" s="86" t="str">
        <x:v>new parent</x:v>
      </x:c>
    </x:row>
    <x:row r="72">
      <x:c r="A72" s="86" t="str">
        <x:v>RAS-3R6 positions</x:v>
      </x:c>
      <x:c r="B72" s="93" t="n">
        <x:v>4200</x:v>
      </x:c>
      <x:c r="C72" s="86" t="str">
        <x:v>positions</x:v>
      </x:c>
      <x:c r="D72" s="86" t="str">
        <x:v>AMENDED</x:v>
      </x:c>
      <x:c r="E72" s="86" t="str">
        <x:v>new parent</x:v>
      </x:c>
    </x:row>
    <x:row r="73">
      <x:c r="A73" s="86" t="str">
        <x:v>RAS-3R6 capital</x:v>
      </x:c>
      <x:c r="B73" s="93" t="n">
        <x:v>14000</x:v>
      </x:c>
      <x:c r="C73" s="86" t="str">
        <x:v>USD M</x:v>
      </x:c>
      <x:c r="D73" s="86" t="str">
        <x:v>AMENDED</x:v>
      </x:c>
      <x:c r="E73" s="86" t="str">
        <x:v>new parent</x:v>
      </x:c>
    </x:row>
    <x:row r="74">
      <x:c r="A74" s="86" t="str">
        <x:v>RAS-3R6 annual support</x:v>
      </x:c>
      <x:c r="B74" s="93" t="n">
        <x:v>900</x:v>
      </x:c>
      <x:c r="C74" s="86" t="str">
        <x:v>USD M/year</x:v>
      </x:c>
      <x:c r="D74" s="86" t="str">
        <x:v>AMENDED</x:v>
      </x:c>
      <x:c r="E74" s="86" t="str">
        <x:v>new parent</x:v>
      </x:c>
    </x:row>
    <x:row r="75">
      <x:c r="A75" s="86" t="str">
        <x:v>RAS-3R6 technology</x:v>
      </x:c>
      <x:c r="B75" s="93" t="n">
        <x:v>6200</x:v>
      </x:c>
      <x:c r="C75" s="86" t="str">
        <x:v>USD M</x:v>
      </x:c>
      <x:c r="D75" s="86" t="str">
        <x:v>AMENDED</x:v>
      </x:c>
      <x:c r="E75" s="86" t="str">
        <x:v>new parent</x:v>
      </x:c>
    </x:row>
    <x:row r="76">
      <x:c r="A76" s="86" t="str">
        <x:v>cumulative capital through RBN</x:v>
      </x:c>
      <x:c r="B76" s="93" t="n">
        <x:v>5680</x:v>
      </x:c>
      <x:c r="C76" s="86" t="str">
        <x:v>USD M</x:v>
      </x:c>
      <x:c r="D76" s="86" t="str">
        <x:v>REGISTERED</x:v>
      </x:c>
      <x:c r="E76" s="86" t="str">
        <x:v>prior children</x:v>
      </x:c>
    </x:row>
    <x:row r="77">
      <x:c r="A77" s="86" t="str">
        <x:v>cumulative technology through RBN</x:v>
      </x:c>
      <x:c r="B77" s="93" t="n">
        <x:v>2335</x:v>
      </x:c>
      <x:c r="C77" s="86" t="str">
        <x:v>USD M</x:v>
      </x:c>
      <x:c r="D77" s="86" t="str">
        <x:v>REGISTERED</x:v>
      </x:c>
      <x:c r="E77" s="86" t="str">
        <x:v>prior children</x:v>
      </x:c>
    </x:row>
    <x:row r="78">
      <x:c r="A78" s="86" t="str">
        <x:v>environmental source per credit</x:v>
      </x:c>
      <x:c r="B78" s="93" t="n">
        <x:v>0.5</x:v>
      </x:c>
      <x:c r="C78" s="86" t="str">
        <x:v>kg</x:v>
      </x:c>
      <x:c r="D78" s="86" t="str">
        <x:v>INHERITED</x:v>
      </x:c>
      <x:c r="E78" s="86" t="str">
        <x:v>fixed source limit</x:v>
      </x:c>
    </x:row>
    <x:row r="79">
      <x:c r="A79" s="86" t="str">
        <x:v>unaccounted source per credit</x:v>
      </x:c>
      <x:c r="B79" s="93" t="n">
        <x:v>3.75</x:v>
      </x:c>
      <x:c r="C79" s="86" t="str">
        <x:v>kg</x:v>
      </x:c>
      <x:c r="D79" s="86" t="str">
        <x:v>INHERITED</x:v>
      </x:c>
      <x:c r="E79" s="86" t="str">
        <x:v>fixed source limit</x:v>
      </x:c>
    </x:row>
    <x:row r="80">
      <x:c r="A80" s="86" t="str">
        <x:v>ancestry recovery minimum</x:v>
      </x:c>
      <x:c r="B80" s="93" t="n">
        <x:v>0.995</x:v>
      </x:c>
      <x:c r="C80" s="86" t="str">
        <x:v>ratio</x:v>
      </x:c>
      <x:c r="D80" s="86" t="str">
        <x:v>INHERITED</x:v>
      </x:c>
      <x:c r="E80" s="86" t="str">
        <x:v>source account</x:v>
      </x:c>
    </x:row>
    <x:row r="81">
      <x:c r="A81" s="86" t="str">
        <x:v>cross-assignment maximum</x:v>
      </x:c>
      <x:c r="B81" s="93" t="n">
        <x:v>0.005</x:v>
      </x:c>
      <x:c r="C81" s="86" t="str">
        <x:v>ratio</x:v>
      </x:c>
      <x:c r="D81" s="86" t="str">
        <x:v>INHERITED</x:v>
      </x:c>
      <x:c r="E81" s="86" t="str">
        <x:v>source account</x:v>
      </x:c>
    </x:row>
    <x:row r="82">
      <x:c r="A82" s="86" t="str">
        <x:v>module return</x:v>
      </x:c>
      <x:c r="B82" s="93" t="n">
        <x:v>1008</x:v>
      </x:c>
      <x:c r="C82" s="86" t="str">
        <x:v>hours</x:v>
      </x:c>
      <x:c r="D82" s="86" t="str">
        <x:v>INHERITED</x:v>
      </x:c>
      <x:c r="E82" s="86" t="str">
        <x:v>fixed boundary</x:v>
      </x:c>
    </x:row>
    <x:row r="83">
      <x:c r="A83" s="86" t="str">
        <x:v>host exchange observation</x:v>
      </x:c>
      <x:c r="B83" s="93" t="n">
        <x:v>672</x:v>
      </x:c>
      <x:c r="C83" s="86" t="str">
        <x:v>hours</x:v>
      </x:c>
      <x:c r="D83" s="86" t="str">
        <x:v>CONSTITUTED</x:v>
      </x:c>
      <x:c r="E83" s="86" t="str">
        <x:v>separate claim</x:v>
      </x:c>
    </x:row>
    <x:row r="84">
      <x:c r="A84" s="87" t="str">
        <x:v>approved topology blind-volume bound</x:v>
      </x:c>
      <x:c r="B84" s="94" t="str"/>
      <x:c r="C84" s="95" t="str">
        <x:v>m³</x:v>
      </x:c>
      <x:c r="D84" s="95" t="str">
        <x:v>OPEN</x:v>
      </x:c>
      <x:c r="E84" s="87" t="str">
        <x:v>must be earned in qualification</x:v>
      </x:c>
    </x:row>
  </x:sheetData>
  <x:mergeCells>
    <x:mergeCell ref="A2:E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8" hidden="0" customWidth="1"/>
    <x:col min="4" max="4" width="18" hidden="0" customWidth="1"/>
    <x:col min="5" max="5" width="20" hidden="0" customWidth="1"/>
    <x:col min="6" max="6" width="48" hidden="0" customWidth="1"/>
  </x:cols>
  <x:sheetData>
    <x:row r="2" ht="24" customHeight="1">
      <x:c r="A2" s="82" t="str">
        <x:v>100 kg, 250 kg and 500 kg dry-state comparison</x:v>
      </x:c>
      <x:c r="B2" s="83"/>
      <x:c r="C2" s="83"/>
      <x:c r="D2" s="83"/>
      <x:c r="E2" s="83"/>
      <x:c r="F2" s="83"/>
    </x:row>
    <x:row r="3">
      <x:c r="A3" s="84"/>
      <x:c r="B3" s="84"/>
      <x:c r="C3" s="84"/>
      <x:c r="D3" s="84"/>
      <x:c r="E3" s="84"/>
      <x:c r="F3" s="84"/>
    </x:row>
    <x:row r="4">
      <x:c r="A4" s="83"/>
      <x:c r="B4" s="83"/>
      <x:c r="C4" s="83"/>
      <x:c r="D4" s="83"/>
      <x:c r="E4" s="83"/>
      <x:c r="F4" s="83"/>
    </x:row>
    <x:row r="5" ht="22" customHeight="1">
      <x:c r="A5" s="7" t="str">
        <x:v>Quantity</x:v>
      </x:c>
      <x:c r="B5" s="8" t="str">
        <x:v>ER-04</x:v>
      </x:c>
      <x:c r="C5" s="8" t="str">
        <x:v>ER-06</x:v>
      </x:c>
      <x:c r="D5" s="8" t="str">
        <x:v>ER-08</x:v>
      </x:c>
      <x:c r="E5" s="8" t="str">
        <x:v>ER-08 / ER-06</x:v>
      </x:c>
      <x:c r="F5" s="9" t="str">
        <x:v>Meaning</x:v>
      </x:c>
    </x:row>
    <x:row r="6">
      <x:c r="A6" s="85" t="str">
        <x:v>source (kg)</x:v>
      </x:c>
      <x:c r="B6" s="96" t="n">
        <x:f>'Assumptions'!B6</x:f>
        <x:v>100</x:v>
      </x:c>
      <x:c r="C6" s="96" t="n">
        <x:f>'Assumptions'!B7</x:f>
        <x:v>250</x:v>
      </x:c>
      <x:c r="D6" s="96" t="n">
        <x:f>'Assumptions'!B8</x:f>
        <x:v>500</x:v>
      </x:c>
      <x:c r="E6" s="96" t="n">
        <x:f>D6/C6</x:f>
        <x:v>2</x:v>
      </x:c>
      <x:c r="F6" s="85" t="str">
        <x:v>total inventory doubles</x:v>
      </x:c>
    </x:row>
    <x:row r="7">
      <x:c r="A7" s="86" t="str">
        <x:v>source volume (m³)</x:v>
      </x:c>
      <x:c r="B7" s="97" t="n">
        <x:f>B6/'Assumptions'!B12</x:f>
        <x:v>0.125</x:v>
      </x:c>
      <x:c r="C7" s="97" t="n">
        <x:f>C6/'Assumptions'!B12</x:f>
        <x:v>0.3125</x:v>
      </x:c>
      <x:c r="D7" s="97" t="n">
        <x:f>D6/'Assumptions'!B12</x:f>
        <x:v>0.625</x:v>
      </x:c>
      <x:c r="E7" s="97" t="n">
        <x:f>D7/C7</x:f>
        <x:v>2</x:v>
      </x:c>
      <x:c r="F7" s="86" t="str">
        <x:v>source volume doubles</x:v>
      </x:c>
    </x:row>
    <x:row r="8">
      <x:c r="A8" s="86" t="str">
        <x:v>field area (m²)</x:v>
      </x:c>
      <x:c r="B8" s="97" t="n">
        <x:f>'Assumptions'!B9</x:f>
        <x:v>2.5</x:v>
      </x:c>
      <x:c r="C8" s="97" t="n">
        <x:f>'Assumptions'!B10</x:f>
        <x:v>5</x:v>
      </x:c>
      <x:c r="D8" s="97" t="n">
        <x:f>'Assumptions'!B11</x:f>
        <x:v>6.25</x:v>
      </x:c>
      <x:c r="E8" s="97" t="n">
        <x:f>D8/C8</x:f>
        <x:v>1.25</x:v>
      </x:c>
      <x:c r="F8" s="86" t="str">
        <x:v>area rises only 25 percent</x:v>
      </x:c>
    </x:row>
    <x:row r="9">
      <x:c r="A9" s="86" t="str">
        <x:v>mean depth (mm)</x:v>
      </x:c>
      <x:c r="B9" s="97" t="n">
        <x:f>B7/B8*1000</x:f>
        <x:v>50</x:v>
      </x:c>
      <x:c r="C9" s="97" t="n">
        <x:f>C7/C8*1000</x:f>
        <x:v>62.5</x:v>
      </x:c>
      <x:c r="D9" s="97" t="n">
        <x:f>D7/D8*1000</x:f>
        <x:v>100</x:v>
      </x:c>
      <x:c r="E9" s="97" t="n">
        <x:f>D9/C9</x:f>
        <x:v>1.6</x:v>
      </x:c>
      <x:c r="F9" s="86" t="str">
        <x:v>depth rises 60 percent</x:v>
      </x:c>
    </x:row>
    <x:row r="10">
      <x:c r="A10" s="86" t="str">
        <x:v>source per area (kg/m²)</x:v>
      </x:c>
      <x:c r="B10" s="97" t="n">
        <x:f>B6/B8</x:f>
        <x:v>40</x:v>
      </x:c>
      <x:c r="C10" s="97" t="n">
        <x:f>C6/C8</x:f>
        <x:v>50</x:v>
      </x:c>
      <x:c r="D10" s="97" t="n">
        <x:f>D6/D8</x:f>
        <x:v>80</x:v>
      </x:c>
      <x:c r="E10" s="97" t="n">
        <x:f>D10/C10</x:f>
        <x:v>1.6</x:v>
      </x:c>
      <x:c r="F10" s="86" t="str">
        <x:v>areal source rises 60 percent</x:v>
      </x:c>
    </x:row>
    <x:row r="11">
      <x:c r="A11" s="86" t="str">
        <x:v>equivalent diameter (m)</x:v>
      </x:c>
      <x:c r="B11" s="97" t="n">
        <x:f>SQRT(4*B8/PI())</x:f>
        <x:v>1.7841241161527712</x:v>
      </x:c>
      <x:c r="C11" s="97" t="n">
        <x:f>SQRT(4*C8/PI())</x:f>
        <x:v>2.5231325220201604</x:v>
      </x:c>
      <x:c r="D11" s="97" t="n">
        <x:f>SQRT(4*D8/PI())</x:f>
        <x:v>2.8209479177387813</x:v>
      </x:c>
      <x:c r="E11" s="97" t="n">
        <x:f>D11/C11</x:f>
        <x:v>1.1180339887498947</x:v>
      </x:c>
      <x:c r="F11" s="86" t="str">
        <x:v>field width rises 11.8 percent</x:v>
      </x:c>
    </x:row>
    <x:row r="12">
      <x:c r="A12" s="86" t="str">
        <x:v>equivalent boundary (m)</x:v>
      </x:c>
      <x:c r="B12" s="97" t="n">
        <x:f>PI()*B11</x:f>
        <x:v>5.604991216397929</x:v>
      </x:c>
      <x:c r="C12" s="97" t="n">
        <x:f>PI()*C11</x:f>
        <x:v>7.926654595212023</x:v>
      </x:c>
      <x:c r="D12" s="97" t="n">
        <x:f>PI()*D11</x:f>
        <x:v>8.862269254527579</x:v>
      </x:c>
      <x:c r="E12" s="97" t="n">
        <x:f>D12/C12</x:f>
        <x:v>1.1180339887498947</x:v>
      </x:c>
      <x:c r="F12" s="86" t="str">
        <x:v>boundary rises 11.8 percent</x:v>
      </x:c>
    </x:row>
    <x:row r="13">
      <x:c r="A13" s="86" t="str">
        <x:v>source issue rate (kg/s)</x:v>
      </x:c>
      <x:c r="B13" s="97" t="n">
        <x:f>B6/'Assumptions'!B13</x:f>
        <x:v>0.8333333333333334</x:v>
      </x:c>
      <x:c r="C13" s="97" t="n">
        <x:f>C6/'Assumptions'!B13</x:f>
        <x:v>2.0833333333333335</x:v>
      </x:c>
      <x:c r="D13" s="97" t="n">
        <x:f>D6/'Assumptions'!B13</x:f>
        <x:v>4.166666666666667</x:v>
      </x:c>
      <x:c r="E13" s="97" t="n">
        <x:f>D13/C13</x:f>
        <x:v>2</x:v>
      </x:c>
      <x:c r="F13" s="86" t="str">
        <x:v>route-rate screen doubles</x:v>
      </x:c>
    </x:row>
    <x:row r="14">
      <x:c r="A14" s="86" t="str">
        <x:v>burning-rate screen (kg/s)</x:v>
      </x:c>
      <x:c r="B14" s="97" t="n">
        <x:f>'Assumptions'!B14*B8</x:f>
        <x:v>0.1375</x:v>
      </x:c>
      <x:c r="C14" s="97" t="n">
        <x:f>'Assumptions'!B14*C8</x:f>
        <x:v>0.275</x:v>
      </x:c>
      <x:c r="D14" s="97" t="n">
        <x:f>'Assumptions'!B14*D8</x:f>
        <x:v>0.34375</x:v>
      </x:c>
      <x:c r="E14" s="97" t="n">
        <x:f>D14/C14</x:f>
        <x:v>1.25</x:v>
      </x:c>
      <x:c r="F14" s="86" t="str">
        <x:v>area-driven screen rises 25 percent</x:v>
      </x:c>
    </x:row>
    <x:row r="15">
      <x:c r="A15" s="86" t="str">
        <x:v>heat-release screen (MW)</x:v>
      </x:c>
      <x:c r="B15" s="97" t="n">
        <x:f>B14*'Assumptions'!B15</x:f>
        <x:v>5.85585</x:v>
      </x:c>
      <x:c r="C15" s="97" t="n">
        <x:f>C14*'Assumptions'!B15</x:f>
        <x:v>11.7117</x:v>
      </x:c>
      <x:c r="D15" s="97" t="n">
        <x:f>D14*'Assumptions'!B15</x:f>
        <x:v>14.639625</x:v>
      </x:c>
      <x:c r="E15" s="97" t="n">
        <x:f>D15/C15</x:f>
        <x:v>1.25</x:v>
      </x:c>
      <x:c r="F15" s="86" t="str">
        <x:v>peak screen rises 25 percent</x:v>
      </x:c>
    </x:row>
    <x:row r="16">
      <x:c r="A16" s="86" t="str">
        <x:v>radiant screen (MW)</x:v>
      </x:c>
      <x:c r="B16" s="97" t="n">
        <x:f>B15*'Assumptions'!B16</x:f>
        <x:v>2.0495475</x:v>
      </x:c>
      <x:c r="C16" s="97" t="n">
        <x:f>C15*'Assumptions'!B16</x:f>
        <x:v>4.099095</x:v>
      </x:c>
      <x:c r="D16" s="97" t="n">
        <x:f>D15*'Assumptions'!B16</x:f>
        <x:v>5.12386875</x:v>
      </x:c>
      <x:c r="E16" s="97" t="n">
        <x:f>D16/C16</x:f>
        <x:v>1.25</x:v>
      </x:c>
      <x:c r="F16" s="86" t="str">
        <x:v>radiant screen rises 25 percent</x:v>
      </x:c>
    </x:row>
    <x:row r="17">
      <x:c r="A17" s="86" t="str">
        <x:v>source-energy input (MJ)</x:v>
      </x:c>
      <x:c r="B17" s="97" t="n">
        <x:f>B6*'Assumptions'!B15</x:f>
        <x:v>4258.8</x:v>
      </x:c>
      <x:c r="C17" s="97" t="n">
        <x:f>C6*'Assumptions'!B15</x:f>
        <x:v>10647</x:v>
      </x:c>
      <x:c r="D17" s="97" t="n">
        <x:f>D6*'Assumptions'!B15</x:f>
        <x:v>21294</x:v>
      </x:c>
      <x:c r="E17" s="97" t="n">
        <x:f>D17/C17</x:f>
        <x:v>2</x:v>
      </x:c>
      <x:c r="F17" s="86" t="str">
        <x:v>total energy doubles</x:v>
      </x:c>
    </x:row>
    <x:row r="18">
      <x:c r="A18" s="86" t="str">
        <x:v>notional duration (min)</x:v>
      </x:c>
      <x:c r="B18" s="97" t="n">
        <x:f>B6/B14/60</x:f>
        <x:v>12.121212121212121</x:v>
      </x:c>
      <x:c r="C18" s="97" t="n">
        <x:f>C6/C14/60</x:f>
        <x:v>15.15151515151515</x:v>
      </x:c>
      <x:c r="D18" s="97" t="n">
        <x:f>D6/D14/60</x:f>
        <x:v>24.242424242424242</x:v>
      </x:c>
      <x:c r="E18" s="97" t="n">
        <x:f>D18/C18</x:f>
        <x:v>1.6</x:v>
      </x:c>
      <x:c r="F18" s="86" t="str">
        <x:v>notional interval rises 60 percent</x:v>
      </x:c>
    </x:row>
    <x:row r="19">
      <x:c r="A19" s="87" t="str">
        <x:v>source energy per boundary (MJ/m)</x:v>
      </x:c>
      <x:c r="B19" s="98" t="n">
        <x:f>B17/B12</x:f>
        <x:v>759.8227785871421</x:v>
      </x:c>
      <x:c r="C19" s="98" t="n">
        <x:f>C17/C12</x:f>
        <x:v>1343.189598097432</x:v>
      </x:c>
      <x:c r="D19" s="98" t="n">
        <x:f>D17/D12</x:f>
        <x:v>2402.770598413185</x:v>
      </x:c>
      <x:c r="E19" s="98" t="n">
        <x:f>D19/C19</x:f>
        <x:v>1.7888543819998322</x:v>
      </x:c>
      <x:c r="F19" s="87" t="str">
        <x:v>energy per boundary rises 78.9 percent</x:v>
      </x:c>
    </x:row>
  </x:sheetData>
  <x:mergeCells>
    <x:mergeCell ref="A2:F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18" hidden="0" customWidth="1"/>
    <x:col min="3" max="3" width="18" hidden="0" customWidth="1"/>
    <x:col min="4" max="4" width="18" hidden="0" customWidth="1"/>
    <x:col min="5" max="5" width="54" hidden="0" customWidth="1"/>
  </x:cols>
  <x:sheetData>
    <x:row r="2" ht="24" customHeight="1">
      <x:c r="A2" s="82" t="str">
        <x:v>Field-time and boundary screens</x:v>
      </x:c>
      <x:c r="B2" s="83"/>
      <x:c r="C2" s="83"/>
      <x:c r="D2" s="83"/>
      <x:c r="E2" s="83"/>
    </x:row>
    <x:row r="3">
      <x:c r="A3" s="84"/>
      <x:c r="B3" s="84"/>
      <x:c r="C3" s="84"/>
      <x:c r="D3" s="84"/>
      <x:c r="E3" s="84"/>
    </x:row>
    <x:row r="4">
      <x:c r="A4" s="83"/>
      <x:c r="B4" s="83"/>
      <x:c r="C4" s="83"/>
      <x:c r="D4" s="83"/>
      <x:c r="E4" s="83"/>
    </x:row>
    <x:row r="5" ht="22" customHeight="1">
      <x:c r="A5" s="7" t="str">
        <x:v>Screen</x:v>
      </x:c>
      <x:c r="B5" s="8" t="str">
        <x:v>ER-06</x:v>
      </x:c>
      <x:c r="C5" s="8" t="str">
        <x:v>ER-08</x:v>
      </x:c>
      <x:c r="D5" s="8" t="str">
        <x:v>Ratio</x:v>
      </x:c>
      <x:c r="E5" s="9" t="str">
        <x:v>Interpretation</x:v>
      </x:c>
    </x:row>
    <x:row r="6">
      <x:c r="A6" s="85" t="str">
        <x:v>source energy (MJ)</x:v>
      </x:c>
      <x:c r="B6" s="96" t="n">
        <x:f>'Scale Transition'!C17</x:f>
        <x:v>10647</x:v>
      </x:c>
      <x:c r="C6" s="96" t="n">
        <x:f>'Scale Transition'!D17</x:f>
        <x:v>21294</x:v>
      </x:c>
      <x:c r="D6" s="96" t="n">
        <x:f>C6/B6</x:f>
        <x:v>2</x:v>
      </x:c>
      <x:c r="E6" s="85" t="str">
        <x:v>total integral burden</x:v>
      </x:c>
    </x:row>
    <x:row r="7">
      <x:c r="A7" s="86" t="str">
        <x:v>notional duration (min)</x:v>
      </x:c>
      <x:c r="B7" s="97" t="n">
        <x:f>'Scale Transition'!C18</x:f>
        <x:v>15.15151515151515</x:v>
      </x:c>
      <x:c r="C7" s="97" t="n">
        <x:f>'Scale Transition'!D18</x:f>
        <x:v>24.242424242424242</x:v>
      </x:c>
      <x:c r="D7" s="97" t="n">
        <x:f>C7/B7</x:f>
        <x:v>1.6</x:v>
      </x:c>
      <x:c r="E7" s="86" t="str">
        <x:v>drift, deposits and soak interval</x:v>
      </x:c>
    </x:row>
    <x:row r="8">
      <x:c r="A8" s="86" t="str">
        <x:v>equivalent boundary (m)</x:v>
      </x:c>
      <x:c r="B8" s="97" t="n">
        <x:f>'Scale Transition'!C12</x:f>
        <x:v>7.926654595212023</x:v>
      </x:c>
      <x:c r="C8" s="97" t="n">
        <x:f>'Scale Transition'!D12</x:f>
        <x:v>8.862269254527579</x:v>
      </x:c>
      <x:c r="D8" s="97" t="n">
        <x:f>C8/B8</x:f>
        <x:v>1.1180339887498947</x:v>
      </x:c>
      <x:c r="E8" s="86" t="str">
        <x:v>available external boundary</x:v>
      </x:c>
    </x:row>
    <x:row r="9">
      <x:c r="A9" s="86" t="str">
        <x:v>energy per boundary (MJ/m)</x:v>
      </x:c>
      <x:c r="B9" s="97" t="n">
        <x:f>'Scale Transition'!C19</x:f>
        <x:v>1343.189598097432</x:v>
      </x:c>
      <x:c r="C9" s="97" t="n">
        <x:f>'Scale Transition'!D19</x:f>
        <x:v>2402.770598413185</x:v>
      </x:c>
      <x:c r="D9" s="97" t="n">
        <x:f>C9/B9</x:f>
        <x:v>1.7888543819998322</x:v>
      </x:c>
      <x:c r="E9" s="86" t="str">
        <x:v>local boundary cannot use an average</x:v>
      </x:c>
    </x:row>
    <x:row r="10">
      <x:c r="A10" s="86" t="str">
        <x:v>mean source depth (mm)</x:v>
      </x:c>
      <x:c r="B10" s="97" t="n">
        <x:f>'Scale Transition'!C9</x:f>
        <x:v>62.5</x:v>
      </x:c>
      <x:c r="C10" s="97" t="n">
        <x:f>'Scale Transition'!D9</x:f>
        <x:v>100</x:v>
      </x:c>
      <x:c r="D10" s="97" t="n">
        <x:f>C10/B10</x:f>
        <x:v>1.6</x:v>
      </x:c>
      <x:c r="E10" s="86" t="str">
        <x:v>internal inventory becomes a distinct state</x:v>
      </x:c>
    </x:row>
    <x:row r="11">
      <x:c r="A11" s="86" t="str">
        <x:v>source per area (kg/m²)</x:v>
      </x:c>
      <x:c r="B11" s="97" t="n">
        <x:f>'Scale Transition'!C10</x:f>
        <x:v>50</x:v>
      </x:c>
      <x:c r="C11" s="97" t="n">
        <x:f>'Scale Transition'!D10</x:f>
        <x:v>80</x:v>
      </x:c>
      <x:c r="D11" s="97" t="n">
        <x:f>C11/B11</x:f>
        <x:v>1.6</x:v>
      </x:c>
      <x:c r="E11" s="86" t="str">
        <x:v>target areal loading</x:v>
      </x:c>
    </x:row>
    <x:row r="12">
      <x:c r="A12" s="86" t="str">
        <x:v>heat-release screen (MW)</x:v>
      </x:c>
      <x:c r="B12" s="97" t="n">
        <x:f>'Scale Transition'!C15</x:f>
        <x:v>11.7117</x:v>
      </x:c>
      <x:c r="C12" s="97" t="n">
        <x:f>'Scale Transition'!D15</x:f>
        <x:v>14.639625</x:v>
      </x:c>
      <x:c r="D12" s="97" t="n">
        <x:f>C12/B12</x:f>
        <x:v>1.25</x:v>
      </x:c>
      <x:c r="E12" s="86" t="str">
        <x:v>peak screen grows slower than energy</x:v>
      </x:c>
    </x:row>
    <x:row r="13">
      <x:c r="A13" s="86" t="str">
        <x:v>field-diameter increase (m)</x:v>
      </x:c>
      <x:c r="B13" s="97" t="n">
        <x:f>0</x:f>
        <x:v>0</x:v>
      </x:c>
      <x:c r="C13" s="97" t="n">
        <x:f>'Scale Transition'!D11-'Scale Transition'!C11</x:f>
        <x:v>0.2978153957186209</x:v>
      </x:c>
      <x:c r="D13" s="97" t="n">
        <x:f>'Scale Transition'!D11/'Scale Transition'!C11</x:f>
        <x:v>1.1180339887498947</x:v>
      </x:c>
      <x:c r="E13" s="86" t="str">
        <x:v>physical width changes modestly</x:v>
      </x:c>
    </x:row>
    <x:row r="14">
      <x:c r="A14" s="87" t="str">
        <x:v>duration minus field-width ratio</x:v>
      </x:c>
      <x:c r="B14" s="98" t="n">
        <x:f>0</x:f>
        <x:v>0</x:v>
      </x:c>
      <x:c r="C14" s="98" t="n">
        <x:f>'Scale Transition'!D18/'Scale Transition'!C18-'Scale Transition'!D11/'Scale Transition'!C11</x:f>
        <x:v>0.4819660112501054</x:v>
      </x:c>
      <x:c r="D14" s="98" t="n">
        <x:f>'Scale Transition'!D18/'Scale Transition'!C18-'Scale Transition'!D11/'Scale Transition'!C11</x:f>
        <x:v>0.4819660112501054</x:v>
      </x:c>
      <x:c r="E14" s="87" t="str">
        <x:v>time grows materially faster than width</x:v>
      </x:c>
    </x:row>
  </x:sheetData>
  <x:mergeCells>
    <x:mergeCell ref="A2:E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8" hidden="0" customWidth="1"/>
    <x:col min="3" max="3" width="18" hidden="0" customWidth="1"/>
    <x:col min="4" max="4" width="24" hidden="0" customWidth="1"/>
    <x:col min="5" max="5" width="18" hidden="0" customWidth="1"/>
    <x:col min="6" max="6" width="48" hidden="0" customWidth="1"/>
  </x:cols>
  <x:sheetData>
    <x:row r="2" ht="24" customHeight="1">
      <x:c r="A2" s="82" t="str">
        <x:v>Oxygen and thermal-exhaust facility screens</x:v>
      </x:c>
      <x:c r="B2" s="83"/>
      <x:c r="C2" s="83"/>
      <x:c r="D2" s="83"/>
      <x:c r="E2" s="83"/>
      <x:c r="F2" s="83"/>
    </x:row>
    <x:row r="3">
      <x:c r="A3" s="84"/>
      <x:c r="B3" s="84"/>
      <x:c r="C3" s="84"/>
      <x:c r="D3" s="84"/>
      <x:c r="E3" s="84"/>
      <x:c r="F3" s="84"/>
    </x:row>
    <x:row r="4">
      <x:c r="A4" s="83"/>
      <x:c r="B4" s="83"/>
      <x:c r="C4" s="83"/>
      <x:c r="D4" s="83"/>
      <x:c r="E4" s="83"/>
      <x:c r="F4" s="83"/>
    </x:row>
    <x:row r="5" ht="22" customHeight="1">
      <x:c r="A5" s="7" t="str">
        <x:v>Quantity</x:v>
      </x:c>
      <x:c r="B5" s="8" t="str">
        <x:v>Result</x:v>
      </x:c>
      <x:c r="C5" s="8" t="str">
        <x:v>Unit</x:v>
      </x:c>
      <x:c r="D5" s="8" t="str">
        <x:v>Input lineage</x:v>
      </x:c>
      <x:c r="E5" s="8" t="str">
        <x:v>Status</x:v>
      </x:c>
      <x:c r="F5" s="9" t="str">
        <x:v>Meaning</x:v>
      </x:c>
    </x:row>
    <x:row r="6">
      <x:c r="A6" s="85" t="str">
        <x:v>burning-rate screen</x:v>
      </x:c>
      <x:c r="B6" s="96" t="n">
        <x:f>'Scale Transition'!D14</x:f>
        <x:v>0.34375</x:v>
      </x:c>
      <x:c r="C6" s="85" t="str">
        <x:v>kg/s</x:v>
      </x:c>
      <x:c r="D6" s="85" t="str">
        <x:v>registered assumptions</x:v>
      </x:c>
      <x:c r="E6" s="85" t="str">
        <x:v>SCREEN ONLY</x:v>
      </x:c>
      <x:c r="F6" s="85" t="str">
        <x:v>area-driven burning screen</x:v>
      </x:c>
    </x:row>
    <x:row r="7">
      <x:c r="A7" s="86" t="str">
        <x:v>oxygen demand</x:v>
      </x:c>
      <x:c r="B7" s="97" t="n">
        <x:f>B6*'Assumptions'!B17</x:f>
        <x:v>1.203125</x:v>
      </x:c>
      <x:c r="C7" s="86" t="str">
        <x:v>kg/s O₂</x:v>
      </x:c>
      <x:c r="D7" s="86" t="str">
        <x:v>registered assumptions</x:v>
      </x:c>
      <x:c r="E7" s="86" t="str">
        <x:v>SCREEN ONLY</x:v>
      </x:c>
      <x:c r="F7" s="86" t="str">
        <x:v>assay-sensitive oxygen case</x:v>
      </x:c>
    </x:row>
    <x:row r="8">
      <x:c r="A8" s="86" t="str">
        <x:v>stoichiometric air mass</x:v>
      </x:c>
      <x:c r="B8" s="97" t="n">
        <x:f>B7/'Assumptions'!B18</x:f>
        <x:v>5.185883620689655</x:v>
      </x:c>
      <x:c r="C8" s="86" t="str">
        <x:v>kg/s air</x:v>
      </x:c>
      <x:c r="D8" s="86" t="str">
        <x:v>registered assumptions</x:v>
      </x:c>
      <x:c r="E8" s="86" t="str">
        <x:v>SCREEN ONLY</x:v>
      </x:c>
      <x:c r="F8" s="86" t="str">
        <x:v>before excess air</x:v>
      </x:c>
    </x:row>
    <x:row r="9">
      <x:c r="A9" s="86" t="str">
        <x:v>air mass with excess factor</x:v>
      </x:c>
      <x:c r="B9" s="97" t="n">
        <x:f>B8*(1+'Assumptions'!B19)</x:f>
        <x:v>7.778825431034482</x:v>
      </x:c>
      <x:c r="C9" s="86" t="str">
        <x:v>kg/s air</x:v>
      </x:c>
      <x:c r="D9" s="86" t="str">
        <x:v>registered assumptions</x:v>
      </x:c>
      <x:c r="E9" s="86" t="str">
        <x:v>SCREEN ONLY</x:v>
      </x:c>
      <x:c r="F9" s="86" t="str">
        <x:v>includes 50-percent excess</x:v>
      </x:c>
    </x:row>
    <x:row r="10">
      <x:c r="A10" s="86" t="str">
        <x:v>air volume with excess factor</x:v>
      </x:c>
      <x:c r="B10" s="97" t="n">
        <x:f>B9/'Assumptions'!B20</x:f>
        <x:v>6.4823545258620685</x:v>
      </x:c>
      <x:c r="C10" s="86" t="str">
        <x:v>m³/s</x:v>
      </x:c>
      <x:c r="D10" s="86" t="str">
        <x:v>registered assumptions</x:v>
      </x:c>
      <x:c r="E10" s="86" t="str">
        <x:v>SCREEN ONLY</x:v>
      </x:c>
      <x:c r="F10" s="86" t="str">
        <x:v>supply capacity only</x:v>
      </x:c>
    </x:row>
    <x:row r="11">
      <x:c r="A11" s="86" t="str">
        <x:v>heat-release screen</x:v>
      </x:c>
      <x:c r="B11" s="97" t="n">
        <x:f>'Scale Transition'!D15</x:f>
        <x:v>14.639625</x:v>
      </x:c>
      <x:c r="C11" s="86" t="str">
        <x:v>MW</x:v>
      </x:c>
      <x:c r="D11" s="86" t="str">
        <x:v>registered assumptions</x:v>
      </x:c>
      <x:c r="E11" s="86" t="str">
        <x:v>SCREEN ONLY</x:v>
      </x:c>
      <x:c r="F11" s="86" t="str">
        <x:v>not observed heat release</x:v>
      </x:c>
    </x:row>
    <x:row r="12">
      <x:c r="A12" s="86" t="str">
        <x:v>heat to controlled exhaust</x:v>
      </x:c>
      <x:c r="B12" s="97" t="n">
        <x:f>B11*1000*'Assumptions'!B21</x:f>
        <x:v>9515.75625</x:v>
      </x:c>
      <x:c r="C12" s="86" t="str">
        <x:v>kW</x:v>
      </x:c>
      <x:c r="D12" s="86" t="str">
        <x:v>registered assumptions</x:v>
      </x:c>
      <x:c r="E12" s="86" t="str">
        <x:v>SCREEN ONLY</x:v>
      </x:c>
      <x:c r="F12" s="86" t="str">
        <x:v>declared exhaust heat fraction</x:v>
      </x:c>
    </x:row>
    <x:row r="13">
      <x:c r="A13" s="86" t="str">
        <x:v>controlled exhaust mass</x:v>
      </x:c>
      <x:c r="B13" s="97" t="n">
        <x:f>B12/('Assumptions'!B22*'Assumptions'!B23)</x:f>
        <x:v>47.1077042079208</x:v>
      </x:c>
      <x:c r="C13" s="86" t="str">
        <x:v>kg/s</x:v>
      </x:c>
      <x:c r="D13" s="86" t="str">
        <x:v>registered assumptions</x:v>
      </x:c>
      <x:c r="E13" s="86" t="str">
        <x:v>SCREEN ONLY</x:v>
      </x:c>
      <x:c r="F13" s="86" t="str">
        <x:v>thermal stream only</x:v>
      </x:c>
    </x:row>
    <x:row r="14">
      <x:c r="A14" s="86" t="str">
        <x:v>controlled exhaust volume</x:v>
      </x:c>
      <x:c r="B14" s="97" t="n">
        <x:f>B13/'Assumptions'!B20</x:f>
        <x:v>39.25642017326733</x:v>
      </x:c>
      <x:c r="C14" s="86" t="str">
        <x:v>m³/s</x:v>
      </x:c>
      <x:c r="D14" s="86" t="str">
        <x:v>registered assumptions</x:v>
      </x:c>
      <x:c r="E14" s="86" t="str">
        <x:v>SCREEN ONLY</x:v>
      </x:c>
      <x:c r="F14" s="86" t="str">
        <x:v>before facility factor</x:v>
      </x:c>
    </x:row>
    <x:row r="15">
      <x:c r="A15" s="86" t="str">
        <x:v>provisioned exhaust volume</x:v>
      </x:c>
      <x:c r="B15" s="97" t="n">
        <x:f>B14*'Assumptions'!B24</x:f>
        <x:v>58.884630259900995</x:v>
      </x:c>
      <x:c r="C15" s="86" t="str">
        <x:v>m³/s</x:v>
      </x:c>
      <x:c r="D15" s="86" t="str">
        <x:v>registered assumptions</x:v>
      </x:c>
      <x:c r="E15" s="86" t="str">
        <x:v>SCREEN ONLY</x:v>
      </x:c>
      <x:c r="F15" s="86" t="str">
        <x:v>capacity hypothesis</x:v>
      </x:c>
    </x:row>
    <x:row r="16">
      <x:c r="A16" s="87" t="str">
        <x:v>notional event duration</x:v>
      </x:c>
      <x:c r="B16" s="98" t="n">
        <x:f>'Scale Transition'!D18</x:f>
        <x:v>24.242424242424242</x:v>
      </x:c>
      <x:c r="C16" s="87" t="str">
        <x:v>min</x:v>
      </x:c>
      <x:c r="D16" s="87" t="str">
        <x:v>registered assumptions</x:v>
      </x:c>
      <x:c r="E16" s="87" t="str">
        <x:v>SCREEN ONLY</x:v>
      </x:c>
      <x:c r="F16" s="87" t="str">
        <x:v>time screen, not event end</x:v>
      </x:c>
    </x:row>
  </x:sheetData>
  <x:mergeCells>
    <x:mergeCell ref="A2:F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34" hidden="0" customWidth="1"/>
    <x:col min="3" max="3" width="42" hidden="0" customWidth="1"/>
    <x:col min="4" max="4" width="34" hidden="0" customWidth="1"/>
    <x:col min="5" max="5" width="34" hidden="0" customWidth="1"/>
    <x:col min="6" max="6" width="42" hidden="0" customWidth="1"/>
    <x:col min="7" max="7" width="16" hidden="0" customWidth="1"/>
    <x:col min="8" max="8" width="16" hidden="0" customWidth="1"/>
    <x:col min="9" max="9" width="22" hidden="0" customWidth="1"/>
    <x:col min="10" max="10" width="14" hidden="0" customWidth="1"/>
  </x:cols>
  <x:sheetData>
    <x:row r="2" ht="24" customHeight="1">
      <x:c r="A2" s="82" t="str">
        <x:v>Four 500 kg field-time architecture hypotheses</x:v>
      </x:c>
      <x:c r="B2" s="83"/>
      <x:c r="C2" s="83"/>
      <x:c r="D2" s="83"/>
      <x:c r="E2" s="83"/>
      <x:c r="F2" s="83"/>
      <x:c r="G2" s="83"/>
      <x:c r="H2" s="83"/>
      <x:c r="I2" s="83"/>
      <x:c r="J2" s="83"/>
    </x:row>
    <x:row r="3">
      <x:c r="A3" s="84"/>
      <x:c r="B3" s="84"/>
      <x:c r="C3" s="84"/>
      <x:c r="D3" s="84"/>
      <x:c r="E3" s="84"/>
      <x:c r="F3" s="84"/>
      <x:c r="G3" s="84"/>
      <x:c r="H3" s="84"/>
      <x:c r="I3" s="84"/>
      <x:c r="J3" s="84"/>
    </x:row>
    <x:row r="4">
      <x:c r="A4" s="83"/>
      <x:c r="B4" s="83"/>
      <x:c r="C4" s="83"/>
      <x:c r="D4" s="83"/>
      <x:c r="E4" s="83"/>
      <x:c r="F4" s="83"/>
      <x:c r="G4" s="83"/>
      <x:c r="H4" s="83"/>
      <x:c r="I4" s="83"/>
      <x:c r="J4" s="83"/>
    </x:row>
    <x:row r="5" ht="22" customHeight="1">
      <x:c r="A5" s="7" t="str">
        <x:v>ID</x:v>
      </x:c>
      <x:c r="B5" s="8" t="str">
        <x:v>Architecture</x:v>
      </x:c>
      <x:c r="C5" s="8" t="str">
        <x:v>Field topology</x:v>
      </x:c>
      <x:c r="D5" s="8" t="str">
        <x:v>Measurement topology</x:v>
      </x:c>
      <x:c r="E5" s="8" t="str">
        <x:v>Primary value</x:v>
      </x:c>
      <x:c r="F5" s="8" t="str">
        <x:v>Principal risk</x:v>
      </x:c>
      <x:c r="G5" s="8" t="str">
        <x:v>Area (m²)</x:v>
      </x:c>
      <x:c r="H5" s="8" t="str">
        <x:v>Boundary (m)</x:v>
      </x:c>
      <x:c r="I5" s="8" t="str">
        <x:v>Internal object</x:v>
      </x:c>
      <x:c r="J5" s="9" t="str">
        <x:v>State</x:v>
      </x:c>
    </x:row>
    <x:row r="6">
      <x:c r="A6" s="85" t="str">
        <x:v>DBS-625</x:v>
      </x:c>
      <x:c r="B6" s="85" t="str">
        <x:v>deep batch shell</x:v>
      </x:c>
      <x:c r="C6" s="85" t="str">
        <x:v>continuous 2.5 m square</x:v>
      </x:c>
      <x:c r="D6" s="85" t="str">
        <x:v>remote boundary and under-field paths</x:v>
      </x:c>
      <x:c r="E6" s="85" t="str">
        <x:v>continuous nonintrusive reference</x:v>
      </x:c>
      <x:c r="F6" s="85" t="str">
        <x:v>central blind volume and common plane deformation</x:v>
      </x:c>
      <x:c r="G6" s="99" t="n">
        <x:v>6.25</x:v>
      </x:c>
      <x:c r="H6" s="99" t="n">
        <x:v>10</x:v>
      </x:c>
      <x:c r="I6" s="85" t="str">
        <x:v>none</x:v>
      </x:c>
      <x:c r="J6" s="100" t="str">
        <x:v>OPEN</x:v>
      </x:c>
    </x:row>
    <x:row r="7">
      <x:c r="A7" s="86" t="str">
        <x:v>PIL-625</x:v>
      </x:c>
      <x:c r="B7" s="86" t="str">
        <x:v>penetrating instrument lattice</x:v>
      </x:c>
      <x:c r="C7" s="86" t="str">
        <x:v>continuous field with 6 by 6 penetrants</x:v>
      </x:c>
      <x:c r="D7" s="86" t="str">
        <x:v>direct depth and topology paths</x:v>
      </x:c>
      <x:c r="E7" s="86" t="str">
        <x:v>depth-resolved evidence</x:v>
      </x:c>
      <x:c r="F7" s="86" t="str">
        <x:v>measurement perturbation and deposit bridging</x:v>
      </x:c>
      <x:c r="G7" s="101" t="n">
        <x:v>6.25</x:v>
      </x:c>
      <x:c r="H7" s="101" t="n">
        <x:v>10</x:v>
      </x:c>
      <x:c r="I7" s="86" t="str">
        <x:v>36 penetrants</x:v>
      </x:c>
      <x:c r="J7" s="91" t="str">
        <x:v>OPEN</x:v>
      </x:c>
    </x:row>
    <x:row r="8">
      <x:c r="A8" s="86" t="str">
        <x:v>SCM-25</x:v>
      </x:c>
      <x:c r="B8" s="86" t="str">
        <x:v>segmented control-volume matrix</x:v>
      </x:c>
      <x:c r="C8" s="86" t="str">
        <x:v>twenty-five 0.25 m² cells</x:v>
      </x:c>
      <x:c r="D8" s="86" t="str">
        <x:v>local mass, topology and final states</x:v>
      </x:c>
      <x:c r="E8" s="86" t="str">
        <x:v>local conservation and isolation</x:v>
      </x:c>
      <x:c r="F8" s="86" t="str">
        <x:v>twenty metres of internal discontinuity</x:v>
      </x:c>
      <x:c r="G8" s="101" t="n">
        <x:v>6.25</x:v>
      </x:c>
      <x:c r="H8" s="101" t="n">
        <x:v>10</x:v>
      </x:c>
      <x:c r="I8" s="86" t="str">
        <x:v>20 m boundaries</x:v>
      </x:c>
      <x:c r="J8" s="91" t="str">
        <x:v>OPEN</x:v>
      </x:c>
    </x:row>
    <x:row r="9">
      <x:c r="A9" s="87" t="str">
        <x:v>RAF-625</x:v>
      </x:c>
      <x:c r="B9" s="87" t="str">
        <x:v>radial annular field</x:v>
      </x:c>
      <x:c r="C9" s="87" t="str">
        <x:v>annulus around one-metre reference well</x:v>
      </x:c>
      <x:c r="D9" s="87" t="str">
        <x:v>inner and outer radial paths</x:v>
      </x:c>
      <x:c r="E9" s="87" t="str">
        <x:v>protected interior reference</x:v>
      </x:c>
      <x:c r="F9" s="87" t="str">
        <x:v>annular recirculation and favorable geometry</x:v>
      </x:c>
      <x:c r="G9" s="102" t="n">
        <x:v>6.25</x:v>
      </x:c>
      <x:c r="H9" s="102" t="n">
        <x:v>12.544</x:v>
      </x:c>
      <x:c r="I9" s="87" t="str">
        <x:v>1 m central well</x:v>
      </x:c>
      <x:c r="J9" s="95" t="str">
        <x:v>OPEN</x:v>
      </x:c>
    </x:row>
    <x:row r="10">
      <x:c r="A10" s="83"/>
      <x:c r="B10" s="83"/>
      <x:c r="C10" s="83"/>
      <x:c r="D10" s="83"/>
      <x:c r="E10" s="83"/>
      <x:c r="F10" s="83"/>
      <x:c r="G10" s="83"/>
      <x:c r="H10" s="83"/>
      <x:c r="I10" s="83"/>
      <x:c r="J10" s="83"/>
    </x:row>
    <x:row r="11">
      <x:c r="A11" s="83"/>
      <x:c r="B11" s="83"/>
      <x:c r="C11" s="83"/>
      <x:c r="D11" s="83"/>
      <x:c r="E11" s="83"/>
      <x:c r="F11" s="83"/>
      <x:c r="G11" s="83"/>
      <x:c r="H11" s="83"/>
      <x:c r="I11" s="83"/>
      <x:c r="J11" s="83"/>
    </x:row>
    <x:row r="12" ht="22" customHeight="1">
      <x:c r="A12" s="40" t="str">
        <x:v>Selection object</x:v>
      </x:c>
      <x:c r="B12" s="41" t="str">
        <x:v>Required observation</x:v>
      </x:c>
      <x:c r="C12" s="41" t="str">
        <x:v>Failure effect</x:v>
      </x:c>
      <x:c r="D12" s="41" t="str">
        <x:v>Authority</x:v>
      </x:c>
      <x:c r="E12" s="41" t="str">
        <x:v>State</x:v>
      </x:c>
      <x:c r="F12" s="42" t="str">
        <x:v>Offset allowed</x:v>
      </x:c>
      <x:c r="G12" s="83"/>
      <x:c r="H12" s="83"/>
      <x:c r="I12" s="83"/>
      <x:c r="J12" s="83"/>
    </x:row>
    <x:row r="13">
      <x:c r="A13" s="85" t="str">
        <x:v>500 kg capacity</x:v>
      </x:c>
      <x:c r="B13" s="85" t="str">
        <x:v>complete issue and terminal custody</x:v>
      </x:c>
      <x:c r="C13" s="85" t="str">
        <x:v>ineligible</x:v>
      </x:c>
      <x:c r="D13" s="85" t="str">
        <x:v>source custody</x:v>
      </x:c>
      <x:c r="E13" s="100" t="str">
        <x:v>OPEN</x:v>
      </x:c>
      <x:c r="F13" s="85" t="str">
        <x:v>NO</x:v>
      </x:c>
      <x:c r="G13" s="83"/>
      <x:c r="H13" s="83"/>
      <x:c r="I13" s="83"/>
      <x:c r="J13" s="83"/>
    </x:row>
    <x:row r="14">
      <x:c r="A14" s="86" t="str">
        <x:v>field geometry</x:v>
      </x:c>
      <x:c r="B14" s="86" t="str">
        <x:v>area, depth, boundary and discontinuities</x:v>
      </x:c>
      <x:c r="C14" s="86" t="str">
        <x:v>ineligible</x:v>
      </x:c>
      <x:c r="D14" s="86" t="str">
        <x:v>geometry authority</x:v>
      </x:c>
      <x:c r="E14" s="91" t="str">
        <x:v>OPEN</x:v>
      </x:c>
      <x:c r="F14" s="86" t="str">
        <x:v>NO</x:v>
      </x:c>
      <x:c r="G14" s="83"/>
      <x:c r="H14" s="83"/>
      <x:c r="I14" s="83"/>
      <x:c r="J14" s="83"/>
    </x:row>
    <x:row r="15">
      <x:c r="A15" s="86" t="str">
        <x:v>inventory topology</x:v>
      </x:c>
      <x:c r="B15" s="86" t="str">
        <x:v>occupied volume, void and blind region</x:v>
      </x:c>
      <x:c r="C15" s="86" t="str">
        <x:v>ineligible</x:v>
      </x:c>
      <x:c r="D15" s="86" t="str">
        <x:v>topology board</x:v>
      </x:c>
      <x:c r="E15" s="91" t="str">
        <x:v>OPEN</x:v>
      </x:c>
      <x:c r="F15" s="86" t="str">
        <x:v>NO</x:v>
      </x:c>
      <x:c r="G15" s="83"/>
      <x:c r="H15" s="83"/>
      <x:c r="I15" s="83"/>
      <x:c r="J15" s="83"/>
    </x:row>
    <x:row r="16">
      <x:c r="A16" s="86" t="str">
        <x:v>igniter opportunity</x:v>
      </x:c>
      <x:c r="B16" s="86" t="str">
        <x:v>coverage without flame-derived truth</x:v>
      </x:c>
      <x:c r="C16" s="86" t="str">
        <x:v>ineligible</x:v>
      </x:c>
      <x:c r="D16" s="86" t="str">
        <x:v>igniter authority</x:v>
      </x:c>
      <x:c r="E16" s="91" t="str">
        <x:v>OPEN</x:v>
      </x:c>
      <x:c r="F16" s="86" t="str">
        <x:v>NO</x:v>
      </x:c>
      <x:c r="G16" s="83"/>
      <x:c r="H16" s="83"/>
      <x:c r="I16" s="83"/>
      <x:c r="J16" s="83"/>
    </x:row>
    <x:row r="17">
      <x:c r="A17" s="86" t="str">
        <x:v>PHO and ION</x:v>
      </x:c>
      <x:c r="B17" s="86" t="str">
        <x:v>independent access through full interval</x:v>
      </x:c>
      <x:c r="C17" s="86" t="str">
        <x:v>ineligible</x:v>
      </x:c>
      <x:c r="D17" s="86" t="str">
        <x:v>flame boards</x:v>
      </x:c>
      <x:c r="E17" s="91" t="str">
        <x:v>OPEN</x:v>
      </x:c>
      <x:c r="F17" s="86" t="str">
        <x:v>NO</x:v>
      </x:c>
      <x:c r="G17" s="83"/>
      <x:c r="H17" s="83"/>
      <x:c r="I17" s="83"/>
      <x:c r="J17" s="83"/>
    </x:row>
    <x:row r="18">
      <x:c r="A18" s="86" t="str">
        <x:v>MOL</x:v>
      </x:c>
      <x:c r="B18" s="86" t="str">
        <x:v>products, deposits and transit close</x:v>
      </x:c>
      <x:c r="C18" s="86" t="str">
        <x:v>ineligible</x:v>
      </x:c>
      <x:c r="D18" s="86" t="str">
        <x:v>product custody</x:v>
      </x:c>
      <x:c r="E18" s="91" t="str">
        <x:v>OPEN</x:v>
      </x:c>
      <x:c r="F18" s="86" t="str">
        <x:v>NO</x:v>
      </x:c>
      <x:c r="G18" s="83"/>
      <x:c r="H18" s="83"/>
      <x:c r="I18" s="83"/>
      <x:c r="J18" s="83"/>
    </x:row>
    <x:row r="19">
      <x:c r="A19" s="86" t="str">
        <x:v>CAL</x:v>
      </x:c>
      <x:c r="B19" s="86" t="str">
        <x:v>peak, integral, storage and residual close</x:v>
      </x:c>
      <x:c r="C19" s="86" t="str">
        <x:v>ineligible</x:v>
      </x:c>
      <x:c r="D19" s="86" t="str">
        <x:v>thermal authority</x:v>
      </x:c>
      <x:c r="E19" s="91" t="str">
        <x:v>OPEN</x:v>
      </x:c>
      <x:c r="F19" s="86" t="str">
        <x:v>NO</x:v>
      </x:c>
      <x:c r="G19" s="83"/>
      <x:c r="H19" s="83"/>
      <x:c r="I19" s="83"/>
      <x:c r="J19" s="83"/>
    </x:row>
    <x:row r="20">
      <x:c r="A20" s="86" t="str">
        <x:v>atmosphere</x:v>
      </x:c>
      <x:c r="B20" s="86" t="str">
        <x:v>supply, capture, transit and bypass close</x:v>
      </x:c>
      <x:c r="C20" s="86" t="str">
        <x:v>ineligible</x:v>
      </x:c>
      <x:c r="D20" s="86" t="str">
        <x:v>atmosphere boards</x:v>
      </x:c>
      <x:c r="E20" s="91" t="str">
        <x:v>OPEN</x:v>
      </x:c>
      <x:c r="F20" s="86" t="str">
        <x:v>NO</x:v>
      </x:c>
      <x:c r="G20" s="83"/>
      <x:c r="H20" s="83"/>
      <x:c r="I20" s="83"/>
      <x:c r="J20" s="83"/>
    </x:row>
    <x:row r="21">
      <x:c r="A21" s="86" t="str">
        <x:v>safe end</x:v>
      </x:c>
      <x:c r="B21" s="86" t="str">
        <x:v>all final elements observed under denial</x:v>
      </x:c>
      <x:c r="C21" s="86" t="str">
        <x:v>ineligible</x:v>
      </x:c>
      <x:c r="D21" s="86" t="str">
        <x:v>safeing boards</x:v>
      </x:c>
      <x:c r="E21" s="91" t="str">
        <x:v>OPEN</x:v>
      </x:c>
      <x:c r="F21" s="86" t="str">
        <x:v>NO</x:v>
      </x:c>
      <x:c r="G21" s="83"/>
      <x:c r="H21" s="83"/>
      <x:c r="I21" s="83"/>
      <x:c r="J21" s="83"/>
    </x:row>
    <x:row r="22">
      <x:c r="A22" s="86" t="str">
        <x:v>public isolation</x:v>
      </x:c>
      <x:c r="B22" s="86" t="str">
        <x:v>intervention remains separate</x:v>
      </x:c>
      <x:c r="C22" s="86" t="str">
        <x:v>ineligible</x:v>
      </x:c>
      <x:c r="D22" s="86" t="str">
        <x:v>safety board</x:v>
      </x:c>
      <x:c r="E22" s="91" t="str">
        <x:v>OPEN</x:v>
      </x:c>
      <x:c r="F22" s="86" t="str">
        <x:v>NO</x:v>
      </x:c>
      <x:c r="G22" s="83"/>
      <x:c r="H22" s="83"/>
      <x:c r="I22" s="83"/>
      <x:c r="J22" s="83"/>
    </x:row>
    <x:row r="23">
      <x:c r="A23" s="86" t="str">
        <x:v>recovery</x:v>
      </x:c>
      <x:c r="B23" s="86" t="str">
        <x:v>residue, debris and absorbed source close</x:v>
      </x:c>
      <x:c r="C23" s="86" t="str">
        <x:v>ineligible</x:v>
      </x:c>
      <x:c r="D23" s="86" t="str">
        <x:v>recovery board</x:v>
      </x:c>
      <x:c r="E23" s="91" t="str">
        <x:v>OPEN</x:v>
      </x:c>
      <x:c r="F23" s="86" t="str">
        <x:v>NO</x:v>
      </x:c>
      <x:c r="G23" s="83"/>
      <x:c r="H23" s="83"/>
      <x:c r="I23" s="83"/>
      <x:c r="J23" s="83"/>
    </x:row>
    <x:row r="24">
      <x:c r="A24" s="86" t="str">
        <x:v>outside replay</x:v>
      </x:c>
      <x:c r="B24" s="86" t="str">
        <x:v>two non-origin reconstructions</x:v>
      </x:c>
      <x:c r="C24" s="86" t="str">
        <x:v>ineligible</x:v>
      </x:c>
      <x:c r="D24" s="86" t="str">
        <x:v>evidence custody</x:v>
      </x:c>
      <x:c r="E24" s="91" t="str">
        <x:v>OPEN</x:v>
      </x:c>
      <x:c r="F24" s="86" t="str">
        <x:v>NO</x:v>
      </x:c>
      <x:c r="G24" s="83"/>
      <x:c r="H24" s="83"/>
      <x:c r="I24" s="83"/>
      <x:c r="J24" s="83"/>
    </x:row>
    <x:row r="25">
      <x:c r="A25" s="86" t="str">
        <x:v>return</x:v>
      </x:c>
      <x:c r="B25" s="86" t="str">
        <x:v>1,008-hour new baseline</x:v>
      </x:c>
      <x:c r="C25" s="86" t="str">
        <x:v>ineligible</x:v>
      </x:c>
      <x:c r="D25" s="86" t="str">
        <x:v>return board</x:v>
      </x:c>
      <x:c r="E25" s="91" t="str">
        <x:v>OPEN</x:v>
      </x:c>
      <x:c r="F25" s="86" t="str">
        <x:v>NO</x:v>
      </x:c>
      <x:c r="G25" s="83"/>
      <x:c r="H25" s="83"/>
      <x:c r="I25" s="83"/>
      <x:c r="J25" s="83"/>
    </x:row>
    <x:row r="26">
      <x:c r="A26" s="87" t="str">
        <x:v>event identity</x:v>
      </x:c>
      <x:c r="B26" s="87" t="str">
        <x:v>full inventory present before opportunity</x:v>
      </x:c>
      <x:c r="C26" s="87" t="str">
        <x:v>ineligible</x:v>
      </x:c>
      <x:c r="D26" s="87" t="str">
        <x:v>class board</x:v>
      </x:c>
      <x:c r="E26" s="95" t="str">
        <x:v>OPEN</x:v>
      </x:c>
      <x:c r="F26" s="87" t="str">
        <x:v>NO</x:v>
      </x:c>
      <x:c r="G26" s="83"/>
      <x:c r="H26" s="83"/>
      <x:c r="I26" s="83"/>
      <x:c r="J26" s="83"/>
    </x:row>
  </x:sheetData>
  <x:mergeCells>
    <x:mergeCell ref="A2:J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6" hidden="0" customWidth="1"/>
    <x:col min="4" max="4" width="11" hidden="0" customWidth="1"/>
    <x:col min="5" max="5" width="11" hidden="0" customWidth="1"/>
    <x:col min="6" max="6" width="30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4" hidden="0" customWidth="1"/>
  </x:cols>
  <x:sheetData>
    <x:row r="2" ht="24" customHeight="1">
      <x:c r="A2" s="82" t="str">
        <x:v>240 field-time candidate trials</x:v>
      </x:c>
      <x:c r="B2" s="83"/>
      <x:c r="C2" s="83"/>
      <x:c r="D2" s="83"/>
      <x:c r="E2" s="83"/>
      <x:c r="F2" s="83"/>
      <x:c r="G2" s="83"/>
      <x:c r="H2" s="83"/>
      <x:c r="I2" s="83"/>
      <x:c r="J2" s="83"/>
      <x:c r="K2" s="83"/>
      <x:c r="L2" s="83"/>
    </x:row>
    <x:row r="3">
      <x:c r="A3" s="84"/>
      <x:c r="B3" s="84"/>
      <x:c r="C3" s="84"/>
      <x:c r="D3" s="84"/>
      <x:c r="E3" s="84"/>
      <x:c r="F3" s="84"/>
      <x:c r="G3" s="84"/>
      <x:c r="H3" s="84"/>
      <x:c r="I3" s="84"/>
      <x:c r="J3" s="84"/>
      <x:c r="K3" s="84"/>
      <x:c r="L3" s="84"/>
    </x:row>
    <x:row r="4">
      <x:c r="A4" s="83"/>
      <x:c r="B4" s="83"/>
      <x:c r="C4" s="83"/>
      <x:c r="D4" s="83"/>
      <x:c r="E4" s="83"/>
      <x:c r="F4" s="83"/>
      <x:c r="G4" s="83"/>
      <x:c r="H4" s="83"/>
      <x:c r="I4" s="83"/>
      <x:c r="J4" s="83"/>
      <x:c r="K4" s="83"/>
      <x:c r="L4" s="83"/>
    </x:row>
    <x:row r="5" ht="22" customHeight="1">
      <x:c r="A5" s="7" t="str">
        <x:v>Trial</x:v>
      </x:c>
      <x:c r="B5" s="8" t="str">
        <x:v>Article</x:v>
      </x:c>
      <x:c r="C5" s="8" t="str">
        <x:v>Architecture</x:v>
      </x:c>
      <x:c r="D5" s="8" t="str">
        <x:v>Lineage</x:v>
      </x:c>
      <x:c r="E5" s="8" t="str">
        <x:v>Campus</x:v>
      </x:c>
      <x:c r="F5" s="8" t="str">
        <x:v>Challenge</x:v>
      </x:c>
      <x:c r="G5" s="8" t="str">
        <x:v>Simulant (kg)</x:v>
      </x:c>
      <x:c r="H5" s="8" t="str">
        <x:v>Geometry result</x:v>
      </x:c>
      <x:c r="I5" s="8" t="str">
        <x:v>Topology result</x:v>
      </x:c>
      <x:c r="J5" s="8" t="str">
        <x:v>Root result</x:v>
      </x:c>
      <x:c r="K5" s="8" t="str">
        <x:v>Return result</x:v>
      </x:c>
      <x:c r="L5" s="9" t="str">
        <x:v>State</x:v>
      </x:c>
    </x:row>
    <x:row r="6">
      <x:c r="A6" s="85" t="str">
        <x:v>CT-001</x:v>
      </x:c>
      <x:c r="B6" s="85" t="str">
        <x:v>FGT-01</x:v>
      </x:c>
      <x:c r="C6" s="85" t="str">
        <x:v>DBS-625</x:v>
      </x:c>
      <x:c r="D6" s="85" t="str">
        <x:v>A</x:v>
      </x:c>
      <x:c r="E6" s="85" t="str">
        <x:v>C1</x:v>
      </x:c>
      <x:c r="F6" s="85" t="str">
        <x:v>sealed zero</x:v>
      </x:c>
      <x:c r="G6" s="103" t="n">
        <x:v>0</x:v>
      </x:c>
      <x:c r="H6" s="100" t="str"/>
      <x:c r="I6" s="100" t="str"/>
      <x:c r="J6" s="100" t="str"/>
      <x:c r="K6" s="100" t="str"/>
      <x:c r="L6" s="100" t="str">
        <x:v>OPEN</x:v>
      </x:c>
    </x:row>
    <x:row r="7">
      <x:c r="A7" s="86" t="str">
        <x:v>CT-002</x:v>
      </x:c>
      <x:c r="B7" s="86" t="str">
        <x:v>FGT-01</x:v>
      </x:c>
      <x:c r="C7" s="86" t="str">
        <x:v>DBS-625</x:v>
      </x:c>
      <x:c r="D7" s="86" t="str">
        <x:v>A</x:v>
      </x:c>
      <x:c r="E7" s="86" t="str">
        <x:v>C1</x:v>
      </x:c>
      <x:c r="F7" s="86" t="str">
        <x:v>250 kg cold load</x:v>
      </x:c>
      <x:c r="G7" s="104" t="n">
        <x:v>250</x:v>
      </x:c>
      <x:c r="H7" s="91" t="str"/>
      <x:c r="I7" s="91" t="str"/>
      <x:c r="J7" s="91" t="str"/>
      <x:c r="K7" s="91" t="str"/>
      <x:c r="L7" s="91" t="str">
        <x:v>OPEN</x:v>
      </x:c>
    </x:row>
    <x:row r="8">
      <x:c r="A8" s="86" t="str">
        <x:v>CT-003</x:v>
      </x:c>
      <x:c r="B8" s="86" t="str">
        <x:v>FGT-01</x:v>
      </x:c>
      <x:c r="C8" s="86" t="str">
        <x:v>DBS-625</x:v>
      </x:c>
      <x:c r="D8" s="86" t="str">
        <x:v>A</x:v>
      </x:c>
      <x:c r="E8" s="86" t="str">
        <x:v>C1</x:v>
      </x:c>
      <x:c r="F8" s="86" t="str">
        <x:v>500 kg cold load</x:v>
      </x:c>
      <x:c r="G8" s="104" t="n">
        <x:v>500</x:v>
      </x:c>
      <x:c r="H8" s="91" t="str"/>
      <x:c r="I8" s="91" t="str"/>
      <x:c r="J8" s="91" t="str"/>
      <x:c r="K8" s="91" t="str"/>
      <x:c r="L8" s="91" t="str">
        <x:v>OPEN</x:v>
      </x:c>
    </x:row>
    <x:row r="9">
      <x:c r="A9" s="86" t="str">
        <x:v>CT-004</x:v>
      </x:c>
      <x:c r="B9" s="86" t="str">
        <x:v>FGT-01</x:v>
      </x:c>
      <x:c r="C9" s="86" t="str">
        <x:v>DBS-625</x:v>
      </x:c>
      <x:c r="D9" s="86" t="str">
        <x:v>A</x:v>
      </x:c>
      <x:c r="E9" s="86" t="str">
        <x:v>C1</x:v>
      </x:c>
      <x:c r="F9" s="86" t="str">
        <x:v>500 kg topology tracer</x:v>
      </x:c>
      <x:c r="G9" s="104" t="n">
        <x:v>500</x:v>
      </x:c>
      <x:c r="H9" s="91" t="str"/>
      <x:c r="I9" s="91" t="str"/>
      <x:c r="J9" s="91" t="str"/>
      <x:c r="K9" s="91" t="str"/>
      <x:c r="L9" s="91" t="str">
        <x:v>OPEN</x:v>
      </x:c>
    </x:row>
    <x:row r="10">
      <x:c r="A10" s="86" t="str">
        <x:v>CT-005</x:v>
      </x:c>
      <x:c r="B10" s="86" t="str">
        <x:v>FGT-01</x:v>
      </x:c>
      <x:c r="C10" s="86" t="str">
        <x:v>DBS-625</x:v>
      </x:c>
      <x:c r="D10" s="86" t="str">
        <x:v>A</x:v>
      </x:c>
      <x:c r="E10" s="86" t="str">
        <x:v>C1</x:v>
      </x:c>
      <x:c r="F10" s="86" t="str">
        <x:v>30-minute thermal surrogate</x:v>
      </x:c>
      <x:c r="G10" s="104" t="n">
        <x:v>0</x:v>
      </x:c>
      <x:c r="H10" s="91" t="str"/>
      <x:c r="I10" s="91" t="str"/>
      <x:c r="J10" s="91" t="str"/>
      <x:c r="K10" s="91" t="str"/>
      <x:c r="L10" s="91" t="str">
        <x:v>OPEN</x:v>
      </x:c>
    </x:row>
    <x:row r="11">
      <x:c r="A11" s="86" t="str">
        <x:v>CT-006</x:v>
      </x:c>
      <x:c r="B11" s="86" t="str">
        <x:v>FGT-01</x:v>
      </x:c>
      <x:c r="C11" s="86" t="str">
        <x:v>DBS-625</x:v>
      </x:c>
      <x:c r="D11" s="86" t="str">
        <x:v>A</x:v>
      </x:c>
      <x:c r="E11" s="86" t="str">
        <x:v>C1</x:v>
      </x:c>
      <x:c r="F11" s="86" t="str">
        <x:v>atmosphere transit</x:v>
      </x:c>
      <x:c r="G11" s="104" t="n">
        <x:v>0</x:v>
      </x:c>
      <x:c r="H11" s="91" t="str"/>
      <x:c r="I11" s="91" t="str"/>
      <x:c r="J11" s="91" t="str"/>
      <x:c r="K11" s="91" t="str"/>
      <x:c r="L11" s="91" t="str">
        <x:v>OPEN</x:v>
      </x:c>
    </x:row>
    <x:row r="12">
      <x:c r="A12" s="86" t="str">
        <x:v>CT-007</x:v>
      </x:c>
      <x:c r="B12" s="86" t="str">
        <x:v>FGT-01</x:v>
      </x:c>
      <x:c r="C12" s="86" t="str">
        <x:v>DBS-625</x:v>
      </x:c>
      <x:c r="D12" s="86" t="str">
        <x:v>A</x:v>
      </x:c>
      <x:c r="E12" s="86" t="str">
        <x:v>C1</x:v>
      </x:c>
      <x:c r="F12" s="86" t="str">
        <x:v>PHO/ION obscuration</x:v>
      </x:c>
      <x:c r="G12" s="104" t="n">
        <x:v>0</x:v>
      </x:c>
      <x:c r="H12" s="91" t="str"/>
      <x:c r="I12" s="91" t="str"/>
      <x:c r="J12" s="91" t="str"/>
      <x:c r="K12" s="91" t="str"/>
      <x:c r="L12" s="91" t="str">
        <x:v>OPEN</x:v>
      </x:c>
    </x:row>
    <x:row r="13">
      <x:c r="A13" s="86" t="str">
        <x:v>CT-008</x:v>
      </x:c>
      <x:c r="B13" s="86" t="str">
        <x:v>FGT-01</x:v>
      </x:c>
      <x:c r="C13" s="86" t="str">
        <x:v>DBS-625</x:v>
      </x:c>
      <x:c r="D13" s="86" t="str">
        <x:v>A</x:v>
      </x:c>
      <x:c r="E13" s="86" t="str">
        <x:v>C1</x:v>
      </x:c>
      <x:c r="F13" s="86" t="str">
        <x:v>product-route challenge</x:v>
      </x:c>
      <x:c r="G13" s="104" t="n">
        <x:v>0</x:v>
      </x:c>
      <x:c r="H13" s="91" t="str"/>
      <x:c r="I13" s="91" t="str"/>
      <x:c r="J13" s="91" t="str"/>
      <x:c r="K13" s="91" t="str"/>
      <x:c r="L13" s="91" t="str">
        <x:v>OPEN</x:v>
      </x:c>
    </x:row>
    <x:row r="14">
      <x:c r="A14" s="86" t="str">
        <x:v>CT-009</x:v>
      </x:c>
      <x:c r="B14" s="86" t="str">
        <x:v>FGT-01</x:v>
      </x:c>
      <x:c r="C14" s="86" t="str">
        <x:v>DBS-625</x:v>
      </x:c>
      <x:c r="D14" s="86" t="str">
        <x:v>A</x:v>
      </x:c>
      <x:c r="E14" s="86" t="str">
        <x:v>C1</x:v>
      </x:c>
      <x:c r="F14" s="86" t="str">
        <x:v>root and service denial</x:v>
      </x:c>
      <x:c r="G14" s="104" t="n">
        <x:v>0</x:v>
      </x:c>
      <x:c r="H14" s="91" t="str"/>
      <x:c r="I14" s="91" t="str"/>
      <x:c r="J14" s="91" t="str"/>
      <x:c r="K14" s="91" t="str"/>
      <x:c r="L14" s="91" t="str">
        <x:v>OPEN</x:v>
      </x:c>
    </x:row>
    <x:row r="15">
      <x:c r="A15" s="86" t="str">
        <x:v>CT-010</x:v>
      </x:c>
      <x:c r="B15" s="86" t="str">
        <x:v>FGT-01</x:v>
      </x:c>
      <x:c r="C15" s="86" t="str">
        <x:v>DBS-625</x:v>
      </x:c>
      <x:c r="D15" s="86" t="str">
        <x:v>A</x:v>
      </x:c>
      <x:c r="E15" s="86" t="str">
        <x:v>C1</x:v>
      </x:c>
      <x:c r="F15" s="86" t="str">
        <x:v>thermal-soak return</x:v>
      </x:c>
      <x:c r="G15" s="104" t="n">
        <x:v>0</x:v>
      </x:c>
      <x:c r="H15" s="91" t="str"/>
      <x:c r="I15" s="91" t="str"/>
      <x:c r="J15" s="91" t="str"/>
      <x:c r="K15" s="91" t="str"/>
      <x:c r="L15" s="91" t="str">
        <x:v>OPEN</x:v>
      </x:c>
    </x:row>
    <x:row r="16">
      <x:c r="A16" s="86" t="str">
        <x:v>CT-011</x:v>
      </x:c>
      <x:c r="B16" s="86" t="str">
        <x:v>FGT-02</x:v>
      </x:c>
      <x:c r="C16" s="86" t="str">
        <x:v>DBS-625</x:v>
      </x:c>
      <x:c r="D16" s="86" t="str">
        <x:v>A</x:v>
      </x:c>
      <x:c r="E16" s="86" t="str">
        <x:v>C2</x:v>
      </x:c>
      <x:c r="F16" s="86" t="str">
        <x:v>sealed zero</x:v>
      </x:c>
      <x:c r="G16" s="104" t="n">
        <x:v>0</x:v>
      </x:c>
      <x:c r="H16" s="91" t="str"/>
      <x:c r="I16" s="91" t="str"/>
      <x:c r="J16" s="91" t="str"/>
      <x:c r="K16" s="91" t="str"/>
      <x:c r="L16" s="91" t="str">
        <x:v>OPEN</x:v>
      </x:c>
    </x:row>
    <x:row r="17">
      <x:c r="A17" s="86" t="str">
        <x:v>CT-012</x:v>
      </x:c>
      <x:c r="B17" s="86" t="str">
        <x:v>FGT-02</x:v>
      </x:c>
      <x:c r="C17" s="86" t="str">
        <x:v>DBS-625</x:v>
      </x:c>
      <x:c r="D17" s="86" t="str">
        <x:v>A</x:v>
      </x:c>
      <x:c r="E17" s="86" t="str">
        <x:v>C2</x:v>
      </x:c>
      <x:c r="F17" s="86" t="str">
        <x:v>250 kg cold load</x:v>
      </x:c>
      <x:c r="G17" s="104" t="n">
        <x:v>250</x:v>
      </x:c>
      <x:c r="H17" s="91" t="str"/>
      <x:c r="I17" s="91" t="str"/>
      <x:c r="J17" s="91" t="str"/>
      <x:c r="K17" s="91" t="str"/>
      <x:c r="L17" s="91" t="str">
        <x:v>OPEN</x:v>
      </x:c>
    </x:row>
    <x:row r="18">
      <x:c r="A18" s="86" t="str">
        <x:v>CT-013</x:v>
      </x:c>
      <x:c r="B18" s="86" t="str">
        <x:v>FGT-02</x:v>
      </x:c>
      <x:c r="C18" s="86" t="str">
        <x:v>DBS-625</x:v>
      </x:c>
      <x:c r="D18" s="86" t="str">
        <x:v>A</x:v>
      </x:c>
      <x:c r="E18" s="86" t="str">
        <x:v>C2</x:v>
      </x:c>
      <x:c r="F18" s="86" t="str">
        <x:v>500 kg cold load</x:v>
      </x:c>
      <x:c r="G18" s="104" t="n">
        <x:v>500</x:v>
      </x:c>
      <x:c r="H18" s="91" t="str"/>
      <x:c r="I18" s="91" t="str"/>
      <x:c r="J18" s="91" t="str"/>
      <x:c r="K18" s="91" t="str"/>
      <x:c r="L18" s="91" t="str">
        <x:v>OPEN</x:v>
      </x:c>
    </x:row>
    <x:row r="19">
      <x:c r="A19" s="86" t="str">
        <x:v>CT-014</x:v>
      </x:c>
      <x:c r="B19" s="86" t="str">
        <x:v>FGT-02</x:v>
      </x:c>
      <x:c r="C19" s="86" t="str">
        <x:v>DBS-625</x:v>
      </x:c>
      <x:c r="D19" s="86" t="str">
        <x:v>A</x:v>
      </x:c>
      <x:c r="E19" s="86" t="str">
        <x:v>C2</x:v>
      </x:c>
      <x:c r="F19" s="86" t="str">
        <x:v>500 kg topology tracer</x:v>
      </x:c>
      <x:c r="G19" s="104" t="n">
        <x:v>500</x:v>
      </x:c>
      <x:c r="H19" s="91" t="str"/>
      <x:c r="I19" s="91" t="str"/>
      <x:c r="J19" s="91" t="str"/>
      <x:c r="K19" s="91" t="str"/>
      <x:c r="L19" s="91" t="str">
        <x:v>OPEN</x:v>
      </x:c>
    </x:row>
    <x:row r="20">
      <x:c r="A20" s="86" t="str">
        <x:v>CT-015</x:v>
      </x:c>
      <x:c r="B20" s="86" t="str">
        <x:v>FGT-02</x:v>
      </x:c>
      <x:c r="C20" s="86" t="str">
        <x:v>DBS-625</x:v>
      </x:c>
      <x:c r="D20" s="86" t="str">
        <x:v>A</x:v>
      </x:c>
      <x:c r="E20" s="86" t="str">
        <x:v>C2</x:v>
      </x:c>
      <x:c r="F20" s="86" t="str">
        <x:v>30-minute thermal surrogate</x:v>
      </x:c>
      <x:c r="G20" s="104" t="n">
        <x:v>0</x:v>
      </x:c>
      <x:c r="H20" s="91" t="str"/>
      <x:c r="I20" s="91" t="str"/>
      <x:c r="J20" s="91" t="str"/>
      <x:c r="K20" s="91" t="str"/>
      <x:c r="L20" s="91" t="str">
        <x:v>OPEN</x:v>
      </x:c>
    </x:row>
    <x:row r="21">
      <x:c r="A21" s="86" t="str">
        <x:v>CT-016</x:v>
      </x:c>
      <x:c r="B21" s="86" t="str">
        <x:v>FGT-02</x:v>
      </x:c>
      <x:c r="C21" s="86" t="str">
        <x:v>DBS-625</x:v>
      </x:c>
      <x:c r="D21" s="86" t="str">
        <x:v>A</x:v>
      </x:c>
      <x:c r="E21" s="86" t="str">
        <x:v>C2</x:v>
      </x:c>
      <x:c r="F21" s="86" t="str">
        <x:v>atmosphere transit</x:v>
      </x:c>
      <x:c r="G21" s="104" t="n">
        <x:v>0</x:v>
      </x:c>
      <x:c r="H21" s="91" t="str"/>
      <x:c r="I21" s="91" t="str"/>
      <x:c r="J21" s="91" t="str"/>
      <x:c r="K21" s="91" t="str"/>
      <x:c r="L21" s="91" t="str">
        <x:v>OPEN</x:v>
      </x:c>
    </x:row>
    <x:row r="22">
      <x:c r="A22" s="86" t="str">
        <x:v>CT-017</x:v>
      </x:c>
      <x:c r="B22" s="86" t="str">
        <x:v>FGT-02</x:v>
      </x:c>
      <x:c r="C22" s="86" t="str">
        <x:v>DBS-625</x:v>
      </x:c>
      <x:c r="D22" s="86" t="str">
        <x:v>A</x:v>
      </x:c>
      <x:c r="E22" s="86" t="str">
        <x:v>C2</x:v>
      </x:c>
      <x:c r="F22" s="86" t="str">
        <x:v>PHO/ION obscuration</x:v>
      </x:c>
      <x:c r="G22" s="104" t="n">
        <x:v>0</x:v>
      </x:c>
      <x:c r="H22" s="91" t="str"/>
      <x:c r="I22" s="91" t="str"/>
      <x:c r="J22" s="91" t="str"/>
      <x:c r="K22" s="91" t="str"/>
      <x:c r="L22" s="91" t="str">
        <x:v>OPEN</x:v>
      </x:c>
    </x:row>
    <x:row r="23">
      <x:c r="A23" s="86" t="str">
        <x:v>CT-018</x:v>
      </x:c>
      <x:c r="B23" s="86" t="str">
        <x:v>FGT-02</x:v>
      </x:c>
      <x:c r="C23" s="86" t="str">
        <x:v>DBS-625</x:v>
      </x:c>
      <x:c r="D23" s="86" t="str">
        <x:v>A</x:v>
      </x:c>
      <x:c r="E23" s="86" t="str">
        <x:v>C2</x:v>
      </x:c>
      <x:c r="F23" s="86" t="str">
        <x:v>product-route challenge</x:v>
      </x:c>
      <x:c r="G23" s="104" t="n">
        <x:v>0</x:v>
      </x:c>
      <x:c r="H23" s="91" t="str"/>
      <x:c r="I23" s="91" t="str"/>
      <x:c r="J23" s="91" t="str"/>
      <x:c r="K23" s="91" t="str"/>
      <x:c r="L23" s="91" t="str">
        <x:v>OPEN</x:v>
      </x:c>
    </x:row>
    <x:row r="24">
      <x:c r="A24" s="86" t="str">
        <x:v>CT-019</x:v>
      </x:c>
      <x:c r="B24" s="86" t="str">
        <x:v>FGT-02</x:v>
      </x:c>
      <x:c r="C24" s="86" t="str">
        <x:v>DBS-625</x:v>
      </x:c>
      <x:c r="D24" s="86" t="str">
        <x:v>A</x:v>
      </x:c>
      <x:c r="E24" s="86" t="str">
        <x:v>C2</x:v>
      </x:c>
      <x:c r="F24" s="86" t="str">
        <x:v>root and service denial</x:v>
      </x:c>
      <x:c r="G24" s="104" t="n">
        <x:v>0</x:v>
      </x:c>
      <x:c r="H24" s="91" t="str"/>
      <x:c r="I24" s="91" t="str"/>
      <x:c r="J24" s="91" t="str"/>
      <x:c r="K24" s="91" t="str"/>
      <x:c r="L24" s="91" t="str">
        <x:v>OPEN</x:v>
      </x:c>
    </x:row>
    <x:row r="25">
      <x:c r="A25" s="86" t="str">
        <x:v>CT-020</x:v>
      </x:c>
      <x:c r="B25" s="86" t="str">
        <x:v>FGT-02</x:v>
      </x:c>
      <x:c r="C25" s="86" t="str">
        <x:v>DBS-625</x:v>
      </x:c>
      <x:c r="D25" s="86" t="str">
        <x:v>A</x:v>
      </x:c>
      <x:c r="E25" s="86" t="str">
        <x:v>C2</x:v>
      </x:c>
      <x:c r="F25" s="86" t="str">
        <x:v>thermal-soak return</x:v>
      </x:c>
      <x:c r="G25" s="104" t="n">
        <x:v>0</x:v>
      </x:c>
      <x:c r="H25" s="91" t="str"/>
      <x:c r="I25" s="91" t="str"/>
      <x:c r="J25" s="91" t="str"/>
      <x:c r="K25" s="91" t="str"/>
      <x:c r="L25" s="91" t="str">
        <x:v>OPEN</x:v>
      </x:c>
    </x:row>
    <x:row r="26">
      <x:c r="A26" s="86" t="str">
        <x:v>CT-021</x:v>
      </x:c>
      <x:c r="B26" s="86" t="str">
        <x:v>FGT-03</x:v>
      </x:c>
      <x:c r="C26" s="86" t="str">
        <x:v>DBS-625</x:v>
      </x:c>
      <x:c r="D26" s="86" t="str">
        <x:v>A</x:v>
      </x:c>
      <x:c r="E26" s="86" t="str">
        <x:v>C3</x:v>
      </x:c>
      <x:c r="F26" s="86" t="str">
        <x:v>sealed zero</x:v>
      </x:c>
      <x:c r="G26" s="104" t="n">
        <x:v>0</x:v>
      </x:c>
      <x:c r="H26" s="91" t="str"/>
      <x:c r="I26" s="91" t="str"/>
      <x:c r="J26" s="91" t="str"/>
      <x:c r="K26" s="91" t="str"/>
      <x:c r="L26" s="91" t="str">
        <x:v>OPEN</x:v>
      </x:c>
    </x:row>
    <x:row r="27">
      <x:c r="A27" s="86" t="str">
        <x:v>CT-022</x:v>
      </x:c>
      <x:c r="B27" s="86" t="str">
        <x:v>FGT-03</x:v>
      </x:c>
      <x:c r="C27" s="86" t="str">
        <x:v>DBS-625</x:v>
      </x:c>
      <x:c r="D27" s="86" t="str">
        <x:v>A</x:v>
      </x:c>
      <x:c r="E27" s="86" t="str">
        <x:v>C3</x:v>
      </x:c>
      <x:c r="F27" s="86" t="str">
        <x:v>250 kg cold load</x:v>
      </x:c>
      <x:c r="G27" s="104" t="n">
        <x:v>250</x:v>
      </x:c>
      <x:c r="H27" s="91" t="str"/>
      <x:c r="I27" s="91" t="str"/>
      <x:c r="J27" s="91" t="str"/>
      <x:c r="K27" s="91" t="str"/>
      <x:c r="L27" s="91" t="str">
        <x:v>OPEN</x:v>
      </x:c>
    </x:row>
    <x:row r="28">
      <x:c r="A28" s="86" t="str">
        <x:v>CT-023</x:v>
      </x:c>
      <x:c r="B28" s="86" t="str">
        <x:v>FGT-03</x:v>
      </x:c>
      <x:c r="C28" s="86" t="str">
        <x:v>DBS-625</x:v>
      </x:c>
      <x:c r="D28" s="86" t="str">
        <x:v>A</x:v>
      </x:c>
      <x:c r="E28" s="86" t="str">
        <x:v>C3</x:v>
      </x:c>
      <x:c r="F28" s="86" t="str">
        <x:v>500 kg cold load</x:v>
      </x:c>
      <x:c r="G28" s="104" t="n">
        <x:v>500</x:v>
      </x:c>
      <x:c r="H28" s="91" t="str"/>
      <x:c r="I28" s="91" t="str"/>
      <x:c r="J28" s="91" t="str"/>
      <x:c r="K28" s="91" t="str"/>
      <x:c r="L28" s="91" t="str">
        <x:v>OPEN</x:v>
      </x:c>
    </x:row>
    <x:row r="29">
      <x:c r="A29" s="86" t="str">
        <x:v>CT-024</x:v>
      </x:c>
      <x:c r="B29" s="86" t="str">
        <x:v>FGT-03</x:v>
      </x:c>
      <x:c r="C29" s="86" t="str">
        <x:v>DBS-625</x:v>
      </x:c>
      <x:c r="D29" s="86" t="str">
        <x:v>A</x:v>
      </x:c>
      <x:c r="E29" s="86" t="str">
        <x:v>C3</x:v>
      </x:c>
      <x:c r="F29" s="86" t="str">
        <x:v>500 kg topology tracer</x:v>
      </x:c>
      <x:c r="G29" s="104" t="n">
        <x:v>500</x:v>
      </x:c>
      <x:c r="H29" s="91" t="str"/>
      <x:c r="I29" s="91" t="str"/>
      <x:c r="J29" s="91" t="str"/>
      <x:c r="K29" s="91" t="str"/>
      <x:c r="L29" s="91" t="str">
        <x:v>OPEN</x:v>
      </x:c>
    </x:row>
    <x:row r="30">
      <x:c r="A30" s="86" t="str">
        <x:v>CT-025</x:v>
      </x:c>
      <x:c r="B30" s="86" t="str">
        <x:v>FGT-03</x:v>
      </x:c>
      <x:c r="C30" s="86" t="str">
        <x:v>DBS-625</x:v>
      </x:c>
      <x:c r="D30" s="86" t="str">
        <x:v>A</x:v>
      </x:c>
      <x:c r="E30" s="86" t="str">
        <x:v>C3</x:v>
      </x:c>
      <x:c r="F30" s="86" t="str">
        <x:v>30-minute thermal surrogate</x:v>
      </x:c>
      <x:c r="G30" s="104" t="n">
        <x:v>0</x:v>
      </x:c>
      <x:c r="H30" s="91" t="str"/>
      <x:c r="I30" s="91" t="str"/>
      <x:c r="J30" s="91" t="str"/>
      <x:c r="K30" s="91" t="str"/>
      <x:c r="L30" s="91" t="str">
        <x:v>OPEN</x:v>
      </x:c>
    </x:row>
    <x:row r="31">
      <x:c r="A31" s="86" t="str">
        <x:v>CT-026</x:v>
      </x:c>
      <x:c r="B31" s="86" t="str">
        <x:v>FGT-03</x:v>
      </x:c>
      <x:c r="C31" s="86" t="str">
        <x:v>DBS-625</x:v>
      </x:c>
      <x:c r="D31" s="86" t="str">
        <x:v>A</x:v>
      </x:c>
      <x:c r="E31" s="86" t="str">
        <x:v>C3</x:v>
      </x:c>
      <x:c r="F31" s="86" t="str">
        <x:v>atmosphere transit</x:v>
      </x:c>
      <x:c r="G31" s="104" t="n">
        <x:v>0</x:v>
      </x:c>
      <x:c r="H31" s="91" t="str"/>
      <x:c r="I31" s="91" t="str"/>
      <x:c r="J31" s="91" t="str"/>
      <x:c r="K31" s="91" t="str"/>
      <x:c r="L31" s="91" t="str">
        <x:v>OPEN</x:v>
      </x:c>
    </x:row>
    <x:row r="32">
      <x:c r="A32" s="86" t="str">
        <x:v>CT-027</x:v>
      </x:c>
      <x:c r="B32" s="86" t="str">
        <x:v>FGT-03</x:v>
      </x:c>
      <x:c r="C32" s="86" t="str">
        <x:v>DBS-625</x:v>
      </x:c>
      <x:c r="D32" s="86" t="str">
        <x:v>A</x:v>
      </x:c>
      <x:c r="E32" s="86" t="str">
        <x:v>C3</x:v>
      </x:c>
      <x:c r="F32" s="86" t="str">
        <x:v>PHO/ION obscuration</x:v>
      </x:c>
      <x:c r="G32" s="104" t="n">
        <x:v>0</x:v>
      </x:c>
      <x:c r="H32" s="91" t="str"/>
      <x:c r="I32" s="91" t="str"/>
      <x:c r="J32" s="91" t="str"/>
      <x:c r="K32" s="91" t="str"/>
      <x:c r="L32" s="91" t="str">
        <x:v>OPEN</x:v>
      </x:c>
    </x:row>
    <x:row r="33">
      <x:c r="A33" s="86" t="str">
        <x:v>CT-028</x:v>
      </x:c>
      <x:c r="B33" s="86" t="str">
        <x:v>FGT-03</x:v>
      </x:c>
      <x:c r="C33" s="86" t="str">
        <x:v>DBS-625</x:v>
      </x:c>
      <x:c r="D33" s="86" t="str">
        <x:v>A</x:v>
      </x:c>
      <x:c r="E33" s="86" t="str">
        <x:v>C3</x:v>
      </x:c>
      <x:c r="F33" s="86" t="str">
        <x:v>product-route challenge</x:v>
      </x:c>
      <x:c r="G33" s="104" t="n">
        <x:v>0</x:v>
      </x:c>
      <x:c r="H33" s="91" t="str"/>
      <x:c r="I33" s="91" t="str"/>
      <x:c r="J33" s="91" t="str"/>
      <x:c r="K33" s="91" t="str"/>
      <x:c r="L33" s="91" t="str">
        <x:v>OPEN</x:v>
      </x:c>
    </x:row>
    <x:row r="34">
      <x:c r="A34" s="86" t="str">
        <x:v>CT-029</x:v>
      </x:c>
      <x:c r="B34" s="86" t="str">
        <x:v>FGT-03</x:v>
      </x:c>
      <x:c r="C34" s="86" t="str">
        <x:v>DBS-625</x:v>
      </x:c>
      <x:c r="D34" s="86" t="str">
        <x:v>A</x:v>
      </x:c>
      <x:c r="E34" s="86" t="str">
        <x:v>C3</x:v>
      </x:c>
      <x:c r="F34" s="86" t="str">
        <x:v>root and service denial</x:v>
      </x:c>
      <x:c r="G34" s="104" t="n">
        <x:v>0</x:v>
      </x:c>
      <x:c r="H34" s="91" t="str"/>
      <x:c r="I34" s="91" t="str"/>
      <x:c r="J34" s="91" t="str"/>
      <x:c r="K34" s="91" t="str"/>
      <x:c r="L34" s="91" t="str">
        <x:v>OPEN</x:v>
      </x:c>
    </x:row>
    <x:row r="35">
      <x:c r="A35" s="86" t="str">
        <x:v>CT-030</x:v>
      </x:c>
      <x:c r="B35" s="86" t="str">
        <x:v>FGT-03</x:v>
      </x:c>
      <x:c r="C35" s="86" t="str">
        <x:v>DBS-625</x:v>
      </x:c>
      <x:c r="D35" s="86" t="str">
        <x:v>A</x:v>
      </x:c>
      <x:c r="E35" s="86" t="str">
        <x:v>C3</x:v>
      </x:c>
      <x:c r="F35" s="86" t="str">
        <x:v>thermal-soak return</x:v>
      </x:c>
      <x:c r="G35" s="104" t="n">
        <x:v>0</x:v>
      </x:c>
      <x:c r="H35" s="91" t="str"/>
      <x:c r="I35" s="91" t="str"/>
      <x:c r="J35" s="91" t="str"/>
      <x:c r="K35" s="91" t="str"/>
      <x:c r="L35" s="91" t="str">
        <x:v>OPEN</x:v>
      </x:c>
    </x:row>
    <x:row r="36">
      <x:c r="A36" s="86" t="str">
        <x:v>CT-031</x:v>
      </x:c>
      <x:c r="B36" s="86" t="str">
        <x:v>FGT-04</x:v>
      </x:c>
      <x:c r="C36" s="86" t="str">
        <x:v>DBS-625</x:v>
      </x:c>
      <x:c r="D36" s="86" t="str">
        <x:v>B</x:v>
      </x:c>
      <x:c r="E36" s="86" t="str">
        <x:v>C1</x:v>
      </x:c>
      <x:c r="F36" s="86" t="str">
        <x:v>sealed zero</x:v>
      </x:c>
      <x:c r="G36" s="104" t="n">
        <x:v>0</x:v>
      </x:c>
      <x:c r="H36" s="91" t="str"/>
      <x:c r="I36" s="91" t="str"/>
      <x:c r="J36" s="91" t="str"/>
      <x:c r="K36" s="91" t="str"/>
      <x:c r="L36" s="91" t="str">
        <x:v>OPEN</x:v>
      </x:c>
    </x:row>
    <x:row r="37">
      <x:c r="A37" s="86" t="str">
        <x:v>CT-032</x:v>
      </x:c>
      <x:c r="B37" s="86" t="str">
        <x:v>FGT-04</x:v>
      </x:c>
      <x:c r="C37" s="86" t="str">
        <x:v>DBS-625</x:v>
      </x:c>
      <x:c r="D37" s="86" t="str">
        <x:v>B</x:v>
      </x:c>
      <x:c r="E37" s="86" t="str">
        <x:v>C1</x:v>
      </x:c>
      <x:c r="F37" s="86" t="str">
        <x:v>250 kg cold load</x:v>
      </x:c>
      <x:c r="G37" s="104" t="n">
        <x:v>250</x:v>
      </x:c>
      <x:c r="H37" s="91" t="str"/>
      <x:c r="I37" s="91" t="str"/>
      <x:c r="J37" s="91" t="str"/>
      <x:c r="K37" s="91" t="str"/>
      <x:c r="L37" s="91" t="str">
        <x:v>OPEN</x:v>
      </x:c>
    </x:row>
    <x:row r="38">
      <x:c r="A38" s="86" t="str">
        <x:v>CT-033</x:v>
      </x:c>
      <x:c r="B38" s="86" t="str">
        <x:v>FGT-04</x:v>
      </x:c>
      <x:c r="C38" s="86" t="str">
        <x:v>DBS-625</x:v>
      </x:c>
      <x:c r="D38" s="86" t="str">
        <x:v>B</x:v>
      </x:c>
      <x:c r="E38" s="86" t="str">
        <x:v>C1</x:v>
      </x:c>
      <x:c r="F38" s="86" t="str">
        <x:v>500 kg cold load</x:v>
      </x:c>
      <x:c r="G38" s="104" t="n">
        <x:v>500</x:v>
      </x:c>
      <x:c r="H38" s="91" t="str"/>
      <x:c r="I38" s="91" t="str"/>
      <x:c r="J38" s="91" t="str"/>
      <x:c r="K38" s="91" t="str"/>
      <x:c r="L38" s="91" t="str">
        <x:v>OPEN</x:v>
      </x:c>
    </x:row>
    <x:row r="39">
      <x:c r="A39" s="86" t="str">
        <x:v>CT-034</x:v>
      </x:c>
      <x:c r="B39" s="86" t="str">
        <x:v>FGT-04</x:v>
      </x:c>
      <x:c r="C39" s="86" t="str">
        <x:v>DBS-625</x:v>
      </x:c>
      <x:c r="D39" s="86" t="str">
        <x:v>B</x:v>
      </x:c>
      <x:c r="E39" s="86" t="str">
        <x:v>C1</x:v>
      </x:c>
      <x:c r="F39" s="86" t="str">
        <x:v>500 kg topology tracer</x:v>
      </x:c>
      <x:c r="G39" s="104" t="n">
        <x:v>500</x:v>
      </x:c>
      <x:c r="H39" s="91" t="str"/>
      <x:c r="I39" s="91" t="str"/>
      <x:c r="J39" s="91" t="str"/>
      <x:c r="K39" s="91" t="str"/>
      <x:c r="L39" s="91" t="str">
        <x:v>OPEN</x:v>
      </x:c>
    </x:row>
    <x:row r="40">
      <x:c r="A40" s="86" t="str">
        <x:v>CT-035</x:v>
      </x:c>
      <x:c r="B40" s="86" t="str">
        <x:v>FGT-04</x:v>
      </x:c>
      <x:c r="C40" s="86" t="str">
        <x:v>DBS-625</x:v>
      </x:c>
      <x:c r="D40" s="86" t="str">
        <x:v>B</x:v>
      </x:c>
      <x:c r="E40" s="86" t="str">
        <x:v>C1</x:v>
      </x:c>
      <x:c r="F40" s="86" t="str">
        <x:v>30-minute thermal surrogate</x:v>
      </x:c>
      <x:c r="G40" s="104" t="n">
        <x:v>0</x:v>
      </x:c>
      <x:c r="H40" s="91" t="str"/>
      <x:c r="I40" s="91" t="str"/>
      <x:c r="J40" s="91" t="str"/>
      <x:c r="K40" s="91" t="str"/>
      <x:c r="L40" s="91" t="str">
        <x:v>OPEN</x:v>
      </x:c>
    </x:row>
    <x:row r="41">
      <x:c r="A41" s="86" t="str">
        <x:v>CT-036</x:v>
      </x:c>
      <x:c r="B41" s="86" t="str">
        <x:v>FGT-04</x:v>
      </x:c>
      <x:c r="C41" s="86" t="str">
        <x:v>DBS-625</x:v>
      </x:c>
      <x:c r="D41" s="86" t="str">
        <x:v>B</x:v>
      </x:c>
      <x:c r="E41" s="86" t="str">
        <x:v>C1</x:v>
      </x:c>
      <x:c r="F41" s="86" t="str">
        <x:v>atmosphere transit</x:v>
      </x:c>
      <x:c r="G41" s="104" t="n">
        <x:v>0</x:v>
      </x:c>
      <x:c r="H41" s="91" t="str"/>
      <x:c r="I41" s="91" t="str"/>
      <x:c r="J41" s="91" t="str"/>
      <x:c r="K41" s="91" t="str"/>
      <x:c r="L41" s="91" t="str">
        <x:v>OPEN</x:v>
      </x:c>
    </x:row>
    <x:row r="42">
      <x:c r="A42" s="86" t="str">
        <x:v>CT-037</x:v>
      </x:c>
      <x:c r="B42" s="86" t="str">
        <x:v>FGT-04</x:v>
      </x:c>
      <x:c r="C42" s="86" t="str">
        <x:v>DBS-625</x:v>
      </x:c>
      <x:c r="D42" s="86" t="str">
        <x:v>B</x:v>
      </x:c>
      <x:c r="E42" s="86" t="str">
        <x:v>C1</x:v>
      </x:c>
      <x:c r="F42" s="86" t="str">
        <x:v>PHO/ION obscuration</x:v>
      </x:c>
      <x:c r="G42" s="104" t="n">
        <x:v>0</x:v>
      </x:c>
      <x:c r="H42" s="91" t="str"/>
      <x:c r="I42" s="91" t="str"/>
      <x:c r="J42" s="91" t="str"/>
      <x:c r="K42" s="91" t="str"/>
      <x:c r="L42" s="91" t="str">
        <x:v>OPEN</x:v>
      </x:c>
    </x:row>
    <x:row r="43">
      <x:c r="A43" s="86" t="str">
        <x:v>CT-038</x:v>
      </x:c>
      <x:c r="B43" s="86" t="str">
        <x:v>FGT-04</x:v>
      </x:c>
      <x:c r="C43" s="86" t="str">
        <x:v>DBS-625</x:v>
      </x:c>
      <x:c r="D43" s="86" t="str">
        <x:v>B</x:v>
      </x:c>
      <x:c r="E43" s="86" t="str">
        <x:v>C1</x:v>
      </x:c>
      <x:c r="F43" s="86" t="str">
        <x:v>product-route challenge</x:v>
      </x:c>
      <x:c r="G43" s="104" t="n">
        <x:v>0</x:v>
      </x:c>
      <x:c r="H43" s="91" t="str"/>
      <x:c r="I43" s="91" t="str"/>
      <x:c r="J43" s="91" t="str"/>
      <x:c r="K43" s="91" t="str"/>
      <x:c r="L43" s="91" t="str">
        <x:v>OPEN</x:v>
      </x:c>
    </x:row>
    <x:row r="44">
      <x:c r="A44" s="86" t="str">
        <x:v>CT-039</x:v>
      </x:c>
      <x:c r="B44" s="86" t="str">
        <x:v>FGT-04</x:v>
      </x:c>
      <x:c r="C44" s="86" t="str">
        <x:v>DBS-625</x:v>
      </x:c>
      <x:c r="D44" s="86" t="str">
        <x:v>B</x:v>
      </x:c>
      <x:c r="E44" s="86" t="str">
        <x:v>C1</x:v>
      </x:c>
      <x:c r="F44" s="86" t="str">
        <x:v>root and service denial</x:v>
      </x:c>
      <x:c r="G44" s="104" t="n">
        <x:v>0</x:v>
      </x:c>
      <x:c r="H44" s="91" t="str"/>
      <x:c r="I44" s="91" t="str"/>
      <x:c r="J44" s="91" t="str"/>
      <x:c r="K44" s="91" t="str"/>
      <x:c r="L44" s="91" t="str">
        <x:v>OPEN</x:v>
      </x:c>
    </x:row>
    <x:row r="45">
      <x:c r="A45" s="86" t="str">
        <x:v>CT-040</x:v>
      </x:c>
      <x:c r="B45" s="86" t="str">
        <x:v>FGT-04</x:v>
      </x:c>
      <x:c r="C45" s="86" t="str">
        <x:v>DBS-625</x:v>
      </x:c>
      <x:c r="D45" s="86" t="str">
        <x:v>B</x:v>
      </x:c>
      <x:c r="E45" s="86" t="str">
        <x:v>C1</x:v>
      </x:c>
      <x:c r="F45" s="86" t="str">
        <x:v>thermal-soak return</x:v>
      </x:c>
      <x:c r="G45" s="104" t="n">
        <x:v>0</x:v>
      </x:c>
      <x:c r="H45" s="91" t="str"/>
      <x:c r="I45" s="91" t="str"/>
      <x:c r="J45" s="91" t="str"/>
      <x:c r="K45" s="91" t="str"/>
      <x:c r="L45" s="91" t="str">
        <x:v>OPEN</x:v>
      </x:c>
    </x:row>
    <x:row r="46">
      <x:c r="A46" s="86" t="str">
        <x:v>CT-041</x:v>
      </x:c>
      <x:c r="B46" s="86" t="str">
        <x:v>FGT-05</x:v>
      </x:c>
      <x:c r="C46" s="86" t="str">
        <x:v>DBS-625</x:v>
      </x:c>
      <x:c r="D46" s="86" t="str">
        <x:v>B</x:v>
      </x:c>
      <x:c r="E46" s="86" t="str">
        <x:v>C2</x:v>
      </x:c>
      <x:c r="F46" s="86" t="str">
        <x:v>sealed zero</x:v>
      </x:c>
      <x:c r="G46" s="104" t="n">
        <x:v>0</x:v>
      </x:c>
      <x:c r="H46" s="91" t="str"/>
      <x:c r="I46" s="91" t="str"/>
      <x:c r="J46" s="91" t="str"/>
      <x:c r="K46" s="91" t="str"/>
      <x:c r="L46" s="91" t="str">
        <x:v>OPEN</x:v>
      </x:c>
    </x:row>
    <x:row r="47">
      <x:c r="A47" s="86" t="str">
        <x:v>CT-042</x:v>
      </x:c>
      <x:c r="B47" s="86" t="str">
        <x:v>FGT-05</x:v>
      </x:c>
      <x:c r="C47" s="86" t="str">
        <x:v>DBS-625</x:v>
      </x:c>
      <x:c r="D47" s="86" t="str">
        <x:v>B</x:v>
      </x:c>
      <x:c r="E47" s="86" t="str">
        <x:v>C2</x:v>
      </x:c>
      <x:c r="F47" s="86" t="str">
        <x:v>250 kg cold load</x:v>
      </x:c>
      <x:c r="G47" s="104" t="n">
        <x:v>250</x:v>
      </x:c>
      <x:c r="H47" s="91" t="str"/>
      <x:c r="I47" s="91" t="str"/>
      <x:c r="J47" s="91" t="str"/>
      <x:c r="K47" s="91" t="str"/>
      <x:c r="L47" s="91" t="str">
        <x:v>OPEN</x:v>
      </x:c>
    </x:row>
    <x:row r="48">
      <x:c r="A48" s="86" t="str">
        <x:v>CT-043</x:v>
      </x:c>
      <x:c r="B48" s="86" t="str">
        <x:v>FGT-05</x:v>
      </x:c>
      <x:c r="C48" s="86" t="str">
        <x:v>DBS-625</x:v>
      </x:c>
      <x:c r="D48" s="86" t="str">
        <x:v>B</x:v>
      </x:c>
      <x:c r="E48" s="86" t="str">
        <x:v>C2</x:v>
      </x:c>
      <x:c r="F48" s="86" t="str">
        <x:v>500 kg cold load</x:v>
      </x:c>
      <x:c r="G48" s="104" t="n">
        <x:v>500</x:v>
      </x:c>
      <x:c r="H48" s="91" t="str"/>
      <x:c r="I48" s="91" t="str"/>
      <x:c r="J48" s="91" t="str"/>
      <x:c r="K48" s="91" t="str"/>
      <x:c r="L48" s="91" t="str">
        <x:v>OPEN</x:v>
      </x:c>
    </x:row>
    <x:row r="49">
      <x:c r="A49" s="86" t="str">
        <x:v>CT-044</x:v>
      </x:c>
      <x:c r="B49" s="86" t="str">
        <x:v>FGT-05</x:v>
      </x:c>
      <x:c r="C49" s="86" t="str">
        <x:v>DBS-625</x:v>
      </x:c>
      <x:c r="D49" s="86" t="str">
        <x:v>B</x:v>
      </x:c>
      <x:c r="E49" s="86" t="str">
        <x:v>C2</x:v>
      </x:c>
      <x:c r="F49" s="86" t="str">
        <x:v>500 kg topology tracer</x:v>
      </x:c>
      <x:c r="G49" s="104" t="n">
        <x:v>500</x:v>
      </x:c>
      <x:c r="H49" s="91" t="str"/>
      <x:c r="I49" s="91" t="str"/>
      <x:c r="J49" s="91" t="str"/>
      <x:c r="K49" s="91" t="str"/>
      <x:c r="L49" s="91" t="str">
        <x:v>OPEN</x:v>
      </x:c>
    </x:row>
    <x:row r="50">
      <x:c r="A50" s="86" t="str">
        <x:v>CT-045</x:v>
      </x:c>
      <x:c r="B50" s="86" t="str">
        <x:v>FGT-05</x:v>
      </x:c>
      <x:c r="C50" s="86" t="str">
        <x:v>DBS-625</x:v>
      </x:c>
      <x:c r="D50" s="86" t="str">
        <x:v>B</x:v>
      </x:c>
      <x:c r="E50" s="86" t="str">
        <x:v>C2</x:v>
      </x:c>
      <x:c r="F50" s="86" t="str">
        <x:v>30-minute thermal surrogate</x:v>
      </x:c>
      <x:c r="G50" s="104" t="n">
        <x:v>0</x:v>
      </x:c>
      <x:c r="H50" s="91" t="str"/>
      <x:c r="I50" s="91" t="str"/>
      <x:c r="J50" s="91" t="str"/>
      <x:c r="K50" s="91" t="str"/>
      <x:c r="L50" s="91" t="str">
        <x:v>OPEN</x:v>
      </x:c>
    </x:row>
    <x:row r="51">
      <x:c r="A51" s="86" t="str">
        <x:v>CT-046</x:v>
      </x:c>
      <x:c r="B51" s="86" t="str">
        <x:v>FGT-05</x:v>
      </x:c>
      <x:c r="C51" s="86" t="str">
        <x:v>DBS-625</x:v>
      </x:c>
      <x:c r="D51" s="86" t="str">
        <x:v>B</x:v>
      </x:c>
      <x:c r="E51" s="86" t="str">
        <x:v>C2</x:v>
      </x:c>
      <x:c r="F51" s="86" t="str">
        <x:v>atmosphere transit</x:v>
      </x:c>
      <x:c r="G51" s="104" t="n">
        <x:v>0</x:v>
      </x:c>
      <x:c r="H51" s="91" t="str"/>
      <x:c r="I51" s="91" t="str"/>
      <x:c r="J51" s="91" t="str"/>
      <x:c r="K51" s="91" t="str"/>
      <x:c r="L51" s="91" t="str">
        <x:v>OPEN</x:v>
      </x:c>
    </x:row>
    <x:row r="52">
      <x:c r="A52" s="86" t="str">
        <x:v>CT-047</x:v>
      </x:c>
      <x:c r="B52" s="86" t="str">
        <x:v>FGT-05</x:v>
      </x:c>
      <x:c r="C52" s="86" t="str">
        <x:v>DBS-625</x:v>
      </x:c>
      <x:c r="D52" s="86" t="str">
        <x:v>B</x:v>
      </x:c>
      <x:c r="E52" s="86" t="str">
        <x:v>C2</x:v>
      </x:c>
      <x:c r="F52" s="86" t="str">
        <x:v>PHO/ION obscuration</x:v>
      </x:c>
      <x:c r="G52" s="104" t="n">
        <x:v>0</x:v>
      </x:c>
      <x:c r="H52" s="91" t="str"/>
      <x:c r="I52" s="91" t="str"/>
      <x:c r="J52" s="91" t="str"/>
      <x:c r="K52" s="91" t="str"/>
      <x:c r="L52" s="91" t="str">
        <x:v>OPEN</x:v>
      </x:c>
    </x:row>
    <x:row r="53">
      <x:c r="A53" s="86" t="str">
        <x:v>CT-048</x:v>
      </x:c>
      <x:c r="B53" s="86" t="str">
        <x:v>FGT-05</x:v>
      </x:c>
      <x:c r="C53" s="86" t="str">
        <x:v>DBS-625</x:v>
      </x:c>
      <x:c r="D53" s="86" t="str">
        <x:v>B</x:v>
      </x:c>
      <x:c r="E53" s="86" t="str">
        <x:v>C2</x:v>
      </x:c>
      <x:c r="F53" s="86" t="str">
        <x:v>product-route challenge</x:v>
      </x:c>
      <x:c r="G53" s="104" t="n">
        <x:v>0</x:v>
      </x:c>
      <x:c r="H53" s="91" t="str"/>
      <x:c r="I53" s="91" t="str"/>
      <x:c r="J53" s="91" t="str"/>
      <x:c r="K53" s="91" t="str"/>
      <x:c r="L53" s="91" t="str">
        <x:v>OPEN</x:v>
      </x:c>
    </x:row>
    <x:row r="54">
      <x:c r="A54" s="86" t="str">
        <x:v>CT-049</x:v>
      </x:c>
      <x:c r="B54" s="86" t="str">
        <x:v>FGT-05</x:v>
      </x:c>
      <x:c r="C54" s="86" t="str">
        <x:v>DBS-625</x:v>
      </x:c>
      <x:c r="D54" s="86" t="str">
        <x:v>B</x:v>
      </x:c>
      <x:c r="E54" s="86" t="str">
        <x:v>C2</x:v>
      </x:c>
      <x:c r="F54" s="86" t="str">
        <x:v>root and service denial</x:v>
      </x:c>
      <x:c r="G54" s="104" t="n">
        <x:v>0</x:v>
      </x:c>
      <x:c r="H54" s="91" t="str"/>
      <x:c r="I54" s="91" t="str"/>
      <x:c r="J54" s="91" t="str"/>
      <x:c r="K54" s="91" t="str"/>
      <x:c r="L54" s="91" t="str">
        <x:v>OPEN</x:v>
      </x:c>
    </x:row>
    <x:row r="55">
      <x:c r="A55" s="86" t="str">
        <x:v>CT-050</x:v>
      </x:c>
      <x:c r="B55" s="86" t="str">
        <x:v>FGT-05</x:v>
      </x:c>
      <x:c r="C55" s="86" t="str">
        <x:v>DBS-625</x:v>
      </x:c>
      <x:c r="D55" s="86" t="str">
        <x:v>B</x:v>
      </x:c>
      <x:c r="E55" s="86" t="str">
        <x:v>C2</x:v>
      </x:c>
      <x:c r="F55" s="86" t="str">
        <x:v>thermal-soak return</x:v>
      </x:c>
      <x:c r="G55" s="104" t="n">
        <x:v>0</x:v>
      </x:c>
      <x:c r="H55" s="91" t="str"/>
      <x:c r="I55" s="91" t="str"/>
      <x:c r="J55" s="91" t="str"/>
      <x:c r="K55" s="91" t="str"/>
      <x:c r="L55" s="91" t="str">
        <x:v>OPEN</x:v>
      </x:c>
    </x:row>
    <x:row r="56">
      <x:c r="A56" s="86" t="str">
        <x:v>CT-051</x:v>
      </x:c>
      <x:c r="B56" s="86" t="str">
        <x:v>FGT-06</x:v>
      </x:c>
      <x:c r="C56" s="86" t="str">
        <x:v>DBS-625</x:v>
      </x:c>
      <x:c r="D56" s="86" t="str">
        <x:v>B</x:v>
      </x:c>
      <x:c r="E56" s="86" t="str">
        <x:v>C3</x:v>
      </x:c>
      <x:c r="F56" s="86" t="str">
        <x:v>sealed zero</x:v>
      </x:c>
      <x:c r="G56" s="104" t="n">
        <x:v>0</x:v>
      </x:c>
      <x:c r="H56" s="91" t="str"/>
      <x:c r="I56" s="91" t="str"/>
      <x:c r="J56" s="91" t="str"/>
      <x:c r="K56" s="91" t="str"/>
      <x:c r="L56" s="91" t="str">
        <x:v>OPEN</x:v>
      </x:c>
    </x:row>
    <x:row r="57">
      <x:c r="A57" s="86" t="str">
        <x:v>CT-052</x:v>
      </x:c>
      <x:c r="B57" s="86" t="str">
        <x:v>FGT-06</x:v>
      </x:c>
      <x:c r="C57" s="86" t="str">
        <x:v>DBS-625</x:v>
      </x:c>
      <x:c r="D57" s="86" t="str">
        <x:v>B</x:v>
      </x:c>
      <x:c r="E57" s="86" t="str">
        <x:v>C3</x:v>
      </x:c>
      <x:c r="F57" s="86" t="str">
        <x:v>250 kg cold load</x:v>
      </x:c>
      <x:c r="G57" s="104" t="n">
        <x:v>250</x:v>
      </x:c>
      <x:c r="H57" s="91" t="str"/>
      <x:c r="I57" s="91" t="str"/>
      <x:c r="J57" s="91" t="str"/>
      <x:c r="K57" s="91" t="str"/>
      <x:c r="L57" s="91" t="str">
        <x:v>OPEN</x:v>
      </x:c>
    </x:row>
    <x:row r="58">
      <x:c r="A58" s="86" t="str">
        <x:v>CT-053</x:v>
      </x:c>
      <x:c r="B58" s="86" t="str">
        <x:v>FGT-06</x:v>
      </x:c>
      <x:c r="C58" s="86" t="str">
        <x:v>DBS-625</x:v>
      </x:c>
      <x:c r="D58" s="86" t="str">
        <x:v>B</x:v>
      </x:c>
      <x:c r="E58" s="86" t="str">
        <x:v>C3</x:v>
      </x:c>
      <x:c r="F58" s="86" t="str">
        <x:v>500 kg cold load</x:v>
      </x:c>
      <x:c r="G58" s="104" t="n">
        <x:v>500</x:v>
      </x:c>
      <x:c r="H58" s="91" t="str"/>
      <x:c r="I58" s="91" t="str"/>
      <x:c r="J58" s="91" t="str"/>
      <x:c r="K58" s="91" t="str"/>
      <x:c r="L58" s="91" t="str">
        <x:v>OPEN</x:v>
      </x:c>
    </x:row>
    <x:row r="59">
      <x:c r="A59" s="86" t="str">
        <x:v>CT-054</x:v>
      </x:c>
      <x:c r="B59" s="86" t="str">
        <x:v>FGT-06</x:v>
      </x:c>
      <x:c r="C59" s="86" t="str">
        <x:v>DBS-625</x:v>
      </x:c>
      <x:c r="D59" s="86" t="str">
        <x:v>B</x:v>
      </x:c>
      <x:c r="E59" s="86" t="str">
        <x:v>C3</x:v>
      </x:c>
      <x:c r="F59" s="86" t="str">
        <x:v>500 kg topology tracer</x:v>
      </x:c>
      <x:c r="G59" s="104" t="n">
        <x:v>500</x:v>
      </x:c>
      <x:c r="H59" s="91" t="str"/>
      <x:c r="I59" s="91" t="str"/>
      <x:c r="J59" s="91" t="str"/>
      <x:c r="K59" s="91" t="str"/>
      <x:c r="L59" s="91" t="str">
        <x:v>OPEN</x:v>
      </x:c>
    </x:row>
    <x:row r="60">
      <x:c r="A60" s="86" t="str">
        <x:v>CT-055</x:v>
      </x:c>
      <x:c r="B60" s="86" t="str">
        <x:v>FGT-06</x:v>
      </x:c>
      <x:c r="C60" s="86" t="str">
        <x:v>DBS-625</x:v>
      </x:c>
      <x:c r="D60" s="86" t="str">
        <x:v>B</x:v>
      </x:c>
      <x:c r="E60" s="86" t="str">
        <x:v>C3</x:v>
      </x:c>
      <x:c r="F60" s="86" t="str">
        <x:v>30-minute thermal surrogate</x:v>
      </x:c>
      <x:c r="G60" s="104" t="n">
        <x:v>0</x:v>
      </x:c>
      <x:c r="H60" s="91" t="str"/>
      <x:c r="I60" s="91" t="str"/>
      <x:c r="J60" s="91" t="str"/>
      <x:c r="K60" s="91" t="str"/>
      <x:c r="L60" s="91" t="str">
        <x:v>OPEN</x:v>
      </x:c>
    </x:row>
    <x:row r="61">
      <x:c r="A61" s="86" t="str">
        <x:v>CT-056</x:v>
      </x:c>
      <x:c r="B61" s="86" t="str">
        <x:v>FGT-06</x:v>
      </x:c>
      <x:c r="C61" s="86" t="str">
        <x:v>DBS-625</x:v>
      </x:c>
      <x:c r="D61" s="86" t="str">
        <x:v>B</x:v>
      </x:c>
      <x:c r="E61" s="86" t="str">
        <x:v>C3</x:v>
      </x:c>
      <x:c r="F61" s="86" t="str">
        <x:v>atmosphere transit</x:v>
      </x:c>
      <x:c r="G61" s="104" t="n">
        <x:v>0</x:v>
      </x:c>
      <x:c r="H61" s="91" t="str"/>
      <x:c r="I61" s="91" t="str"/>
      <x:c r="J61" s="91" t="str"/>
      <x:c r="K61" s="91" t="str"/>
      <x:c r="L61" s="91" t="str">
        <x:v>OPEN</x:v>
      </x:c>
    </x:row>
    <x:row r="62">
      <x:c r="A62" s="86" t="str">
        <x:v>CT-057</x:v>
      </x:c>
      <x:c r="B62" s="86" t="str">
        <x:v>FGT-06</x:v>
      </x:c>
      <x:c r="C62" s="86" t="str">
        <x:v>DBS-625</x:v>
      </x:c>
      <x:c r="D62" s="86" t="str">
        <x:v>B</x:v>
      </x:c>
      <x:c r="E62" s="86" t="str">
        <x:v>C3</x:v>
      </x:c>
      <x:c r="F62" s="86" t="str">
        <x:v>PHO/ION obscuration</x:v>
      </x:c>
      <x:c r="G62" s="104" t="n">
        <x:v>0</x:v>
      </x:c>
      <x:c r="H62" s="91" t="str"/>
      <x:c r="I62" s="91" t="str"/>
      <x:c r="J62" s="91" t="str"/>
      <x:c r="K62" s="91" t="str"/>
      <x:c r="L62" s="91" t="str">
        <x:v>OPEN</x:v>
      </x:c>
    </x:row>
    <x:row r="63">
      <x:c r="A63" s="86" t="str">
        <x:v>CT-058</x:v>
      </x:c>
      <x:c r="B63" s="86" t="str">
        <x:v>FGT-06</x:v>
      </x:c>
      <x:c r="C63" s="86" t="str">
        <x:v>DBS-625</x:v>
      </x:c>
      <x:c r="D63" s="86" t="str">
        <x:v>B</x:v>
      </x:c>
      <x:c r="E63" s="86" t="str">
        <x:v>C3</x:v>
      </x:c>
      <x:c r="F63" s="86" t="str">
        <x:v>product-route challenge</x:v>
      </x:c>
      <x:c r="G63" s="104" t="n">
        <x:v>0</x:v>
      </x:c>
      <x:c r="H63" s="91" t="str"/>
      <x:c r="I63" s="91" t="str"/>
      <x:c r="J63" s="91" t="str"/>
      <x:c r="K63" s="91" t="str"/>
      <x:c r="L63" s="91" t="str">
        <x:v>OPEN</x:v>
      </x:c>
    </x:row>
    <x:row r="64">
      <x:c r="A64" s="86" t="str">
        <x:v>CT-059</x:v>
      </x:c>
      <x:c r="B64" s="86" t="str">
        <x:v>FGT-06</x:v>
      </x:c>
      <x:c r="C64" s="86" t="str">
        <x:v>DBS-625</x:v>
      </x:c>
      <x:c r="D64" s="86" t="str">
        <x:v>B</x:v>
      </x:c>
      <x:c r="E64" s="86" t="str">
        <x:v>C3</x:v>
      </x:c>
      <x:c r="F64" s="86" t="str">
        <x:v>root and service denial</x:v>
      </x:c>
      <x:c r="G64" s="104" t="n">
        <x:v>0</x:v>
      </x:c>
      <x:c r="H64" s="91" t="str"/>
      <x:c r="I64" s="91" t="str"/>
      <x:c r="J64" s="91" t="str"/>
      <x:c r="K64" s="91" t="str"/>
      <x:c r="L64" s="91" t="str">
        <x:v>OPEN</x:v>
      </x:c>
    </x:row>
    <x:row r="65">
      <x:c r="A65" s="86" t="str">
        <x:v>CT-060</x:v>
      </x:c>
      <x:c r="B65" s="86" t="str">
        <x:v>FGT-06</x:v>
      </x:c>
      <x:c r="C65" s="86" t="str">
        <x:v>DBS-625</x:v>
      </x:c>
      <x:c r="D65" s="86" t="str">
        <x:v>B</x:v>
      </x:c>
      <x:c r="E65" s="86" t="str">
        <x:v>C3</x:v>
      </x:c>
      <x:c r="F65" s="86" t="str">
        <x:v>thermal-soak return</x:v>
      </x:c>
      <x:c r="G65" s="104" t="n">
        <x:v>0</x:v>
      </x:c>
      <x:c r="H65" s="91" t="str"/>
      <x:c r="I65" s="91" t="str"/>
      <x:c r="J65" s="91" t="str"/>
      <x:c r="K65" s="91" t="str"/>
      <x:c r="L65" s="91" t="str">
        <x:v>OPEN</x:v>
      </x:c>
    </x:row>
    <x:row r="66">
      <x:c r="A66" s="86" t="str">
        <x:v>CT-061</x:v>
      </x:c>
      <x:c r="B66" s="86" t="str">
        <x:v>FGT-07</x:v>
      </x:c>
      <x:c r="C66" s="86" t="str">
        <x:v>PIL-625</x:v>
      </x:c>
      <x:c r="D66" s="86" t="str">
        <x:v>A</x:v>
      </x:c>
      <x:c r="E66" s="86" t="str">
        <x:v>C1</x:v>
      </x:c>
      <x:c r="F66" s="86" t="str">
        <x:v>sealed zero</x:v>
      </x:c>
      <x:c r="G66" s="104" t="n">
        <x:v>0</x:v>
      </x:c>
      <x:c r="H66" s="91" t="str"/>
      <x:c r="I66" s="91" t="str"/>
      <x:c r="J66" s="91" t="str"/>
      <x:c r="K66" s="91" t="str"/>
      <x:c r="L66" s="91" t="str">
        <x:v>OPEN</x:v>
      </x:c>
    </x:row>
    <x:row r="67">
      <x:c r="A67" s="86" t="str">
        <x:v>CT-062</x:v>
      </x:c>
      <x:c r="B67" s="86" t="str">
        <x:v>FGT-07</x:v>
      </x:c>
      <x:c r="C67" s="86" t="str">
        <x:v>PIL-625</x:v>
      </x:c>
      <x:c r="D67" s="86" t="str">
        <x:v>A</x:v>
      </x:c>
      <x:c r="E67" s="86" t="str">
        <x:v>C1</x:v>
      </x:c>
      <x:c r="F67" s="86" t="str">
        <x:v>250 kg cold load</x:v>
      </x:c>
      <x:c r="G67" s="104" t="n">
        <x:v>250</x:v>
      </x:c>
      <x:c r="H67" s="91" t="str"/>
      <x:c r="I67" s="91" t="str"/>
      <x:c r="J67" s="91" t="str"/>
      <x:c r="K67" s="91" t="str"/>
      <x:c r="L67" s="91" t="str">
        <x:v>OPEN</x:v>
      </x:c>
    </x:row>
    <x:row r="68">
      <x:c r="A68" s="86" t="str">
        <x:v>CT-063</x:v>
      </x:c>
      <x:c r="B68" s="86" t="str">
        <x:v>FGT-07</x:v>
      </x:c>
      <x:c r="C68" s="86" t="str">
        <x:v>PIL-625</x:v>
      </x:c>
      <x:c r="D68" s="86" t="str">
        <x:v>A</x:v>
      </x:c>
      <x:c r="E68" s="86" t="str">
        <x:v>C1</x:v>
      </x:c>
      <x:c r="F68" s="86" t="str">
        <x:v>500 kg cold load</x:v>
      </x:c>
      <x:c r="G68" s="104" t="n">
        <x:v>500</x:v>
      </x:c>
      <x:c r="H68" s="91" t="str"/>
      <x:c r="I68" s="91" t="str"/>
      <x:c r="J68" s="91" t="str"/>
      <x:c r="K68" s="91" t="str"/>
      <x:c r="L68" s="91" t="str">
        <x:v>OPEN</x:v>
      </x:c>
    </x:row>
    <x:row r="69">
      <x:c r="A69" s="86" t="str">
        <x:v>CT-064</x:v>
      </x:c>
      <x:c r="B69" s="86" t="str">
        <x:v>FGT-07</x:v>
      </x:c>
      <x:c r="C69" s="86" t="str">
        <x:v>PIL-625</x:v>
      </x:c>
      <x:c r="D69" s="86" t="str">
        <x:v>A</x:v>
      </x:c>
      <x:c r="E69" s="86" t="str">
        <x:v>C1</x:v>
      </x:c>
      <x:c r="F69" s="86" t="str">
        <x:v>500 kg topology tracer</x:v>
      </x:c>
      <x:c r="G69" s="104" t="n">
        <x:v>500</x:v>
      </x:c>
      <x:c r="H69" s="91" t="str"/>
      <x:c r="I69" s="91" t="str"/>
      <x:c r="J69" s="91" t="str"/>
      <x:c r="K69" s="91" t="str"/>
      <x:c r="L69" s="91" t="str">
        <x:v>OPEN</x:v>
      </x:c>
    </x:row>
    <x:row r="70">
      <x:c r="A70" s="86" t="str">
        <x:v>CT-065</x:v>
      </x:c>
      <x:c r="B70" s="86" t="str">
        <x:v>FGT-07</x:v>
      </x:c>
      <x:c r="C70" s="86" t="str">
        <x:v>PIL-625</x:v>
      </x:c>
      <x:c r="D70" s="86" t="str">
        <x:v>A</x:v>
      </x:c>
      <x:c r="E70" s="86" t="str">
        <x:v>C1</x:v>
      </x:c>
      <x:c r="F70" s="86" t="str">
        <x:v>30-minute thermal surrogate</x:v>
      </x:c>
      <x:c r="G70" s="104" t="n">
        <x:v>0</x:v>
      </x:c>
      <x:c r="H70" s="91" t="str"/>
      <x:c r="I70" s="91" t="str"/>
      <x:c r="J70" s="91" t="str"/>
      <x:c r="K70" s="91" t="str"/>
      <x:c r="L70" s="91" t="str">
        <x:v>OPEN</x:v>
      </x:c>
    </x:row>
    <x:row r="71">
      <x:c r="A71" s="86" t="str">
        <x:v>CT-066</x:v>
      </x:c>
      <x:c r="B71" s="86" t="str">
        <x:v>FGT-07</x:v>
      </x:c>
      <x:c r="C71" s="86" t="str">
        <x:v>PIL-625</x:v>
      </x:c>
      <x:c r="D71" s="86" t="str">
        <x:v>A</x:v>
      </x:c>
      <x:c r="E71" s="86" t="str">
        <x:v>C1</x:v>
      </x:c>
      <x:c r="F71" s="86" t="str">
        <x:v>atmosphere transit</x:v>
      </x:c>
      <x:c r="G71" s="104" t="n">
        <x:v>0</x:v>
      </x:c>
      <x:c r="H71" s="91" t="str"/>
      <x:c r="I71" s="91" t="str"/>
      <x:c r="J71" s="91" t="str"/>
      <x:c r="K71" s="91" t="str"/>
      <x:c r="L71" s="91" t="str">
        <x:v>OPEN</x:v>
      </x:c>
    </x:row>
    <x:row r="72">
      <x:c r="A72" s="86" t="str">
        <x:v>CT-067</x:v>
      </x:c>
      <x:c r="B72" s="86" t="str">
        <x:v>FGT-07</x:v>
      </x:c>
      <x:c r="C72" s="86" t="str">
        <x:v>PIL-625</x:v>
      </x:c>
      <x:c r="D72" s="86" t="str">
        <x:v>A</x:v>
      </x:c>
      <x:c r="E72" s="86" t="str">
        <x:v>C1</x:v>
      </x:c>
      <x:c r="F72" s="86" t="str">
        <x:v>PHO/ION obscuration</x:v>
      </x:c>
      <x:c r="G72" s="104" t="n">
        <x:v>0</x:v>
      </x:c>
      <x:c r="H72" s="91" t="str"/>
      <x:c r="I72" s="91" t="str"/>
      <x:c r="J72" s="91" t="str"/>
      <x:c r="K72" s="91" t="str"/>
      <x:c r="L72" s="91" t="str">
        <x:v>OPEN</x:v>
      </x:c>
    </x:row>
    <x:row r="73">
      <x:c r="A73" s="86" t="str">
        <x:v>CT-068</x:v>
      </x:c>
      <x:c r="B73" s="86" t="str">
        <x:v>FGT-07</x:v>
      </x:c>
      <x:c r="C73" s="86" t="str">
        <x:v>PIL-625</x:v>
      </x:c>
      <x:c r="D73" s="86" t="str">
        <x:v>A</x:v>
      </x:c>
      <x:c r="E73" s="86" t="str">
        <x:v>C1</x:v>
      </x:c>
      <x:c r="F73" s="86" t="str">
        <x:v>product-route challenge</x:v>
      </x:c>
      <x:c r="G73" s="104" t="n">
        <x:v>0</x:v>
      </x:c>
      <x:c r="H73" s="91" t="str"/>
      <x:c r="I73" s="91" t="str"/>
      <x:c r="J73" s="91" t="str"/>
      <x:c r="K73" s="91" t="str"/>
      <x:c r="L73" s="91" t="str">
        <x:v>OPEN</x:v>
      </x:c>
    </x:row>
    <x:row r="74">
      <x:c r="A74" s="86" t="str">
        <x:v>CT-069</x:v>
      </x:c>
      <x:c r="B74" s="86" t="str">
        <x:v>FGT-07</x:v>
      </x:c>
      <x:c r="C74" s="86" t="str">
        <x:v>PIL-625</x:v>
      </x:c>
      <x:c r="D74" s="86" t="str">
        <x:v>A</x:v>
      </x:c>
      <x:c r="E74" s="86" t="str">
        <x:v>C1</x:v>
      </x:c>
      <x:c r="F74" s="86" t="str">
        <x:v>root and service denial</x:v>
      </x:c>
      <x:c r="G74" s="104" t="n">
        <x:v>0</x:v>
      </x:c>
      <x:c r="H74" s="91" t="str"/>
      <x:c r="I74" s="91" t="str"/>
      <x:c r="J74" s="91" t="str"/>
      <x:c r="K74" s="91" t="str"/>
      <x:c r="L74" s="91" t="str">
        <x:v>OPEN</x:v>
      </x:c>
    </x:row>
    <x:row r="75">
      <x:c r="A75" s="86" t="str">
        <x:v>CT-070</x:v>
      </x:c>
      <x:c r="B75" s="86" t="str">
        <x:v>FGT-07</x:v>
      </x:c>
      <x:c r="C75" s="86" t="str">
        <x:v>PIL-625</x:v>
      </x:c>
      <x:c r="D75" s="86" t="str">
        <x:v>A</x:v>
      </x:c>
      <x:c r="E75" s="86" t="str">
        <x:v>C1</x:v>
      </x:c>
      <x:c r="F75" s="86" t="str">
        <x:v>thermal-soak return</x:v>
      </x:c>
      <x:c r="G75" s="104" t="n">
        <x:v>0</x:v>
      </x:c>
      <x:c r="H75" s="91" t="str"/>
      <x:c r="I75" s="91" t="str"/>
      <x:c r="J75" s="91" t="str"/>
      <x:c r="K75" s="91" t="str"/>
      <x:c r="L75" s="91" t="str">
        <x:v>OPEN</x:v>
      </x:c>
    </x:row>
    <x:row r="76">
      <x:c r="A76" s="86" t="str">
        <x:v>CT-071</x:v>
      </x:c>
      <x:c r="B76" s="86" t="str">
        <x:v>FGT-08</x:v>
      </x:c>
      <x:c r="C76" s="86" t="str">
        <x:v>PIL-625</x:v>
      </x:c>
      <x:c r="D76" s="86" t="str">
        <x:v>A</x:v>
      </x:c>
      <x:c r="E76" s="86" t="str">
        <x:v>C2</x:v>
      </x:c>
      <x:c r="F76" s="86" t="str">
        <x:v>sealed zero</x:v>
      </x:c>
      <x:c r="G76" s="104" t="n">
        <x:v>0</x:v>
      </x:c>
      <x:c r="H76" s="91" t="str"/>
      <x:c r="I76" s="91" t="str"/>
      <x:c r="J76" s="91" t="str"/>
      <x:c r="K76" s="91" t="str"/>
      <x:c r="L76" s="91" t="str">
        <x:v>OPEN</x:v>
      </x:c>
    </x:row>
    <x:row r="77">
      <x:c r="A77" s="86" t="str">
        <x:v>CT-072</x:v>
      </x:c>
      <x:c r="B77" s="86" t="str">
        <x:v>FGT-08</x:v>
      </x:c>
      <x:c r="C77" s="86" t="str">
        <x:v>PIL-625</x:v>
      </x:c>
      <x:c r="D77" s="86" t="str">
        <x:v>A</x:v>
      </x:c>
      <x:c r="E77" s="86" t="str">
        <x:v>C2</x:v>
      </x:c>
      <x:c r="F77" s="86" t="str">
        <x:v>250 kg cold load</x:v>
      </x:c>
      <x:c r="G77" s="104" t="n">
        <x:v>250</x:v>
      </x:c>
      <x:c r="H77" s="91" t="str"/>
      <x:c r="I77" s="91" t="str"/>
      <x:c r="J77" s="91" t="str"/>
      <x:c r="K77" s="91" t="str"/>
      <x:c r="L77" s="91" t="str">
        <x:v>OPEN</x:v>
      </x:c>
    </x:row>
    <x:row r="78">
      <x:c r="A78" s="86" t="str">
        <x:v>CT-073</x:v>
      </x:c>
      <x:c r="B78" s="86" t="str">
        <x:v>FGT-08</x:v>
      </x:c>
      <x:c r="C78" s="86" t="str">
        <x:v>PIL-625</x:v>
      </x:c>
      <x:c r="D78" s="86" t="str">
        <x:v>A</x:v>
      </x:c>
      <x:c r="E78" s="86" t="str">
        <x:v>C2</x:v>
      </x:c>
      <x:c r="F78" s="86" t="str">
        <x:v>500 kg cold load</x:v>
      </x:c>
      <x:c r="G78" s="104" t="n">
        <x:v>500</x:v>
      </x:c>
      <x:c r="H78" s="91" t="str"/>
      <x:c r="I78" s="91" t="str"/>
      <x:c r="J78" s="91" t="str"/>
      <x:c r="K78" s="91" t="str"/>
      <x:c r="L78" s="91" t="str">
        <x:v>OPEN</x:v>
      </x:c>
    </x:row>
    <x:row r="79">
      <x:c r="A79" s="86" t="str">
        <x:v>CT-074</x:v>
      </x:c>
      <x:c r="B79" s="86" t="str">
        <x:v>FGT-08</x:v>
      </x:c>
      <x:c r="C79" s="86" t="str">
        <x:v>PIL-625</x:v>
      </x:c>
      <x:c r="D79" s="86" t="str">
        <x:v>A</x:v>
      </x:c>
      <x:c r="E79" s="86" t="str">
        <x:v>C2</x:v>
      </x:c>
      <x:c r="F79" s="86" t="str">
        <x:v>500 kg topology tracer</x:v>
      </x:c>
      <x:c r="G79" s="104" t="n">
        <x:v>500</x:v>
      </x:c>
      <x:c r="H79" s="91" t="str"/>
      <x:c r="I79" s="91" t="str"/>
      <x:c r="J79" s="91" t="str"/>
      <x:c r="K79" s="91" t="str"/>
      <x:c r="L79" s="91" t="str">
        <x:v>OPEN</x:v>
      </x:c>
    </x:row>
    <x:row r="80">
      <x:c r="A80" s="86" t="str">
        <x:v>CT-075</x:v>
      </x:c>
      <x:c r="B80" s="86" t="str">
        <x:v>FGT-08</x:v>
      </x:c>
      <x:c r="C80" s="86" t="str">
        <x:v>PIL-625</x:v>
      </x:c>
      <x:c r="D80" s="86" t="str">
        <x:v>A</x:v>
      </x:c>
      <x:c r="E80" s="86" t="str">
        <x:v>C2</x:v>
      </x:c>
      <x:c r="F80" s="86" t="str">
        <x:v>30-minute thermal surrogate</x:v>
      </x:c>
      <x:c r="G80" s="104" t="n">
        <x:v>0</x:v>
      </x:c>
      <x:c r="H80" s="91" t="str"/>
      <x:c r="I80" s="91" t="str"/>
      <x:c r="J80" s="91" t="str"/>
      <x:c r="K80" s="91" t="str"/>
      <x:c r="L80" s="91" t="str">
        <x:v>OPEN</x:v>
      </x:c>
    </x:row>
    <x:row r="81">
      <x:c r="A81" s="86" t="str">
        <x:v>CT-076</x:v>
      </x:c>
      <x:c r="B81" s="86" t="str">
        <x:v>FGT-08</x:v>
      </x:c>
      <x:c r="C81" s="86" t="str">
        <x:v>PIL-625</x:v>
      </x:c>
      <x:c r="D81" s="86" t="str">
        <x:v>A</x:v>
      </x:c>
      <x:c r="E81" s="86" t="str">
        <x:v>C2</x:v>
      </x:c>
      <x:c r="F81" s="86" t="str">
        <x:v>atmosphere transit</x:v>
      </x:c>
      <x:c r="G81" s="104" t="n">
        <x:v>0</x:v>
      </x:c>
      <x:c r="H81" s="91" t="str"/>
      <x:c r="I81" s="91" t="str"/>
      <x:c r="J81" s="91" t="str"/>
      <x:c r="K81" s="91" t="str"/>
      <x:c r="L81" s="91" t="str">
        <x:v>OPEN</x:v>
      </x:c>
    </x:row>
    <x:row r="82">
      <x:c r="A82" s="86" t="str">
        <x:v>CT-077</x:v>
      </x:c>
      <x:c r="B82" s="86" t="str">
        <x:v>FGT-08</x:v>
      </x:c>
      <x:c r="C82" s="86" t="str">
        <x:v>PIL-625</x:v>
      </x:c>
      <x:c r="D82" s="86" t="str">
        <x:v>A</x:v>
      </x:c>
      <x:c r="E82" s="86" t="str">
        <x:v>C2</x:v>
      </x:c>
      <x:c r="F82" s="86" t="str">
        <x:v>PHO/ION obscuration</x:v>
      </x:c>
      <x:c r="G82" s="104" t="n">
        <x:v>0</x:v>
      </x:c>
      <x:c r="H82" s="91" t="str"/>
      <x:c r="I82" s="91" t="str"/>
      <x:c r="J82" s="91" t="str"/>
      <x:c r="K82" s="91" t="str"/>
      <x:c r="L82" s="91" t="str">
        <x:v>OPEN</x:v>
      </x:c>
    </x:row>
    <x:row r="83">
      <x:c r="A83" s="86" t="str">
        <x:v>CT-078</x:v>
      </x:c>
      <x:c r="B83" s="86" t="str">
        <x:v>FGT-08</x:v>
      </x:c>
      <x:c r="C83" s="86" t="str">
        <x:v>PIL-625</x:v>
      </x:c>
      <x:c r="D83" s="86" t="str">
        <x:v>A</x:v>
      </x:c>
      <x:c r="E83" s="86" t="str">
        <x:v>C2</x:v>
      </x:c>
      <x:c r="F83" s="86" t="str">
        <x:v>product-route challenge</x:v>
      </x:c>
      <x:c r="G83" s="104" t="n">
        <x:v>0</x:v>
      </x:c>
      <x:c r="H83" s="91" t="str"/>
      <x:c r="I83" s="91" t="str"/>
      <x:c r="J83" s="91" t="str"/>
      <x:c r="K83" s="91" t="str"/>
      <x:c r="L83" s="91" t="str">
        <x:v>OPEN</x:v>
      </x:c>
    </x:row>
    <x:row r="84">
      <x:c r="A84" s="86" t="str">
        <x:v>CT-079</x:v>
      </x:c>
      <x:c r="B84" s="86" t="str">
        <x:v>FGT-08</x:v>
      </x:c>
      <x:c r="C84" s="86" t="str">
        <x:v>PIL-625</x:v>
      </x:c>
      <x:c r="D84" s="86" t="str">
        <x:v>A</x:v>
      </x:c>
      <x:c r="E84" s="86" t="str">
        <x:v>C2</x:v>
      </x:c>
      <x:c r="F84" s="86" t="str">
        <x:v>root and service denial</x:v>
      </x:c>
      <x:c r="G84" s="104" t="n">
        <x:v>0</x:v>
      </x:c>
      <x:c r="H84" s="91" t="str"/>
      <x:c r="I84" s="91" t="str"/>
      <x:c r="J84" s="91" t="str"/>
      <x:c r="K84" s="91" t="str"/>
      <x:c r="L84" s="91" t="str">
        <x:v>OPEN</x:v>
      </x:c>
    </x:row>
    <x:row r="85">
      <x:c r="A85" s="86" t="str">
        <x:v>CT-080</x:v>
      </x:c>
      <x:c r="B85" s="86" t="str">
        <x:v>FGT-08</x:v>
      </x:c>
      <x:c r="C85" s="86" t="str">
        <x:v>PIL-625</x:v>
      </x:c>
      <x:c r="D85" s="86" t="str">
        <x:v>A</x:v>
      </x:c>
      <x:c r="E85" s="86" t="str">
        <x:v>C2</x:v>
      </x:c>
      <x:c r="F85" s="86" t="str">
        <x:v>thermal-soak return</x:v>
      </x:c>
      <x:c r="G85" s="104" t="n">
        <x:v>0</x:v>
      </x:c>
      <x:c r="H85" s="91" t="str"/>
      <x:c r="I85" s="91" t="str"/>
      <x:c r="J85" s="91" t="str"/>
      <x:c r="K85" s="91" t="str"/>
      <x:c r="L85" s="91" t="str">
        <x:v>OPEN</x:v>
      </x:c>
    </x:row>
    <x:row r="86">
      <x:c r="A86" s="86" t="str">
        <x:v>CT-081</x:v>
      </x:c>
      <x:c r="B86" s="86" t="str">
        <x:v>FGT-09</x:v>
      </x:c>
      <x:c r="C86" s="86" t="str">
        <x:v>PIL-625</x:v>
      </x:c>
      <x:c r="D86" s="86" t="str">
        <x:v>A</x:v>
      </x:c>
      <x:c r="E86" s="86" t="str">
        <x:v>C3</x:v>
      </x:c>
      <x:c r="F86" s="86" t="str">
        <x:v>sealed zero</x:v>
      </x:c>
      <x:c r="G86" s="104" t="n">
        <x:v>0</x:v>
      </x:c>
      <x:c r="H86" s="91" t="str"/>
      <x:c r="I86" s="91" t="str"/>
      <x:c r="J86" s="91" t="str"/>
      <x:c r="K86" s="91" t="str"/>
      <x:c r="L86" s="91" t="str">
        <x:v>OPEN</x:v>
      </x:c>
    </x:row>
    <x:row r="87">
      <x:c r="A87" s="86" t="str">
        <x:v>CT-082</x:v>
      </x:c>
      <x:c r="B87" s="86" t="str">
        <x:v>FGT-09</x:v>
      </x:c>
      <x:c r="C87" s="86" t="str">
        <x:v>PIL-625</x:v>
      </x:c>
      <x:c r="D87" s="86" t="str">
        <x:v>A</x:v>
      </x:c>
      <x:c r="E87" s="86" t="str">
        <x:v>C3</x:v>
      </x:c>
      <x:c r="F87" s="86" t="str">
        <x:v>250 kg cold load</x:v>
      </x:c>
      <x:c r="G87" s="104" t="n">
        <x:v>250</x:v>
      </x:c>
      <x:c r="H87" s="91" t="str"/>
      <x:c r="I87" s="91" t="str"/>
      <x:c r="J87" s="91" t="str"/>
      <x:c r="K87" s="91" t="str"/>
      <x:c r="L87" s="91" t="str">
        <x:v>OPEN</x:v>
      </x:c>
    </x:row>
    <x:row r="88">
      <x:c r="A88" s="86" t="str">
        <x:v>CT-083</x:v>
      </x:c>
      <x:c r="B88" s="86" t="str">
        <x:v>FGT-09</x:v>
      </x:c>
      <x:c r="C88" s="86" t="str">
        <x:v>PIL-625</x:v>
      </x:c>
      <x:c r="D88" s="86" t="str">
        <x:v>A</x:v>
      </x:c>
      <x:c r="E88" s="86" t="str">
        <x:v>C3</x:v>
      </x:c>
      <x:c r="F88" s="86" t="str">
        <x:v>500 kg cold load</x:v>
      </x:c>
      <x:c r="G88" s="104" t="n">
        <x:v>500</x:v>
      </x:c>
      <x:c r="H88" s="91" t="str"/>
      <x:c r="I88" s="91" t="str"/>
      <x:c r="J88" s="91" t="str"/>
      <x:c r="K88" s="91" t="str"/>
      <x:c r="L88" s="91" t="str">
        <x:v>OPEN</x:v>
      </x:c>
    </x:row>
    <x:row r="89">
      <x:c r="A89" s="86" t="str">
        <x:v>CT-084</x:v>
      </x:c>
      <x:c r="B89" s="86" t="str">
        <x:v>FGT-09</x:v>
      </x:c>
      <x:c r="C89" s="86" t="str">
        <x:v>PIL-625</x:v>
      </x:c>
      <x:c r="D89" s="86" t="str">
        <x:v>A</x:v>
      </x:c>
      <x:c r="E89" s="86" t="str">
        <x:v>C3</x:v>
      </x:c>
      <x:c r="F89" s="86" t="str">
        <x:v>500 kg topology tracer</x:v>
      </x:c>
      <x:c r="G89" s="104" t="n">
        <x:v>500</x:v>
      </x:c>
      <x:c r="H89" s="91" t="str"/>
      <x:c r="I89" s="91" t="str"/>
      <x:c r="J89" s="91" t="str"/>
      <x:c r="K89" s="91" t="str"/>
      <x:c r="L89" s="91" t="str">
        <x:v>OPEN</x:v>
      </x:c>
    </x:row>
    <x:row r="90">
      <x:c r="A90" s="86" t="str">
        <x:v>CT-085</x:v>
      </x:c>
      <x:c r="B90" s="86" t="str">
        <x:v>FGT-09</x:v>
      </x:c>
      <x:c r="C90" s="86" t="str">
        <x:v>PIL-625</x:v>
      </x:c>
      <x:c r="D90" s="86" t="str">
        <x:v>A</x:v>
      </x:c>
      <x:c r="E90" s="86" t="str">
        <x:v>C3</x:v>
      </x:c>
      <x:c r="F90" s="86" t="str">
        <x:v>30-minute thermal surrogate</x:v>
      </x:c>
      <x:c r="G90" s="104" t="n">
        <x:v>0</x:v>
      </x:c>
      <x:c r="H90" s="91" t="str"/>
      <x:c r="I90" s="91" t="str"/>
      <x:c r="J90" s="91" t="str"/>
      <x:c r="K90" s="91" t="str"/>
      <x:c r="L90" s="91" t="str">
        <x:v>OPEN</x:v>
      </x:c>
    </x:row>
    <x:row r="91">
      <x:c r="A91" s="86" t="str">
        <x:v>CT-086</x:v>
      </x:c>
      <x:c r="B91" s="86" t="str">
        <x:v>FGT-09</x:v>
      </x:c>
      <x:c r="C91" s="86" t="str">
        <x:v>PIL-625</x:v>
      </x:c>
      <x:c r="D91" s="86" t="str">
        <x:v>A</x:v>
      </x:c>
      <x:c r="E91" s="86" t="str">
        <x:v>C3</x:v>
      </x:c>
      <x:c r="F91" s="86" t="str">
        <x:v>atmosphere transit</x:v>
      </x:c>
      <x:c r="G91" s="104" t="n">
        <x:v>0</x:v>
      </x:c>
      <x:c r="H91" s="91" t="str"/>
      <x:c r="I91" s="91" t="str"/>
      <x:c r="J91" s="91" t="str"/>
      <x:c r="K91" s="91" t="str"/>
      <x:c r="L91" s="91" t="str">
        <x:v>OPEN</x:v>
      </x:c>
    </x:row>
    <x:row r="92">
      <x:c r="A92" s="86" t="str">
        <x:v>CT-087</x:v>
      </x:c>
      <x:c r="B92" s="86" t="str">
        <x:v>FGT-09</x:v>
      </x:c>
      <x:c r="C92" s="86" t="str">
        <x:v>PIL-625</x:v>
      </x:c>
      <x:c r="D92" s="86" t="str">
        <x:v>A</x:v>
      </x:c>
      <x:c r="E92" s="86" t="str">
        <x:v>C3</x:v>
      </x:c>
      <x:c r="F92" s="86" t="str">
        <x:v>PHO/ION obscuration</x:v>
      </x:c>
      <x:c r="G92" s="104" t="n">
        <x:v>0</x:v>
      </x:c>
      <x:c r="H92" s="91" t="str"/>
      <x:c r="I92" s="91" t="str"/>
      <x:c r="J92" s="91" t="str"/>
      <x:c r="K92" s="91" t="str"/>
      <x:c r="L92" s="91" t="str">
        <x:v>OPEN</x:v>
      </x:c>
    </x:row>
    <x:row r="93">
      <x:c r="A93" s="86" t="str">
        <x:v>CT-088</x:v>
      </x:c>
      <x:c r="B93" s="86" t="str">
        <x:v>FGT-09</x:v>
      </x:c>
      <x:c r="C93" s="86" t="str">
        <x:v>PIL-625</x:v>
      </x:c>
      <x:c r="D93" s="86" t="str">
        <x:v>A</x:v>
      </x:c>
      <x:c r="E93" s="86" t="str">
        <x:v>C3</x:v>
      </x:c>
      <x:c r="F93" s="86" t="str">
        <x:v>product-route challenge</x:v>
      </x:c>
      <x:c r="G93" s="104" t="n">
        <x:v>0</x:v>
      </x:c>
      <x:c r="H93" s="91" t="str"/>
      <x:c r="I93" s="91" t="str"/>
      <x:c r="J93" s="91" t="str"/>
      <x:c r="K93" s="91" t="str"/>
      <x:c r="L93" s="91" t="str">
        <x:v>OPEN</x:v>
      </x:c>
    </x:row>
    <x:row r="94">
      <x:c r="A94" s="86" t="str">
        <x:v>CT-089</x:v>
      </x:c>
      <x:c r="B94" s="86" t="str">
        <x:v>FGT-09</x:v>
      </x:c>
      <x:c r="C94" s="86" t="str">
        <x:v>PIL-625</x:v>
      </x:c>
      <x:c r="D94" s="86" t="str">
        <x:v>A</x:v>
      </x:c>
      <x:c r="E94" s="86" t="str">
        <x:v>C3</x:v>
      </x:c>
      <x:c r="F94" s="86" t="str">
        <x:v>root and service denial</x:v>
      </x:c>
      <x:c r="G94" s="104" t="n">
        <x:v>0</x:v>
      </x:c>
      <x:c r="H94" s="91" t="str"/>
      <x:c r="I94" s="91" t="str"/>
      <x:c r="J94" s="91" t="str"/>
      <x:c r="K94" s="91" t="str"/>
      <x:c r="L94" s="91" t="str">
        <x:v>OPEN</x:v>
      </x:c>
    </x:row>
    <x:row r="95">
      <x:c r="A95" s="86" t="str">
        <x:v>CT-090</x:v>
      </x:c>
      <x:c r="B95" s="86" t="str">
        <x:v>FGT-09</x:v>
      </x:c>
      <x:c r="C95" s="86" t="str">
        <x:v>PIL-625</x:v>
      </x:c>
      <x:c r="D95" s="86" t="str">
        <x:v>A</x:v>
      </x:c>
      <x:c r="E95" s="86" t="str">
        <x:v>C3</x:v>
      </x:c>
      <x:c r="F95" s="86" t="str">
        <x:v>thermal-soak return</x:v>
      </x:c>
      <x:c r="G95" s="104" t="n">
        <x:v>0</x:v>
      </x:c>
      <x:c r="H95" s="91" t="str"/>
      <x:c r="I95" s="91" t="str"/>
      <x:c r="J95" s="91" t="str"/>
      <x:c r="K95" s="91" t="str"/>
      <x:c r="L95" s="91" t="str">
        <x:v>OPEN</x:v>
      </x:c>
    </x:row>
    <x:row r="96">
      <x:c r="A96" s="86" t="str">
        <x:v>CT-091</x:v>
      </x:c>
      <x:c r="B96" s="86" t="str">
        <x:v>FGT-10</x:v>
      </x:c>
      <x:c r="C96" s="86" t="str">
        <x:v>PIL-625</x:v>
      </x:c>
      <x:c r="D96" s="86" t="str">
        <x:v>B</x:v>
      </x:c>
      <x:c r="E96" s="86" t="str">
        <x:v>C1</x:v>
      </x:c>
      <x:c r="F96" s="86" t="str">
        <x:v>sealed zero</x:v>
      </x:c>
      <x:c r="G96" s="104" t="n">
        <x:v>0</x:v>
      </x:c>
      <x:c r="H96" s="91" t="str"/>
      <x:c r="I96" s="91" t="str"/>
      <x:c r="J96" s="91" t="str"/>
      <x:c r="K96" s="91" t="str"/>
      <x:c r="L96" s="91" t="str">
        <x:v>OPEN</x:v>
      </x:c>
    </x:row>
    <x:row r="97">
      <x:c r="A97" s="86" t="str">
        <x:v>CT-092</x:v>
      </x:c>
      <x:c r="B97" s="86" t="str">
        <x:v>FGT-10</x:v>
      </x:c>
      <x:c r="C97" s="86" t="str">
        <x:v>PIL-625</x:v>
      </x:c>
      <x:c r="D97" s="86" t="str">
        <x:v>B</x:v>
      </x:c>
      <x:c r="E97" s="86" t="str">
        <x:v>C1</x:v>
      </x:c>
      <x:c r="F97" s="86" t="str">
        <x:v>250 kg cold load</x:v>
      </x:c>
      <x:c r="G97" s="104" t="n">
        <x:v>250</x:v>
      </x:c>
      <x:c r="H97" s="91" t="str"/>
      <x:c r="I97" s="91" t="str"/>
      <x:c r="J97" s="91" t="str"/>
      <x:c r="K97" s="91" t="str"/>
      <x:c r="L97" s="91" t="str">
        <x:v>OPEN</x:v>
      </x:c>
    </x:row>
    <x:row r="98">
      <x:c r="A98" s="86" t="str">
        <x:v>CT-093</x:v>
      </x:c>
      <x:c r="B98" s="86" t="str">
        <x:v>FGT-10</x:v>
      </x:c>
      <x:c r="C98" s="86" t="str">
        <x:v>PIL-625</x:v>
      </x:c>
      <x:c r="D98" s="86" t="str">
        <x:v>B</x:v>
      </x:c>
      <x:c r="E98" s="86" t="str">
        <x:v>C1</x:v>
      </x:c>
      <x:c r="F98" s="86" t="str">
        <x:v>500 kg cold load</x:v>
      </x:c>
      <x:c r="G98" s="104" t="n">
        <x:v>500</x:v>
      </x:c>
      <x:c r="H98" s="91" t="str"/>
      <x:c r="I98" s="91" t="str"/>
      <x:c r="J98" s="91" t="str"/>
      <x:c r="K98" s="91" t="str"/>
      <x:c r="L98" s="91" t="str">
        <x:v>OPEN</x:v>
      </x:c>
    </x:row>
    <x:row r="99">
      <x:c r="A99" s="86" t="str">
        <x:v>CT-094</x:v>
      </x:c>
      <x:c r="B99" s="86" t="str">
        <x:v>FGT-10</x:v>
      </x:c>
      <x:c r="C99" s="86" t="str">
        <x:v>PIL-625</x:v>
      </x:c>
      <x:c r="D99" s="86" t="str">
        <x:v>B</x:v>
      </x:c>
      <x:c r="E99" s="86" t="str">
        <x:v>C1</x:v>
      </x:c>
      <x:c r="F99" s="86" t="str">
        <x:v>500 kg topology tracer</x:v>
      </x:c>
      <x:c r="G99" s="104" t="n">
        <x:v>500</x:v>
      </x:c>
      <x:c r="H99" s="91" t="str"/>
      <x:c r="I99" s="91" t="str"/>
      <x:c r="J99" s="91" t="str"/>
      <x:c r="K99" s="91" t="str"/>
      <x:c r="L99" s="91" t="str">
        <x:v>OPEN</x:v>
      </x:c>
    </x:row>
    <x:row r="100">
      <x:c r="A100" s="86" t="str">
        <x:v>CT-095</x:v>
      </x:c>
      <x:c r="B100" s="86" t="str">
        <x:v>FGT-10</x:v>
      </x:c>
      <x:c r="C100" s="86" t="str">
        <x:v>PIL-625</x:v>
      </x:c>
      <x:c r="D100" s="86" t="str">
        <x:v>B</x:v>
      </x:c>
      <x:c r="E100" s="86" t="str">
        <x:v>C1</x:v>
      </x:c>
      <x:c r="F100" s="86" t="str">
        <x:v>30-minute thermal surrogate</x:v>
      </x:c>
      <x:c r="G100" s="104" t="n">
        <x:v>0</x:v>
      </x:c>
      <x:c r="H100" s="91" t="str"/>
      <x:c r="I100" s="91" t="str"/>
      <x:c r="J100" s="91" t="str"/>
      <x:c r="K100" s="91" t="str"/>
      <x:c r="L100" s="91" t="str">
        <x:v>OPEN</x:v>
      </x:c>
    </x:row>
    <x:row r="101">
      <x:c r="A101" s="86" t="str">
        <x:v>CT-096</x:v>
      </x:c>
      <x:c r="B101" s="86" t="str">
        <x:v>FGT-10</x:v>
      </x:c>
      <x:c r="C101" s="86" t="str">
        <x:v>PIL-625</x:v>
      </x:c>
      <x:c r="D101" s="86" t="str">
        <x:v>B</x:v>
      </x:c>
      <x:c r="E101" s="86" t="str">
        <x:v>C1</x:v>
      </x:c>
      <x:c r="F101" s="86" t="str">
        <x:v>atmosphere transit</x:v>
      </x:c>
      <x:c r="G101" s="104" t="n">
        <x:v>0</x:v>
      </x:c>
      <x:c r="H101" s="91" t="str"/>
      <x:c r="I101" s="91" t="str"/>
      <x:c r="J101" s="91" t="str"/>
      <x:c r="K101" s="91" t="str"/>
      <x:c r="L101" s="91" t="str">
        <x:v>OPEN</x:v>
      </x:c>
    </x:row>
    <x:row r="102">
      <x:c r="A102" s="86" t="str">
        <x:v>CT-097</x:v>
      </x:c>
      <x:c r="B102" s="86" t="str">
        <x:v>FGT-10</x:v>
      </x:c>
      <x:c r="C102" s="86" t="str">
        <x:v>PIL-625</x:v>
      </x:c>
      <x:c r="D102" s="86" t="str">
        <x:v>B</x:v>
      </x:c>
      <x:c r="E102" s="86" t="str">
        <x:v>C1</x:v>
      </x:c>
      <x:c r="F102" s="86" t="str">
        <x:v>PHO/ION obscuration</x:v>
      </x:c>
      <x:c r="G102" s="104" t="n">
        <x:v>0</x:v>
      </x:c>
      <x:c r="H102" s="91" t="str"/>
      <x:c r="I102" s="91" t="str"/>
      <x:c r="J102" s="91" t="str"/>
      <x:c r="K102" s="91" t="str"/>
      <x:c r="L102" s="91" t="str">
        <x:v>OPEN</x:v>
      </x:c>
    </x:row>
    <x:row r="103">
      <x:c r="A103" s="86" t="str">
        <x:v>CT-098</x:v>
      </x:c>
      <x:c r="B103" s="86" t="str">
        <x:v>FGT-10</x:v>
      </x:c>
      <x:c r="C103" s="86" t="str">
        <x:v>PIL-625</x:v>
      </x:c>
      <x:c r="D103" s="86" t="str">
        <x:v>B</x:v>
      </x:c>
      <x:c r="E103" s="86" t="str">
        <x:v>C1</x:v>
      </x:c>
      <x:c r="F103" s="86" t="str">
        <x:v>product-route challenge</x:v>
      </x:c>
      <x:c r="G103" s="104" t="n">
        <x:v>0</x:v>
      </x:c>
      <x:c r="H103" s="91" t="str"/>
      <x:c r="I103" s="91" t="str"/>
      <x:c r="J103" s="91" t="str"/>
      <x:c r="K103" s="91" t="str"/>
      <x:c r="L103" s="91" t="str">
        <x:v>OPEN</x:v>
      </x:c>
    </x:row>
    <x:row r="104">
      <x:c r="A104" s="86" t="str">
        <x:v>CT-099</x:v>
      </x:c>
      <x:c r="B104" s="86" t="str">
        <x:v>FGT-10</x:v>
      </x:c>
      <x:c r="C104" s="86" t="str">
        <x:v>PIL-625</x:v>
      </x:c>
      <x:c r="D104" s="86" t="str">
        <x:v>B</x:v>
      </x:c>
      <x:c r="E104" s="86" t="str">
        <x:v>C1</x:v>
      </x:c>
      <x:c r="F104" s="86" t="str">
        <x:v>root and service denial</x:v>
      </x:c>
      <x:c r="G104" s="104" t="n">
        <x:v>0</x:v>
      </x:c>
      <x:c r="H104" s="91" t="str"/>
      <x:c r="I104" s="91" t="str"/>
      <x:c r="J104" s="91" t="str"/>
      <x:c r="K104" s="91" t="str"/>
      <x:c r="L104" s="91" t="str">
        <x:v>OPEN</x:v>
      </x:c>
    </x:row>
    <x:row r="105">
      <x:c r="A105" s="86" t="str">
        <x:v>CT-100</x:v>
      </x:c>
      <x:c r="B105" s="86" t="str">
        <x:v>FGT-10</x:v>
      </x:c>
      <x:c r="C105" s="86" t="str">
        <x:v>PIL-625</x:v>
      </x:c>
      <x:c r="D105" s="86" t="str">
        <x:v>B</x:v>
      </x:c>
      <x:c r="E105" s="86" t="str">
        <x:v>C1</x:v>
      </x:c>
      <x:c r="F105" s="86" t="str">
        <x:v>thermal-soak return</x:v>
      </x:c>
      <x:c r="G105" s="104" t="n">
        <x:v>0</x:v>
      </x:c>
      <x:c r="H105" s="91" t="str"/>
      <x:c r="I105" s="91" t="str"/>
      <x:c r="J105" s="91" t="str"/>
      <x:c r="K105" s="91" t="str"/>
      <x:c r="L105" s="91" t="str">
        <x:v>OPEN</x:v>
      </x:c>
    </x:row>
    <x:row r="106">
      <x:c r="A106" s="86" t="str">
        <x:v>CT-101</x:v>
      </x:c>
      <x:c r="B106" s="86" t="str">
        <x:v>FGT-11</x:v>
      </x:c>
      <x:c r="C106" s="86" t="str">
        <x:v>PIL-625</x:v>
      </x:c>
      <x:c r="D106" s="86" t="str">
        <x:v>B</x:v>
      </x:c>
      <x:c r="E106" s="86" t="str">
        <x:v>C2</x:v>
      </x:c>
      <x:c r="F106" s="86" t="str">
        <x:v>sealed zero</x:v>
      </x:c>
      <x:c r="G106" s="104" t="n">
        <x:v>0</x:v>
      </x:c>
      <x:c r="H106" s="91" t="str"/>
      <x:c r="I106" s="91" t="str"/>
      <x:c r="J106" s="91" t="str"/>
      <x:c r="K106" s="91" t="str"/>
      <x:c r="L106" s="91" t="str">
        <x:v>OPEN</x:v>
      </x:c>
    </x:row>
    <x:row r="107">
      <x:c r="A107" s="86" t="str">
        <x:v>CT-102</x:v>
      </x:c>
      <x:c r="B107" s="86" t="str">
        <x:v>FGT-11</x:v>
      </x:c>
      <x:c r="C107" s="86" t="str">
        <x:v>PIL-625</x:v>
      </x:c>
      <x:c r="D107" s="86" t="str">
        <x:v>B</x:v>
      </x:c>
      <x:c r="E107" s="86" t="str">
        <x:v>C2</x:v>
      </x:c>
      <x:c r="F107" s="86" t="str">
        <x:v>250 kg cold load</x:v>
      </x:c>
      <x:c r="G107" s="104" t="n">
        <x:v>250</x:v>
      </x:c>
      <x:c r="H107" s="91" t="str"/>
      <x:c r="I107" s="91" t="str"/>
      <x:c r="J107" s="91" t="str"/>
      <x:c r="K107" s="91" t="str"/>
      <x:c r="L107" s="91" t="str">
        <x:v>OPEN</x:v>
      </x:c>
    </x:row>
    <x:row r="108">
      <x:c r="A108" s="86" t="str">
        <x:v>CT-103</x:v>
      </x:c>
      <x:c r="B108" s="86" t="str">
        <x:v>FGT-11</x:v>
      </x:c>
      <x:c r="C108" s="86" t="str">
        <x:v>PIL-625</x:v>
      </x:c>
      <x:c r="D108" s="86" t="str">
        <x:v>B</x:v>
      </x:c>
      <x:c r="E108" s="86" t="str">
        <x:v>C2</x:v>
      </x:c>
      <x:c r="F108" s="86" t="str">
        <x:v>500 kg cold load</x:v>
      </x:c>
      <x:c r="G108" s="104" t="n">
        <x:v>500</x:v>
      </x:c>
      <x:c r="H108" s="91" t="str"/>
      <x:c r="I108" s="91" t="str"/>
      <x:c r="J108" s="91" t="str"/>
      <x:c r="K108" s="91" t="str"/>
      <x:c r="L108" s="91" t="str">
        <x:v>OPEN</x:v>
      </x:c>
    </x:row>
    <x:row r="109">
      <x:c r="A109" s="86" t="str">
        <x:v>CT-104</x:v>
      </x:c>
      <x:c r="B109" s="86" t="str">
        <x:v>FGT-11</x:v>
      </x:c>
      <x:c r="C109" s="86" t="str">
        <x:v>PIL-625</x:v>
      </x:c>
      <x:c r="D109" s="86" t="str">
        <x:v>B</x:v>
      </x:c>
      <x:c r="E109" s="86" t="str">
        <x:v>C2</x:v>
      </x:c>
      <x:c r="F109" s="86" t="str">
        <x:v>500 kg topology tracer</x:v>
      </x:c>
      <x:c r="G109" s="104" t="n">
        <x:v>500</x:v>
      </x:c>
      <x:c r="H109" s="91" t="str"/>
      <x:c r="I109" s="91" t="str"/>
      <x:c r="J109" s="91" t="str"/>
      <x:c r="K109" s="91" t="str"/>
      <x:c r="L109" s="91" t="str">
        <x:v>OPEN</x:v>
      </x:c>
    </x:row>
    <x:row r="110">
      <x:c r="A110" s="86" t="str">
        <x:v>CT-105</x:v>
      </x:c>
      <x:c r="B110" s="86" t="str">
        <x:v>FGT-11</x:v>
      </x:c>
      <x:c r="C110" s="86" t="str">
        <x:v>PIL-625</x:v>
      </x:c>
      <x:c r="D110" s="86" t="str">
        <x:v>B</x:v>
      </x:c>
      <x:c r="E110" s="86" t="str">
        <x:v>C2</x:v>
      </x:c>
      <x:c r="F110" s="86" t="str">
        <x:v>30-minute thermal surrogate</x:v>
      </x:c>
      <x:c r="G110" s="104" t="n">
        <x:v>0</x:v>
      </x:c>
      <x:c r="H110" s="91" t="str"/>
      <x:c r="I110" s="91" t="str"/>
      <x:c r="J110" s="91" t="str"/>
      <x:c r="K110" s="91" t="str"/>
      <x:c r="L110" s="91" t="str">
        <x:v>OPEN</x:v>
      </x:c>
    </x:row>
    <x:row r="111">
      <x:c r="A111" s="86" t="str">
        <x:v>CT-106</x:v>
      </x:c>
      <x:c r="B111" s="86" t="str">
        <x:v>FGT-11</x:v>
      </x:c>
      <x:c r="C111" s="86" t="str">
        <x:v>PIL-625</x:v>
      </x:c>
      <x:c r="D111" s="86" t="str">
        <x:v>B</x:v>
      </x:c>
      <x:c r="E111" s="86" t="str">
        <x:v>C2</x:v>
      </x:c>
      <x:c r="F111" s="86" t="str">
        <x:v>atmosphere transit</x:v>
      </x:c>
      <x:c r="G111" s="104" t="n">
        <x:v>0</x:v>
      </x:c>
      <x:c r="H111" s="91" t="str"/>
      <x:c r="I111" s="91" t="str"/>
      <x:c r="J111" s="91" t="str"/>
      <x:c r="K111" s="91" t="str"/>
      <x:c r="L111" s="91" t="str">
        <x:v>OPEN</x:v>
      </x:c>
    </x:row>
    <x:row r="112">
      <x:c r="A112" s="86" t="str">
        <x:v>CT-107</x:v>
      </x:c>
      <x:c r="B112" s="86" t="str">
        <x:v>FGT-11</x:v>
      </x:c>
      <x:c r="C112" s="86" t="str">
        <x:v>PIL-625</x:v>
      </x:c>
      <x:c r="D112" s="86" t="str">
        <x:v>B</x:v>
      </x:c>
      <x:c r="E112" s="86" t="str">
        <x:v>C2</x:v>
      </x:c>
      <x:c r="F112" s="86" t="str">
        <x:v>PHO/ION obscuration</x:v>
      </x:c>
      <x:c r="G112" s="104" t="n">
        <x:v>0</x:v>
      </x:c>
      <x:c r="H112" s="91" t="str"/>
      <x:c r="I112" s="91" t="str"/>
      <x:c r="J112" s="91" t="str"/>
      <x:c r="K112" s="91" t="str"/>
      <x:c r="L112" s="91" t="str">
        <x:v>OPEN</x:v>
      </x:c>
    </x:row>
    <x:row r="113">
      <x:c r="A113" s="86" t="str">
        <x:v>CT-108</x:v>
      </x:c>
      <x:c r="B113" s="86" t="str">
        <x:v>FGT-11</x:v>
      </x:c>
      <x:c r="C113" s="86" t="str">
        <x:v>PIL-625</x:v>
      </x:c>
      <x:c r="D113" s="86" t="str">
        <x:v>B</x:v>
      </x:c>
      <x:c r="E113" s="86" t="str">
        <x:v>C2</x:v>
      </x:c>
      <x:c r="F113" s="86" t="str">
        <x:v>product-route challenge</x:v>
      </x:c>
      <x:c r="G113" s="104" t="n">
        <x:v>0</x:v>
      </x:c>
      <x:c r="H113" s="91" t="str"/>
      <x:c r="I113" s="91" t="str"/>
      <x:c r="J113" s="91" t="str"/>
      <x:c r="K113" s="91" t="str"/>
      <x:c r="L113" s="91" t="str">
        <x:v>OPEN</x:v>
      </x:c>
    </x:row>
    <x:row r="114">
      <x:c r="A114" s="86" t="str">
        <x:v>CT-109</x:v>
      </x:c>
      <x:c r="B114" s="86" t="str">
        <x:v>FGT-11</x:v>
      </x:c>
      <x:c r="C114" s="86" t="str">
        <x:v>PIL-625</x:v>
      </x:c>
      <x:c r="D114" s="86" t="str">
        <x:v>B</x:v>
      </x:c>
      <x:c r="E114" s="86" t="str">
        <x:v>C2</x:v>
      </x:c>
      <x:c r="F114" s="86" t="str">
        <x:v>root and service denial</x:v>
      </x:c>
      <x:c r="G114" s="104" t="n">
        <x:v>0</x:v>
      </x:c>
      <x:c r="H114" s="91" t="str"/>
      <x:c r="I114" s="91" t="str"/>
      <x:c r="J114" s="91" t="str"/>
      <x:c r="K114" s="91" t="str"/>
      <x:c r="L114" s="91" t="str">
        <x:v>OPEN</x:v>
      </x:c>
    </x:row>
    <x:row r="115">
      <x:c r="A115" s="86" t="str">
        <x:v>CT-110</x:v>
      </x:c>
      <x:c r="B115" s="86" t="str">
        <x:v>FGT-11</x:v>
      </x:c>
      <x:c r="C115" s="86" t="str">
        <x:v>PIL-625</x:v>
      </x:c>
      <x:c r="D115" s="86" t="str">
        <x:v>B</x:v>
      </x:c>
      <x:c r="E115" s="86" t="str">
        <x:v>C2</x:v>
      </x:c>
      <x:c r="F115" s="86" t="str">
        <x:v>thermal-soak return</x:v>
      </x:c>
      <x:c r="G115" s="104" t="n">
        <x:v>0</x:v>
      </x:c>
      <x:c r="H115" s="91" t="str"/>
      <x:c r="I115" s="91" t="str"/>
      <x:c r="J115" s="91" t="str"/>
      <x:c r="K115" s="91" t="str"/>
      <x:c r="L115" s="91" t="str">
        <x:v>OPEN</x:v>
      </x:c>
    </x:row>
    <x:row r="116">
      <x:c r="A116" s="86" t="str">
        <x:v>CT-111</x:v>
      </x:c>
      <x:c r="B116" s="86" t="str">
        <x:v>FGT-12</x:v>
      </x:c>
      <x:c r="C116" s="86" t="str">
        <x:v>PIL-625</x:v>
      </x:c>
      <x:c r="D116" s="86" t="str">
        <x:v>B</x:v>
      </x:c>
      <x:c r="E116" s="86" t="str">
        <x:v>C3</x:v>
      </x:c>
      <x:c r="F116" s="86" t="str">
        <x:v>sealed zero</x:v>
      </x:c>
      <x:c r="G116" s="104" t="n">
        <x:v>0</x:v>
      </x:c>
      <x:c r="H116" s="91" t="str"/>
      <x:c r="I116" s="91" t="str"/>
      <x:c r="J116" s="91" t="str"/>
      <x:c r="K116" s="91" t="str"/>
      <x:c r="L116" s="91" t="str">
        <x:v>OPEN</x:v>
      </x:c>
    </x:row>
    <x:row r="117">
      <x:c r="A117" s="86" t="str">
        <x:v>CT-112</x:v>
      </x:c>
      <x:c r="B117" s="86" t="str">
        <x:v>FGT-12</x:v>
      </x:c>
      <x:c r="C117" s="86" t="str">
        <x:v>PIL-625</x:v>
      </x:c>
      <x:c r="D117" s="86" t="str">
        <x:v>B</x:v>
      </x:c>
      <x:c r="E117" s="86" t="str">
        <x:v>C3</x:v>
      </x:c>
      <x:c r="F117" s="86" t="str">
        <x:v>250 kg cold load</x:v>
      </x:c>
      <x:c r="G117" s="104" t="n">
        <x:v>250</x:v>
      </x:c>
      <x:c r="H117" s="91" t="str"/>
      <x:c r="I117" s="91" t="str"/>
      <x:c r="J117" s="91" t="str"/>
      <x:c r="K117" s="91" t="str"/>
      <x:c r="L117" s="91" t="str">
        <x:v>OPEN</x:v>
      </x:c>
    </x:row>
    <x:row r="118">
      <x:c r="A118" s="86" t="str">
        <x:v>CT-113</x:v>
      </x:c>
      <x:c r="B118" s="86" t="str">
        <x:v>FGT-12</x:v>
      </x:c>
      <x:c r="C118" s="86" t="str">
        <x:v>PIL-625</x:v>
      </x:c>
      <x:c r="D118" s="86" t="str">
        <x:v>B</x:v>
      </x:c>
      <x:c r="E118" s="86" t="str">
        <x:v>C3</x:v>
      </x:c>
      <x:c r="F118" s="86" t="str">
        <x:v>500 kg cold load</x:v>
      </x:c>
      <x:c r="G118" s="104" t="n">
        <x:v>500</x:v>
      </x:c>
      <x:c r="H118" s="91" t="str"/>
      <x:c r="I118" s="91" t="str"/>
      <x:c r="J118" s="91" t="str"/>
      <x:c r="K118" s="91" t="str"/>
      <x:c r="L118" s="91" t="str">
        <x:v>OPEN</x:v>
      </x:c>
    </x:row>
    <x:row r="119">
      <x:c r="A119" s="86" t="str">
        <x:v>CT-114</x:v>
      </x:c>
      <x:c r="B119" s="86" t="str">
        <x:v>FGT-12</x:v>
      </x:c>
      <x:c r="C119" s="86" t="str">
        <x:v>PIL-625</x:v>
      </x:c>
      <x:c r="D119" s="86" t="str">
        <x:v>B</x:v>
      </x:c>
      <x:c r="E119" s="86" t="str">
        <x:v>C3</x:v>
      </x:c>
      <x:c r="F119" s="86" t="str">
        <x:v>500 kg topology tracer</x:v>
      </x:c>
      <x:c r="G119" s="104" t="n">
        <x:v>500</x:v>
      </x:c>
      <x:c r="H119" s="91" t="str"/>
      <x:c r="I119" s="91" t="str"/>
      <x:c r="J119" s="91" t="str"/>
      <x:c r="K119" s="91" t="str"/>
      <x:c r="L119" s="91" t="str">
        <x:v>OPEN</x:v>
      </x:c>
    </x:row>
    <x:row r="120">
      <x:c r="A120" s="86" t="str">
        <x:v>CT-115</x:v>
      </x:c>
      <x:c r="B120" s="86" t="str">
        <x:v>FGT-12</x:v>
      </x:c>
      <x:c r="C120" s="86" t="str">
        <x:v>PIL-625</x:v>
      </x:c>
      <x:c r="D120" s="86" t="str">
        <x:v>B</x:v>
      </x:c>
      <x:c r="E120" s="86" t="str">
        <x:v>C3</x:v>
      </x:c>
      <x:c r="F120" s="86" t="str">
        <x:v>30-minute thermal surrogate</x:v>
      </x:c>
      <x:c r="G120" s="104" t="n">
        <x:v>0</x:v>
      </x:c>
      <x:c r="H120" s="91" t="str"/>
      <x:c r="I120" s="91" t="str"/>
      <x:c r="J120" s="91" t="str"/>
      <x:c r="K120" s="91" t="str"/>
      <x:c r="L120" s="91" t="str">
        <x:v>OPEN</x:v>
      </x:c>
    </x:row>
    <x:row r="121">
      <x:c r="A121" s="86" t="str">
        <x:v>CT-116</x:v>
      </x:c>
      <x:c r="B121" s="86" t="str">
        <x:v>FGT-12</x:v>
      </x:c>
      <x:c r="C121" s="86" t="str">
        <x:v>PIL-625</x:v>
      </x:c>
      <x:c r="D121" s="86" t="str">
        <x:v>B</x:v>
      </x:c>
      <x:c r="E121" s="86" t="str">
        <x:v>C3</x:v>
      </x:c>
      <x:c r="F121" s="86" t="str">
        <x:v>atmosphere transit</x:v>
      </x:c>
      <x:c r="G121" s="104" t="n">
        <x:v>0</x:v>
      </x:c>
      <x:c r="H121" s="91" t="str"/>
      <x:c r="I121" s="91" t="str"/>
      <x:c r="J121" s="91" t="str"/>
      <x:c r="K121" s="91" t="str"/>
      <x:c r="L121" s="91" t="str">
        <x:v>OPEN</x:v>
      </x:c>
    </x:row>
    <x:row r="122">
      <x:c r="A122" s="86" t="str">
        <x:v>CT-117</x:v>
      </x:c>
      <x:c r="B122" s="86" t="str">
        <x:v>FGT-12</x:v>
      </x:c>
      <x:c r="C122" s="86" t="str">
        <x:v>PIL-625</x:v>
      </x:c>
      <x:c r="D122" s="86" t="str">
        <x:v>B</x:v>
      </x:c>
      <x:c r="E122" s="86" t="str">
        <x:v>C3</x:v>
      </x:c>
      <x:c r="F122" s="86" t="str">
        <x:v>PHO/ION obscuration</x:v>
      </x:c>
      <x:c r="G122" s="104" t="n">
        <x:v>0</x:v>
      </x:c>
      <x:c r="H122" s="91" t="str"/>
      <x:c r="I122" s="91" t="str"/>
      <x:c r="J122" s="91" t="str"/>
      <x:c r="K122" s="91" t="str"/>
      <x:c r="L122" s="91" t="str">
        <x:v>OPEN</x:v>
      </x:c>
    </x:row>
    <x:row r="123">
      <x:c r="A123" s="86" t="str">
        <x:v>CT-118</x:v>
      </x:c>
      <x:c r="B123" s="86" t="str">
        <x:v>FGT-12</x:v>
      </x:c>
      <x:c r="C123" s="86" t="str">
        <x:v>PIL-625</x:v>
      </x:c>
      <x:c r="D123" s="86" t="str">
        <x:v>B</x:v>
      </x:c>
      <x:c r="E123" s="86" t="str">
        <x:v>C3</x:v>
      </x:c>
      <x:c r="F123" s="86" t="str">
        <x:v>product-route challenge</x:v>
      </x:c>
      <x:c r="G123" s="104" t="n">
        <x:v>0</x:v>
      </x:c>
      <x:c r="H123" s="91" t="str"/>
      <x:c r="I123" s="91" t="str"/>
      <x:c r="J123" s="91" t="str"/>
      <x:c r="K123" s="91" t="str"/>
      <x:c r="L123" s="91" t="str">
        <x:v>OPEN</x:v>
      </x:c>
    </x:row>
    <x:row r="124">
      <x:c r="A124" s="86" t="str">
        <x:v>CT-119</x:v>
      </x:c>
      <x:c r="B124" s="86" t="str">
        <x:v>FGT-12</x:v>
      </x:c>
      <x:c r="C124" s="86" t="str">
        <x:v>PIL-625</x:v>
      </x:c>
      <x:c r="D124" s="86" t="str">
        <x:v>B</x:v>
      </x:c>
      <x:c r="E124" s="86" t="str">
        <x:v>C3</x:v>
      </x:c>
      <x:c r="F124" s="86" t="str">
        <x:v>root and service denial</x:v>
      </x:c>
      <x:c r="G124" s="104" t="n">
        <x:v>0</x:v>
      </x:c>
      <x:c r="H124" s="91" t="str"/>
      <x:c r="I124" s="91" t="str"/>
      <x:c r="J124" s="91" t="str"/>
      <x:c r="K124" s="91" t="str"/>
      <x:c r="L124" s="91" t="str">
        <x:v>OPEN</x:v>
      </x:c>
    </x:row>
    <x:row r="125">
      <x:c r="A125" s="86" t="str">
        <x:v>CT-120</x:v>
      </x:c>
      <x:c r="B125" s="86" t="str">
        <x:v>FGT-12</x:v>
      </x:c>
      <x:c r="C125" s="86" t="str">
        <x:v>PIL-625</x:v>
      </x:c>
      <x:c r="D125" s="86" t="str">
        <x:v>B</x:v>
      </x:c>
      <x:c r="E125" s="86" t="str">
        <x:v>C3</x:v>
      </x:c>
      <x:c r="F125" s="86" t="str">
        <x:v>thermal-soak return</x:v>
      </x:c>
      <x:c r="G125" s="104" t="n">
        <x:v>0</x:v>
      </x:c>
      <x:c r="H125" s="91" t="str"/>
      <x:c r="I125" s="91" t="str"/>
      <x:c r="J125" s="91" t="str"/>
      <x:c r="K125" s="91" t="str"/>
      <x:c r="L125" s="91" t="str">
        <x:v>OPEN</x:v>
      </x:c>
    </x:row>
    <x:row r="126">
      <x:c r="A126" s="86" t="str">
        <x:v>CT-121</x:v>
      </x:c>
      <x:c r="B126" s="86" t="str">
        <x:v>FGT-13</x:v>
      </x:c>
      <x:c r="C126" s="86" t="str">
        <x:v>SCM-25</x:v>
      </x:c>
      <x:c r="D126" s="86" t="str">
        <x:v>A</x:v>
      </x:c>
      <x:c r="E126" s="86" t="str">
        <x:v>C1</x:v>
      </x:c>
      <x:c r="F126" s="86" t="str">
        <x:v>sealed zero</x:v>
      </x:c>
      <x:c r="G126" s="104" t="n">
        <x:v>0</x:v>
      </x:c>
      <x:c r="H126" s="91" t="str"/>
      <x:c r="I126" s="91" t="str"/>
      <x:c r="J126" s="91" t="str"/>
      <x:c r="K126" s="91" t="str"/>
      <x:c r="L126" s="91" t="str">
        <x:v>OPEN</x:v>
      </x:c>
    </x:row>
    <x:row r="127">
      <x:c r="A127" s="86" t="str">
        <x:v>CT-122</x:v>
      </x:c>
      <x:c r="B127" s="86" t="str">
        <x:v>FGT-13</x:v>
      </x:c>
      <x:c r="C127" s="86" t="str">
        <x:v>SCM-25</x:v>
      </x:c>
      <x:c r="D127" s="86" t="str">
        <x:v>A</x:v>
      </x:c>
      <x:c r="E127" s="86" t="str">
        <x:v>C1</x:v>
      </x:c>
      <x:c r="F127" s="86" t="str">
        <x:v>250 kg cold load</x:v>
      </x:c>
      <x:c r="G127" s="104" t="n">
        <x:v>250</x:v>
      </x:c>
      <x:c r="H127" s="91" t="str"/>
      <x:c r="I127" s="91" t="str"/>
      <x:c r="J127" s="91" t="str"/>
      <x:c r="K127" s="91" t="str"/>
      <x:c r="L127" s="91" t="str">
        <x:v>OPEN</x:v>
      </x:c>
    </x:row>
    <x:row r="128">
      <x:c r="A128" s="86" t="str">
        <x:v>CT-123</x:v>
      </x:c>
      <x:c r="B128" s="86" t="str">
        <x:v>FGT-13</x:v>
      </x:c>
      <x:c r="C128" s="86" t="str">
        <x:v>SCM-25</x:v>
      </x:c>
      <x:c r="D128" s="86" t="str">
        <x:v>A</x:v>
      </x:c>
      <x:c r="E128" s="86" t="str">
        <x:v>C1</x:v>
      </x:c>
      <x:c r="F128" s="86" t="str">
        <x:v>500 kg cold load</x:v>
      </x:c>
      <x:c r="G128" s="104" t="n">
        <x:v>500</x:v>
      </x:c>
      <x:c r="H128" s="91" t="str"/>
      <x:c r="I128" s="91" t="str"/>
      <x:c r="J128" s="91" t="str"/>
      <x:c r="K128" s="91" t="str"/>
      <x:c r="L128" s="91" t="str">
        <x:v>OPEN</x:v>
      </x:c>
    </x:row>
    <x:row r="129">
      <x:c r="A129" s="86" t="str">
        <x:v>CT-124</x:v>
      </x:c>
      <x:c r="B129" s="86" t="str">
        <x:v>FGT-13</x:v>
      </x:c>
      <x:c r="C129" s="86" t="str">
        <x:v>SCM-25</x:v>
      </x:c>
      <x:c r="D129" s="86" t="str">
        <x:v>A</x:v>
      </x:c>
      <x:c r="E129" s="86" t="str">
        <x:v>C1</x:v>
      </x:c>
      <x:c r="F129" s="86" t="str">
        <x:v>500 kg topology tracer</x:v>
      </x:c>
      <x:c r="G129" s="104" t="n">
        <x:v>500</x:v>
      </x:c>
      <x:c r="H129" s="91" t="str"/>
      <x:c r="I129" s="91" t="str"/>
      <x:c r="J129" s="91" t="str"/>
      <x:c r="K129" s="91" t="str"/>
      <x:c r="L129" s="91" t="str">
        <x:v>OPEN</x:v>
      </x:c>
    </x:row>
    <x:row r="130">
      <x:c r="A130" s="86" t="str">
        <x:v>CT-125</x:v>
      </x:c>
      <x:c r="B130" s="86" t="str">
        <x:v>FGT-13</x:v>
      </x:c>
      <x:c r="C130" s="86" t="str">
        <x:v>SCM-25</x:v>
      </x:c>
      <x:c r="D130" s="86" t="str">
        <x:v>A</x:v>
      </x:c>
      <x:c r="E130" s="86" t="str">
        <x:v>C1</x:v>
      </x:c>
      <x:c r="F130" s="86" t="str">
        <x:v>30-minute thermal surrogate</x:v>
      </x:c>
      <x:c r="G130" s="104" t="n">
        <x:v>0</x:v>
      </x:c>
      <x:c r="H130" s="91" t="str"/>
      <x:c r="I130" s="91" t="str"/>
      <x:c r="J130" s="91" t="str"/>
      <x:c r="K130" s="91" t="str"/>
      <x:c r="L130" s="91" t="str">
        <x:v>OPEN</x:v>
      </x:c>
    </x:row>
    <x:row r="131">
      <x:c r="A131" s="86" t="str">
        <x:v>CT-126</x:v>
      </x:c>
      <x:c r="B131" s="86" t="str">
        <x:v>FGT-13</x:v>
      </x:c>
      <x:c r="C131" s="86" t="str">
        <x:v>SCM-25</x:v>
      </x:c>
      <x:c r="D131" s="86" t="str">
        <x:v>A</x:v>
      </x:c>
      <x:c r="E131" s="86" t="str">
        <x:v>C1</x:v>
      </x:c>
      <x:c r="F131" s="86" t="str">
        <x:v>atmosphere transit</x:v>
      </x:c>
      <x:c r="G131" s="104" t="n">
        <x:v>0</x:v>
      </x:c>
      <x:c r="H131" s="91" t="str"/>
      <x:c r="I131" s="91" t="str"/>
      <x:c r="J131" s="91" t="str"/>
      <x:c r="K131" s="91" t="str"/>
      <x:c r="L131" s="91" t="str">
        <x:v>OPEN</x:v>
      </x:c>
    </x:row>
    <x:row r="132">
      <x:c r="A132" s="86" t="str">
        <x:v>CT-127</x:v>
      </x:c>
      <x:c r="B132" s="86" t="str">
        <x:v>FGT-13</x:v>
      </x:c>
      <x:c r="C132" s="86" t="str">
        <x:v>SCM-25</x:v>
      </x:c>
      <x:c r="D132" s="86" t="str">
        <x:v>A</x:v>
      </x:c>
      <x:c r="E132" s="86" t="str">
        <x:v>C1</x:v>
      </x:c>
      <x:c r="F132" s="86" t="str">
        <x:v>PHO/ION obscuration</x:v>
      </x:c>
      <x:c r="G132" s="104" t="n">
        <x:v>0</x:v>
      </x:c>
      <x:c r="H132" s="91" t="str"/>
      <x:c r="I132" s="91" t="str"/>
      <x:c r="J132" s="91" t="str"/>
      <x:c r="K132" s="91" t="str"/>
      <x:c r="L132" s="91" t="str">
        <x:v>OPEN</x:v>
      </x:c>
    </x:row>
    <x:row r="133">
      <x:c r="A133" s="86" t="str">
        <x:v>CT-128</x:v>
      </x:c>
      <x:c r="B133" s="86" t="str">
        <x:v>FGT-13</x:v>
      </x:c>
      <x:c r="C133" s="86" t="str">
        <x:v>SCM-25</x:v>
      </x:c>
      <x:c r="D133" s="86" t="str">
        <x:v>A</x:v>
      </x:c>
      <x:c r="E133" s="86" t="str">
        <x:v>C1</x:v>
      </x:c>
      <x:c r="F133" s="86" t="str">
        <x:v>product-route challenge</x:v>
      </x:c>
      <x:c r="G133" s="104" t="n">
        <x:v>0</x:v>
      </x:c>
      <x:c r="H133" s="91" t="str"/>
      <x:c r="I133" s="91" t="str"/>
      <x:c r="J133" s="91" t="str"/>
      <x:c r="K133" s="91" t="str"/>
      <x:c r="L133" s="91" t="str">
        <x:v>OPEN</x:v>
      </x:c>
    </x:row>
    <x:row r="134">
      <x:c r="A134" s="86" t="str">
        <x:v>CT-129</x:v>
      </x:c>
      <x:c r="B134" s="86" t="str">
        <x:v>FGT-13</x:v>
      </x:c>
      <x:c r="C134" s="86" t="str">
        <x:v>SCM-25</x:v>
      </x:c>
      <x:c r="D134" s="86" t="str">
        <x:v>A</x:v>
      </x:c>
      <x:c r="E134" s="86" t="str">
        <x:v>C1</x:v>
      </x:c>
      <x:c r="F134" s="86" t="str">
        <x:v>root and service denial</x:v>
      </x:c>
      <x:c r="G134" s="104" t="n">
        <x:v>0</x:v>
      </x:c>
      <x:c r="H134" s="91" t="str"/>
      <x:c r="I134" s="91" t="str"/>
      <x:c r="J134" s="91" t="str"/>
      <x:c r="K134" s="91" t="str"/>
      <x:c r="L134" s="91" t="str">
        <x:v>OPEN</x:v>
      </x:c>
    </x:row>
    <x:row r="135">
      <x:c r="A135" s="86" t="str">
        <x:v>CT-130</x:v>
      </x:c>
      <x:c r="B135" s="86" t="str">
        <x:v>FGT-13</x:v>
      </x:c>
      <x:c r="C135" s="86" t="str">
        <x:v>SCM-25</x:v>
      </x:c>
      <x:c r="D135" s="86" t="str">
        <x:v>A</x:v>
      </x:c>
      <x:c r="E135" s="86" t="str">
        <x:v>C1</x:v>
      </x:c>
      <x:c r="F135" s="86" t="str">
        <x:v>thermal-soak return</x:v>
      </x:c>
      <x:c r="G135" s="104" t="n">
        <x:v>0</x:v>
      </x:c>
      <x:c r="H135" s="91" t="str"/>
      <x:c r="I135" s="91" t="str"/>
      <x:c r="J135" s="91" t="str"/>
      <x:c r="K135" s="91" t="str"/>
      <x:c r="L135" s="91" t="str">
        <x:v>OPEN</x:v>
      </x:c>
    </x:row>
    <x:row r="136">
      <x:c r="A136" s="86" t="str">
        <x:v>CT-131</x:v>
      </x:c>
      <x:c r="B136" s="86" t="str">
        <x:v>FGT-14</x:v>
      </x:c>
      <x:c r="C136" s="86" t="str">
        <x:v>SCM-25</x:v>
      </x:c>
      <x:c r="D136" s="86" t="str">
        <x:v>A</x:v>
      </x:c>
      <x:c r="E136" s="86" t="str">
        <x:v>C2</x:v>
      </x:c>
      <x:c r="F136" s="86" t="str">
        <x:v>sealed zero</x:v>
      </x:c>
      <x:c r="G136" s="104" t="n">
        <x:v>0</x:v>
      </x:c>
      <x:c r="H136" s="91" t="str"/>
      <x:c r="I136" s="91" t="str"/>
      <x:c r="J136" s="91" t="str"/>
      <x:c r="K136" s="91" t="str"/>
      <x:c r="L136" s="91" t="str">
        <x:v>OPEN</x:v>
      </x:c>
    </x:row>
    <x:row r="137">
      <x:c r="A137" s="86" t="str">
        <x:v>CT-132</x:v>
      </x:c>
      <x:c r="B137" s="86" t="str">
        <x:v>FGT-14</x:v>
      </x:c>
      <x:c r="C137" s="86" t="str">
        <x:v>SCM-25</x:v>
      </x:c>
      <x:c r="D137" s="86" t="str">
        <x:v>A</x:v>
      </x:c>
      <x:c r="E137" s="86" t="str">
        <x:v>C2</x:v>
      </x:c>
      <x:c r="F137" s="86" t="str">
        <x:v>250 kg cold load</x:v>
      </x:c>
      <x:c r="G137" s="104" t="n">
        <x:v>250</x:v>
      </x:c>
      <x:c r="H137" s="91" t="str"/>
      <x:c r="I137" s="91" t="str"/>
      <x:c r="J137" s="91" t="str"/>
      <x:c r="K137" s="91" t="str"/>
      <x:c r="L137" s="91" t="str">
        <x:v>OPEN</x:v>
      </x:c>
    </x:row>
    <x:row r="138">
      <x:c r="A138" s="86" t="str">
        <x:v>CT-133</x:v>
      </x:c>
      <x:c r="B138" s="86" t="str">
        <x:v>FGT-14</x:v>
      </x:c>
      <x:c r="C138" s="86" t="str">
        <x:v>SCM-25</x:v>
      </x:c>
      <x:c r="D138" s="86" t="str">
        <x:v>A</x:v>
      </x:c>
      <x:c r="E138" s="86" t="str">
        <x:v>C2</x:v>
      </x:c>
      <x:c r="F138" s="86" t="str">
        <x:v>500 kg cold load</x:v>
      </x:c>
      <x:c r="G138" s="104" t="n">
        <x:v>500</x:v>
      </x:c>
      <x:c r="H138" s="91" t="str"/>
      <x:c r="I138" s="91" t="str"/>
      <x:c r="J138" s="91" t="str"/>
      <x:c r="K138" s="91" t="str"/>
      <x:c r="L138" s="91" t="str">
        <x:v>OPEN</x:v>
      </x:c>
    </x:row>
    <x:row r="139">
      <x:c r="A139" s="86" t="str">
        <x:v>CT-134</x:v>
      </x:c>
      <x:c r="B139" s="86" t="str">
        <x:v>FGT-14</x:v>
      </x:c>
      <x:c r="C139" s="86" t="str">
        <x:v>SCM-25</x:v>
      </x:c>
      <x:c r="D139" s="86" t="str">
        <x:v>A</x:v>
      </x:c>
      <x:c r="E139" s="86" t="str">
        <x:v>C2</x:v>
      </x:c>
      <x:c r="F139" s="86" t="str">
        <x:v>500 kg topology tracer</x:v>
      </x:c>
      <x:c r="G139" s="104" t="n">
        <x:v>500</x:v>
      </x:c>
      <x:c r="H139" s="91" t="str"/>
      <x:c r="I139" s="91" t="str"/>
      <x:c r="J139" s="91" t="str"/>
      <x:c r="K139" s="91" t="str"/>
      <x:c r="L139" s="91" t="str">
        <x:v>OPEN</x:v>
      </x:c>
    </x:row>
    <x:row r="140">
      <x:c r="A140" s="86" t="str">
        <x:v>CT-135</x:v>
      </x:c>
      <x:c r="B140" s="86" t="str">
        <x:v>FGT-14</x:v>
      </x:c>
      <x:c r="C140" s="86" t="str">
        <x:v>SCM-25</x:v>
      </x:c>
      <x:c r="D140" s="86" t="str">
        <x:v>A</x:v>
      </x:c>
      <x:c r="E140" s="86" t="str">
        <x:v>C2</x:v>
      </x:c>
      <x:c r="F140" s="86" t="str">
        <x:v>30-minute thermal surrogate</x:v>
      </x:c>
      <x:c r="G140" s="104" t="n">
        <x:v>0</x:v>
      </x:c>
      <x:c r="H140" s="91" t="str"/>
      <x:c r="I140" s="91" t="str"/>
      <x:c r="J140" s="91" t="str"/>
      <x:c r="K140" s="91" t="str"/>
      <x:c r="L140" s="91" t="str">
        <x:v>OPEN</x:v>
      </x:c>
    </x:row>
    <x:row r="141">
      <x:c r="A141" s="86" t="str">
        <x:v>CT-136</x:v>
      </x:c>
      <x:c r="B141" s="86" t="str">
        <x:v>FGT-14</x:v>
      </x:c>
      <x:c r="C141" s="86" t="str">
        <x:v>SCM-25</x:v>
      </x:c>
      <x:c r="D141" s="86" t="str">
        <x:v>A</x:v>
      </x:c>
      <x:c r="E141" s="86" t="str">
        <x:v>C2</x:v>
      </x:c>
      <x:c r="F141" s="86" t="str">
        <x:v>atmosphere transit</x:v>
      </x:c>
      <x:c r="G141" s="104" t="n">
        <x:v>0</x:v>
      </x:c>
      <x:c r="H141" s="91" t="str"/>
      <x:c r="I141" s="91" t="str"/>
      <x:c r="J141" s="91" t="str"/>
      <x:c r="K141" s="91" t="str"/>
      <x:c r="L141" s="91" t="str">
        <x:v>OPEN</x:v>
      </x:c>
    </x:row>
    <x:row r="142">
      <x:c r="A142" s="86" t="str">
        <x:v>CT-137</x:v>
      </x:c>
      <x:c r="B142" s="86" t="str">
        <x:v>FGT-14</x:v>
      </x:c>
      <x:c r="C142" s="86" t="str">
        <x:v>SCM-25</x:v>
      </x:c>
      <x:c r="D142" s="86" t="str">
        <x:v>A</x:v>
      </x:c>
      <x:c r="E142" s="86" t="str">
        <x:v>C2</x:v>
      </x:c>
      <x:c r="F142" s="86" t="str">
        <x:v>PHO/ION obscuration</x:v>
      </x:c>
      <x:c r="G142" s="104" t="n">
        <x:v>0</x:v>
      </x:c>
      <x:c r="H142" s="91" t="str"/>
      <x:c r="I142" s="91" t="str"/>
      <x:c r="J142" s="91" t="str"/>
      <x:c r="K142" s="91" t="str"/>
      <x:c r="L142" s="91" t="str">
        <x:v>OPEN</x:v>
      </x:c>
    </x:row>
    <x:row r="143">
      <x:c r="A143" s="86" t="str">
        <x:v>CT-138</x:v>
      </x:c>
      <x:c r="B143" s="86" t="str">
        <x:v>FGT-14</x:v>
      </x:c>
      <x:c r="C143" s="86" t="str">
        <x:v>SCM-25</x:v>
      </x:c>
      <x:c r="D143" s="86" t="str">
        <x:v>A</x:v>
      </x:c>
      <x:c r="E143" s="86" t="str">
        <x:v>C2</x:v>
      </x:c>
      <x:c r="F143" s="86" t="str">
        <x:v>product-route challenge</x:v>
      </x:c>
      <x:c r="G143" s="104" t="n">
        <x:v>0</x:v>
      </x:c>
      <x:c r="H143" s="91" t="str"/>
      <x:c r="I143" s="91" t="str"/>
      <x:c r="J143" s="91" t="str"/>
      <x:c r="K143" s="91" t="str"/>
      <x:c r="L143" s="91" t="str">
        <x:v>OPEN</x:v>
      </x:c>
    </x:row>
    <x:row r="144">
      <x:c r="A144" s="86" t="str">
        <x:v>CT-139</x:v>
      </x:c>
      <x:c r="B144" s="86" t="str">
        <x:v>FGT-14</x:v>
      </x:c>
      <x:c r="C144" s="86" t="str">
        <x:v>SCM-25</x:v>
      </x:c>
      <x:c r="D144" s="86" t="str">
        <x:v>A</x:v>
      </x:c>
      <x:c r="E144" s="86" t="str">
        <x:v>C2</x:v>
      </x:c>
      <x:c r="F144" s="86" t="str">
        <x:v>root and service denial</x:v>
      </x:c>
      <x:c r="G144" s="104" t="n">
        <x:v>0</x:v>
      </x:c>
      <x:c r="H144" s="91" t="str"/>
      <x:c r="I144" s="91" t="str"/>
      <x:c r="J144" s="91" t="str"/>
      <x:c r="K144" s="91" t="str"/>
      <x:c r="L144" s="91" t="str">
        <x:v>OPEN</x:v>
      </x:c>
    </x:row>
    <x:row r="145">
      <x:c r="A145" s="86" t="str">
        <x:v>CT-140</x:v>
      </x:c>
      <x:c r="B145" s="86" t="str">
        <x:v>FGT-14</x:v>
      </x:c>
      <x:c r="C145" s="86" t="str">
        <x:v>SCM-25</x:v>
      </x:c>
      <x:c r="D145" s="86" t="str">
        <x:v>A</x:v>
      </x:c>
      <x:c r="E145" s="86" t="str">
        <x:v>C2</x:v>
      </x:c>
      <x:c r="F145" s="86" t="str">
        <x:v>thermal-soak return</x:v>
      </x:c>
      <x:c r="G145" s="104" t="n">
        <x:v>0</x:v>
      </x:c>
      <x:c r="H145" s="91" t="str"/>
      <x:c r="I145" s="91" t="str"/>
      <x:c r="J145" s="91" t="str"/>
      <x:c r="K145" s="91" t="str"/>
      <x:c r="L145" s="91" t="str">
        <x:v>OPEN</x:v>
      </x:c>
    </x:row>
    <x:row r="146">
      <x:c r="A146" s="86" t="str">
        <x:v>CT-141</x:v>
      </x:c>
      <x:c r="B146" s="86" t="str">
        <x:v>FGT-15</x:v>
      </x:c>
      <x:c r="C146" s="86" t="str">
        <x:v>SCM-25</x:v>
      </x:c>
      <x:c r="D146" s="86" t="str">
        <x:v>A</x:v>
      </x:c>
      <x:c r="E146" s="86" t="str">
        <x:v>C3</x:v>
      </x:c>
      <x:c r="F146" s="86" t="str">
        <x:v>sealed zero</x:v>
      </x:c>
      <x:c r="G146" s="104" t="n">
        <x:v>0</x:v>
      </x:c>
      <x:c r="H146" s="91" t="str"/>
      <x:c r="I146" s="91" t="str"/>
      <x:c r="J146" s="91" t="str"/>
      <x:c r="K146" s="91" t="str"/>
      <x:c r="L146" s="91" t="str">
        <x:v>OPEN</x:v>
      </x:c>
    </x:row>
    <x:row r="147">
      <x:c r="A147" s="86" t="str">
        <x:v>CT-142</x:v>
      </x:c>
      <x:c r="B147" s="86" t="str">
        <x:v>FGT-15</x:v>
      </x:c>
      <x:c r="C147" s="86" t="str">
        <x:v>SCM-25</x:v>
      </x:c>
      <x:c r="D147" s="86" t="str">
        <x:v>A</x:v>
      </x:c>
      <x:c r="E147" s="86" t="str">
        <x:v>C3</x:v>
      </x:c>
      <x:c r="F147" s="86" t="str">
        <x:v>250 kg cold load</x:v>
      </x:c>
      <x:c r="G147" s="104" t="n">
        <x:v>250</x:v>
      </x:c>
      <x:c r="H147" s="91" t="str"/>
      <x:c r="I147" s="91" t="str"/>
      <x:c r="J147" s="91" t="str"/>
      <x:c r="K147" s="91" t="str"/>
      <x:c r="L147" s="91" t="str">
        <x:v>OPEN</x:v>
      </x:c>
    </x:row>
    <x:row r="148">
      <x:c r="A148" s="86" t="str">
        <x:v>CT-143</x:v>
      </x:c>
      <x:c r="B148" s="86" t="str">
        <x:v>FGT-15</x:v>
      </x:c>
      <x:c r="C148" s="86" t="str">
        <x:v>SCM-25</x:v>
      </x:c>
      <x:c r="D148" s="86" t="str">
        <x:v>A</x:v>
      </x:c>
      <x:c r="E148" s="86" t="str">
        <x:v>C3</x:v>
      </x:c>
      <x:c r="F148" s="86" t="str">
        <x:v>500 kg cold load</x:v>
      </x:c>
      <x:c r="G148" s="104" t="n">
        <x:v>500</x:v>
      </x:c>
      <x:c r="H148" s="91" t="str"/>
      <x:c r="I148" s="91" t="str"/>
      <x:c r="J148" s="91" t="str"/>
      <x:c r="K148" s="91" t="str"/>
      <x:c r="L148" s="91" t="str">
        <x:v>OPEN</x:v>
      </x:c>
    </x:row>
    <x:row r="149">
      <x:c r="A149" s="86" t="str">
        <x:v>CT-144</x:v>
      </x:c>
      <x:c r="B149" s="86" t="str">
        <x:v>FGT-15</x:v>
      </x:c>
      <x:c r="C149" s="86" t="str">
        <x:v>SCM-25</x:v>
      </x:c>
      <x:c r="D149" s="86" t="str">
        <x:v>A</x:v>
      </x:c>
      <x:c r="E149" s="86" t="str">
        <x:v>C3</x:v>
      </x:c>
      <x:c r="F149" s="86" t="str">
        <x:v>500 kg topology tracer</x:v>
      </x:c>
      <x:c r="G149" s="104" t="n">
        <x:v>500</x:v>
      </x:c>
      <x:c r="H149" s="91" t="str"/>
      <x:c r="I149" s="91" t="str"/>
      <x:c r="J149" s="91" t="str"/>
      <x:c r="K149" s="91" t="str"/>
      <x:c r="L149" s="91" t="str">
        <x:v>OPEN</x:v>
      </x:c>
    </x:row>
    <x:row r="150">
      <x:c r="A150" s="86" t="str">
        <x:v>CT-145</x:v>
      </x:c>
      <x:c r="B150" s="86" t="str">
        <x:v>FGT-15</x:v>
      </x:c>
      <x:c r="C150" s="86" t="str">
        <x:v>SCM-25</x:v>
      </x:c>
      <x:c r="D150" s="86" t="str">
        <x:v>A</x:v>
      </x:c>
      <x:c r="E150" s="86" t="str">
        <x:v>C3</x:v>
      </x:c>
      <x:c r="F150" s="86" t="str">
        <x:v>30-minute thermal surrogate</x:v>
      </x:c>
      <x:c r="G150" s="104" t="n">
        <x:v>0</x:v>
      </x:c>
      <x:c r="H150" s="91" t="str"/>
      <x:c r="I150" s="91" t="str"/>
      <x:c r="J150" s="91" t="str"/>
      <x:c r="K150" s="91" t="str"/>
      <x:c r="L150" s="91" t="str">
        <x:v>OPEN</x:v>
      </x:c>
    </x:row>
    <x:row r="151">
      <x:c r="A151" s="86" t="str">
        <x:v>CT-146</x:v>
      </x:c>
      <x:c r="B151" s="86" t="str">
        <x:v>FGT-15</x:v>
      </x:c>
      <x:c r="C151" s="86" t="str">
        <x:v>SCM-25</x:v>
      </x:c>
      <x:c r="D151" s="86" t="str">
        <x:v>A</x:v>
      </x:c>
      <x:c r="E151" s="86" t="str">
        <x:v>C3</x:v>
      </x:c>
      <x:c r="F151" s="86" t="str">
        <x:v>atmosphere transit</x:v>
      </x:c>
      <x:c r="G151" s="104" t="n">
        <x:v>0</x:v>
      </x:c>
      <x:c r="H151" s="91" t="str"/>
      <x:c r="I151" s="91" t="str"/>
      <x:c r="J151" s="91" t="str"/>
      <x:c r="K151" s="91" t="str"/>
      <x:c r="L151" s="91" t="str">
        <x:v>OPEN</x:v>
      </x:c>
    </x:row>
    <x:row r="152">
      <x:c r="A152" s="86" t="str">
        <x:v>CT-147</x:v>
      </x:c>
      <x:c r="B152" s="86" t="str">
        <x:v>FGT-15</x:v>
      </x:c>
      <x:c r="C152" s="86" t="str">
        <x:v>SCM-25</x:v>
      </x:c>
      <x:c r="D152" s="86" t="str">
        <x:v>A</x:v>
      </x:c>
      <x:c r="E152" s="86" t="str">
        <x:v>C3</x:v>
      </x:c>
      <x:c r="F152" s="86" t="str">
        <x:v>PHO/ION obscuration</x:v>
      </x:c>
      <x:c r="G152" s="104" t="n">
        <x:v>0</x:v>
      </x:c>
      <x:c r="H152" s="91" t="str"/>
      <x:c r="I152" s="91" t="str"/>
      <x:c r="J152" s="91" t="str"/>
      <x:c r="K152" s="91" t="str"/>
      <x:c r="L152" s="91" t="str">
        <x:v>OPEN</x:v>
      </x:c>
    </x:row>
    <x:row r="153">
      <x:c r="A153" s="86" t="str">
        <x:v>CT-148</x:v>
      </x:c>
      <x:c r="B153" s="86" t="str">
        <x:v>FGT-15</x:v>
      </x:c>
      <x:c r="C153" s="86" t="str">
        <x:v>SCM-25</x:v>
      </x:c>
      <x:c r="D153" s="86" t="str">
        <x:v>A</x:v>
      </x:c>
      <x:c r="E153" s="86" t="str">
        <x:v>C3</x:v>
      </x:c>
      <x:c r="F153" s="86" t="str">
        <x:v>product-route challenge</x:v>
      </x:c>
      <x:c r="G153" s="104" t="n">
        <x:v>0</x:v>
      </x:c>
      <x:c r="H153" s="91" t="str"/>
      <x:c r="I153" s="91" t="str"/>
      <x:c r="J153" s="91" t="str"/>
      <x:c r="K153" s="91" t="str"/>
      <x:c r="L153" s="91" t="str">
        <x:v>OPEN</x:v>
      </x:c>
    </x:row>
    <x:row r="154">
      <x:c r="A154" s="86" t="str">
        <x:v>CT-149</x:v>
      </x:c>
      <x:c r="B154" s="86" t="str">
        <x:v>FGT-15</x:v>
      </x:c>
      <x:c r="C154" s="86" t="str">
        <x:v>SCM-25</x:v>
      </x:c>
      <x:c r="D154" s="86" t="str">
        <x:v>A</x:v>
      </x:c>
      <x:c r="E154" s="86" t="str">
        <x:v>C3</x:v>
      </x:c>
      <x:c r="F154" s="86" t="str">
        <x:v>root and service denial</x:v>
      </x:c>
      <x:c r="G154" s="104" t="n">
        <x:v>0</x:v>
      </x:c>
      <x:c r="H154" s="91" t="str"/>
      <x:c r="I154" s="91" t="str"/>
      <x:c r="J154" s="91" t="str"/>
      <x:c r="K154" s="91" t="str"/>
      <x:c r="L154" s="91" t="str">
        <x:v>OPEN</x:v>
      </x:c>
    </x:row>
    <x:row r="155">
      <x:c r="A155" s="86" t="str">
        <x:v>CT-150</x:v>
      </x:c>
      <x:c r="B155" s="86" t="str">
        <x:v>FGT-15</x:v>
      </x:c>
      <x:c r="C155" s="86" t="str">
        <x:v>SCM-25</x:v>
      </x:c>
      <x:c r="D155" s="86" t="str">
        <x:v>A</x:v>
      </x:c>
      <x:c r="E155" s="86" t="str">
        <x:v>C3</x:v>
      </x:c>
      <x:c r="F155" s="86" t="str">
        <x:v>thermal-soak return</x:v>
      </x:c>
      <x:c r="G155" s="104" t="n">
        <x:v>0</x:v>
      </x:c>
      <x:c r="H155" s="91" t="str"/>
      <x:c r="I155" s="91" t="str"/>
      <x:c r="J155" s="91" t="str"/>
      <x:c r="K155" s="91" t="str"/>
      <x:c r="L155" s="91" t="str">
        <x:v>OPEN</x:v>
      </x:c>
    </x:row>
    <x:row r="156">
      <x:c r="A156" s="86" t="str">
        <x:v>CT-151</x:v>
      </x:c>
      <x:c r="B156" s="86" t="str">
        <x:v>FGT-16</x:v>
      </x:c>
      <x:c r="C156" s="86" t="str">
        <x:v>SCM-25</x:v>
      </x:c>
      <x:c r="D156" s="86" t="str">
        <x:v>B</x:v>
      </x:c>
      <x:c r="E156" s="86" t="str">
        <x:v>C1</x:v>
      </x:c>
      <x:c r="F156" s="86" t="str">
        <x:v>sealed zero</x:v>
      </x:c>
      <x:c r="G156" s="104" t="n">
        <x:v>0</x:v>
      </x:c>
      <x:c r="H156" s="91" t="str"/>
      <x:c r="I156" s="91" t="str"/>
      <x:c r="J156" s="91" t="str"/>
      <x:c r="K156" s="91" t="str"/>
      <x:c r="L156" s="91" t="str">
        <x:v>OPEN</x:v>
      </x:c>
    </x:row>
    <x:row r="157">
      <x:c r="A157" s="86" t="str">
        <x:v>CT-152</x:v>
      </x:c>
      <x:c r="B157" s="86" t="str">
        <x:v>FGT-16</x:v>
      </x:c>
      <x:c r="C157" s="86" t="str">
        <x:v>SCM-25</x:v>
      </x:c>
      <x:c r="D157" s="86" t="str">
        <x:v>B</x:v>
      </x:c>
      <x:c r="E157" s="86" t="str">
        <x:v>C1</x:v>
      </x:c>
      <x:c r="F157" s="86" t="str">
        <x:v>250 kg cold load</x:v>
      </x:c>
      <x:c r="G157" s="104" t="n">
        <x:v>250</x:v>
      </x:c>
      <x:c r="H157" s="91" t="str"/>
      <x:c r="I157" s="91" t="str"/>
      <x:c r="J157" s="91" t="str"/>
      <x:c r="K157" s="91" t="str"/>
      <x:c r="L157" s="91" t="str">
        <x:v>OPEN</x:v>
      </x:c>
    </x:row>
    <x:row r="158">
      <x:c r="A158" s="86" t="str">
        <x:v>CT-153</x:v>
      </x:c>
      <x:c r="B158" s="86" t="str">
        <x:v>FGT-16</x:v>
      </x:c>
      <x:c r="C158" s="86" t="str">
        <x:v>SCM-25</x:v>
      </x:c>
      <x:c r="D158" s="86" t="str">
        <x:v>B</x:v>
      </x:c>
      <x:c r="E158" s="86" t="str">
        <x:v>C1</x:v>
      </x:c>
      <x:c r="F158" s="86" t="str">
        <x:v>500 kg cold load</x:v>
      </x:c>
      <x:c r="G158" s="104" t="n">
        <x:v>500</x:v>
      </x:c>
      <x:c r="H158" s="91" t="str"/>
      <x:c r="I158" s="91" t="str"/>
      <x:c r="J158" s="91" t="str"/>
      <x:c r="K158" s="91" t="str"/>
      <x:c r="L158" s="91" t="str">
        <x:v>OPEN</x:v>
      </x:c>
    </x:row>
    <x:row r="159">
      <x:c r="A159" s="86" t="str">
        <x:v>CT-154</x:v>
      </x:c>
      <x:c r="B159" s="86" t="str">
        <x:v>FGT-16</x:v>
      </x:c>
      <x:c r="C159" s="86" t="str">
        <x:v>SCM-25</x:v>
      </x:c>
      <x:c r="D159" s="86" t="str">
        <x:v>B</x:v>
      </x:c>
      <x:c r="E159" s="86" t="str">
        <x:v>C1</x:v>
      </x:c>
      <x:c r="F159" s="86" t="str">
        <x:v>500 kg topology tracer</x:v>
      </x:c>
      <x:c r="G159" s="104" t="n">
        <x:v>500</x:v>
      </x:c>
      <x:c r="H159" s="91" t="str"/>
      <x:c r="I159" s="91" t="str"/>
      <x:c r="J159" s="91" t="str"/>
      <x:c r="K159" s="91" t="str"/>
      <x:c r="L159" s="91" t="str">
        <x:v>OPEN</x:v>
      </x:c>
    </x:row>
    <x:row r="160">
      <x:c r="A160" s="86" t="str">
        <x:v>CT-155</x:v>
      </x:c>
      <x:c r="B160" s="86" t="str">
        <x:v>FGT-16</x:v>
      </x:c>
      <x:c r="C160" s="86" t="str">
        <x:v>SCM-25</x:v>
      </x:c>
      <x:c r="D160" s="86" t="str">
        <x:v>B</x:v>
      </x:c>
      <x:c r="E160" s="86" t="str">
        <x:v>C1</x:v>
      </x:c>
      <x:c r="F160" s="86" t="str">
        <x:v>30-minute thermal surrogate</x:v>
      </x:c>
      <x:c r="G160" s="104" t="n">
        <x:v>0</x:v>
      </x:c>
      <x:c r="H160" s="91" t="str"/>
      <x:c r="I160" s="91" t="str"/>
      <x:c r="J160" s="91" t="str"/>
      <x:c r="K160" s="91" t="str"/>
      <x:c r="L160" s="91" t="str">
        <x:v>OPEN</x:v>
      </x:c>
    </x:row>
    <x:row r="161">
      <x:c r="A161" s="86" t="str">
        <x:v>CT-156</x:v>
      </x:c>
      <x:c r="B161" s="86" t="str">
        <x:v>FGT-16</x:v>
      </x:c>
      <x:c r="C161" s="86" t="str">
        <x:v>SCM-25</x:v>
      </x:c>
      <x:c r="D161" s="86" t="str">
        <x:v>B</x:v>
      </x:c>
      <x:c r="E161" s="86" t="str">
        <x:v>C1</x:v>
      </x:c>
      <x:c r="F161" s="86" t="str">
        <x:v>atmosphere transit</x:v>
      </x:c>
      <x:c r="G161" s="104" t="n">
        <x:v>0</x:v>
      </x:c>
      <x:c r="H161" s="91" t="str"/>
      <x:c r="I161" s="91" t="str"/>
      <x:c r="J161" s="91" t="str"/>
      <x:c r="K161" s="91" t="str"/>
      <x:c r="L161" s="91" t="str">
        <x:v>OPEN</x:v>
      </x:c>
    </x:row>
    <x:row r="162">
      <x:c r="A162" s="86" t="str">
        <x:v>CT-157</x:v>
      </x:c>
      <x:c r="B162" s="86" t="str">
        <x:v>FGT-16</x:v>
      </x:c>
      <x:c r="C162" s="86" t="str">
        <x:v>SCM-25</x:v>
      </x:c>
      <x:c r="D162" s="86" t="str">
        <x:v>B</x:v>
      </x:c>
      <x:c r="E162" s="86" t="str">
        <x:v>C1</x:v>
      </x:c>
      <x:c r="F162" s="86" t="str">
        <x:v>PHO/ION obscuration</x:v>
      </x:c>
      <x:c r="G162" s="104" t="n">
        <x:v>0</x:v>
      </x:c>
      <x:c r="H162" s="91" t="str"/>
      <x:c r="I162" s="91" t="str"/>
      <x:c r="J162" s="91" t="str"/>
      <x:c r="K162" s="91" t="str"/>
      <x:c r="L162" s="91" t="str">
        <x:v>OPEN</x:v>
      </x:c>
    </x:row>
    <x:row r="163">
      <x:c r="A163" s="86" t="str">
        <x:v>CT-158</x:v>
      </x:c>
      <x:c r="B163" s="86" t="str">
        <x:v>FGT-16</x:v>
      </x:c>
      <x:c r="C163" s="86" t="str">
        <x:v>SCM-25</x:v>
      </x:c>
      <x:c r="D163" s="86" t="str">
        <x:v>B</x:v>
      </x:c>
      <x:c r="E163" s="86" t="str">
        <x:v>C1</x:v>
      </x:c>
      <x:c r="F163" s="86" t="str">
        <x:v>product-route challenge</x:v>
      </x:c>
      <x:c r="G163" s="104" t="n">
        <x:v>0</x:v>
      </x:c>
      <x:c r="H163" s="91" t="str"/>
      <x:c r="I163" s="91" t="str"/>
      <x:c r="J163" s="91" t="str"/>
      <x:c r="K163" s="91" t="str"/>
      <x:c r="L163" s="91" t="str">
        <x:v>OPEN</x:v>
      </x:c>
    </x:row>
    <x:row r="164">
      <x:c r="A164" s="86" t="str">
        <x:v>CT-159</x:v>
      </x:c>
      <x:c r="B164" s="86" t="str">
        <x:v>FGT-16</x:v>
      </x:c>
      <x:c r="C164" s="86" t="str">
        <x:v>SCM-25</x:v>
      </x:c>
      <x:c r="D164" s="86" t="str">
        <x:v>B</x:v>
      </x:c>
      <x:c r="E164" s="86" t="str">
        <x:v>C1</x:v>
      </x:c>
      <x:c r="F164" s="86" t="str">
        <x:v>root and service denial</x:v>
      </x:c>
      <x:c r="G164" s="104" t="n">
        <x:v>0</x:v>
      </x:c>
      <x:c r="H164" s="91" t="str"/>
      <x:c r="I164" s="91" t="str"/>
      <x:c r="J164" s="91" t="str"/>
      <x:c r="K164" s="91" t="str"/>
      <x:c r="L164" s="91" t="str">
        <x:v>OPEN</x:v>
      </x:c>
    </x:row>
    <x:row r="165">
      <x:c r="A165" s="86" t="str">
        <x:v>CT-160</x:v>
      </x:c>
      <x:c r="B165" s="86" t="str">
        <x:v>FGT-16</x:v>
      </x:c>
      <x:c r="C165" s="86" t="str">
        <x:v>SCM-25</x:v>
      </x:c>
      <x:c r="D165" s="86" t="str">
        <x:v>B</x:v>
      </x:c>
      <x:c r="E165" s="86" t="str">
        <x:v>C1</x:v>
      </x:c>
      <x:c r="F165" s="86" t="str">
        <x:v>thermal-soak return</x:v>
      </x:c>
      <x:c r="G165" s="104" t="n">
        <x:v>0</x:v>
      </x:c>
      <x:c r="H165" s="91" t="str"/>
      <x:c r="I165" s="91" t="str"/>
      <x:c r="J165" s="91" t="str"/>
      <x:c r="K165" s="91" t="str"/>
      <x:c r="L165" s="91" t="str">
        <x:v>OPEN</x:v>
      </x:c>
    </x:row>
    <x:row r="166">
      <x:c r="A166" s="86" t="str">
        <x:v>CT-161</x:v>
      </x:c>
      <x:c r="B166" s="86" t="str">
        <x:v>FGT-17</x:v>
      </x:c>
      <x:c r="C166" s="86" t="str">
        <x:v>SCM-25</x:v>
      </x:c>
      <x:c r="D166" s="86" t="str">
        <x:v>B</x:v>
      </x:c>
      <x:c r="E166" s="86" t="str">
        <x:v>C2</x:v>
      </x:c>
      <x:c r="F166" s="86" t="str">
        <x:v>sealed zero</x:v>
      </x:c>
      <x:c r="G166" s="104" t="n">
        <x:v>0</x:v>
      </x:c>
      <x:c r="H166" s="91" t="str"/>
      <x:c r="I166" s="91" t="str"/>
      <x:c r="J166" s="91" t="str"/>
      <x:c r="K166" s="91" t="str"/>
      <x:c r="L166" s="91" t="str">
        <x:v>OPEN</x:v>
      </x:c>
    </x:row>
    <x:row r="167">
      <x:c r="A167" s="86" t="str">
        <x:v>CT-162</x:v>
      </x:c>
      <x:c r="B167" s="86" t="str">
        <x:v>FGT-17</x:v>
      </x:c>
      <x:c r="C167" s="86" t="str">
        <x:v>SCM-25</x:v>
      </x:c>
      <x:c r="D167" s="86" t="str">
        <x:v>B</x:v>
      </x:c>
      <x:c r="E167" s="86" t="str">
        <x:v>C2</x:v>
      </x:c>
      <x:c r="F167" s="86" t="str">
        <x:v>250 kg cold load</x:v>
      </x:c>
      <x:c r="G167" s="104" t="n">
        <x:v>250</x:v>
      </x:c>
      <x:c r="H167" s="91" t="str"/>
      <x:c r="I167" s="91" t="str"/>
      <x:c r="J167" s="91" t="str"/>
      <x:c r="K167" s="91" t="str"/>
      <x:c r="L167" s="91" t="str">
        <x:v>OPEN</x:v>
      </x:c>
    </x:row>
    <x:row r="168">
      <x:c r="A168" s="86" t="str">
        <x:v>CT-163</x:v>
      </x:c>
      <x:c r="B168" s="86" t="str">
        <x:v>FGT-17</x:v>
      </x:c>
      <x:c r="C168" s="86" t="str">
        <x:v>SCM-25</x:v>
      </x:c>
      <x:c r="D168" s="86" t="str">
        <x:v>B</x:v>
      </x:c>
      <x:c r="E168" s="86" t="str">
        <x:v>C2</x:v>
      </x:c>
      <x:c r="F168" s="86" t="str">
        <x:v>500 kg cold load</x:v>
      </x:c>
      <x:c r="G168" s="104" t="n">
        <x:v>500</x:v>
      </x:c>
      <x:c r="H168" s="91" t="str"/>
      <x:c r="I168" s="91" t="str"/>
      <x:c r="J168" s="91" t="str"/>
      <x:c r="K168" s="91" t="str"/>
      <x:c r="L168" s="91" t="str">
        <x:v>OPEN</x:v>
      </x:c>
    </x:row>
    <x:row r="169">
      <x:c r="A169" s="86" t="str">
        <x:v>CT-164</x:v>
      </x:c>
      <x:c r="B169" s="86" t="str">
        <x:v>FGT-17</x:v>
      </x:c>
      <x:c r="C169" s="86" t="str">
        <x:v>SCM-25</x:v>
      </x:c>
      <x:c r="D169" s="86" t="str">
        <x:v>B</x:v>
      </x:c>
      <x:c r="E169" s="86" t="str">
        <x:v>C2</x:v>
      </x:c>
      <x:c r="F169" s="86" t="str">
        <x:v>500 kg topology tracer</x:v>
      </x:c>
      <x:c r="G169" s="104" t="n">
        <x:v>500</x:v>
      </x:c>
      <x:c r="H169" s="91" t="str"/>
      <x:c r="I169" s="91" t="str"/>
      <x:c r="J169" s="91" t="str"/>
      <x:c r="K169" s="91" t="str"/>
      <x:c r="L169" s="91" t="str">
        <x:v>OPEN</x:v>
      </x:c>
    </x:row>
    <x:row r="170">
      <x:c r="A170" s="86" t="str">
        <x:v>CT-165</x:v>
      </x:c>
      <x:c r="B170" s="86" t="str">
        <x:v>FGT-17</x:v>
      </x:c>
      <x:c r="C170" s="86" t="str">
        <x:v>SCM-25</x:v>
      </x:c>
      <x:c r="D170" s="86" t="str">
        <x:v>B</x:v>
      </x:c>
      <x:c r="E170" s="86" t="str">
        <x:v>C2</x:v>
      </x:c>
      <x:c r="F170" s="86" t="str">
        <x:v>30-minute thermal surrogate</x:v>
      </x:c>
      <x:c r="G170" s="104" t="n">
        <x:v>0</x:v>
      </x:c>
      <x:c r="H170" s="91" t="str"/>
      <x:c r="I170" s="91" t="str"/>
      <x:c r="J170" s="91" t="str"/>
      <x:c r="K170" s="91" t="str"/>
      <x:c r="L170" s="91" t="str">
        <x:v>OPEN</x:v>
      </x:c>
    </x:row>
    <x:row r="171">
      <x:c r="A171" s="86" t="str">
        <x:v>CT-166</x:v>
      </x:c>
      <x:c r="B171" s="86" t="str">
        <x:v>FGT-17</x:v>
      </x:c>
      <x:c r="C171" s="86" t="str">
        <x:v>SCM-25</x:v>
      </x:c>
      <x:c r="D171" s="86" t="str">
        <x:v>B</x:v>
      </x:c>
      <x:c r="E171" s="86" t="str">
        <x:v>C2</x:v>
      </x:c>
      <x:c r="F171" s="86" t="str">
        <x:v>atmosphere transit</x:v>
      </x:c>
      <x:c r="G171" s="104" t="n">
        <x:v>0</x:v>
      </x:c>
      <x:c r="H171" s="91" t="str"/>
      <x:c r="I171" s="91" t="str"/>
      <x:c r="J171" s="91" t="str"/>
      <x:c r="K171" s="91" t="str"/>
      <x:c r="L171" s="91" t="str">
        <x:v>OPEN</x:v>
      </x:c>
    </x:row>
    <x:row r="172">
      <x:c r="A172" s="86" t="str">
        <x:v>CT-167</x:v>
      </x:c>
      <x:c r="B172" s="86" t="str">
        <x:v>FGT-17</x:v>
      </x:c>
      <x:c r="C172" s="86" t="str">
        <x:v>SCM-25</x:v>
      </x:c>
      <x:c r="D172" s="86" t="str">
        <x:v>B</x:v>
      </x:c>
      <x:c r="E172" s="86" t="str">
        <x:v>C2</x:v>
      </x:c>
      <x:c r="F172" s="86" t="str">
        <x:v>PHO/ION obscuration</x:v>
      </x:c>
      <x:c r="G172" s="104" t="n">
        <x:v>0</x:v>
      </x:c>
      <x:c r="H172" s="91" t="str"/>
      <x:c r="I172" s="91" t="str"/>
      <x:c r="J172" s="91" t="str"/>
      <x:c r="K172" s="91" t="str"/>
      <x:c r="L172" s="91" t="str">
        <x:v>OPEN</x:v>
      </x:c>
    </x:row>
    <x:row r="173">
      <x:c r="A173" s="86" t="str">
        <x:v>CT-168</x:v>
      </x:c>
      <x:c r="B173" s="86" t="str">
        <x:v>FGT-17</x:v>
      </x:c>
      <x:c r="C173" s="86" t="str">
        <x:v>SCM-25</x:v>
      </x:c>
      <x:c r="D173" s="86" t="str">
        <x:v>B</x:v>
      </x:c>
      <x:c r="E173" s="86" t="str">
        <x:v>C2</x:v>
      </x:c>
      <x:c r="F173" s="86" t="str">
        <x:v>product-route challenge</x:v>
      </x:c>
      <x:c r="G173" s="104" t="n">
        <x:v>0</x:v>
      </x:c>
      <x:c r="H173" s="91" t="str"/>
      <x:c r="I173" s="91" t="str"/>
      <x:c r="J173" s="91" t="str"/>
      <x:c r="K173" s="91" t="str"/>
      <x:c r="L173" s="91" t="str">
        <x:v>OPEN</x:v>
      </x:c>
    </x:row>
    <x:row r="174">
      <x:c r="A174" s="86" t="str">
        <x:v>CT-169</x:v>
      </x:c>
      <x:c r="B174" s="86" t="str">
        <x:v>FGT-17</x:v>
      </x:c>
      <x:c r="C174" s="86" t="str">
        <x:v>SCM-25</x:v>
      </x:c>
      <x:c r="D174" s="86" t="str">
        <x:v>B</x:v>
      </x:c>
      <x:c r="E174" s="86" t="str">
        <x:v>C2</x:v>
      </x:c>
      <x:c r="F174" s="86" t="str">
        <x:v>root and service denial</x:v>
      </x:c>
      <x:c r="G174" s="104" t="n">
        <x:v>0</x:v>
      </x:c>
      <x:c r="H174" s="91" t="str"/>
      <x:c r="I174" s="91" t="str"/>
      <x:c r="J174" s="91" t="str"/>
      <x:c r="K174" s="91" t="str"/>
      <x:c r="L174" s="91" t="str">
        <x:v>OPEN</x:v>
      </x:c>
    </x:row>
    <x:row r="175">
      <x:c r="A175" s="86" t="str">
        <x:v>CT-170</x:v>
      </x:c>
      <x:c r="B175" s="86" t="str">
        <x:v>FGT-17</x:v>
      </x:c>
      <x:c r="C175" s="86" t="str">
        <x:v>SCM-25</x:v>
      </x:c>
      <x:c r="D175" s="86" t="str">
        <x:v>B</x:v>
      </x:c>
      <x:c r="E175" s="86" t="str">
        <x:v>C2</x:v>
      </x:c>
      <x:c r="F175" s="86" t="str">
        <x:v>thermal-soak return</x:v>
      </x:c>
      <x:c r="G175" s="104" t="n">
        <x:v>0</x:v>
      </x:c>
      <x:c r="H175" s="91" t="str"/>
      <x:c r="I175" s="91" t="str"/>
      <x:c r="J175" s="91" t="str"/>
      <x:c r="K175" s="91" t="str"/>
      <x:c r="L175" s="91" t="str">
        <x:v>OPEN</x:v>
      </x:c>
    </x:row>
    <x:row r="176">
      <x:c r="A176" s="86" t="str">
        <x:v>CT-171</x:v>
      </x:c>
      <x:c r="B176" s="86" t="str">
        <x:v>FGT-18</x:v>
      </x:c>
      <x:c r="C176" s="86" t="str">
        <x:v>SCM-25</x:v>
      </x:c>
      <x:c r="D176" s="86" t="str">
        <x:v>B</x:v>
      </x:c>
      <x:c r="E176" s="86" t="str">
        <x:v>C3</x:v>
      </x:c>
      <x:c r="F176" s="86" t="str">
        <x:v>sealed zero</x:v>
      </x:c>
      <x:c r="G176" s="104" t="n">
        <x:v>0</x:v>
      </x:c>
      <x:c r="H176" s="91" t="str"/>
      <x:c r="I176" s="91" t="str"/>
      <x:c r="J176" s="91" t="str"/>
      <x:c r="K176" s="91" t="str"/>
      <x:c r="L176" s="91" t="str">
        <x:v>OPEN</x:v>
      </x:c>
    </x:row>
    <x:row r="177">
      <x:c r="A177" s="86" t="str">
        <x:v>CT-172</x:v>
      </x:c>
      <x:c r="B177" s="86" t="str">
        <x:v>FGT-18</x:v>
      </x:c>
      <x:c r="C177" s="86" t="str">
        <x:v>SCM-25</x:v>
      </x:c>
      <x:c r="D177" s="86" t="str">
        <x:v>B</x:v>
      </x:c>
      <x:c r="E177" s="86" t="str">
        <x:v>C3</x:v>
      </x:c>
      <x:c r="F177" s="86" t="str">
        <x:v>250 kg cold load</x:v>
      </x:c>
      <x:c r="G177" s="104" t="n">
        <x:v>250</x:v>
      </x:c>
      <x:c r="H177" s="91" t="str"/>
      <x:c r="I177" s="91" t="str"/>
      <x:c r="J177" s="91" t="str"/>
      <x:c r="K177" s="91" t="str"/>
      <x:c r="L177" s="91" t="str">
        <x:v>OPEN</x:v>
      </x:c>
    </x:row>
    <x:row r="178">
      <x:c r="A178" s="86" t="str">
        <x:v>CT-173</x:v>
      </x:c>
      <x:c r="B178" s="86" t="str">
        <x:v>FGT-18</x:v>
      </x:c>
      <x:c r="C178" s="86" t="str">
        <x:v>SCM-25</x:v>
      </x:c>
      <x:c r="D178" s="86" t="str">
        <x:v>B</x:v>
      </x:c>
      <x:c r="E178" s="86" t="str">
        <x:v>C3</x:v>
      </x:c>
      <x:c r="F178" s="86" t="str">
        <x:v>500 kg cold load</x:v>
      </x:c>
      <x:c r="G178" s="104" t="n">
        <x:v>500</x:v>
      </x:c>
      <x:c r="H178" s="91" t="str"/>
      <x:c r="I178" s="91" t="str"/>
      <x:c r="J178" s="91" t="str"/>
      <x:c r="K178" s="91" t="str"/>
      <x:c r="L178" s="91" t="str">
        <x:v>OPEN</x:v>
      </x:c>
    </x:row>
    <x:row r="179">
      <x:c r="A179" s="86" t="str">
        <x:v>CT-174</x:v>
      </x:c>
      <x:c r="B179" s="86" t="str">
        <x:v>FGT-18</x:v>
      </x:c>
      <x:c r="C179" s="86" t="str">
        <x:v>SCM-25</x:v>
      </x:c>
      <x:c r="D179" s="86" t="str">
        <x:v>B</x:v>
      </x:c>
      <x:c r="E179" s="86" t="str">
        <x:v>C3</x:v>
      </x:c>
      <x:c r="F179" s="86" t="str">
        <x:v>500 kg topology tracer</x:v>
      </x:c>
      <x:c r="G179" s="104" t="n">
        <x:v>500</x:v>
      </x:c>
      <x:c r="H179" s="91" t="str"/>
      <x:c r="I179" s="91" t="str"/>
      <x:c r="J179" s="91" t="str"/>
      <x:c r="K179" s="91" t="str"/>
      <x:c r="L179" s="91" t="str">
        <x:v>OPEN</x:v>
      </x:c>
    </x:row>
    <x:row r="180">
      <x:c r="A180" s="86" t="str">
        <x:v>CT-175</x:v>
      </x:c>
      <x:c r="B180" s="86" t="str">
        <x:v>FGT-18</x:v>
      </x:c>
      <x:c r="C180" s="86" t="str">
        <x:v>SCM-25</x:v>
      </x:c>
      <x:c r="D180" s="86" t="str">
        <x:v>B</x:v>
      </x:c>
      <x:c r="E180" s="86" t="str">
        <x:v>C3</x:v>
      </x:c>
      <x:c r="F180" s="86" t="str">
        <x:v>30-minute thermal surrogate</x:v>
      </x:c>
      <x:c r="G180" s="104" t="n">
        <x:v>0</x:v>
      </x:c>
      <x:c r="H180" s="91" t="str"/>
      <x:c r="I180" s="91" t="str"/>
      <x:c r="J180" s="91" t="str"/>
      <x:c r="K180" s="91" t="str"/>
      <x:c r="L180" s="91" t="str">
        <x:v>OPEN</x:v>
      </x:c>
    </x:row>
    <x:row r="181">
      <x:c r="A181" s="86" t="str">
        <x:v>CT-176</x:v>
      </x:c>
      <x:c r="B181" s="86" t="str">
        <x:v>FGT-18</x:v>
      </x:c>
      <x:c r="C181" s="86" t="str">
        <x:v>SCM-25</x:v>
      </x:c>
      <x:c r="D181" s="86" t="str">
        <x:v>B</x:v>
      </x:c>
      <x:c r="E181" s="86" t="str">
        <x:v>C3</x:v>
      </x:c>
      <x:c r="F181" s="86" t="str">
        <x:v>atmosphere transit</x:v>
      </x:c>
      <x:c r="G181" s="104" t="n">
        <x:v>0</x:v>
      </x:c>
      <x:c r="H181" s="91" t="str"/>
      <x:c r="I181" s="91" t="str"/>
      <x:c r="J181" s="91" t="str"/>
      <x:c r="K181" s="91" t="str"/>
      <x:c r="L181" s="91" t="str">
        <x:v>OPEN</x:v>
      </x:c>
    </x:row>
    <x:row r="182">
      <x:c r="A182" s="86" t="str">
        <x:v>CT-177</x:v>
      </x:c>
      <x:c r="B182" s="86" t="str">
        <x:v>FGT-18</x:v>
      </x:c>
      <x:c r="C182" s="86" t="str">
        <x:v>SCM-25</x:v>
      </x:c>
      <x:c r="D182" s="86" t="str">
        <x:v>B</x:v>
      </x:c>
      <x:c r="E182" s="86" t="str">
        <x:v>C3</x:v>
      </x:c>
      <x:c r="F182" s="86" t="str">
        <x:v>PHO/ION obscuration</x:v>
      </x:c>
      <x:c r="G182" s="104" t="n">
        <x:v>0</x:v>
      </x:c>
      <x:c r="H182" s="91" t="str"/>
      <x:c r="I182" s="91" t="str"/>
      <x:c r="J182" s="91" t="str"/>
      <x:c r="K182" s="91" t="str"/>
      <x:c r="L182" s="91" t="str">
        <x:v>OPEN</x:v>
      </x:c>
    </x:row>
    <x:row r="183">
      <x:c r="A183" s="86" t="str">
        <x:v>CT-178</x:v>
      </x:c>
      <x:c r="B183" s="86" t="str">
        <x:v>FGT-18</x:v>
      </x:c>
      <x:c r="C183" s="86" t="str">
        <x:v>SCM-25</x:v>
      </x:c>
      <x:c r="D183" s="86" t="str">
        <x:v>B</x:v>
      </x:c>
      <x:c r="E183" s="86" t="str">
        <x:v>C3</x:v>
      </x:c>
      <x:c r="F183" s="86" t="str">
        <x:v>product-route challenge</x:v>
      </x:c>
      <x:c r="G183" s="104" t="n">
        <x:v>0</x:v>
      </x:c>
      <x:c r="H183" s="91" t="str"/>
      <x:c r="I183" s="91" t="str"/>
      <x:c r="J183" s="91" t="str"/>
      <x:c r="K183" s="91" t="str"/>
      <x:c r="L183" s="91" t="str">
        <x:v>OPEN</x:v>
      </x:c>
    </x:row>
    <x:row r="184">
      <x:c r="A184" s="86" t="str">
        <x:v>CT-179</x:v>
      </x:c>
      <x:c r="B184" s="86" t="str">
        <x:v>FGT-18</x:v>
      </x:c>
      <x:c r="C184" s="86" t="str">
        <x:v>SCM-25</x:v>
      </x:c>
      <x:c r="D184" s="86" t="str">
        <x:v>B</x:v>
      </x:c>
      <x:c r="E184" s="86" t="str">
        <x:v>C3</x:v>
      </x:c>
      <x:c r="F184" s="86" t="str">
        <x:v>root and service denial</x:v>
      </x:c>
      <x:c r="G184" s="104" t="n">
        <x:v>0</x:v>
      </x:c>
      <x:c r="H184" s="91" t="str"/>
      <x:c r="I184" s="91" t="str"/>
      <x:c r="J184" s="91" t="str"/>
      <x:c r="K184" s="91" t="str"/>
      <x:c r="L184" s="91" t="str">
        <x:v>OPEN</x:v>
      </x:c>
    </x:row>
    <x:row r="185">
      <x:c r="A185" s="86" t="str">
        <x:v>CT-180</x:v>
      </x:c>
      <x:c r="B185" s="86" t="str">
        <x:v>FGT-18</x:v>
      </x:c>
      <x:c r="C185" s="86" t="str">
        <x:v>SCM-25</x:v>
      </x:c>
      <x:c r="D185" s="86" t="str">
        <x:v>B</x:v>
      </x:c>
      <x:c r="E185" s="86" t="str">
        <x:v>C3</x:v>
      </x:c>
      <x:c r="F185" s="86" t="str">
        <x:v>thermal-soak return</x:v>
      </x:c>
      <x:c r="G185" s="104" t="n">
        <x:v>0</x:v>
      </x:c>
      <x:c r="H185" s="91" t="str"/>
      <x:c r="I185" s="91" t="str"/>
      <x:c r="J185" s="91" t="str"/>
      <x:c r="K185" s="91" t="str"/>
      <x:c r="L185" s="91" t="str">
        <x:v>OPEN</x:v>
      </x:c>
    </x:row>
    <x:row r="186">
      <x:c r="A186" s="86" t="str">
        <x:v>CT-181</x:v>
      </x:c>
      <x:c r="B186" s="86" t="str">
        <x:v>FGT-19</x:v>
      </x:c>
      <x:c r="C186" s="86" t="str">
        <x:v>RAF-625</x:v>
      </x:c>
      <x:c r="D186" s="86" t="str">
        <x:v>A</x:v>
      </x:c>
      <x:c r="E186" s="86" t="str">
        <x:v>C1</x:v>
      </x:c>
      <x:c r="F186" s="86" t="str">
        <x:v>sealed zero</x:v>
      </x:c>
      <x:c r="G186" s="104" t="n">
        <x:v>0</x:v>
      </x:c>
      <x:c r="H186" s="91" t="str"/>
      <x:c r="I186" s="91" t="str"/>
      <x:c r="J186" s="91" t="str"/>
      <x:c r="K186" s="91" t="str"/>
      <x:c r="L186" s="91" t="str">
        <x:v>OPEN</x:v>
      </x:c>
    </x:row>
    <x:row r="187">
      <x:c r="A187" s="86" t="str">
        <x:v>CT-182</x:v>
      </x:c>
      <x:c r="B187" s="86" t="str">
        <x:v>FGT-19</x:v>
      </x:c>
      <x:c r="C187" s="86" t="str">
        <x:v>RAF-625</x:v>
      </x:c>
      <x:c r="D187" s="86" t="str">
        <x:v>A</x:v>
      </x:c>
      <x:c r="E187" s="86" t="str">
        <x:v>C1</x:v>
      </x:c>
      <x:c r="F187" s="86" t="str">
        <x:v>250 kg cold load</x:v>
      </x:c>
      <x:c r="G187" s="104" t="n">
        <x:v>250</x:v>
      </x:c>
      <x:c r="H187" s="91" t="str"/>
      <x:c r="I187" s="91" t="str"/>
      <x:c r="J187" s="91" t="str"/>
      <x:c r="K187" s="91" t="str"/>
      <x:c r="L187" s="91" t="str">
        <x:v>OPEN</x:v>
      </x:c>
    </x:row>
    <x:row r="188">
      <x:c r="A188" s="86" t="str">
        <x:v>CT-183</x:v>
      </x:c>
      <x:c r="B188" s="86" t="str">
        <x:v>FGT-19</x:v>
      </x:c>
      <x:c r="C188" s="86" t="str">
        <x:v>RAF-625</x:v>
      </x:c>
      <x:c r="D188" s="86" t="str">
        <x:v>A</x:v>
      </x:c>
      <x:c r="E188" s="86" t="str">
        <x:v>C1</x:v>
      </x:c>
      <x:c r="F188" s="86" t="str">
        <x:v>500 kg cold load</x:v>
      </x:c>
      <x:c r="G188" s="104" t="n">
        <x:v>500</x:v>
      </x:c>
      <x:c r="H188" s="91" t="str"/>
      <x:c r="I188" s="91" t="str"/>
      <x:c r="J188" s="91" t="str"/>
      <x:c r="K188" s="91" t="str"/>
      <x:c r="L188" s="91" t="str">
        <x:v>OPEN</x:v>
      </x:c>
    </x:row>
    <x:row r="189">
      <x:c r="A189" s="86" t="str">
        <x:v>CT-184</x:v>
      </x:c>
      <x:c r="B189" s="86" t="str">
        <x:v>FGT-19</x:v>
      </x:c>
      <x:c r="C189" s="86" t="str">
        <x:v>RAF-625</x:v>
      </x:c>
      <x:c r="D189" s="86" t="str">
        <x:v>A</x:v>
      </x:c>
      <x:c r="E189" s="86" t="str">
        <x:v>C1</x:v>
      </x:c>
      <x:c r="F189" s="86" t="str">
        <x:v>500 kg topology tracer</x:v>
      </x:c>
      <x:c r="G189" s="104" t="n">
        <x:v>500</x:v>
      </x:c>
      <x:c r="H189" s="91" t="str"/>
      <x:c r="I189" s="91" t="str"/>
      <x:c r="J189" s="91" t="str"/>
      <x:c r="K189" s="91" t="str"/>
      <x:c r="L189" s="91" t="str">
        <x:v>OPEN</x:v>
      </x:c>
    </x:row>
    <x:row r="190">
      <x:c r="A190" s="86" t="str">
        <x:v>CT-185</x:v>
      </x:c>
      <x:c r="B190" s="86" t="str">
        <x:v>FGT-19</x:v>
      </x:c>
      <x:c r="C190" s="86" t="str">
        <x:v>RAF-625</x:v>
      </x:c>
      <x:c r="D190" s="86" t="str">
        <x:v>A</x:v>
      </x:c>
      <x:c r="E190" s="86" t="str">
        <x:v>C1</x:v>
      </x:c>
      <x:c r="F190" s="86" t="str">
        <x:v>30-minute thermal surrogate</x:v>
      </x:c>
      <x:c r="G190" s="104" t="n">
        <x:v>0</x:v>
      </x:c>
      <x:c r="H190" s="91" t="str"/>
      <x:c r="I190" s="91" t="str"/>
      <x:c r="J190" s="91" t="str"/>
      <x:c r="K190" s="91" t="str"/>
      <x:c r="L190" s="91" t="str">
        <x:v>OPEN</x:v>
      </x:c>
    </x:row>
    <x:row r="191">
      <x:c r="A191" s="86" t="str">
        <x:v>CT-186</x:v>
      </x:c>
      <x:c r="B191" s="86" t="str">
        <x:v>FGT-19</x:v>
      </x:c>
      <x:c r="C191" s="86" t="str">
        <x:v>RAF-625</x:v>
      </x:c>
      <x:c r="D191" s="86" t="str">
        <x:v>A</x:v>
      </x:c>
      <x:c r="E191" s="86" t="str">
        <x:v>C1</x:v>
      </x:c>
      <x:c r="F191" s="86" t="str">
        <x:v>atmosphere transit</x:v>
      </x:c>
      <x:c r="G191" s="104" t="n">
        <x:v>0</x:v>
      </x:c>
      <x:c r="H191" s="91" t="str"/>
      <x:c r="I191" s="91" t="str"/>
      <x:c r="J191" s="91" t="str"/>
      <x:c r="K191" s="91" t="str"/>
      <x:c r="L191" s="91" t="str">
        <x:v>OPEN</x:v>
      </x:c>
    </x:row>
    <x:row r="192">
      <x:c r="A192" s="86" t="str">
        <x:v>CT-187</x:v>
      </x:c>
      <x:c r="B192" s="86" t="str">
        <x:v>FGT-19</x:v>
      </x:c>
      <x:c r="C192" s="86" t="str">
        <x:v>RAF-625</x:v>
      </x:c>
      <x:c r="D192" s="86" t="str">
        <x:v>A</x:v>
      </x:c>
      <x:c r="E192" s="86" t="str">
        <x:v>C1</x:v>
      </x:c>
      <x:c r="F192" s="86" t="str">
        <x:v>PHO/ION obscuration</x:v>
      </x:c>
      <x:c r="G192" s="104" t="n">
        <x:v>0</x:v>
      </x:c>
      <x:c r="H192" s="91" t="str"/>
      <x:c r="I192" s="91" t="str"/>
      <x:c r="J192" s="91" t="str"/>
      <x:c r="K192" s="91" t="str"/>
      <x:c r="L192" s="91" t="str">
        <x:v>OPEN</x:v>
      </x:c>
    </x:row>
    <x:row r="193">
      <x:c r="A193" s="86" t="str">
        <x:v>CT-188</x:v>
      </x:c>
      <x:c r="B193" s="86" t="str">
        <x:v>FGT-19</x:v>
      </x:c>
      <x:c r="C193" s="86" t="str">
        <x:v>RAF-625</x:v>
      </x:c>
      <x:c r="D193" s="86" t="str">
        <x:v>A</x:v>
      </x:c>
      <x:c r="E193" s="86" t="str">
        <x:v>C1</x:v>
      </x:c>
      <x:c r="F193" s="86" t="str">
        <x:v>product-route challenge</x:v>
      </x:c>
      <x:c r="G193" s="104" t="n">
        <x:v>0</x:v>
      </x:c>
      <x:c r="H193" s="91" t="str"/>
      <x:c r="I193" s="91" t="str"/>
      <x:c r="J193" s="91" t="str"/>
      <x:c r="K193" s="91" t="str"/>
      <x:c r="L193" s="91" t="str">
        <x:v>OPEN</x:v>
      </x:c>
    </x:row>
    <x:row r="194">
      <x:c r="A194" s="86" t="str">
        <x:v>CT-189</x:v>
      </x:c>
      <x:c r="B194" s="86" t="str">
        <x:v>FGT-19</x:v>
      </x:c>
      <x:c r="C194" s="86" t="str">
        <x:v>RAF-625</x:v>
      </x:c>
      <x:c r="D194" s="86" t="str">
        <x:v>A</x:v>
      </x:c>
      <x:c r="E194" s="86" t="str">
        <x:v>C1</x:v>
      </x:c>
      <x:c r="F194" s="86" t="str">
        <x:v>root and service denial</x:v>
      </x:c>
      <x:c r="G194" s="104" t="n">
        <x:v>0</x:v>
      </x:c>
      <x:c r="H194" s="91" t="str"/>
      <x:c r="I194" s="91" t="str"/>
      <x:c r="J194" s="91" t="str"/>
      <x:c r="K194" s="91" t="str"/>
      <x:c r="L194" s="91" t="str">
        <x:v>OPEN</x:v>
      </x:c>
    </x:row>
    <x:row r="195">
      <x:c r="A195" s="86" t="str">
        <x:v>CT-190</x:v>
      </x:c>
      <x:c r="B195" s="86" t="str">
        <x:v>FGT-19</x:v>
      </x:c>
      <x:c r="C195" s="86" t="str">
        <x:v>RAF-625</x:v>
      </x:c>
      <x:c r="D195" s="86" t="str">
        <x:v>A</x:v>
      </x:c>
      <x:c r="E195" s="86" t="str">
        <x:v>C1</x:v>
      </x:c>
      <x:c r="F195" s="86" t="str">
        <x:v>thermal-soak return</x:v>
      </x:c>
      <x:c r="G195" s="104" t="n">
        <x:v>0</x:v>
      </x:c>
      <x:c r="H195" s="91" t="str"/>
      <x:c r="I195" s="91" t="str"/>
      <x:c r="J195" s="91" t="str"/>
      <x:c r="K195" s="91" t="str"/>
      <x:c r="L195" s="91" t="str">
        <x:v>OPEN</x:v>
      </x:c>
    </x:row>
    <x:row r="196">
      <x:c r="A196" s="86" t="str">
        <x:v>CT-191</x:v>
      </x:c>
      <x:c r="B196" s="86" t="str">
        <x:v>FGT-20</x:v>
      </x:c>
      <x:c r="C196" s="86" t="str">
        <x:v>RAF-625</x:v>
      </x:c>
      <x:c r="D196" s="86" t="str">
        <x:v>A</x:v>
      </x:c>
      <x:c r="E196" s="86" t="str">
        <x:v>C2</x:v>
      </x:c>
      <x:c r="F196" s="86" t="str">
        <x:v>sealed zero</x:v>
      </x:c>
      <x:c r="G196" s="104" t="n">
        <x:v>0</x:v>
      </x:c>
      <x:c r="H196" s="91" t="str"/>
      <x:c r="I196" s="91" t="str"/>
      <x:c r="J196" s="91" t="str"/>
      <x:c r="K196" s="91" t="str"/>
      <x:c r="L196" s="91" t="str">
        <x:v>OPEN</x:v>
      </x:c>
    </x:row>
    <x:row r="197">
      <x:c r="A197" s="86" t="str">
        <x:v>CT-192</x:v>
      </x:c>
      <x:c r="B197" s="86" t="str">
        <x:v>FGT-20</x:v>
      </x:c>
      <x:c r="C197" s="86" t="str">
        <x:v>RAF-625</x:v>
      </x:c>
      <x:c r="D197" s="86" t="str">
        <x:v>A</x:v>
      </x:c>
      <x:c r="E197" s="86" t="str">
        <x:v>C2</x:v>
      </x:c>
      <x:c r="F197" s="86" t="str">
        <x:v>250 kg cold load</x:v>
      </x:c>
      <x:c r="G197" s="104" t="n">
        <x:v>250</x:v>
      </x:c>
      <x:c r="H197" s="91" t="str"/>
      <x:c r="I197" s="91" t="str"/>
      <x:c r="J197" s="91" t="str"/>
      <x:c r="K197" s="91" t="str"/>
      <x:c r="L197" s="91" t="str">
        <x:v>OPEN</x:v>
      </x:c>
    </x:row>
    <x:row r="198">
      <x:c r="A198" s="86" t="str">
        <x:v>CT-193</x:v>
      </x:c>
      <x:c r="B198" s="86" t="str">
        <x:v>FGT-20</x:v>
      </x:c>
      <x:c r="C198" s="86" t="str">
        <x:v>RAF-625</x:v>
      </x:c>
      <x:c r="D198" s="86" t="str">
        <x:v>A</x:v>
      </x:c>
      <x:c r="E198" s="86" t="str">
        <x:v>C2</x:v>
      </x:c>
      <x:c r="F198" s="86" t="str">
        <x:v>500 kg cold load</x:v>
      </x:c>
      <x:c r="G198" s="104" t="n">
        <x:v>500</x:v>
      </x:c>
      <x:c r="H198" s="91" t="str"/>
      <x:c r="I198" s="91" t="str"/>
      <x:c r="J198" s="91" t="str"/>
      <x:c r="K198" s="91" t="str"/>
      <x:c r="L198" s="91" t="str">
        <x:v>OPEN</x:v>
      </x:c>
    </x:row>
    <x:row r="199">
      <x:c r="A199" s="86" t="str">
        <x:v>CT-194</x:v>
      </x:c>
      <x:c r="B199" s="86" t="str">
        <x:v>FGT-20</x:v>
      </x:c>
      <x:c r="C199" s="86" t="str">
        <x:v>RAF-625</x:v>
      </x:c>
      <x:c r="D199" s="86" t="str">
        <x:v>A</x:v>
      </x:c>
      <x:c r="E199" s="86" t="str">
        <x:v>C2</x:v>
      </x:c>
      <x:c r="F199" s="86" t="str">
        <x:v>500 kg topology tracer</x:v>
      </x:c>
      <x:c r="G199" s="104" t="n">
        <x:v>500</x:v>
      </x:c>
      <x:c r="H199" s="91" t="str"/>
      <x:c r="I199" s="91" t="str"/>
      <x:c r="J199" s="91" t="str"/>
      <x:c r="K199" s="91" t="str"/>
      <x:c r="L199" s="91" t="str">
        <x:v>OPEN</x:v>
      </x:c>
    </x:row>
    <x:row r="200">
      <x:c r="A200" s="86" t="str">
        <x:v>CT-195</x:v>
      </x:c>
      <x:c r="B200" s="86" t="str">
        <x:v>FGT-20</x:v>
      </x:c>
      <x:c r="C200" s="86" t="str">
        <x:v>RAF-625</x:v>
      </x:c>
      <x:c r="D200" s="86" t="str">
        <x:v>A</x:v>
      </x:c>
      <x:c r="E200" s="86" t="str">
        <x:v>C2</x:v>
      </x:c>
      <x:c r="F200" s="86" t="str">
        <x:v>30-minute thermal surrogate</x:v>
      </x:c>
      <x:c r="G200" s="104" t="n">
        <x:v>0</x:v>
      </x:c>
      <x:c r="H200" s="91" t="str"/>
      <x:c r="I200" s="91" t="str"/>
      <x:c r="J200" s="91" t="str"/>
      <x:c r="K200" s="91" t="str"/>
      <x:c r="L200" s="91" t="str">
        <x:v>OPEN</x:v>
      </x:c>
    </x:row>
    <x:row r="201">
      <x:c r="A201" s="86" t="str">
        <x:v>CT-196</x:v>
      </x:c>
      <x:c r="B201" s="86" t="str">
        <x:v>FGT-20</x:v>
      </x:c>
      <x:c r="C201" s="86" t="str">
        <x:v>RAF-625</x:v>
      </x:c>
      <x:c r="D201" s="86" t="str">
        <x:v>A</x:v>
      </x:c>
      <x:c r="E201" s="86" t="str">
        <x:v>C2</x:v>
      </x:c>
      <x:c r="F201" s="86" t="str">
        <x:v>atmosphere transit</x:v>
      </x:c>
      <x:c r="G201" s="104" t="n">
        <x:v>0</x:v>
      </x:c>
      <x:c r="H201" s="91" t="str"/>
      <x:c r="I201" s="91" t="str"/>
      <x:c r="J201" s="91" t="str"/>
      <x:c r="K201" s="91" t="str"/>
      <x:c r="L201" s="91" t="str">
        <x:v>OPEN</x:v>
      </x:c>
    </x:row>
    <x:row r="202">
      <x:c r="A202" s="86" t="str">
        <x:v>CT-197</x:v>
      </x:c>
      <x:c r="B202" s="86" t="str">
        <x:v>FGT-20</x:v>
      </x:c>
      <x:c r="C202" s="86" t="str">
        <x:v>RAF-625</x:v>
      </x:c>
      <x:c r="D202" s="86" t="str">
        <x:v>A</x:v>
      </x:c>
      <x:c r="E202" s="86" t="str">
        <x:v>C2</x:v>
      </x:c>
      <x:c r="F202" s="86" t="str">
        <x:v>PHO/ION obscuration</x:v>
      </x:c>
      <x:c r="G202" s="104" t="n">
        <x:v>0</x:v>
      </x:c>
      <x:c r="H202" s="91" t="str"/>
      <x:c r="I202" s="91" t="str"/>
      <x:c r="J202" s="91" t="str"/>
      <x:c r="K202" s="91" t="str"/>
      <x:c r="L202" s="91" t="str">
        <x:v>OPEN</x:v>
      </x:c>
    </x:row>
    <x:row r="203">
      <x:c r="A203" s="86" t="str">
        <x:v>CT-198</x:v>
      </x:c>
      <x:c r="B203" s="86" t="str">
        <x:v>FGT-20</x:v>
      </x:c>
      <x:c r="C203" s="86" t="str">
        <x:v>RAF-625</x:v>
      </x:c>
      <x:c r="D203" s="86" t="str">
        <x:v>A</x:v>
      </x:c>
      <x:c r="E203" s="86" t="str">
        <x:v>C2</x:v>
      </x:c>
      <x:c r="F203" s="86" t="str">
        <x:v>product-route challenge</x:v>
      </x:c>
      <x:c r="G203" s="104" t="n">
        <x:v>0</x:v>
      </x:c>
      <x:c r="H203" s="91" t="str"/>
      <x:c r="I203" s="91" t="str"/>
      <x:c r="J203" s="91" t="str"/>
      <x:c r="K203" s="91" t="str"/>
      <x:c r="L203" s="91" t="str">
        <x:v>OPEN</x:v>
      </x:c>
    </x:row>
    <x:row r="204">
      <x:c r="A204" s="86" t="str">
        <x:v>CT-199</x:v>
      </x:c>
      <x:c r="B204" s="86" t="str">
        <x:v>FGT-20</x:v>
      </x:c>
      <x:c r="C204" s="86" t="str">
        <x:v>RAF-625</x:v>
      </x:c>
      <x:c r="D204" s="86" t="str">
        <x:v>A</x:v>
      </x:c>
      <x:c r="E204" s="86" t="str">
        <x:v>C2</x:v>
      </x:c>
      <x:c r="F204" s="86" t="str">
        <x:v>root and service denial</x:v>
      </x:c>
      <x:c r="G204" s="104" t="n">
        <x:v>0</x:v>
      </x:c>
      <x:c r="H204" s="91" t="str"/>
      <x:c r="I204" s="91" t="str"/>
      <x:c r="J204" s="91" t="str"/>
      <x:c r="K204" s="91" t="str"/>
      <x:c r="L204" s="91" t="str">
        <x:v>OPEN</x:v>
      </x:c>
    </x:row>
    <x:row r="205">
      <x:c r="A205" s="86" t="str">
        <x:v>CT-200</x:v>
      </x:c>
      <x:c r="B205" s="86" t="str">
        <x:v>FGT-20</x:v>
      </x:c>
      <x:c r="C205" s="86" t="str">
        <x:v>RAF-625</x:v>
      </x:c>
      <x:c r="D205" s="86" t="str">
        <x:v>A</x:v>
      </x:c>
      <x:c r="E205" s="86" t="str">
        <x:v>C2</x:v>
      </x:c>
      <x:c r="F205" s="86" t="str">
        <x:v>thermal-soak return</x:v>
      </x:c>
      <x:c r="G205" s="104" t="n">
        <x:v>0</x:v>
      </x:c>
      <x:c r="H205" s="91" t="str"/>
      <x:c r="I205" s="91" t="str"/>
      <x:c r="J205" s="91" t="str"/>
      <x:c r="K205" s="91" t="str"/>
      <x:c r="L205" s="91" t="str">
        <x:v>OPEN</x:v>
      </x:c>
    </x:row>
    <x:row r="206">
      <x:c r="A206" s="86" t="str">
        <x:v>CT-201</x:v>
      </x:c>
      <x:c r="B206" s="86" t="str">
        <x:v>FGT-21</x:v>
      </x:c>
      <x:c r="C206" s="86" t="str">
        <x:v>RAF-625</x:v>
      </x:c>
      <x:c r="D206" s="86" t="str">
        <x:v>A</x:v>
      </x:c>
      <x:c r="E206" s="86" t="str">
        <x:v>C3</x:v>
      </x:c>
      <x:c r="F206" s="86" t="str">
        <x:v>sealed zero</x:v>
      </x:c>
      <x:c r="G206" s="104" t="n">
        <x:v>0</x:v>
      </x:c>
      <x:c r="H206" s="91" t="str"/>
      <x:c r="I206" s="91" t="str"/>
      <x:c r="J206" s="91" t="str"/>
      <x:c r="K206" s="91" t="str"/>
      <x:c r="L206" s="91" t="str">
        <x:v>OPEN</x:v>
      </x:c>
    </x:row>
    <x:row r="207">
      <x:c r="A207" s="86" t="str">
        <x:v>CT-202</x:v>
      </x:c>
      <x:c r="B207" s="86" t="str">
        <x:v>FGT-21</x:v>
      </x:c>
      <x:c r="C207" s="86" t="str">
        <x:v>RAF-625</x:v>
      </x:c>
      <x:c r="D207" s="86" t="str">
        <x:v>A</x:v>
      </x:c>
      <x:c r="E207" s="86" t="str">
        <x:v>C3</x:v>
      </x:c>
      <x:c r="F207" s="86" t="str">
        <x:v>250 kg cold load</x:v>
      </x:c>
      <x:c r="G207" s="104" t="n">
        <x:v>250</x:v>
      </x:c>
      <x:c r="H207" s="91" t="str"/>
      <x:c r="I207" s="91" t="str"/>
      <x:c r="J207" s="91" t="str"/>
      <x:c r="K207" s="91" t="str"/>
      <x:c r="L207" s="91" t="str">
        <x:v>OPEN</x:v>
      </x:c>
    </x:row>
    <x:row r="208">
      <x:c r="A208" s="86" t="str">
        <x:v>CT-203</x:v>
      </x:c>
      <x:c r="B208" s="86" t="str">
        <x:v>FGT-21</x:v>
      </x:c>
      <x:c r="C208" s="86" t="str">
        <x:v>RAF-625</x:v>
      </x:c>
      <x:c r="D208" s="86" t="str">
        <x:v>A</x:v>
      </x:c>
      <x:c r="E208" s="86" t="str">
        <x:v>C3</x:v>
      </x:c>
      <x:c r="F208" s="86" t="str">
        <x:v>500 kg cold load</x:v>
      </x:c>
      <x:c r="G208" s="104" t="n">
        <x:v>500</x:v>
      </x:c>
      <x:c r="H208" s="91" t="str"/>
      <x:c r="I208" s="91" t="str"/>
      <x:c r="J208" s="91" t="str"/>
      <x:c r="K208" s="91" t="str"/>
      <x:c r="L208" s="91" t="str">
        <x:v>OPEN</x:v>
      </x:c>
    </x:row>
    <x:row r="209">
      <x:c r="A209" s="86" t="str">
        <x:v>CT-204</x:v>
      </x:c>
      <x:c r="B209" s="86" t="str">
        <x:v>FGT-21</x:v>
      </x:c>
      <x:c r="C209" s="86" t="str">
        <x:v>RAF-625</x:v>
      </x:c>
      <x:c r="D209" s="86" t="str">
        <x:v>A</x:v>
      </x:c>
      <x:c r="E209" s="86" t="str">
        <x:v>C3</x:v>
      </x:c>
      <x:c r="F209" s="86" t="str">
        <x:v>500 kg topology tracer</x:v>
      </x:c>
      <x:c r="G209" s="104" t="n">
        <x:v>500</x:v>
      </x:c>
      <x:c r="H209" s="91" t="str"/>
      <x:c r="I209" s="91" t="str"/>
      <x:c r="J209" s="91" t="str"/>
      <x:c r="K209" s="91" t="str"/>
      <x:c r="L209" s="91" t="str">
        <x:v>OPEN</x:v>
      </x:c>
    </x:row>
    <x:row r="210">
      <x:c r="A210" s="86" t="str">
        <x:v>CT-205</x:v>
      </x:c>
      <x:c r="B210" s="86" t="str">
        <x:v>FGT-21</x:v>
      </x:c>
      <x:c r="C210" s="86" t="str">
        <x:v>RAF-625</x:v>
      </x:c>
      <x:c r="D210" s="86" t="str">
        <x:v>A</x:v>
      </x:c>
      <x:c r="E210" s="86" t="str">
        <x:v>C3</x:v>
      </x:c>
      <x:c r="F210" s="86" t="str">
        <x:v>30-minute thermal surrogate</x:v>
      </x:c>
      <x:c r="G210" s="104" t="n">
        <x:v>0</x:v>
      </x:c>
      <x:c r="H210" s="91" t="str"/>
      <x:c r="I210" s="91" t="str"/>
      <x:c r="J210" s="91" t="str"/>
      <x:c r="K210" s="91" t="str"/>
      <x:c r="L210" s="91" t="str">
        <x:v>OPEN</x:v>
      </x:c>
    </x:row>
    <x:row r="211">
      <x:c r="A211" s="86" t="str">
        <x:v>CT-206</x:v>
      </x:c>
      <x:c r="B211" s="86" t="str">
        <x:v>FGT-21</x:v>
      </x:c>
      <x:c r="C211" s="86" t="str">
        <x:v>RAF-625</x:v>
      </x:c>
      <x:c r="D211" s="86" t="str">
        <x:v>A</x:v>
      </x:c>
      <x:c r="E211" s="86" t="str">
        <x:v>C3</x:v>
      </x:c>
      <x:c r="F211" s="86" t="str">
        <x:v>atmosphere transit</x:v>
      </x:c>
      <x:c r="G211" s="104" t="n">
        <x:v>0</x:v>
      </x:c>
      <x:c r="H211" s="91" t="str"/>
      <x:c r="I211" s="91" t="str"/>
      <x:c r="J211" s="91" t="str"/>
      <x:c r="K211" s="91" t="str"/>
      <x:c r="L211" s="91" t="str">
        <x:v>OPEN</x:v>
      </x:c>
    </x:row>
    <x:row r="212">
      <x:c r="A212" s="86" t="str">
        <x:v>CT-207</x:v>
      </x:c>
      <x:c r="B212" s="86" t="str">
        <x:v>FGT-21</x:v>
      </x:c>
      <x:c r="C212" s="86" t="str">
        <x:v>RAF-625</x:v>
      </x:c>
      <x:c r="D212" s="86" t="str">
        <x:v>A</x:v>
      </x:c>
      <x:c r="E212" s="86" t="str">
        <x:v>C3</x:v>
      </x:c>
      <x:c r="F212" s="86" t="str">
        <x:v>PHO/ION obscuration</x:v>
      </x:c>
      <x:c r="G212" s="104" t="n">
        <x:v>0</x:v>
      </x:c>
      <x:c r="H212" s="91" t="str"/>
      <x:c r="I212" s="91" t="str"/>
      <x:c r="J212" s="91" t="str"/>
      <x:c r="K212" s="91" t="str"/>
      <x:c r="L212" s="91" t="str">
        <x:v>OPEN</x:v>
      </x:c>
    </x:row>
    <x:row r="213">
      <x:c r="A213" s="86" t="str">
        <x:v>CT-208</x:v>
      </x:c>
      <x:c r="B213" s="86" t="str">
        <x:v>FGT-21</x:v>
      </x:c>
      <x:c r="C213" s="86" t="str">
        <x:v>RAF-625</x:v>
      </x:c>
      <x:c r="D213" s="86" t="str">
        <x:v>A</x:v>
      </x:c>
      <x:c r="E213" s="86" t="str">
        <x:v>C3</x:v>
      </x:c>
      <x:c r="F213" s="86" t="str">
        <x:v>product-route challenge</x:v>
      </x:c>
      <x:c r="G213" s="104" t="n">
        <x:v>0</x:v>
      </x:c>
      <x:c r="H213" s="91" t="str"/>
      <x:c r="I213" s="91" t="str"/>
      <x:c r="J213" s="91" t="str"/>
      <x:c r="K213" s="91" t="str"/>
      <x:c r="L213" s="91" t="str">
        <x:v>OPEN</x:v>
      </x:c>
    </x:row>
    <x:row r="214">
      <x:c r="A214" s="86" t="str">
        <x:v>CT-209</x:v>
      </x:c>
      <x:c r="B214" s="86" t="str">
        <x:v>FGT-21</x:v>
      </x:c>
      <x:c r="C214" s="86" t="str">
        <x:v>RAF-625</x:v>
      </x:c>
      <x:c r="D214" s="86" t="str">
        <x:v>A</x:v>
      </x:c>
      <x:c r="E214" s="86" t="str">
        <x:v>C3</x:v>
      </x:c>
      <x:c r="F214" s="86" t="str">
        <x:v>root and service denial</x:v>
      </x:c>
      <x:c r="G214" s="104" t="n">
        <x:v>0</x:v>
      </x:c>
      <x:c r="H214" s="91" t="str"/>
      <x:c r="I214" s="91" t="str"/>
      <x:c r="J214" s="91" t="str"/>
      <x:c r="K214" s="91" t="str"/>
      <x:c r="L214" s="91" t="str">
        <x:v>OPEN</x:v>
      </x:c>
    </x:row>
    <x:row r="215">
      <x:c r="A215" s="86" t="str">
        <x:v>CT-210</x:v>
      </x:c>
      <x:c r="B215" s="86" t="str">
        <x:v>FGT-21</x:v>
      </x:c>
      <x:c r="C215" s="86" t="str">
        <x:v>RAF-625</x:v>
      </x:c>
      <x:c r="D215" s="86" t="str">
        <x:v>A</x:v>
      </x:c>
      <x:c r="E215" s="86" t="str">
        <x:v>C3</x:v>
      </x:c>
      <x:c r="F215" s="86" t="str">
        <x:v>thermal-soak return</x:v>
      </x:c>
      <x:c r="G215" s="104" t="n">
        <x:v>0</x:v>
      </x:c>
      <x:c r="H215" s="91" t="str"/>
      <x:c r="I215" s="91" t="str"/>
      <x:c r="J215" s="91" t="str"/>
      <x:c r="K215" s="91" t="str"/>
      <x:c r="L215" s="91" t="str">
        <x:v>OPEN</x:v>
      </x:c>
    </x:row>
    <x:row r="216">
      <x:c r="A216" s="86" t="str">
        <x:v>CT-211</x:v>
      </x:c>
      <x:c r="B216" s="86" t="str">
        <x:v>FGT-22</x:v>
      </x:c>
      <x:c r="C216" s="86" t="str">
        <x:v>RAF-625</x:v>
      </x:c>
      <x:c r="D216" s="86" t="str">
        <x:v>B</x:v>
      </x:c>
      <x:c r="E216" s="86" t="str">
        <x:v>C1</x:v>
      </x:c>
      <x:c r="F216" s="86" t="str">
        <x:v>sealed zero</x:v>
      </x:c>
      <x:c r="G216" s="104" t="n">
        <x:v>0</x:v>
      </x:c>
      <x:c r="H216" s="91" t="str"/>
      <x:c r="I216" s="91" t="str"/>
      <x:c r="J216" s="91" t="str"/>
      <x:c r="K216" s="91" t="str"/>
      <x:c r="L216" s="91" t="str">
        <x:v>OPEN</x:v>
      </x:c>
    </x:row>
    <x:row r="217">
      <x:c r="A217" s="86" t="str">
        <x:v>CT-212</x:v>
      </x:c>
      <x:c r="B217" s="86" t="str">
        <x:v>FGT-22</x:v>
      </x:c>
      <x:c r="C217" s="86" t="str">
        <x:v>RAF-625</x:v>
      </x:c>
      <x:c r="D217" s="86" t="str">
        <x:v>B</x:v>
      </x:c>
      <x:c r="E217" s="86" t="str">
        <x:v>C1</x:v>
      </x:c>
      <x:c r="F217" s="86" t="str">
        <x:v>250 kg cold load</x:v>
      </x:c>
      <x:c r="G217" s="104" t="n">
        <x:v>250</x:v>
      </x:c>
      <x:c r="H217" s="91" t="str"/>
      <x:c r="I217" s="91" t="str"/>
      <x:c r="J217" s="91" t="str"/>
      <x:c r="K217" s="91" t="str"/>
      <x:c r="L217" s="91" t="str">
        <x:v>OPEN</x:v>
      </x:c>
    </x:row>
    <x:row r="218">
      <x:c r="A218" s="86" t="str">
        <x:v>CT-213</x:v>
      </x:c>
      <x:c r="B218" s="86" t="str">
        <x:v>FGT-22</x:v>
      </x:c>
      <x:c r="C218" s="86" t="str">
        <x:v>RAF-625</x:v>
      </x:c>
      <x:c r="D218" s="86" t="str">
        <x:v>B</x:v>
      </x:c>
      <x:c r="E218" s="86" t="str">
        <x:v>C1</x:v>
      </x:c>
      <x:c r="F218" s="86" t="str">
        <x:v>500 kg cold load</x:v>
      </x:c>
      <x:c r="G218" s="104" t="n">
        <x:v>500</x:v>
      </x:c>
      <x:c r="H218" s="91" t="str"/>
      <x:c r="I218" s="91" t="str"/>
      <x:c r="J218" s="91" t="str"/>
      <x:c r="K218" s="91" t="str"/>
      <x:c r="L218" s="91" t="str">
        <x:v>OPEN</x:v>
      </x:c>
    </x:row>
    <x:row r="219">
      <x:c r="A219" s="86" t="str">
        <x:v>CT-214</x:v>
      </x:c>
      <x:c r="B219" s="86" t="str">
        <x:v>FGT-22</x:v>
      </x:c>
      <x:c r="C219" s="86" t="str">
        <x:v>RAF-625</x:v>
      </x:c>
      <x:c r="D219" s="86" t="str">
        <x:v>B</x:v>
      </x:c>
      <x:c r="E219" s="86" t="str">
        <x:v>C1</x:v>
      </x:c>
      <x:c r="F219" s="86" t="str">
        <x:v>500 kg topology tracer</x:v>
      </x:c>
      <x:c r="G219" s="104" t="n">
        <x:v>500</x:v>
      </x:c>
      <x:c r="H219" s="91" t="str"/>
      <x:c r="I219" s="91" t="str"/>
      <x:c r="J219" s="91" t="str"/>
      <x:c r="K219" s="91" t="str"/>
      <x:c r="L219" s="91" t="str">
        <x:v>OPEN</x:v>
      </x:c>
    </x:row>
    <x:row r="220">
      <x:c r="A220" s="86" t="str">
        <x:v>CT-215</x:v>
      </x:c>
      <x:c r="B220" s="86" t="str">
        <x:v>FGT-22</x:v>
      </x:c>
      <x:c r="C220" s="86" t="str">
        <x:v>RAF-625</x:v>
      </x:c>
      <x:c r="D220" s="86" t="str">
        <x:v>B</x:v>
      </x:c>
      <x:c r="E220" s="86" t="str">
        <x:v>C1</x:v>
      </x:c>
      <x:c r="F220" s="86" t="str">
        <x:v>30-minute thermal surrogate</x:v>
      </x:c>
      <x:c r="G220" s="104" t="n">
        <x:v>0</x:v>
      </x:c>
      <x:c r="H220" s="91" t="str"/>
      <x:c r="I220" s="91" t="str"/>
      <x:c r="J220" s="91" t="str"/>
      <x:c r="K220" s="91" t="str"/>
      <x:c r="L220" s="91" t="str">
        <x:v>OPEN</x:v>
      </x:c>
    </x:row>
    <x:row r="221">
      <x:c r="A221" s="86" t="str">
        <x:v>CT-216</x:v>
      </x:c>
      <x:c r="B221" s="86" t="str">
        <x:v>FGT-22</x:v>
      </x:c>
      <x:c r="C221" s="86" t="str">
        <x:v>RAF-625</x:v>
      </x:c>
      <x:c r="D221" s="86" t="str">
        <x:v>B</x:v>
      </x:c>
      <x:c r="E221" s="86" t="str">
        <x:v>C1</x:v>
      </x:c>
      <x:c r="F221" s="86" t="str">
        <x:v>atmosphere transit</x:v>
      </x:c>
      <x:c r="G221" s="104" t="n">
        <x:v>0</x:v>
      </x:c>
      <x:c r="H221" s="91" t="str"/>
      <x:c r="I221" s="91" t="str"/>
      <x:c r="J221" s="91" t="str"/>
      <x:c r="K221" s="91" t="str"/>
      <x:c r="L221" s="91" t="str">
        <x:v>OPEN</x:v>
      </x:c>
    </x:row>
    <x:row r="222">
      <x:c r="A222" s="86" t="str">
        <x:v>CT-217</x:v>
      </x:c>
      <x:c r="B222" s="86" t="str">
        <x:v>FGT-22</x:v>
      </x:c>
      <x:c r="C222" s="86" t="str">
        <x:v>RAF-625</x:v>
      </x:c>
      <x:c r="D222" s="86" t="str">
        <x:v>B</x:v>
      </x:c>
      <x:c r="E222" s="86" t="str">
        <x:v>C1</x:v>
      </x:c>
      <x:c r="F222" s="86" t="str">
        <x:v>PHO/ION obscuration</x:v>
      </x:c>
      <x:c r="G222" s="104" t="n">
        <x:v>0</x:v>
      </x:c>
      <x:c r="H222" s="91" t="str"/>
      <x:c r="I222" s="91" t="str"/>
      <x:c r="J222" s="91" t="str"/>
      <x:c r="K222" s="91" t="str"/>
      <x:c r="L222" s="91" t="str">
        <x:v>OPEN</x:v>
      </x:c>
    </x:row>
    <x:row r="223">
      <x:c r="A223" s="86" t="str">
        <x:v>CT-218</x:v>
      </x:c>
      <x:c r="B223" s="86" t="str">
        <x:v>FGT-22</x:v>
      </x:c>
      <x:c r="C223" s="86" t="str">
        <x:v>RAF-625</x:v>
      </x:c>
      <x:c r="D223" s="86" t="str">
        <x:v>B</x:v>
      </x:c>
      <x:c r="E223" s="86" t="str">
        <x:v>C1</x:v>
      </x:c>
      <x:c r="F223" s="86" t="str">
        <x:v>product-route challenge</x:v>
      </x:c>
      <x:c r="G223" s="104" t="n">
        <x:v>0</x:v>
      </x:c>
      <x:c r="H223" s="91" t="str"/>
      <x:c r="I223" s="91" t="str"/>
      <x:c r="J223" s="91" t="str"/>
      <x:c r="K223" s="91" t="str"/>
      <x:c r="L223" s="91" t="str">
        <x:v>OPEN</x:v>
      </x:c>
    </x:row>
    <x:row r="224">
      <x:c r="A224" s="86" t="str">
        <x:v>CT-219</x:v>
      </x:c>
      <x:c r="B224" s="86" t="str">
        <x:v>FGT-22</x:v>
      </x:c>
      <x:c r="C224" s="86" t="str">
        <x:v>RAF-625</x:v>
      </x:c>
      <x:c r="D224" s="86" t="str">
        <x:v>B</x:v>
      </x:c>
      <x:c r="E224" s="86" t="str">
        <x:v>C1</x:v>
      </x:c>
      <x:c r="F224" s="86" t="str">
        <x:v>root and service denial</x:v>
      </x:c>
      <x:c r="G224" s="104" t="n">
        <x:v>0</x:v>
      </x:c>
      <x:c r="H224" s="91" t="str"/>
      <x:c r="I224" s="91" t="str"/>
      <x:c r="J224" s="91" t="str"/>
      <x:c r="K224" s="91" t="str"/>
      <x:c r="L224" s="91" t="str">
        <x:v>OPEN</x:v>
      </x:c>
    </x:row>
    <x:row r="225">
      <x:c r="A225" s="86" t="str">
        <x:v>CT-220</x:v>
      </x:c>
      <x:c r="B225" s="86" t="str">
        <x:v>FGT-22</x:v>
      </x:c>
      <x:c r="C225" s="86" t="str">
        <x:v>RAF-625</x:v>
      </x:c>
      <x:c r="D225" s="86" t="str">
        <x:v>B</x:v>
      </x:c>
      <x:c r="E225" s="86" t="str">
        <x:v>C1</x:v>
      </x:c>
      <x:c r="F225" s="86" t="str">
        <x:v>thermal-soak return</x:v>
      </x:c>
      <x:c r="G225" s="104" t="n">
        <x:v>0</x:v>
      </x:c>
      <x:c r="H225" s="91" t="str"/>
      <x:c r="I225" s="91" t="str"/>
      <x:c r="J225" s="91" t="str"/>
      <x:c r="K225" s="91" t="str"/>
      <x:c r="L225" s="91" t="str">
        <x:v>OPEN</x:v>
      </x:c>
    </x:row>
    <x:row r="226">
      <x:c r="A226" s="86" t="str">
        <x:v>CT-221</x:v>
      </x:c>
      <x:c r="B226" s="86" t="str">
        <x:v>FGT-23</x:v>
      </x:c>
      <x:c r="C226" s="86" t="str">
        <x:v>RAF-625</x:v>
      </x:c>
      <x:c r="D226" s="86" t="str">
        <x:v>B</x:v>
      </x:c>
      <x:c r="E226" s="86" t="str">
        <x:v>C2</x:v>
      </x:c>
      <x:c r="F226" s="86" t="str">
        <x:v>sealed zero</x:v>
      </x:c>
      <x:c r="G226" s="104" t="n">
        <x:v>0</x:v>
      </x:c>
      <x:c r="H226" s="91" t="str"/>
      <x:c r="I226" s="91" t="str"/>
      <x:c r="J226" s="91" t="str"/>
      <x:c r="K226" s="91" t="str"/>
      <x:c r="L226" s="91" t="str">
        <x:v>OPEN</x:v>
      </x:c>
    </x:row>
    <x:row r="227">
      <x:c r="A227" s="86" t="str">
        <x:v>CT-222</x:v>
      </x:c>
      <x:c r="B227" s="86" t="str">
        <x:v>FGT-23</x:v>
      </x:c>
      <x:c r="C227" s="86" t="str">
        <x:v>RAF-625</x:v>
      </x:c>
      <x:c r="D227" s="86" t="str">
        <x:v>B</x:v>
      </x:c>
      <x:c r="E227" s="86" t="str">
        <x:v>C2</x:v>
      </x:c>
      <x:c r="F227" s="86" t="str">
        <x:v>250 kg cold load</x:v>
      </x:c>
      <x:c r="G227" s="104" t="n">
        <x:v>250</x:v>
      </x:c>
      <x:c r="H227" s="91" t="str"/>
      <x:c r="I227" s="91" t="str"/>
      <x:c r="J227" s="91" t="str"/>
      <x:c r="K227" s="91" t="str"/>
      <x:c r="L227" s="91" t="str">
        <x:v>OPEN</x:v>
      </x:c>
    </x:row>
    <x:row r="228">
      <x:c r="A228" s="86" t="str">
        <x:v>CT-223</x:v>
      </x:c>
      <x:c r="B228" s="86" t="str">
        <x:v>FGT-23</x:v>
      </x:c>
      <x:c r="C228" s="86" t="str">
        <x:v>RAF-625</x:v>
      </x:c>
      <x:c r="D228" s="86" t="str">
        <x:v>B</x:v>
      </x:c>
      <x:c r="E228" s="86" t="str">
        <x:v>C2</x:v>
      </x:c>
      <x:c r="F228" s="86" t="str">
        <x:v>500 kg cold load</x:v>
      </x:c>
      <x:c r="G228" s="104" t="n">
        <x:v>500</x:v>
      </x:c>
      <x:c r="H228" s="91" t="str"/>
      <x:c r="I228" s="91" t="str"/>
      <x:c r="J228" s="91" t="str"/>
      <x:c r="K228" s="91" t="str"/>
      <x:c r="L228" s="91" t="str">
        <x:v>OPEN</x:v>
      </x:c>
    </x:row>
    <x:row r="229">
      <x:c r="A229" s="86" t="str">
        <x:v>CT-224</x:v>
      </x:c>
      <x:c r="B229" s="86" t="str">
        <x:v>FGT-23</x:v>
      </x:c>
      <x:c r="C229" s="86" t="str">
        <x:v>RAF-625</x:v>
      </x:c>
      <x:c r="D229" s="86" t="str">
        <x:v>B</x:v>
      </x:c>
      <x:c r="E229" s="86" t="str">
        <x:v>C2</x:v>
      </x:c>
      <x:c r="F229" s="86" t="str">
        <x:v>500 kg topology tracer</x:v>
      </x:c>
      <x:c r="G229" s="104" t="n">
        <x:v>500</x:v>
      </x:c>
      <x:c r="H229" s="91" t="str"/>
      <x:c r="I229" s="91" t="str"/>
      <x:c r="J229" s="91" t="str"/>
      <x:c r="K229" s="91" t="str"/>
      <x:c r="L229" s="91" t="str">
        <x:v>OPEN</x:v>
      </x:c>
    </x:row>
    <x:row r="230">
      <x:c r="A230" s="86" t="str">
        <x:v>CT-225</x:v>
      </x:c>
      <x:c r="B230" s="86" t="str">
        <x:v>FGT-23</x:v>
      </x:c>
      <x:c r="C230" s="86" t="str">
        <x:v>RAF-625</x:v>
      </x:c>
      <x:c r="D230" s="86" t="str">
        <x:v>B</x:v>
      </x:c>
      <x:c r="E230" s="86" t="str">
        <x:v>C2</x:v>
      </x:c>
      <x:c r="F230" s="86" t="str">
        <x:v>30-minute thermal surrogate</x:v>
      </x:c>
      <x:c r="G230" s="104" t="n">
        <x:v>0</x:v>
      </x:c>
      <x:c r="H230" s="91" t="str"/>
      <x:c r="I230" s="91" t="str"/>
      <x:c r="J230" s="91" t="str"/>
      <x:c r="K230" s="91" t="str"/>
      <x:c r="L230" s="91" t="str">
        <x:v>OPEN</x:v>
      </x:c>
    </x:row>
    <x:row r="231">
      <x:c r="A231" s="86" t="str">
        <x:v>CT-226</x:v>
      </x:c>
      <x:c r="B231" s="86" t="str">
        <x:v>FGT-23</x:v>
      </x:c>
      <x:c r="C231" s="86" t="str">
        <x:v>RAF-625</x:v>
      </x:c>
      <x:c r="D231" s="86" t="str">
        <x:v>B</x:v>
      </x:c>
      <x:c r="E231" s="86" t="str">
        <x:v>C2</x:v>
      </x:c>
      <x:c r="F231" s="86" t="str">
        <x:v>atmosphere transit</x:v>
      </x:c>
      <x:c r="G231" s="104" t="n">
        <x:v>0</x:v>
      </x:c>
      <x:c r="H231" s="91" t="str"/>
      <x:c r="I231" s="91" t="str"/>
      <x:c r="J231" s="91" t="str"/>
      <x:c r="K231" s="91" t="str"/>
      <x:c r="L231" s="91" t="str">
        <x:v>OPEN</x:v>
      </x:c>
    </x:row>
    <x:row r="232">
      <x:c r="A232" s="86" t="str">
        <x:v>CT-227</x:v>
      </x:c>
      <x:c r="B232" s="86" t="str">
        <x:v>FGT-23</x:v>
      </x:c>
      <x:c r="C232" s="86" t="str">
        <x:v>RAF-625</x:v>
      </x:c>
      <x:c r="D232" s="86" t="str">
        <x:v>B</x:v>
      </x:c>
      <x:c r="E232" s="86" t="str">
        <x:v>C2</x:v>
      </x:c>
      <x:c r="F232" s="86" t="str">
        <x:v>PHO/ION obscuration</x:v>
      </x:c>
      <x:c r="G232" s="104" t="n">
        <x:v>0</x:v>
      </x:c>
      <x:c r="H232" s="91" t="str"/>
      <x:c r="I232" s="91" t="str"/>
      <x:c r="J232" s="91" t="str"/>
      <x:c r="K232" s="91" t="str"/>
      <x:c r="L232" s="91" t="str">
        <x:v>OPEN</x:v>
      </x:c>
    </x:row>
    <x:row r="233">
      <x:c r="A233" s="86" t="str">
        <x:v>CT-228</x:v>
      </x:c>
      <x:c r="B233" s="86" t="str">
        <x:v>FGT-23</x:v>
      </x:c>
      <x:c r="C233" s="86" t="str">
        <x:v>RAF-625</x:v>
      </x:c>
      <x:c r="D233" s="86" t="str">
        <x:v>B</x:v>
      </x:c>
      <x:c r="E233" s="86" t="str">
        <x:v>C2</x:v>
      </x:c>
      <x:c r="F233" s="86" t="str">
        <x:v>product-route challenge</x:v>
      </x:c>
      <x:c r="G233" s="104" t="n">
        <x:v>0</x:v>
      </x:c>
      <x:c r="H233" s="91" t="str"/>
      <x:c r="I233" s="91" t="str"/>
      <x:c r="J233" s="91" t="str"/>
      <x:c r="K233" s="91" t="str"/>
      <x:c r="L233" s="91" t="str">
        <x:v>OPEN</x:v>
      </x:c>
    </x:row>
    <x:row r="234">
      <x:c r="A234" s="86" t="str">
        <x:v>CT-229</x:v>
      </x:c>
      <x:c r="B234" s="86" t="str">
        <x:v>FGT-23</x:v>
      </x:c>
      <x:c r="C234" s="86" t="str">
        <x:v>RAF-625</x:v>
      </x:c>
      <x:c r="D234" s="86" t="str">
        <x:v>B</x:v>
      </x:c>
      <x:c r="E234" s="86" t="str">
        <x:v>C2</x:v>
      </x:c>
      <x:c r="F234" s="86" t="str">
        <x:v>root and service denial</x:v>
      </x:c>
      <x:c r="G234" s="104" t="n">
        <x:v>0</x:v>
      </x:c>
      <x:c r="H234" s="91" t="str"/>
      <x:c r="I234" s="91" t="str"/>
      <x:c r="J234" s="91" t="str"/>
      <x:c r="K234" s="91" t="str"/>
      <x:c r="L234" s="91" t="str">
        <x:v>OPEN</x:v>
      </x:c>
    </x:row>
    <x:row r="235">
      <x:c r="A235" s="86" t="str">
        <x:v>CT-230</x:v>
      </x:c>
      <x:c r="B235" s="86" t="str">
        <x:v>FGT-23</x:v>
      </x:c>
      <x:c r="C235" s="86" t="str">
        <x:v>RAF-625</x:v>
      </x:c>
      <x:c r="D235" s="86" t="str">
        <x:v>B</x:v>
      </x:c>
      <x:c r="E235" s="86" t="str">
        <x:v>C2</x:v>
      </x:c>
      <x:c r="F235" s="86" t="str">
        <x:v>thermal-soak return</x:v>
      </x:c>
      <x:c r="G235" s="104" t="n">
        <x:v>0</x:v>
      </x:c>
      <x:c r="H235" s="91" t="str"/>
      <x:c r="I235" s="91" t="str"/>
      <x:c r="J235" s="91" t="str"/>
      <x:c r="K235" s="91" t="str"/>
      <x:c r="L235" s="91" t="str">
        <x:v>OPEN</x:v>
      </x:c>
    </x:row>
    <x:row r="236">
      <x:c r="A236" s="86" t="str">
        <x:v>CT-231</x:v>
      </x:c>
      <x:c r="B236" s="86" t="str">
        <x:v>FGT-24</x:v>
      </x:c>
      <x:c r="C236" s="86" t="str">
        <x:v>RAF-625</x:v>
      </x:c>
      <x:c r="D236" s="86" t="str">
        <x:v>B</x:v>
      </x:c>
      <x:c r="E236" s="86" t="str">
        <x:v>C3</x:v>
      </x:c>
      <x:c r="F236" s="86" t="str">
        <x:v>sealed zero</x:v>
      </x:c>
      <x:c r="G236" s="104" t="n">
        <x:v>0</x:v>
      </x:c>
      <x:c r="H236" s="91" t="str"/>
      <x:c r="I236" s="91" t="str"/>
      <x:c r="J236" s="91" t="str"/>
      <x:c r="K236" s="91" t="str"/>
      <x:c r="L236" s="91" t="str">
        <x:v>OPEN</x:v>
      </x:c>
    </x:row>
    <x:row r="237">
      <x:c r="A237" s="86" t="str">
        <x:v>CT-232</x:v>
      </x:c>
      <x:c r="B237" s="86" t="str">
        <x:v>FGT-24</x:v>
      </x:c>
      <x:c r="C237" s="86" t="str">
        <x:v>RAF-625</x:v>
      </x:c>
      <x:c r="D237" s="86" t="str">
        <x:v>B</x:v>
      </x:c>
      <x:c r="E237" s="86" t="str">
        <x:v>C3</x:v>
      </x:c>
      <x:c r="F237" s="86" t="str">
        <x:v>250 kg cold load</x:v>
      </x:c>
      <x:c r="G237" s="104" t="n">
        <x:v>250</x:v>
      </x:c>
      <x:c r="H237" s="91" t="str"/>
      <x:c r="I237" s="91" t="str"/>
      <x:c r="J237" s="91" t="str"/>
      <x:c r="K237" s="91" t="str"/>
      <x:c r="L237" s="91" t="str">
        <x:v>OPEN</x:v>
      </x:c>
    </x:row>
    <x:row r="238">
      <x:c r="A238" s="86" t="str">
        <x:v>CT-233</x:v>
      </x:c>
      <x:c r="B238" s="86" t="str">
        <x:v>FGT-24</x:v>
      </x:c>
      <x:c r="C238" s="86" t="str">
        <x:v>RAF-625</x:v>
      </x:c>
      <x:c r="D238" s="86" t="str">
        <x:v>B</x:v>
      </x:c>
      <x:c r="E238" s="86" t="str">
        <x:v>C3</x:v>
      </x:c>
      <x:c r="F238" s="86" t="str">
        <x:v>500 kg cold load</x:v>
      </x:c>
      <x:c r="G238" s="104" t="n">
        <x:v>500</x:v>
      </x:c>
      <x:c r="H238" s="91" t="str"/>
      <x:c r="I238" s="91" t="str"/>
      <x:c r="J238" s="91" t="str"/>
      <x:c r="K238" s="91" t="str"/>
      <x:c r="L238" s="91" t="str">
        <x:v>OPEN</x:v>
      </x:c>
    </x:row>
    <x:row r="239">
      <x:c r="A239" s="86" t="str">
        <x:v>CT-234</x:v>
      </x:c>
      <x:c r="B239" s="86" t="str">
        <x:v>FGT-24</x:v>
      </x:c>
      <x:c r="C239" s="86" t="str">
        <x:v>RAF-625</x:v>
      </x:c>
      <x:c r="D239" s="86" t="str">
        <x:v>B</x:v>
      </x:c>
      <x:c r="E239" s="86" t="str">
        <x:v>C3</x:v>
      </x:c>
      <x:c r="F239" s="86" t="str">
        <x:v>500 kg topology tracer</x:v>
      </x:c>
      <x:c r="G239" s="104" t="n">
        <x:v>500</x:v>
      </x:c>
      <x:c r="H239" s="91" t="str"/>
      <x:c r="I239" s="91" t="str"/>
      <x:c r="J239" s="91" t="str"/>
      <x:c r="K239" s="91" t="str"/>
      <x:c r="L239" s="91" t="str">
        <x:v>OPEN</x:v>
      </x:c>
    </x:row>
    <x:row r="240">
      <x:c r="A240" s="86" t="str">
        <x:v>CT-235</x:v>
      </x:c>
      <x:c r="B240" s="86" t="str">
        <x:v>FGT-24</x:v>
      </x:c>
      <x:c r="C240" s="86" t="str">
        <x:v>RAF-625</x:v>
      </x:c>
      <x:c r="D240" s="86" t="str">
        <x:v>B</x:v>
      </x:c>
      <x:c r="E240" s="86" t="str">
        <x:v>C3</x:v>
      </x:c>
      <x:c r="F240" s="86" t="str">
        <x:v>30-minute thermal surrogate</x:v>
      </x:c>
      <x:c r="G240" s="104" t="n">
        <x:v>0</x:v>
      </x:c>
      <x:c r="H240" s="91" t="str"/>
      <x:c r="I240" s="91" t="str"/>
      <x:c r="J240" s="91" t="str"/>
      <x:c r="K240" s="91" t="str"/>
      <x:c r="L240" s="91" t="str">
        <x:v>OPEN</x:v>
      </x:c>
    </x:row>
    <x:row r="241">
      <x:c r="A241" s="86" t="str">
        <x:v>CT-236</x:v>
      </x:c>
      <x:c r="B241" s="86" t="str">
        <x:v>FGT-24</x:v>
      </x:c>
      <x:c r="C241" s="86" t="str">
        <x:v>RAF-625</x:v>
      </x:c>
      <x:c r="D241" s="86" t="str">
        <x:v>B</x:v>
      </x:c>
      <x:c r="E241" s="86" t="str">
        <x:v>C3</x:v>
      </x:c>
      <x:c r="F241" s="86" t="str">
        <x:v>atmosphere transit</x:v>
      </x:c>
      <x:c r="G241" s="104" t="n">
        <x:v>0</x:v>
      </x:c>
      <x:c r="H241" s="91" t="str"/>
      <x:c r="I241" s="91" t="str"/>
      <x:c r="J241" s="91" t="str"/>
      <x:c r="K241" s="91" t="str"/>
      <x:c r="L241" s="91" t="str">
        <x:v>OPEN</x:v>
      </x:c>
    </x:row>
    <x:row r="242">
      <x:c r="A242" s="86" t="str">
        <x:v>CT-237</x:v>
      </x:c>
      <x:c r="B242" s="86" t="str">
        <x:v>FGT-24</x:v>
      </x:c>
      <x:c r="C242" s="86" t="str">
        <x:v>RAF-625</x:v>
      </x:c>
      <x:c r="D242" s="86" t="str">
        <x:v>B</x:v>
      </x:c>
      <x:c r="E242" s="86" t="str">
        <x:v>C3</x:v>
      </x:c>
      <x:c r="F242" s="86" t="str">
        <x:v>PHO/ION obscuration</x:v>
      </x:c>
      <x:c r="G242" s="104" t="n">
        <x:v>0</x:v>
      </x:c>
      <x:c r="H242" s="91" t="str"/>
      <x:c r="I242" s="91" t="str"/>
      <x:c r="J242" s="91" t="str"/>
      <x:c r="K242" s="91" t="str"/>
      <x:c r="L242" s="91" t="str">
        <x:v>OPEN</x:v>
      </x:c>
    </x:row>
    <x:row r="243">
      <x:c r="A243" s="86" t="str">
        <x:v>CT-238</x:v>
      </x:c>
      <x:c r="B243" s="86" t="str">
        <x:v>FGT-24</x:v>
      </x:c>
      <x:c r="C243" s="86" t="str">
        <x:v>RAF-625</x:v>
      </x:c>
      <x:c r="D243" s="86" t="str">
        <x:v>B</x:v>
      </x:c>
      <x:c r="E243" s="86" t="str">
        <x:v>C3</x:v>
      </x:c>
      <x:c r="F243" s="86" t="str">
        <x:v>product-route challenge</x:v>
      </x:c>
      <x:c r="G243" s="104" t="n">
        <x:v>0</x:v>
      </x:c>
      <x:c r="H243" s="91" t="str"/>
      <x:c r="I243" s="91" t="str"/>
      <x:c r="J243" s="91" t="str"/>
      <x:c r="K243" s="91" t="str"/>
      <x:c r="L243" s="91" t="str">
        <x:v>OPEN</x:v>
      </x:c>
    </x:row>
    <x:row r="244">
      <x:c r="A244" s="86" t="str">
        <x:v>CT-239</x:v>
      </x:c>
      <x:c r="B244" s="86" t="str">
        <x:v>FGT-24</x:v>
      </x:c>
      <x:c r="C244" s="86" t="str">
        <x:v>RAF-625</x:v>
      </x:c>
      <x:c r="D244" s="86" t="str">
        <x:v>B</x:v>
      </x:c>
      <x:c r="E244" s="86" t="str">
        <x:v>C3</x:v>
      </x:c>
      <x:c r="F244" s="86" t="str">
        <x:v>root and service denial</x:v>
      </x:c>
      <x:c r="G244" s="104" t="n">
        <x:v>0</x:v>
      </x:c>
      <x:c r="H244" s="91" t="str"/>
      <x:c r="I244" s="91" t="str"/>
      <x:c r="J244" s="91" t="str"/>
      <x:c r="K244" s="91" t="str"/>
      <x:c r="L244" s="91" t="str">
        <x:v>OPEN</x:v>
      </x:c>
    </x:row>
    <x:row r="245">
      <x:c r="A245" s="87" t="str">
        <x:v>CT-240</x:v>
      </x:c>
      <x:c r="B245" s="87" t="str">
        <x:v>FGT-24</x:v>
      </x:c>
      <x:c r="C245" s="87" t="str">
        <x:v>RAF-625</x:v>
      </x:c>
      <x:c r="D245" s="87" t="str">
        <x:v>B</x:v>
      </x:c>
      <x:c r="E245" s="87" t="str">
        <x:v>C3</x:v>
      </x:c>
      <x:c r="F245" s="87" t="str">
        <x:v>thermal-soak return</x:v>
      </x:c>
      <x:c r="G245" s="105" t="n">
        <x:v>0</x:v>
      </x:c>
      <x:c r="H245" s="95" t="str"/>
      <x:c r="I245" s="95" t="str"/>
      <x:c r="J245" s="95" t="str"/>
      <x:c r="K245" s="95" t="str"/>
      <x:c r="L245" s="95" t="str">
        <x:v>OPEN</x:v>
      </x:c>
    </x:row>
  </x:sheetData>
  <x:mergeCells>
    <x:mergeCell ref="A2:L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20" hidden="0" customWidth="1"/>
    <x:col min="5" max="5" width="12" hidden="0" customWidth="1"/>
    <x:col min="6" max="6" width="18" hidden="0" customWidth="1"/>
    <x:col min="7" max="7" width="18" hidden="0" customWidth="1"/>
    <x:col min="8" max="8" width="16" hidden="0" customWidth="1"/>
    <x:col min="9" max="9" width="16" hidden="0" customWidth="1"/>
    <x:col min="10" max="10" width="14" hidden="0" customWidth="1"/>
    <x:col min="11" max="11" width="22" hidden="0" customWidth="1"/>
    <x:col min="12" max="12" width="14" hidden="0" customWidth="1"/>
  </x:cols>
  <x:sheetData>
    <x:row r="2" ht="24" customHeight="1">
      <x:c r="A2" s="82" t="str">
        <x:v>144 blinded field-time comparisons</x:v>
      </x:c>
      <x:c r="B2" s="83"/>
      <x:c r="C2" s="83"/>
      <x:c r="D2" s="83"/>
      <x:c r="E2" s="83"/>
      <x:c r="F2" s="83"/>
      <x:c r="G2" s="83"/>
      <x:c r="H2" s="83"/>
      <x:c r="I2" s="83"/>
      <x:c r="J2" s="83"/>
      <x:c r="K2" s="83"/>
      <x:c r="L2" s="83"/>
    </x:row>
    <x:row r="3">
      <x:c r="A3" s="84"/>
      <x:c r="B3" s="84"/>
      <x:c r="C3" s="84"/>
      <x:c r="D3" s="84"/>
      <x:c r="E3" s="84"/>
      <x:c r="F3" s="84"/>
      <x:c r="G3" s="84"/>
      <x:c r="H3" s="84"/>
      <x:c r="I3" s="84"/>
      <x:c r="J3" s="84"/>
      <x:c r="K3" s="84"/>
      <x:c r="L3" s="84"/>
    </x:row>
    <x:row r="4">
      <x:c r="A4" s="83"/>
      <x:c r="B4" s="83"/>
      <x:c r="C4" s="83"/>
      <x:c r="D4" s="83"/>
      <x:c r="E4" s="83"/>
      <x:c r="F4" s="83"/>
      <x:c r="G4" s="83"/>
      <x:c r="H4" s="83"/>
      <x:c r="I4" s="83"/>
      <x:c r="J4" s="83"/>
      <x:c r="K4" s="83"/>
      <x:c r="L4" s="83"/>
    </x:row>
    <x:row r="5" ht="22" customHeight="1">
      <x:c r="A5" s="7" t="str">
        <x:v>Comparison</x:v>
      </x:c>
      <x:c r="B5" s="8" t="str">
        <x:v>Candidate A</x:v>
      </x:c>
      <x:c r="C5" s="8" t="str">
        <x:v>Candidate B</x:v>
      </x:c>
      <x:c r="D5" s="8" t="str">
        <x:v>Thermal state</x:v>
      </x:c>
      <x:c r="E5" s="8" t="str">
        <x:v>Replicate</x:v>
      </x:c>
      <x:c r="F5" s="8" t="str">
        <x:v>Simulant (kg)</x:v>
      </x:c>
      <x:c r="G5" s="8" t="str">
        <x:v>Common truth</x:v>
      </x:c>
      <x:c r="H5" s="8" t="str">
        <x:v>A packet</x:v>
      </x:c>
      <x:c r="I5" s="8" t="str">
        <x:v>B packet</x:v>
      </x:c>
      <x:c r="J5" s="8" t="str">
        <x:v>Blind map</x:v>
      </x:c>
      <x:c r="K5" s="8" t="str">
        <x:v>Decision</x:v>
      </x:c>
      <x:c r="L5" s="9" t="str">
        <x:v>State</x:v>
      </x:c>
    </x:row>
    <x:row r="6">
      <x:c r="A6" s="85" t="str">
        <x:v>MC-001</x:v>
      </x:c>
      <x:c r="B6" s="85" t="str">
        <x:v>DBS-625</x:v>
      </x:c>
      <x:c r="C6" s="85" t="str">
        <x:v>PIL-625</x:v>
      </x:c>
      <x:c r="D6" s="85" t="str">
        <x:v>cold baseline</x:v>
      </x:c>
      <x:c r="E6" s="106" t="n">
        <x:v>1</x:v>
      </x:c>
      <x:c r="F6" s="107" t="n">
        <x:v>250</x:v>
      </x:c>
      <x:c r="G6" s="100" t="str">
        <x:v>OPEN</x:v>
      </x:c>
      <x:c r="H6" s="100" t="str">
        <x:v>OPEN</x:v>
      </x:c>
      <x:c r="I6" s="100" t="str">
        <x:v>OPEN</x:v>
      </x:c>
      <x:c r="J6" s="100" t="str">
        <x:v>SEALED</x:v>
      </x:c>
      <x:c r="K6" s="100" t="str"/>
      <x:c r="L6" s="100" t="str">
        <x:v>OPEN</x:v>
      </x:c>
    </x:row>
    <x:row r="7">
      <x:c r="A7" s="86" t="str">
        <x:v>MC-002</x:v>
      </x:c>
      <x:c r="B7" s="86" t="str">
        <x:v>DBS-625</x:v>
      </x:c>
      <x:c r="C7" s="86" t="str">
        <x:v>PIL-625</x:v>
      </x:c>
      <x:c r="D7" s="86" t="str">
        <x:v>cold baseline</x:v>
      </x:c>
      <x:c r="E7" s="108" t="n">
        <x:v>2</x:v>
      </x:c>
      <x:c r="F7" s="109" t="n">
        <x:v>250</x:v>
      </x:c>
      <x:c r="G7" s="91" t="str">
        <x:v>OPEN</x:v>
      </x:c>
      <x:c r="H7" s="91" t="str">
        <x:v>OPEN</x:v>
      </x:c>
      <x:c r="I7" s="91" t="str">
        <x:v>OPEN</x:v>
      </x:c>
      <x:c r="J7" s="91" t="str">
        <x:v>SEALED</x:v>
      </x:c>
      <x:c r="K7" s="91" t="str"/>
      <x:c r="L7" s="91" t="str">
        <x:v>OPEN</x:v>
      </x:c>
    </x:row>
    <x:row r="8">
      <x:c r="A8" s="86" t="str">
        <x:v>MC-003</x:v>
      </x:c>
      <x:c r="B8" s="86" t="str">
        <x:v>DBS-625</x:v>
      </x:c>
      <x:c r="C8" s="86" t="str">
        <x:v>PIL-625</x:v>
      </x:c>
      <x:c r="D8" s="86" t="str">
        <x:v>cold baseline</x:v>
      </x:c>
      <x:c r="E8" s="108" t="n">
        <x:v>3</x:v>
      </x:c>
      <x:c r="F8" s="109" t="n">
        <x:v>250</x:v>
      </x:c>
      <x:c r="G8" s="91" t="str">
        <x:v>OPEN</x:v>
      </x:c>
      <x:c r="H8" s="91" t="str">
        <x:v>OPEN</x:v>
      </x:c>
      <x:c r="I8" s="91" t="str">
        <x:v>OPEN</x:v>
      </x:c>
      <x:c r="J8" s="91" t="str">
        <x:v>SEALED</x:v>
      </x:c>
      <x:c r="K8" s="91" t="str"/>
      <x:c r="L8" s="91" t="str">
        <x:v>OPEN</x:v>
      </x:c>
    </x:row>
    <x:row r="9">
      <x:c r="A9" s="86" t="str">
        <x:v>MC-004</x:v>
      </x:c>
      <x:c r="B9" s="86" t="str">
        <x:v>DBS-625</x:v>
      </x:c>
      <x:c r="C9" s="86" t="str">
        <x:v>PIL-625</x:v>
      </x:c>
      <x:c r="D9" s="86" t="str">
        <x:v>cold baseline</x:v>
      </x:c>
      <x:c r="E9" s="108" t="n">
        <x:v>4</x:v>
      </x:c>
      <x:c r="F9" s="109" t="n">
        <x:v>250</x:v>
      </x:c>
      <x:c r="G9" s="91" t="str">
        <x:v>OPEN</x:v>
      </x:c>
      <x:c r="H9" s="91" t="str">
        <x:v>OPEN</x:v>
      </x:c>
      <x:c r="I9" s="91" t="str">
        <x:v>OPEN</x:v>
      </x:c>
      <x:c r="J9" s="91" t="str">
        <x:v>SEALED</x:v>
      </x:c>
      <x:c r="K9" s="91" t="str"/>
      <x:c r="L9" s="91" t="str">
        <x:v>OPEN</x:v>
      </x:c>
    </x:row>
    <x:row r="10">
      <x:c r="A10" s="86" t="str">
        <x:v>MC-005</x:v>
      </x:c>
      <x:c r="B10" s="86" t="str">
        <x:v>DBS-625</x:v>
      </x:c>
      <x:c r="C10" s="86" t="str">
        <x:v>PIL-625</x:v>
      </x:c>
      <x:c r="D10" s="86" t="str">
        <x:v>cold baseline</x:v>
      </x:c>
      <x:c r="E10" s="108" t="n">
        <x:v>5</x:v>
      </x:c>
      <x:c r="F10" s="109" t="n">
        <x:v>250</x:v>
      </x:c>
      <x:c r="G10" s="91" t="str">
        <x:v>OPEN</x:v>
      </x:c>
      <x:c r="H10" s="91" t="str">
        <x:v>OPEN</x:v>
      </x:c>
      <x:c r="I10" s="91" t="str">
        <x:v>OPEN</x:v>
      </x:c>
      <x:c r="J10" s="91" t="str">
        <x:v>SEALED</x:v>
      </x:c>
      <x:c r="K10" s="91" t="str"/>
      <x:c r="L10" s="91" t="str">
        <x:v>OPEN</x:v>
      </x:c>
    </x:row>
    <x:row r="11">
      <x:c r="A11" s="86" t="str">
        <x:v>MC-006</x:v>
      </x:c>
      <x:c r="B11" s="86" t="str">
        <x:v>DBS-625</x:v>
      </x:c>
      <x:c r="C11" s="86" t="str">
        <x:v>PIL-625</x:v>
      </x:c>
      <x:c r="D11" s="86" t="str">
        <x:v>cold baseline</x:v>
      </x:c>
      <x:c r="E11" s="108" t="n">
        <x:v>6</x:v>
      </x:c>
      <x:c r="F11" s="109" t="n">
        <x:v>250</x:v>
      </x:c>
      <x:c r="G11" s="91" t="str">
        <x:v>OPEN</x:v>
      </x:c>
      <x:c r="H11" s="91" t="str">
        <x:v>OPEN</x:v>
      </x:c>
      <x:c r="I11" s="91" t="str">
        <x:v>OPEN</x:v>
      </x:c>
      <x:c r="J11" s="91" t="str">
        <x:v>SEALED</x:v>
      </x:c>
      <x:c r="K11" s="91" t="str"/>
      <x:c r="L11" s="91" t="str">
        <x:v>OPEN</x:v>
      </x:c>
    </x:row>
    <x:row r="12">
      <x:c r="A12" s="86" t="str">
        <x:v>MC-007</x:v>
      </x:c>
      <x:c r="B12" s="86" t="str">
        <x:v>DBS-625</x:v>
      </x:c>
      <x:c r="C12" s="86" t="str">
        <x:v>PIL-625</x:v>
      </x:c>
      <x:c r="D12" s="86" t="str">
        <x:v>cold baseline</x:v>
      </x:c>
      <x:c r="E12" s="108" t="n">
        <x:v>7</x:v>
      </x:c>
      <x:c r="F12" s="109" t="n">
        <x:v>500</x:v>
      </x:c>
      <x:c r="G12" s="91" t="str">
        <x:v>OPEN</x:v>
      </x:c>
      <x:c r="H12" s="91" t="str">
        <x:v>OPEN</x:v>
      </x:c>
      <x:c r="I12" s="91" t="str">
        <x:v>OPEN</x:v>
      </x:c>
      <x:c r="J12" s="91" t="str">
        <x:v>SEALED</x:v>
      </x:c>
      <x:c r="K12" s="91" t="str"/>
      <x:c r="L12" s="91" t="str">
        <x:v>OPEN</x:v>
      </x:c>
    </x:row>
    <x:row r="13">
      <x:c r="A13" s="86" t="str">
        <x:v>MC-008</x:v>
      </x:c>
      <x:c r="B13" s="86" t="str">
        <x:v>DBS-625</x:v>
      </x:c>
      <x:c r="C13" s="86" t="str">
        <x:v>PIL-625</x:v>
      </x:c>
      <x:c r="D13" s="86" t="str">
        <x:v>cold baseline</x:v>
      </x:c>
      <x:c r="E13" s="108" t="n">
        <x:v>8</x:v>
      </x:c>
      <x:c r="F13" s="109" t="n">
        <x:v>500</x:v>
      </x:c>
      <x:c r="G13" s="91" t="str">
        <x:v>OPEN</x:v>
      </x:c>
      <x:c r="H13" s="91" t="str">
        <x:v>OPEN</x:v>
      </x:c>
      <x:c r="I13" s="91" t="str">
        <x:v>OPEN</x:v>
      </x:c>
      <x:c r="J13" s="91" t="str">
        <x:v>SEALED</x:v>
      </x:c>
      <x:c r="K13" s="91" t="str"/>
      <x:c r="L13" s="91" t="str">
        <x:v>OPEN</x:v>
      </x:c>
    </x:row>
    <x:row r="14">
      <x:c r="A14" s="86" t="str">
        <x:v>MC-009</x:v>
      </x:c>
      <x:c r="B14" s="86" t="str">
        <x:v>DBS-625</x:v>
      </x:c>
      <x:c r="C14" s="86" t="str">
        <x:v>PIL-625</x:v>
      </x:c>
      <x:c r="D14" s="86" t="str">
        <x:v>cold baseline</x:v>
      </x:c>
      <x:c r="E14" s="108" t="n">
        <x:v>9</x:v>
      </x:c>
      <x:c r="F14" s="109" t="n">
        <x:v>500</x:v>
      </x:c>
      <x:c r="G14" s="91" t="str">
        <x:v>OPEN</x:v>
      </x:c>
      <x:c r="H14" s="91" t="str">
        <x:v>OPEN</x:v>
      </x:c>
      <x:c r="I14" s="91" t="str">
        <x:v>OPEN</x:v>
      </x:c>
      <x:c r="J14" s="91" t="str">
        <x:v>SEALED</x:v>
      </x:c>
      <x:c r="K14" s="91" t="str"/>
      <x:c r="L14" s="91" t="str">
        <x:v>OPEN</x:v>
      </x:c>
    </x:row>
    <x:row r="15">
      <x:c r="A15" s="86" t="str">
        <x:v>MC-010</x:v>
      </x:c>
      <x:c r="B15" s="86" t="str">
        <x:v>DBS-625</x:v>
      </x:c>
      <x:c r="C15" s="86" t="str">
        <x:v>PIL-625</x:v>
      </x:c>
      <x:c r="D15" s="86" t="str">
        <x:v>cold baseline</x:v>
      </x:c>
      <x:c r="E15" s="108" t="n">
        <x:v>10</x:v>
      </x:c>
      <x:c r="F15" s="109" t="n">
        <x:v>500</x:v>
      </x:c>
      <x:c r="G15" s="91" t="str">
        <x:v>OPEN</x:v>
      </x:c>
      <x:c r="H15" s="91" t="str">
        <x:v>OPEN</x:v>
      </x:c>
      <x:c r="I15" s="91" t="str">
        <x:v>OPEN</x:v>
      </x:c>
      <x:c r="J15" s="91" t="str">
        <x:v>SEALED</x:v>
      </x:c>
      <x:c r="K15" s="91" t="str"/>
      <x:c r="L15" s="91" t="str">
        <x:v>OPEN</x:v>
      </x:c>
    </x:row>
    <x:row r="16">
      <x:c r="A16" s="86" t="str">
        <x:v>MC-011</x:v>
      </x:c>
      <x:c r="B16" s="86" t="str">
        <x:v>DBS-625</x:v>
      </x:c>
      <x:c r="C16" s="86" t="str">
        <x:v>PIL-625</x:v>
      </x:c>
      <x:c r="D16" s="86" t="str">
        <x:v>cold baseline</x:v>
      </x:c>
      <x:c r="E16" s="108" t="n">
        <x:v>11</x:v>
      </x:c>
      <x:c r="F16" s="109" t="n">
        <x:v>500</x:v>
      </x:c>
      <x:c r="G16" s="91" t="str">
        <x:v>OPEN</x:v>
      </x:c>
      <x:c r="H16" s="91" t="str">
        <x:v>OPEN</x:v>
      </x:c>
      <x:c r="I16" s="91" t="str">
        <x:v>OPEN</x:v>
      </x:c>
      <x:c r="J16" s="91" t="str">
        <x:v>SEALED</x:v>
      </x:c>
      <x:c r="K16" s="91" t="str"/>
      <x:c r="L16" s="91" t="str">
        <x:v>OPEN</x:v>
      </x:c>
    </x:row>
    <x:row r="17">
      <x:c r="A17" s="86" t="str">
        <x:v>MC-012</x:v>
      </x:c>
      <x:c r="B17" s="86" t="str">
        <x:v>DBS-625</x:v>
      </x:c>
      <x:c r="C17" s="86" t="str">
        <x:v>PIL-625</x:v>
      </x:c>
      <x:c r="D17" s="86" t="str">
        <x:v>cold baseline</x:v>
      </x:c>
      <x:c r="E17" s="108" t="n">
        <x:v>12</x:v>
      </x:c>
      <x:c r="F17" s="109" t="n">
        <x:v>500</x:v>
      </x:c>
      <x:c r="G17" s="91" t="str">
        <x:v>OPEN</x:v>
      </x:c>
      <x:c r="H17" s="91" t="str">
        <x:v>OPEN</x:v>
      </x:c>
      <x:c r="I17" s="91" t="str">
        <x:v>OPEN</x:v>
      </x:c>
      <x:c r="J17" s="91" t="str">
        <x:v>SEALED</x:v>
      </x:c>
      <x:c r="K17" s="91" t="str"/>
      <x:c r="L17" s="91" t="str">
        <x:v>OPEN</x:v>
      </x:c>
    </x:row>
    <x:row r="18">
      <x:c r="A18" s="86" t="str">
        <x:v>MC-013</x:v>
      </x:c>
      <x:c r="B18" s="86" t="str">
        <x:v>DBS-625</x:v>
      </x:c>
      <x:c r="C18" s="86" t="str">
        <x:v>PIL-625</x:v>
      </x:c>
      <x:c r="D18" s="86" t="str">
        <x:v>thermally soaked</x:v>
      </x:c>
      <x:c r="E18" s="108" t="n">
        <x:v>1</x:v>
      </x:c>
      <x:c r="F18" s="109" t="n">
        <x:v>250</x:v>
      </x:c>
      <x:c r="G18" s="91" t="str">
        <x:v>OPEN</x:v>
      </x:c>
      <x:c r="H18" s="91" t="str">
        <x:v>OPEN</x:v>
      </x:c>
      <x:c r="I18" s="91" t="str">
        <x:v>OPEN</x:v>
      </x:c>
      <x:c r="J18" s="91" t="str">
        <x:v>SEALED</x:v>
      </x:c>
      <x:c r="K18" s="91" t="str"/>
      <x:c r="L18" s="91" t="str">
        <x:v>OPEN</x:v>
      </x:c>
    </x:row>
    <x:row r="19">
      <x:c r="A19" s="86" t="str">
        <x:v>MC-014</x:v>
      </x:c>
      <x:c r="B19" s="86" t="str">
        <x:v>DBS-625</x:v>
      </x:c>
      <x:c r="C19" s="86" t="str">
        <x:v>PIL-625</x:v>
      </x:c>
      <x:c r="D19" s="86" t="str">
        <x:v>thermally soaked</x:v>
      </x:c>
      <x:c r="E19" s="108" t="n">
        <x:v>2</x:v>
      </x:c>
      <x:c r="F19" s="109" t="n">
        <x:v>250</x:v>
      </x:c>
      <x:c r="G19" s="91" t="str">
        <x:v>OPEN</x:v>
      </x:c>
      <x:c r="H19" s="91" t="str">
        <x:v>OPEN</x:v>
      </x:c>
      <x:c r="I19" s="91" t="str">
        <x:v>OPEN</x:v>
      </x:c>
      <x:c r="J19" s="91" t="str">
        <x:v>SEALED</x:v>
      </x:c>
      <x:c r="K19" s="91" t="str"/>
      <x:c r="L19" s="91" t="str">
        <x:v>OPEN</x:v>
      </x:c>
    </x:row>
    <x:row r="20">
      <x:c r="A20" s="86" t="str">
        <x:v>MC-015</x:v>
      </x:c>
      <x:c r="B20" s="86" t="str">
        <x:v>DBS-625</x:v>
      </x:c>
      <x:c r="C20" s="86" t="str">
        <x:v>PIL-625</x:v>
      </x:c>
      <x:c r="D20" s="86" t="str">
        <x:v>thermally soaked</x:v>
      </x:c>
      <x:c r="E20" s="108" t="n">
        <x:v>3</x:v>
      </x:c>
      <x:c r="F20" s="109" t="n">
        <x:v>250</x:v>
      </x:c>
      <x:c r="G20" s="91" t="str">
        <x:v>OPEN</x:v>
      </x:c>
      <x:c r="H20" s="91" t="str">
        <x:v>OPEN</x:v>
      </x:c>
      <x:c r="I20" s="91" t="str">
        <x:v>OPEN</x:v>
      </x:c>
      <x:c r="J20" s="91" t="str">
        <x:v>SEALED</x:v>
      </x:c>
      <x:c r="K20" s="91" t="str"/>
      <x:c r="L20" s="91" t="str">
        <x:v>OPEN</x:v>
      </x:c>
    </x:row>
    <x:row r="21">
      <x:c r="A21" s="86" t="str">
        <x:v>MC-016</x:v>
      </x:c>
      <x:c r="B21" s="86" t="str">
        <x:v>DBS-625</x:v>
      </x:c>
      <x:c r="C21" s="86" t="str">
        <x:v>PIL-625</x:v>
      </x:c>
      <x:c r="D21" s="86" t="str">
        <x:v>thermally soaked</x:v>
      </x:c>
      <x:c r="E21" s="108" t="n">
        <x:v>4</x:v>
      </x:c>
      <x:c r="F21" s="109" t="n">
        <x:v>250</x:v>
      </x:c>
      <x:c r="G21" s="91" t="str">
        <x:v>OPEN</x:v>
      </x:c>
      <x:c r="H21" s="91" t="str">
        <x:v>OPEN</x:v>
      </x:c>
      <x:c r="I21" s="91" t="str">
        <x:v>OPEN</x:v>
      </x:c>
      <x:c r="J21" s="91" t="str">
        <x:v>SEALED</x:v>
      </x:c>
      <x:c r="K21" s="91" t="str"/>
      <x:c r="L21" s="91" t="str">
        <x:v>OPEN</x:v>
      </x:c>
    </x:row>
    <x:row r="22">
      <x:c r="A22" s="86" t="str">
        <x:v>MC-017</x:v>
      </x:c>
      <x:c r="B22" s="86" t="str">
        <x:v>DBS-625</x:v>
      </x:c>
      <x:c r="C22" s="86" t="str">
        <x:v>PIL-625</x:v>
      </x:c>
      <x:c r="D22" s="86" t="str">
        <x:v>thermally soaked</x:v>
      </x:c>
      <x:c r="E22" s="108" t="n">
        <x:v>5</x:v>
      </x:c>
      <x:c r="F22" s="109" t="n">
        <x:v>250</x:v>
      </x:c>
      <x:c r="G22" s="91" t="str">
        <x:v>OPEN</x:v>
      </x:c>
      <x:c r="H22" s="91" t="str">
        <x:v>OPEN</x:v>
      </x:c>
      <x:c r="I22" s="91" t="str">
        <x:v>OPEN</x:v>
      </x:c>
      <x:c r="J22" s="91" t="str">
        <x:v>SEALED</x:v>
      </x:c>
      <x:c r="K22" s="91" t="str"/>
      <x:c r="L22" s="91" t="str">
        <x:v>OPEN</x:v>
      </x:c>
    </x:row>
    <x:row r="23">
      <x:c r="A23" s="86" t="str">
        <x:v>MC-018</x:v>
      </x:c>
      <x:c r="B23" s="86" t="str">
        <x:v>DBS-625</x:v>
      </x:c>
      <x:c r="C23" s="86" t="str">
        <x:v>PIL-625</x:v>
      </x:c>
      <x:c r="D23" s="86" t="str">
        <x:v>thermally soaked</x:v>
      </x:c>
      <x:c r="E23" s="108" t="n">
        <x:v>6</x:v>
      </x:c>
      <x:c r="F23" s="109" t="n">
        <x:v>250</x:v>
      </x:c>
      <x:c r="G23" s="91" t="str">
        <x:v>OPEN</x:v>
      </x:c>
      <x:c r="H23" s="91" t="str">
        <x:v>OPEN</x:v>
      </x:c>
      <x:c r="I23" s="91" t="str">
        <x:v>OPEN</x:v>
      </x:c>
      <x:c r="J23" s="91" t="str">
        <x:v>SEALED</x:v>
      </x:c>
      <x:c r="K23" s="91" t="str"/>
      <x:c r="L23" s="91" t="str">
        <x:v>OPEN</x:v>
      </x:c>
    </x:row>
    <x:row r="24">
      <x:c r="A24" s="86" t="str">
        <x:v>MC-019</x:v>
      </x:c>
      <x:c r="B24" s="86" t="str">
        <x:v>DBS-625</x:v>
      </x:c>
      <x:c r="C24" s="86" t="str">
        <x:v>PIL-625</x:v>
      </x:c>
      <x:c r="D24" s="86" t="str">
        <x:v>thermally soaked</x:v>
      </x:c>
      <x:c r="E24" s="108" t="n">
        <x:v>7</x:v>
      </x:c>
      <x:c r="F24" s="109" t="n">
        <x:v>500</x:v>
      </x:c>
      <x:c r="G24" s="91" t="str">
        <x:v>OPEN</x:v>
      </x:c>
      <x:c r="H24" s="91" t="str">
        <x:v>OPEN</x:v>
      </x:c>
      <x:c r="I24" s="91" t="str">
        <x:v>OPEN</x:v>
      </x:c>
      <x:c r="J24" s="91" t="str">
        <x:v>SEALED</x:v>
      </x:c>
      <x:c r="K24" s="91" t="str"/>
      <x:c r="L24" s="91" t="str">
        <x:v>OPEN</x:v>
      </x:c>
    </x:row>
    <x:row r="25">
      <x:c r="A25" s="86" t="str">
        <x:v>MC-020</x:v>
      </x:c>
      <x:c r="B25" s="86" t="str">
        <x:v>DBS-625</x:v>
      </x:c>
      <x:c r="C25" s="86" t="str">
        <x:v>PIL-625</x:v>
      </x:c>
      <x:c r="D25" s="86" t="str">
        <x:v>thermally soaked</x:v>
      </x:c>
      <x:c r="E25" s="108" t="n">
        <x:v>8</x:v>
      </x:c>
      <x:c r="F25" s="109" t="n">
        <x:v>500</x:v>
      </x:c>
      <x:c r="G25" s="91" t="str">
        <x:v>OPEN</x:v>
      </x:c>
      <x:c r="H25" s="91" t="str">
        <x:v>OPEN</x:v>
      </x:c>
      <x:c r="I25" s="91" t="str">
        <x:v>OPEN</x:v>
      </x:c>
      <x:c r="J25" s="91" t="str">
        <x:v>SEALED</x:v>
      </x:c>
      <x:c r="K25" s="91" t="str"/>
      <x:c r="L25" s="91" t="str">
        <x:v>OPEN</x:v>
      </x:c>
    </x:row>
    <x:row r="26">
      <x:c r="A26" s="86" t="str">
        <x:v>MC-021</x:v>
      </x:c>
      <x:c r="B26" s="86" t="str">
        <x:v>DBS-625</x:v>
      </x:c>
      <x:c r="C26" s="86" t="str">
        <x:v>PIL-625</x:v>
      </x:c>
      <x:c r="D26" s="86" t="str">
        <x:v>thermally soaked</x:v>
      </x:c>
      <x:c r="E26" s="108" t="n">
        <x:v>9</x:v>
      </x:c>
      <x:c r="F26" s="109" t="n">
        <x:v>500</x:v>
      </x:c>
      <x:c r="G26" s="91" t="str">
        <x:v>OPEN</x:v>
      </x:c>
      <x:c r="H26" s="91" t="str">
        <x:v>OPEN</x:v>
      </x:c>
      <x:c r="I26" s="91" t="str">
        <x:v>OPEN</x:v>
      </x:c>
      <x:c r="J26" s="91" t="str">
        <x:v>SEALED</x:v>
      </x:c>
      <x:c r="K26" s="91" t="str"/>
      <x:c r="L26" s="91" t="str">
        <x:v>OPEN</x:v>
      </x:c>
    </x:row>
    <x:row r="27">
      <x:c r="A27" s="86" t="str">
        <x:v>MC-022</x:v>
      </x:c>
      <x:c r="B27" s="86" t="str">
        <x:v>DBS-625</x:v>
      </x:c>
      <x:c r="C27" s="86" t="str">
        <x:v>PIL-625</x:v>
      </x:c>
      <x:c r="D27" s="86" t="str">
        <x:v>thermally soaked</x:v>
      </x:c>
      <x:c r="E27" s="108" t="n">
        <x:v>10</x:v>
      </x:c>
      <x:c r="F27" s="109" t="n">
        <x:v>500</x:v>
      </x:c>
      <x:c r="G27" s="91" t="str">
        <x:v>OPEN</x:v>
      </x:c>
      <x:c r="H27" s="91" t="str">
        <x:v>OPEN</x:v>
      </x:c>
      <x:c r="I27" s="91" t="str">
        <x:v>OPEN</x:v>
      </x:c>
      <x:c r="J27" s="91" t="str">
        <x:v>SEALED</x:v>
      </x:c>
      <x:c r="K27" s="91" t="str"/>
      <x:c r="L27" s="91" t="str">
        <x:v>OPEN</x:v>
      </x:c>
    </x:row>
    <x:row r="28">
      <x:c r="A28" s="86" t="str">
        <x:v>MC-023</x:v>
      </x:c>
      <x:c r="B28" s="86" t="str">
        <x:v>DBS-625</x:v>
      </x:c>
      <x:c r="C28" s="86" t="str">
        <x:v>PIL-625</x:v>
      </x:c>
      <x:c r="D28" s="86" t="str">
        <x:v>thermally soaked</x:v>
      </x:c>
      <x:c r="E28" s="108" t="n">
        <x:v>11</x:v>
      </x:c>
      <x:c r="F28" s="109" t="n">
        <x:v>500</x:v>
      </x:c>
      <x:c r="G28" s="91" t="str">
        <x:v>OPEN</x:v>
      </x:c>
      <x:c r="H28" s="91" t="str">
        <x:v>OPEN</x:v>
      </x:c>
      <x:c r="I28" s="91" t="str">
        <x:v>OPEN</x:v>
      </x:c>
      <x:c r="J28" s="91" t="str">
        <x:v>SEALED</x:v>
      </x:c>
      <x:c r="K28" s="91" t="str"/>
      <x:c r="L28" s="91" t="str">
        <x:v>OPEN</x:v>
      </x:c>
    </x:row>
    <x:row r="29">
      <x:c r="A29" s="86" t="str">
        <x:v>MC-024</x:v>
      </x:c>
      <x:c r="B29" s="86" t="str">
        <x:v>DBS-625</x:v>
      </x:c>
      <x:c r="C29" s="86" t="str">
        <x:v>PIL-625</x:v>
      </x:c>
      <x:c r="D29" s="86" t="str">
        <x:v>thermally soaked</x:v>
      </x:c>
      <x:c r="E29" s="108" t="n">
        <x:v>12</x:v>
      </x:c>
      <x:c r="F29" s="109" t="n">
        <x:v>500</x:v>
      </x:c>
      <x:c r="G29" s="91" t="str">
        <x:v>OPEN</x:v>
      </x:c>
      <x:c r="H29" s="91" t="str">
        <x:v>OPEN</x:v>
      </x:c>
      <x:c r="I29" s="91" t="str">
        <x:v>OPEN</x:v>
      </x:c>
      <x:c r="J29" s="91" t="str">
        <x:v>SEALED</x:v>
      </x:c>
      <x:c r="K29" s="91" t="str"/>
      <x:c r="L29" s="91" t="str">
        <x:v>OPEN</x:v>
      </x:c>
    </x:row>
    <x:row r="30">
      <x:c r="A30" s="86" t="str">
        <x:v>MC-025</x:v>
      </x:c>
      <x:c r="B30" s="86" t="str">
        <x:v>DBS-625</x:v>
      </x:c>
      <x:c r="C30" s="86" t="str">
        <x:v>SCM-25</x:v>
      </x:c>
      <x:c r="D30" s="86" t="str">
        <x:v>cold baseline</x:v>
      </x:c>
      <x:c r="E30" s="108" t="n">
        <x:v>1</x:v>
      </x:c>
      <x:c r="F30" s="109" t="n">
        <x:v>250</x:v>
      </x:c>
      <x:c r="G30" s="91" t="str">
        <x:v>OPEN</x:v>
      </x:c>
      <x:c r="H30" s="91" t="str">
        <x:v>OPEN</x:v>
      </x:c>
      <x:c r="I30" s="91" t="str">
        <x:v>OPEN</x:v>
      </x:c>
      <x:c r="J30" s="91" t="str">
        <x:v>SEALED</x:v>
      </x:c>
      <x:c r="K30" s="91" t="str"/>
      <x:c r="L30" s="91" t="str">
        <x:v>OPEN</x:v>
      </x:c>
    </x:row>
    <x:row r="31">
      <x:c r="A31" s="86" t="str">
        <x:v>MC-026</x:v>
      </x:c>
      <x:c r="B31" s="86" t="str">
        <x:v>DBS-625</x:v>
      </x:c>
      <x:c r="C31" s="86" t="str">
        <x:v>SCM-25</x:v>
      </x:c>
      <x:c r="D31" s="86" t="str">
        <x:v>cold baseline</x:v>
      </x:c>
      <x:c r="E31" s="108" t="n">
        <x:v>2</x:v>
      </x:c>
      <x:c r="F31" s="109" t="n">
        <x:v>250</x:v>
      </x:c>
      <x:c r="G31" s="91" t="str">
        <x:v>OPEN</x:v>
      </x:c>
      <x:c r="H31" s="91" t="str">
        <x:v>OPEN</x:v>
      </x:c>
      <x:c r="I31" s="91" t="str">
        <x:v>OPEN</x:v>
      </x:c>
      <x:c r="J31" s="91" t="str">
        <x:v>SEALED</x:v>
      </x:c>
      <x:c r="K31" s="91" t="str"/>
      <x:c r="L31" s="91" t="str">
        <x:v>OPEN</x:v>
      </x:c>
    </x:row>
    <x:row r="32">
      <x:c r="A32" s="86" t="str">
        <x:v>MC-027</x:v>
      </x:c>
      <x:c r="B32" s="86" t="str">
        <x:v>DBS-625</x:v>
      </x:c>
      <x:c r="C32" s="86" t="str">
        <x:v>SCM-25</x:v>
      </x:c>
      <x:c r="D32" s="86" t="str">
        <x:v>cold baseline</x:v>
      </x:c>
      <x:c r="E32" s="108" t="n">
        <x:v>3</x:v>
      </x:c>
      <x:c r="F32" s="109" t="n">
        <x:v>250</x:v>
      </x:c>
      <x:c r="G32" s="91" t="str">
        <x:v>OPEN</x:v>
      </x:c>
      <x:c r="H32" s="91" t="str">
        <x:v>OPEN</x:v>
      </x:c>
      <x:c r="I32" s="91" t="str">
        <x:v>OPEN</x:v>
      </x:c>
      <x:c r="J32" s="91" t="str">
        <x:v>SEALED</x:v>
      </x:c>
      <x:c r="K32" s="91" t="str"/>
      <x:c r="L32" s="91" t="str">
        <x:v>OPEN</x:v>
      </x:c>
    </x:row>
    <x:row r="33">
      <x:c r="A33" s="86" t="str">
        <x:v>MC-028</x:v>
      </x:c>
      <x:c r="B33" s="86" t="str">
        <x:v>DBS-625</x:v>
      </x:c>
      <x:c r="C33" s="86" t="str">
        <x:v>SCM-25</x:v>
      </x:c>
      <x:c r="D33" s="86" t="str">
        <x:v>cold baseline</x:v>
      </x:c>
      <x:c r="E33" s="108" t="n">
        <x:v>4</x:v>
      </x:c>
      <x:c r="F33" s="109" t="n">
        <x:v>250</x:v>
      </x:c>
      <x:c r="G33" s="91" t="str">
        <x:v>OPEN</x:v>
      </x:c>
      <x:c r="H33" s="91" t="str">
        <x:v>OPEN</x:v>
      </x:c>
      <x:c r="I33" s="91" t="str">
        <x:v>OPEN</x:v>
      </x:c>
      <x:c r="J33" s="91" t="str">
        <x:v>SEALED</x:v>
      </x:c>
      <x:c r="K33" s="91" t="str"/>
      <x:c r="L33" s="91" t="str">
        <x:v>OPEN</x:v>
      </x:c>
    </x:row>
    <x:row r="34">
      <x:c r="A34" s="86" t="str">
        <x:v>MC-029</x:v>
      </x:c>
      <x:c r="B34" s="86" t="str">
        <x:v>DBS-625</x:v>
      </x:c>
      <x:c r="C34" s="86" t="str">
        <x:v>SCM-25</x:v>
      </x:c>
      <x:c r="D34" s="86" t="str">
        <x:v>cold baseline</x:v>
      </x:c>
      <x:c r="E34" s="108" t="n">
        <x:v>5</x:v>
      </x:c>
      <x:c r="F34" s="109" t="n">
        <x:v>250</x:v>
      </x:c>
      <x:c r="G34" s="91" t="str">
        <x:v>OPEN</x:v>
      </x:c>
      <x:c r="H34" s="91" t="str">
        <x:v>OPEN</x:v>
      </x:c>
      <x:c r="I34" s="91" t="str">
        <x:v>OPEN</x:v>
      </x:c>
      <x:c r="J34" s="91" t="str">
        <x:v>SEALED</x:v>
      </x:c>
      <x:c r="K34" s="91" t="str"/>
      <x:c r="L34" s="91" t="str">
        <x:v>OPEN</x:v>
      </x:c>
    </x:row>
    <x:row r="35">
      <x:c r="A35" s="86" t="str">
        <x:v>MC-030</x:v>
      </x:c>
      <x:c r="B35" s="86" t="str">
        <x:v>DBS-625</x:v>
      </x:c>
      <x:c r="C35" s="86" t="str">
        <x:v>SCM-25</x:v>
      </x:c>
      <x:c r="D35" s="86" t="str">
        <x:v>cold baseline</x:v>
      </x:c>
      <x:c r="E35" s="108" t="n">
        <x:v>6</x:v>
      </x:c>
      <x:c r="F35" s="109" t="n">
        <x:v>250</x:v>
      </x:c>
      <x:c r="G35" s="91" t="str">
        <x:v>OPEN</x:v>
      </x:c>
      <x:c r="H35" s="91" t="str">
        <x:v>OPEN</x:v>
      </x:c>
      <x:c r="I35" s="91" t="str">
        <x:v>OPEN</x:v>
      </x:c>
      <x:c r="J35" s="91" t="str">
        <x:v>SEALED</x:v>
      </x:c>
      <x:c r="K35" s="91" t="str"/>
      <x:c r="L35" s="91" t="str">
        <x:v>OPEN</x:v>
      </x:c>
    </x:row>
    <x:row r="36">
      <x:c r="A36" s="86" t="str">
        <x:v>MC-031</x:v>
      </x:c>
      <x:c r="B36" s="86" t="str">
        <x:v>DBS-625</x:v>
      </x:c>
      <x:c r="C36" s="86" t="str">
        <x:v>SCM-25</x:v>
      </x:c>
      <x:c r="D36" s="86" t="str">
        <x:v>cold baseline</x:v>
      </x:c>
      <x:c r="E36" s="108" t="n">
        <x:v>7</x:v>
      </x:c>
      <x:c r="F36" s="109" t="n">
        <x:v>500</x:v>
      </x:c>
      <x:c r="G36" s="91" t="str">
        <x:v>OPEN</x:v>
      </x:c>
      <x:c r="H36" s="91" t="str">
        <x:v>OPEN</x:v>
      </x:c>
      <x:c r="I36" s="91" t="str">
        <x:v>OPEN</x:v>
      </x:c>
      <x:c r="J36" s="91" t="str">
        <x:v>SEALED</x:v>
      </x:c>
      <x:c r="K36" s="91" t="str"/>
      <x:c r="L36" s="91" t="str">
        <x:v>OPEN</x:v>
      </x:c>
    </x:row>
    <x:row r="37">
      <x:c r="A37" s="86" t="str">
        <x:v>MC-032</x:v>
      </x:c>
      <x:c r="B37" s="86" t="str">
        <x:v>DBS-625</x:v>
      </x:c>
      <x:c r="C37" s="86" t="str">
        <x:v>SCM-25</x:v>
      </x:c>
      <x:c r="D37" s="86" t="str">
        <x:v>cold baseline</x:v>
      </x:c>
      <x:c r="E37" s="108" t="n">
        <x:v>8</x:v>
      </x:c>
      <x:c r="F37" s="109" t="n">
        <x:v>500</x:v>
      </x:c>
      <x:c r="G37" s="91" t="str">
        <x:v>OPEN</x:v>
      </x:c>
      <x:c r="H37" s="91" t="str">
        <x:v>OPEN</x:v>
      </x:c>
      <x:c r="I37" s="91" t="str">
        <x:v>OPEN</x:v>
      </x:c>
      <x:c r="J37" s="91" t="str">
        <x:v>SEALED</x:v>
      </x:c>
      <x:c r="K37" s="91" t="str"/>
      <x:c r="L37" s="91" t="str">
        <x:v>OPEN</x:v>
      </x:c>
    </x:row>
    <x:row r="38">
      <x:c r="A38" s="86" t="str">
        <x:v>MC-033</x:v>
      </x:c>
      <x:c r="B38" s="86" t="str">
        <x:v>DBS-625</x:v>
      </x:c>
      <x:c r="C38" s="86" t="str">
        <x:v>SCM-25</x:v>
      </x:c>
      <x:c r="D38" s="86" t="str">
        <x:v>cold baseline</x:v>
      </x:c>
      <x:c r="E38" s="108" t="n">
        <x:v>9</x:v>
      </x:c>
      <x:c r="F38" s="109" t="n">
        <x:v>500</x:v>
      </x:c>
      <x:c r="G38" s="91" t="str">
        <x:v>OPEN</x:v>
      </x:c>
      <x:c r="H38" s="91" t="str">
        <x:v>OPEN</x:v>
      </x:c>
      <x:c r="I38" s="91" t="str">
        <x:v>OPEN</x:v>
      </x:c>
      <x:c r="J38" s="91" t="str">
        <x:v>SEALED</x:v>
      </x:c>
      <x:c r="K38" s="91" t="str"/>
      <x:c r="L38" s="91" t="str">
        <x:v>OPEN</x:v>
      </x:c>
    </x:row>
    <x:row r="39">
      <x:c r="A39" s="86" t="str">
        <x:v>MC-034</x:v>
      </x:c>
      <x:c r="B39" s="86" t="str">
        <x:v>DBS-625</x:v>
      </x:c>
      <x:c r="C39" s="86" t="str">
        <x:v>SCM-25</x:v>
      </x:c>
      <x:c r="D39" s="86" t="str">
        <x:v>cold baseline</x:v>
      </x:c>
      <x:c r="E39" s="108" t="n">
        <x:v>10</x:v>
      </x:c>
      <x:c r="F39" s="109" t="n">
        <x:v>500</x:v>
      </x:c>
      <x:c r="G39" s="91" t="str">
        <x:v>OPEN</x:v>
      </x:c>
      <x:c r="H39" s="91" t="str">
        <x:v>OPEN</x:v>
      </x:c>
      <x:c r="I39" s="91" t="str">
        <x:v>OPEN</x:v>
      </x:c>
      <x:c r="J39" s="91" t="str">
        <x:v>SEALED</x:v>
      </x:c>
      <x:c r="K39" s="91" t="str"/>
      <x:c r="L39" s="91" t="str">
        <x:v>OPEN</x:v>
      </x:c>
    </x:row>
    <x:row r="40">
      <x:c r="A40" s="86" t="str">
        <x:v>MC-035</x:v>
      </x:c>
      <x:c r="B40" s="86" t="str">
        <x:v>DBS-625</x:v>
      </x:c>
      <x:c r="C40" s="86" t="str">
        <x:v>SCM-25</x:v>
      </x:c>
      <x:c r="D40" s="86" t="str">
        <x:v>cold baseline</x:v>
      </x:c>
      <x:c r="E40" s="108" t="n">
        <x:v>11</x:v>
      </x:c>
      <x:c r="F40" s="109" t="n">
        <x:v>500</x:v>
      </x:c>
      <x:c r="G40" s="91" t="str">
        <x:v>OPEN</x:v>
      </x:c>
      <x:c r="H40" s="91" t="str">
        <x:v>OPEN</x:v>
      </x:c>
      <x:c r="I40" s="91" t="str">
        <x:v>OPEN</x:v>
      </x:c>
      <x:c r="J40" s="91" t="str">
        <x:v>SEALED</x:v>
      </x:c>
      <x:c r="K40" s="91" t="str"/>
      <x:c r="L40" s="91" t="str">
        <x:v>OPEN</x:v>
      </x:c>
    </x:row>
    <x:row r="41">
      <x:c r="A41" s="86" t="str">
        <x:v>MC-036</x:v>
      </x:c>
      <x:c r="B41" s="86" t="str">
        <x:v>DBS-625</x:v>
      </x:c>
      <x:c r="C41" s="86" t="str">
        <x:v>SCM-25</x:v>
      </x:c>
      <x:c r="D41" s="86" t="str">
        <x:v>cold baseline</x:v>
      </x:c>
      <x:c r="E41" s="108" t="n">
        <x:v>12</x:v>
      </x:c>
      <x:c r="F41" s="109" t="n">
        <x:v>500</x:v>
      </x:c>
      <x:c r="G41" s="91" t="str">
        <x:v>OPEN</x:v>
      </x:c>
      <x:c r="H41" s="91" t="str">
        <x:v>OPEN</x:v>
      </x:c>
      <x:c r="I41" s="91" t="str">
        <x:v>OPEN</x:v>
      </x:c>
      <x:c r="J41" s="91" t="str">
        <x:v>SEALED</x:v>
      </x:c>
      <x:c r="K41" s="91" t="str"/>
      <x:c r="L41" s="91" t="str">
        <x:v>OPEN</x:v>
      </x:c>
    </x:row>
    <x:row r="42">
      <x:c r="A42" s="86" t="str">
        <x:v>MC-037</x:v>
      </x:c>
      <x:c r="B42" s="86" t="str">
        <x:v>DBS-625</x:v>
      </x:c>
      <x:c r="C42" s="86" t="str">
        <x:v>SCM-25</x:v>
      </x:c>
      <x:c r="D42" s="86" t="str">
        <x:v>thermally soaked</x:v>
      </x:c>
      <x:c r="E42" s="108" t="n">
        <x:v>1</x:v>
      </x:c>
      <x:c r="F42" s="109" t="n">
        <x:v>250</x:v>
      </x:c>
      <x:c r="G42" s="91" t="str">
        <x:v>OPEN</x:v>
      </x:c>
      <x:c r="H42" s="91" t="str">
        <x:v>OPEN</x:v>
      </x:c>
      <x:c r="I42" s="91" t="str">
        <x:v>OPEN</x:v>
      </x:c>
      <x:c r="J42" s="91" t="str">
        <x:v>SEALED</x:v>
      </x:c>
      <x:c r="K42" s="91" t="str"/>
      <x:c r="L42" s="91" t="str">
        <x:v>OPEN</x:v>
      </x:c>
    </x:row>
    <x:row r="43">
      <x:c r="A43" s="86" t="str">
        <x:v>MC-038</x:v>
      </x:c>
      <x:c r="B43" s="86" t="str">
        <x:v>DBS-625</x:v>
      </x:c>
      <x:c r="C43" s="86" t="str">
        <x:v>SCM-25</x:v>
      </x:c>
      <x:c r="D43" s="86" t="str">
        <x:v>thermally soaked</x:v>
      </x:c>
      <x:c r="E43" s="108" t="n">
        <x:v>2</x:v>
      </x:c>
      <x:c r="F43" s="109" t="n">
        <x:v>250</x:v>
      </x:c>
      <x:c r="G43" s="91" t="str">
        <x:v>OPEN</x:v>
      </x:c>
      <x:c r="H43" s="91" t="str">
        <x:v>OPEN</x:v>
      </x:c>
      <x:c r="I43" s="91" t="str">
        <x:v>OPEN</x:v>
      </x:c>
      <x:c r="J43" s="91" t="str">
        <x:v>SEALED</x:v>
      </x:c>
      <x:c r="K43" s="91" t="str"/>
      <x:c r="L43" s="91" t="str">
        <x:v>OPEN</x:v>
      </x:c>
    </x:row>
    <x:row r="44">
      <x:c r="A44" s="86" t="str">
        <x:v>MC-039</x:v>
      </x:c>
      <x:c r="B44" s="86" t="str">
        <x:v>DBS-625</x:v>
      </x:c>
      <x:c r="C44" s="86" t="str">
        <x:v>SCM-25</x:v>
      </x:c>
      <x:c r="D44" s="86" t="str">
        <x:v>thermally soaked</x:v>
      </x:c>
      <x:c r="E44" s="108" t="n">
        <x:v>3</x:v>
      </x:c>
      <x:c r="F44" s="109" t="n">
        <x:v>250</x:v>
      </x:c>
      <x:c r="G44" s="91" t="str">
        <x:v>OPEN</x:v>
      </x:c>
      <x:c r="H44" s="91" t="str">
        <x:v>OPEN</x:v>
      </x:c>
      <x:c r="I44" s="91" t="str">
        <x:v>OPEN</x:v>
      </x:c>
      <x:c r="J44" s="91" t="str">
        <x:v>SEALED</x:v>
      </x:c>
      <x:c r="K44" s="91" t="str"/>
      <x:c r="L44" s="91" t="str">
        <x:v>OPEN</x:v>
      </x:c>
    </x:row>
    <x:row r="45">
      <x:c r="A45" s="86" t="str">
        <x:v>MC-040</x:v>
      </x:c>
      <x:c r="B45" s="86" t="str">
        <x:v>DBS-625</x:v>
      </x:c>
      <x:c r="C45" s="86" t="str">
        <x:v>SCM-25</x:v>
      </x:c>
      <x:c r="D45" s="86" t="str">
        <x:v>thermally soaked</x:v>
      </x:c>
      <x:c r="E45" s="108" t="n">
        <x:v>4</x:v>
      </x:c>
      <x:c r="F45" s="109" t="n">
        <x:v>250</x:v>
      </x:c>
      <x:c r="G45" s="91" t="str">
        <x:v>OPEN</x:v>
      </x:c>
      <x:c r="H45" s="91" t="str">
        <x:v>OPEN</x:v>
      </x:c>
      <x:c r="I45" s="91" t="str">
        <x:v>OPEN</x:v>
      </x:c>
      <x:c r="J45" s="91" t="str">
        <x:v>SEALED</x:v>
      </x:c>
      <x:c r="K45" s="91" t="str"/>
      <x:c r="L45" s="91" t="str">
        <x:v>OPEN</x:v>
      </x:c>
    </x:row>
    <x:row r="46">
      <x:c r="A46" s="86" t="str">
        <x:v>MC-041</x:v>
      </x:c>
      <x:c r="B46" s="86" t="str">
        <x:v>DBS-625</x:v>
      </x:c>
      <x:c r="C46" s="86" t="str">
        <x:v>SCM-25</x:v>
      </x:c>
      <x:c r="D46" s="86" t="str">
        <x:v>thermally soaked</x:v>
      </x:c>
      <x:c r="E46" s="108" t="n">
        <x:v>5</x:v>
      </x:c>
      <x:c r="F46" s="109" t="n">
        <x:v>250</x:v>
      </x:c>
      <x:c r="G46" s="91" t="str">
        <x:v>OPEN</x:v>
      </x:c>
      <x:c r="H46" s="91" t="str">
        <x:v>OPEN</x:v>
      </x:c>
      <x:c r="I46" s="91" t="str">
        <x:v>OPEN</x:v>
      </x:c>
      <x:c r="J46" s="91" t="str">
        <x:v>SEALED</x:v>
      </x:c>
      <x:c r="K46" s="91" t="str"/>
      <x:c r="L46" s="91" t="str">
        <x:v>OPEN</x:v>
      </x:c>
    </x:row>
    <x:row r="47">
      <x:c r="A47" s="86" t="str">
        <x:v>MC-042</x:v>
      </x:c>
      <x:c r="B47" s="86" t="str">
        <x:v>DBS-625</x:v>
      </x:c>
      <x:c r="C47" s="86" t="str">
        <x:v>SCM-25</x:v>
      </x:c>
      <x:c r="D47" s="86" t="str">
        <x:v>thermally soaked</x:v>
      </x:c>
      <x:c r="E47" s="108" t="n">
        <x:v>6</x:v>
      </x:c>
      <x:c r="F47" s="109" t="n">
        <x:v>250</x:v>
      </x:c>
      <x:c r="G47" s="91" t="str">
        <x:v>OPEN</x:v>
      </x:c>
      <x:c r="H47" s="91" t="str">
        <x:v>OPEN</x:v>
      </x:c>
      <x:c r="I47" s="91" t="str">
        <x:v>OPEN</x:v>
      </x:c>
      <x:c r="J47" s="91" t="str">
        <x:v>SEALED</x:v>
      </x:c>
      <x:c r="K47" s="91" t="str"/>
      <x:c r="L47" s="91" t="str">
        <x:v>OPEN</x:v>
      </x:c>
    </x:row>
    <x:row r="48">
      <x:c r="A48" s="86" t="str">
        <x:v>MC-043</x:v>
      </x:c>
      <x:c r="B48" s="86" t="str">
        <x:v>DBS-625</x:v>
      </x:c>
      <x:c r="C48" s="86" t="str">
        <x:v>SCM-25</x:v>
      </x:c>
      <x:c r="D48" s="86" t="str">
        <x:v>thermally soaked</x:v>
      </x:c>
      <x:c r="E48" s="108" t="n">
        <x:v>7</x:v>
      </x:c>
      <x:c r="F48" s="109" t="n">
        <x:v>500</x:v>
      </x:c>
      <x:c r="G48" s="91" t="str">
        <x:v>OPEN</x:v>
      </x:c>
      <x:c r="H48" s="91" t="str">
        <x:v>OPEN</x:v>
      </x:c>
      <x:c r="I48" s="91" t="str">
        <x:v>OPEN</x:v>
      </x:c>
      <x:c r="J48" s="91" t="str">
        <x:v>SEALED</x:v>
      </x:c>
      <x:c r="K48" s="91" t="str"/>
      <x:c r="L48" s="91" t="str">
        <x:v>OPEN</x:v>
      </x:c>
    </x:row>
    <x:row r="49">
      <x:c r="A49" s="86" t="str">
        <x:v>MC-044</x:v>
      </x:c>
      <x:c r="B49" s="86" t="str">
        <x:v>DBS-625</x:v>
      </x:c>
      <x:c r="C49" s="86" t="str">
        <x:v>SCM-25</x:v>
      </x:c>
      <x:c r="D49" s="86" t="str">
        <x:v>thermally soaked</x:v>
      </x:c>
      <x:c r="E49" s="108" t="n">
        <x:v>8</x:v>
      </x:c>
      <x:c r="F49" s="109" t="n">
        <x:v>500</x:v>
      </x:c>
      <x:c r="G49" s="91" t="str">
        <x:v>OPEN</x:v>
      </x:c>
      <x:c r="H49" s="91" t="str">
        <x:v>OPEN</x:v>
      </x:c>
      <x:c r="I49" s="91" t="str">
        <x:v>OPEN</x:v>
      </x:c>
      <x:c r="J49" s="91" t="str">
        <x:v>SEALED</x:v>
      </x:c>
      <x:c r="K49" s="91" t="str"/>
      <x:c r="L49" s="91" t="str">
        <x:v>OPEN</x:v>
      </x:c>
    </x:row>
    <x:row r="50">
      <x:c r="A50" s="86" t="str">
        <x:v>MC-045</x:v>
      </x:c>
      <x:c r="B50" s="86" t="str">
        <x:v>DBS-625</x:v>
      </x:c>
      <x:c r="C50" s="86" t="str">
        <x:v>SCM-25</x:v>
      </x:c>
      <x:c r="D50" s="86" t="str">
        <x:v>thermally soaked</x:v>
      </x:c>
      <x:c r="E50" s="108" t="n">
        <x:v>9</x:v>
      </x:c>
      <x:c r="F50" s="109" t="n">
        <x:v>500</x:v>
      </x:c>
      <x:c r="G50" s="91" t="str">
        <x:v>OPEN</x:v>
      </x:c>
      <x:c r="H50" s="91" t="str">
        <x:v>OPEN</x:v>
      </x:c>
      <x:c r="I50" s="91" t="str">
        <x:v>OPEN</x:v>
      </x:c>
      <x:c r="J50" s="91" t="str">
        <x:v>SEALED</x:v>
      </x:c>
      <x:c r="K50" s="91" t="str"/>
      <x:c r="L50" s="91" t="str">
        <x:v>OPEN</x:v>
      </x:c>
    </x:row>
    <x:row r="51">
      <x:c r="A51" s="86" t="str">
        <x:v>MC-046</x:v>
      </x:c>
      <x:c r="B51" s="86" t="str">
        <x:v>DBS-625</x:v>
      </x:c>
      <x:c r="C51" s="86" t="str">
        <x:v>SCM-25</x:v>
      </x:c>
      <x:c r="D51" s="86" t="str">
        <x:v>thermally soaked</x:v>
      </x:c>
      <x:c r="E51" s="108" t="n">
        <x:v>10</x:v>
      </x:c>
      <x:c r="F51" s="109" t="n">
        <x:v>500</x:v>
      </x:c>
      <x:c r="G51" s="91" t="str">
        <x:v>OPEN</x:v>
      </x:c>
      <x:c r="H51" s="91" t="str">
        <x:v>OPEN</x:v>
      </x:c>
      <x:c r="I51" s="91" t="str">
        <x:v>OPEN</x:v>
      </x:c>
      <x:c r="J51" s="91" t="str">
        <x:v>SEALED</x:v>
      </x:c>
      <x:c r="K51" s="91" t="str"/>
      <x:c r="L51" s="91" t="str">
        <x:v>OPEN</x:v>
      </x:c>
    </x:row>
    <x:row r="52">
      <x:c r="A52" s="86" t="str">
        <x:v>MC-047</x:v>
      </x:c>
      <x:c r="B52" s="86" t="str">
        <x:v>DBS-625</x:v>
      </x:c>
      <x:c r="C52" s="86" t="str">
        <x:v>SCM-25</x:v>
      </x:c>
      <x:c r="D52" s="86" t="str">
        <x:v>thermally soaked</x:v>
      </x:c>
      <x:c r="E52" s="108" t="n">
        <x:v>11</x:v>
      </x:c>
      <x:c r="F52" s="109" t="n">
        <x:v>500</x:v>
      </x:c>
      <x:c r="G52" s="91" t="str">
        <x:v>OPEN</x:v>
      </x:c>
      <x:c r="H52" s="91" t="str">
        <x:v>OPEN</x:v>
      </x:c>
      <x:c r="I52" s="91" t="str">
        <x:v>OPEN</x:v>
      </x:c>
      <x:c r="J52" s="91" t="str">
        <x:v>SEALED</x:v>
      </x:c>
      <x:c r="K52" s="91" t="str"/>
      <x:c r="L52" s="91" t="str">
        <x:v>OPEN</x:v>
      </x:c>
    </x:row>
    <x:row r="53">
      <x:c r="A53" s="86" t="str">
        <x:v>MC-048</x:v>
      </x:c>
      <x:c r="B53" s="86" t="str">
        <x:v>DBS-625</x:v>
      </x:c>
      <x:c r="C53" s="86" t="str">
        <x:v>SCM-25</x:v>
      </x:c>
      <x:c r="D53" s="86" t="str">
        <x:v>thermally soaked</x:v>
      </x:c>
      <x:c r="E53" s="108" t="n">
        <x:v>12</x:v>
      </x:c>
      <x:c r="F53" s="109" t="n">
        <x:v>500</x:v>
      </x:c>
      <x:c r="G53" s="91" t="str">
        <x:v>OPEN</x:v>
      </x:c>
      <x:c r="H53" s="91" t="str">
        <x:v>OPEN</x:v>
      </x:c>
      <x:c r="I53" s="91" t="str">
        <x:v>OPEN</x:v>
      </x:c>
      <x:c r="J53" s="91" t="str">
        <x:v>SEALED</x:v>
      </x:c>
      <x:c r="K53" s="91" t="str"/>
      <x:c r="L53" s="91" t="str">
        <x:v>OPEN</x:v>
      </x:c>
    </x:row>
    <x:row r="54">
      <x:c r="A54" s="86" t="str">
        <x:v>MC-049</x:v>
      </x:c>
      <x:c r="B54" s="86" t="str">
        <x:v>DBS-625</x:v>
      </x:c>
      <x:c r="C54" s="86" t="str">
        <x:v>RAF-625</x:v>
      </x:c>
      <x:c r="D54" s="86" t="str">
        <x:v>cold baseline</x:v>
      </x:c>
      <x:c r="E54" s="108" t="n">
        <x:v>1</x:v>
      </x:c>
      <x:c r="F54" s="109" t="n">
        <x:v>250</x:v>
      </x:c>
      <x:c r="G54" s="91" t="str">
        <x:v>OPEN</x:v>
      </x:c>
      <x:c r="H54" s="91" t="str">
        <x:v>OPEN</x:v>
      </x:c>
      <x:c r="I54" s="91" t="str">
        <x:v>OPEN</x:v>
      </x:c>
      <x:c r="J54" s="91" t="str">
        <x:v>SEALED</x:v>
      </x:c>
      <x:c r="K54" s="91" t="str"/>
      <x:c r="L54" s="91" t="str">
        <x:v>OPEN</x:v>
      </x:c>
    </x:row>
    <x:row r="55">
      <x:c r="A55" s="86" t="str">
        <x:v>MC-050</x:v>
      </x:c>
      <x:c r="B55" s="86" t="str">
        <x:v>DBS-625</x:v>
      </x:c>
      <x:c r="C55" s="86" t="str">
        <x:v>RAF-625</x:v>
      </x:c>
      <x:c r="D55" s="86" t="str">
        <x:v>cold baseline</x:v>
      </x:c>
      <x:c r="E55" s="108" t="n">
        <x:v>2</x:v>
      </x:c>
      <x:c r="F55" s="109" t="n">
        <x:v>250</x:v>
      </x:c>
      <x:c r="G55" s="91" t="str">
        <x:v>OPEN</x:v>
      </x:c>
      <x:c r="H55" s="91" t="str">
        <x:v>OPEN</x:v>
      </x:c>
      <x:c r="I55" s="91" t="str">
        <x:v>OPEN</x:v>
      </x:c>
      <x:c r="J55" s="91" t="str">
        <x:v>SEALED</x:v>
      </x:c>
      <x:c r="K55" s="91" t="str"/>
      <x:c r="L55" s="91" t="str">
        <x:v>OPEN</x:v>
      </x:c>
    </x:row>
    <x:row r="56">
      <x:c r="A56" s="86" t="str">
        <x:v>MC-051</x:v>
      </x:c>
      <x:c r="B56" s="86" t="str">
        <x:v>DBS-625</x:v>
      </x:c>
      <x:c r="C56" s="86" t="str">
        <x:v>RAF-625</x:v>
      </x:c>
      <x:c r="D56" s="86" t="str">
        <x:v>cold baseline</x:v>
      </x:c>
      <x:c r="E56" s="108" t="n">
        <x:v>3</x:v>
      </x:c>
      <x:c r="F56" s="109" t="n">
        <x:v>250</x:v>
      </x:c>
      <x:c r="G56" s="91" t="str">
        <x:v>OPEN</x:v>
      </x:c>
      <x:c r="H56" s="91" t="str">
        <x:v>OPEN</x:v>
      </x:c>
      <x:c r="I56" s="91" t="str">
        <x:v>OPEN</x:v>
      </x:c>
      <x:c r="J56" s="91" t="str">
        <x:v>SEALED</x:v>
      </x:c>
      <x:c r="K56" s="91" t="str"/>
      <x:c r="L56" s="91" t="str">
        <x:v>OPEN</x:v>
      </x:c>
    </x:row>
    <x:row r="57">
      <x:c r="A57" s="86" t="str">
        <x:v>MC-052</x:v>
      </x:c>
      <x:c r="B57" s="86" t="str">
        <x:v>DBS-625</x:v>
      </x:c>
      <x:c r="C57" s="86" t="str">
        <x:v>RAF-625</x:v>
      </x:c>
      <x:c r="D57" s="86" t="str">
        <x:v>cold baseline</x:v>
      </x:c>
      <x:c r="E57" s="108" t="n">
        <x:v>4</x:v>
      </x:c>
      <x:c r="F57" s="109" t="n">
        <x:v>250</x:v>
      </x:c>
      <x:c r="G57" s="91" t="str">
        <x:v>OPEN</x:v>
      </x:c>
      <x:c r="H57" s="91" t="str">
        <x:v>OPEN</x:v>
      </x:c>
      <x:c r="I57" s="91" t="str">
        <x:v>OPEN</x:v>
      </x:c>
      <x:c r="J57" s="91" t="str">
        <x:v>SEALED</x:v>
      </x:c>
      <x:c r="K57" s="91" t="str"/>
      <x:c r="L57" s="91" t="str">
        <x:v>OPEN</x:v>
      </x:c>
    </x:row>
    <x:row r="58">
      <x:c r="A58" s="86" t="str">
        <x:v>MC-053</x:v>
      </x:c>
      <x:c r="B58" s="86" t="str">
        <x:v>DBS-625</x:v>
      </x:c>
      <x:c r="C58" s="86" t="str">
        <x:v>RAF-625</x:v>
      </x:c>
      <x:c r="D58" s="86" t="str">
        <x:v>cold baseline</x:v>
      </x:c>
      <x:c r="E58" s="108" t="n">
        <x:v>5</x:v>
      </x:c>
      <x:c r="F58" s="109" t="n">
        <x:v>250</x:v>
      </x:c>
      <x:c r="G58" s="91" t="str">
        <x:v>OPEN</x:v>
      </x:c>
      <x:c r="H58" s="91" t="str">
        <x:v>OPEN</x:v>
      </x:c>
      <x:c r="I58" s="91" t="str">
        <x:v>OPEN</x:v>
      </x:c>
      <x:c r="J58" s="91" t="str">
        <x:v>SEALED</x:v>
      </x:c>
      <x:c r="K58" s="91" t="str"/>
      <x:c r="L58" s="91" t="str">
        <x:v>OPEN</x:v>
      </x:c>
    </x:row>
    <x:row r="59">
      <x:c r="A59" s="86" t="str">
        <x:v>MC-054</x:v>
      </x:c>
      <x:c r="B59" s="86" t="str">
        <x:v>DBS-625</x:v>
      </x:c>
      <x:c r="C59" s="86" t="str">
        <x:v>RAF-625</x:v>
      </x:c>
      <x:c r="D59" s="86" t="str">
        <x:v>cold baseline</x:v>
      </x:c>
      <x:c r="E59" s="108" t="n">
        <x:v>6</x:v>
      </x:c>
      <x:c r="F59" s="109" t="n">
        <x:v>250</x:v>
      </x:c>
      <x:c r="G59" s="91" t="str">
        <x:v>OPEN</x:v>
      </x:c>
      <x:c r="H59" s="91" t="str">
        <x:v>OPEN</x:v>
      </x:c>
      <x:c r="I59" s="91" t="str">
        <x:v>OPEN</x:v>
      </x:c>
      <x:c r="J59" s="91" t="str">
        <x:v>SEALED</x:v>
      </x:c>
      <x:c r="K59" s="91" t="str"/>
      <x:c r="L59" s="91" t="str">
        <x:v>OPEN</x:v>
      </x:c>
    </x:row>
    <x:row r="60">
      <x:c r="A60" s="86" t="str">
        <x:v>MC-055</x:v>
      </x:c>
      <x:c r="B60" s="86" t="str">
        <x:v>DBS-625</x:v>
      </x:c>
      <x:c r="C60" s="86" t="str">
        <x:v>RAF-625</x:v>
      </x:c>
      <x:c r="D60" s="86" t="str">
        <x:v>cold baseline</x:v>
      </x:c>
      <x:c r="E60" s="108" t="n">
        <x:v>7</x:v>
      </x:c>
      <x:c r="F60" s="109" t="n">
        <x:v>500</x:v>
      </x:c>
      <x:c r="G60" s="91" t="str">
        <x:v>OPEN</x:v>
      </x:c>
      <x:c r="H60" s="91" t="str">
        <x:v>OPEN</x:v>
      </x:c>
      <x:c r="I60" s="91" t="str">
        <x:v>OPEN</x:v>
      </x:c>
      <x:c r="J60" s="91" t="str">
        <x:v>SEALED</x:v>
      </x:c>
      <x:c r="K60" s="91" t="str"/>
      <x:c r="L60" s="91" t="str">
        <x:v>OPEN</x:v>
      </x:c>
    </x:row>
    <x:row r="61">
      <x:c r="A61" s="86" t="str">
        <x:v>MC-056</x:v>
      </x:c>
      <x:c r="B61" s="86" t="str">
        <x:v>DBS-625</x:v>
      </x:c>
      <x:c r="C61" s="86" t="str">
        <x:v>RAF-625</x:v>
      </x:c>
      <x:c r="D61" s="86" t="str">
        <x:v>cold baseline</x:v>
      </x:c>
      <x:c r="E61" s="108" t="n">
        <x:v>8</x:v>
      </x:c>
      <x:c r="F61" s="109" t="n">
        <x:v>500</x:v>
      </x:c>
      <x:c r="G61" s="91" t="str">
        <x:v>OPEN</x:v>
      </x:c>
      <x:c r="H61" s="91" t="str">
        <x:v>OPEN</x:v>
      </x:c>
      <x:c r="I61" s="91" t="str">
        <x:v>OPEN</x:v>
      </x:c>
      <x:c r="J61" s="91" t="str">
        <x:v>SEALED</x:v>
      </x:c>
      <x:c r="K61" s="91" t="str"/>
      <x:c r="L61" s="91" t="str">
        <x:v>OPEN</x:v>
      </x:c>
    </x:row>
    <x:row r="62">
      <x:c r="A62" s="86" t="str">
        <x:v>MC-057</x:v>
      </x:c>
      <x:c r="B62" s="86" t="str">
        <x:v>DBS-625</x:v>
      </x:c>
      <x:c r="C62" s="86" t="str">
        <x:v>RAF-625</x:v>
      </x:c>
      <x:c r="D62" s="86" t="str">
        <x:v>cold baseline</x:v>
      </x:c>
      <x:c r="E62" s="108" t="n">
        <x:v>9</x:v>
      </x:c>
      <x:c r="F62" s="109" t="n">
        <x:v>500</x:v>
      </x:c>
      <x:c r="G62" s="91" t="str">
        <x:v>OPEN</x:v>
      </x:c>
      <x:c r="H62" s="91" t="str">
        <x:v>OPEN</x:v>
      </x:c>
      <x:c r="I62" s="91" t="str">
        <x:v>OPEN</x:v>
      </x:c>
      <x:c r="J62" s="91" t="str">
        <x:v>SEALED</x:v>
      </x:c>
      <x:c r="K62" s="91" t="str"/>
      <x:c r="L62" s="91" t="str">
        <x:v>OPEN</x:v>
      </x:c>
    </x:row>
    <x:row r="63">
      <x:c r="A63" s="86" t="str">
        <x:v>MC-058</x:v>
      </x:c>
      <x:c r="B63" s="86" t="str">
        <x:v>DBS-625</x:v>
      </x:c>
      <x:c r="C63" s="86" t="str">
        <x:v>RAF-625</x:v>
      </x:c>
      <x:c r="D63" s="86" t="str">
        <x:v>cold baseline</x:v>
      </x:c>
      <x:c r="E63" s="108" t="n">
        <x:v>10</x:v>
      </x:c>
      <x:c r="F63" s="109" t="n">
        <x:v>500</x:v>
      </x:c>
      <x:c r="G63" s="91" t="str">
        <x:v>OPEN</x:v>
      </x:c>
      <x:c r="H63" s="91" t="str">
        <x:v>OPEN</x:v>
      </x:c>
      <x:c r="I63" s="91" t="str">
        <x:v>OPEN</x:v>
      </x:c>
      <x:c r="J63" s="91" t="str">
        <x:v>SEALED</x:v>
      </x:c>
      <x:c r="K63" s="91" t="str"/>
      <x:c r="L63" s="91" t="str">
        <x:v>OPEN</x:v>
      </x:c>
    </x:row>
    <x:row r="64">
      <x:c r="A64" s="86" t="str">
        <x:v>MC-059</x:v>
      </x:c>
      <x:c r="B64" s="86" t="str">
        <x:v>DBS-625</x:v>
      </x:c>
      <x:c r="C64" s="86" t="str">
        <x:v>RAF-625</x:v>
      </x:c>
      <x:c r="D64" s="86" t="str">
        <x:v>cold baseline</x:v>
      </x:c>
      <x:c r="E64" s="108" t="n">
        <x:v>11</x:v>
      </x:c>
      <x:c r="F64" s="109" t="n">
        <x:v>500</x:v>
      </x:c>
      <x:c r="G64" s="91" t="str">
        <x:v>OPEN</x:v>
      </x:c>
      <x:c r="H64" s="91" t="str">
        <x:v>OPEN</x:v>
      </x:c>
      <x:c r="I64" s="91" t="str">
        <x:v>OPEN</x:v>
      </x:c>
      <x:c r="J64" s="91" t="str">
        <x:v>SEALED</x:v>
      </x:c>
      <x:c r="K64" s="91" t="str"/>
      <x:c r="L64" s="91" t="str">
        <x:v>OPEN</x:v>
      </x:c>
    </x:row>
    <x:row r="65">
      <x:c r="A65" s="86" t="str">
        <x:v>MC-060</x:v>
      </x:c>
      <x:c r="B65" s="86" t="str">
        <x:v>DBS-625</x:v>
      </x:c>
      <x:c r="C65" s="86" t="str">
        <x:v>RAF-625</x:v>
      </x:c>
      <x:c r="D65" s="86" t="str">
        <x:v>cold baseline</x:v>
      </x:c>
      <x:c r="E65" s="108" t="n">
        <x:v>12</x:v>
      </x:c>
      <x:c r="F65" s="109" t="n">
        <x:v>500</x:v>
      </x:c>
      <x:c r="G65" s="91" t="str">
        <x:v>OPEN</x:v>
      </x:c>
      <x:c r="H65" s="91" t="str">
        <x:v>OPEN</x:v>
      </x:c>
      <x:c r="I65" s="91" t="str">
        <x:v>OPEN</x:v>
      </x:c>
      <x:c r="J65" s="91" t="str">
        <x:v>SEALED</x:v>
      </x:c>
      <x:c r="K65" s="91" t="str"/>
      <x:c r="L65" s="91" t="str">
        <x:v>OPEN</x:v>
      </x:c>
    </x:row>
    <x:row r="66">
      <x:c r="A66" s="86" t="str">
        <x:v>MC-061</x:v>
      </x:c>
      <x:c r="B66" s="86" t="str">
        <x:v>DBS-625</x:v>
      </x:c>
      <x:c r="C66" s="86" t="str">
        <x:v>RAF-625</x:v>
      </x:c>
      <x:c r="D66" s="86" t="str">
        <x:v>thermally soaked</x:v>
      </x:c>
      <x:c r="E66" s="108" t="n">
        <x:v>1</x:v>
      </x:c>
      <x:c r="F66" s="109" t="n">
        <x:v>250</x:v>
      </x:c>
      <x:c r="G66" s="91" t="str">
        <x:v>OPEN</x:v>
      </x:c>
      <x:c r="H66" s="91" t="str">
        <x:v>OPEN</x:v>
      </x:c>
      <x:c r="I66" s="91" t="str">
        <x:v>OPEN</x:v>
      </x:c>
      <x:c r="J66" s="91" t="str">
        <x:v>SEALED</x:v>
      </x:c>
      <x:c r="K66" s="91" t="str"/>
      <x:c r="L66" s="91" t="str">
        <x:v>OPEN</x:v>
      </x:c>
    </x:row>
    <x:row r="67">
      <x:c r="A67" s="86" t="str">
        <x:v>MC-062</x:v>
      </x:c>
      <x:c r="B67" s="86" t="str">
        <x:v>DBS-625</x:v>
      </x:c>
      <x:c r="C67" s="86" t="str">
        <x:v>RAF-625</x:v>
      </x:c>
      <x:c r="D67" s="86" t="str">
        <x:v>thermally soaked</x:v>
      </x:c>
      <x:c r="E67" s="108" t="n">
        <x:v>2</x:v>
      </x:c>
      <x:c r="F67" s="109" t="n">
        <x:v>250</x:v>
      </x:c>
      <x:c r="G67" s="91" t="str">
        <x:v>OPEN</x:v>
      </x:c>
      <x:c r="H67" s="91" t="str">
        <x:v>OPEN</x:v>
      </x:c>
      <x:c r="I67" s="91" t="str">
        <x:v>OPEN</x:v>
      </x:c>
      <x:c r="J67" s="91" t="str">
        <x:v>SEALED</x:v>
      </x:c>
      <x:c r="K67" s="91" t="str"/>
      <x:c r="L67" s="91" t="str">
        <x:v>OPEN</x:v>
      </x:c>
    </x:row>
    <x:row r="68">
      <x:c r="A68" s="86" t="str">
        <x:v>MC-063</x:v>
      </x:c>
      <x:c r="B68" s="86" t="str">
        <x:v>DBS-625</x:v>
      </x:c>
      <x:c r="C68" s="86" t="str">
        <x:v>RAF-625</x:v>
      </x:c>
      <x:c r="D68" s="86" t="str">
        <x:v>thermally soaked</x:v>
      </x:c>
      <x:c r="E68" s="108" t="n">
        <x:v>3</x:v>
      </x:c>
      <x:c r="F68" s="109" t="n">
        <x:v>250</x:v>
      </x:c>
      <x:c r="G68" s="91" t="str">
        <x:v>OPEN</x:v>
      </x:c>
      <x:c r="H68" s="91" t="str">
        <x:v>OPEN</x:v>
      </x:c>
      <x:c r="I68" s="91" t="str">
        <x:v>OPEN</x:v>
      </x:c>
      <x:c r="J68" s="91" t="str">
        <x:v>SEALED</x:v>
      </x:c>
      <x:c r="K68" s="91" t="str"/>
      <x:c r="L68" s="91" t="str">
        <x:v>OPEN</x:v>
      </x:c>
    </x:row>
    <x:row r="69">
      <x:c r="A69" s="86" t="str">
        <x:v>MC-064</x:v>
      </x:c>
      <x:c r="B69" s="86" t="str">
        <x:v>DBS-625</x:v>
      </x:c>
      <x:c r="C69" s="86" t="str">
        <x:v>RAF-625</x:v>
      </x:c>
      <x:c r="D69" s="86" t="str">
        <x:v>thermally soaked</x:v>
      </x:c>
      <x:c r="E69" s="108" t="n">
        <x:v>4</x:v>
      </x:c>
      <x:c r="F69" s="109" t="n">
        <x:v>250</x:v>
      </x:c>
      <x:c r="G69" s="91" t="str">
        <x:v>OPEN</x:v>
      </x:c>
      <x:c r="H69" s="91" t="str">
        <x:v>OPEN</x:v>
      </x:c>
      <x:c r="I69" s="91" t="str">
        <x:v>OPEN</x:v>
      </x:c>
      <x:c r="J69" s="91" t="str">
        <x:v>SEALED</x:v>
      </x:c>
      <x:c r="K69" s="91" t="str"/>
      <x:c r="L69" s="91" t="str">
        <x:v>OPEN</x:v>
      </x:c>
    </x:row>
    <x:row r="70">
      <x:c r="A70" s="86" t="str">
        <x:v>MC-065</x:v>
      </x:c>
      <x:c r="B70" s="86" t="str">
        <x:v>DBS-625</x:v>
      </x:c>
      <x:c r="C70" s="86" t="str">
        <x:v>RAF-625</x:v>
      </x:c>
      <x:c r="D70" s="86" t="str">
        <x:v>thermally soaked</x:v>
      </x:c>
      <x:c r="E70" s="108" t="n">
        <x:v>5</x:v>
      </x:c>
      <x:c r="F70" s="109" t="n">
        <x:v>250</x:v>
      </x:c>
      <x:c r="G70" s="91" t="str">
        <x:v>OPEN</x:v>
      </x:c>
      <x:c r="H70" s="91" t="str">
        <x:v>OPEN</x:v>
      </x:c>
      <x:c r="I70" s="91" t="str">
        <x:v>OPEN</x:v>
      </x:c>
      <x:c r="J70" s="91" t="str">
        <x:v>SEALED</x:v>
      </x:c>
      <x:c r="K70" s="91" t="str"/>
      <x:c r="L70" s="91" t="str">
        <x:v>OPEN</x:v>
      </x:c>
    </x:row>
    <x:row r="71">
      <x:c r="A71" s="86" t="str">
        <x:v>MC-066</x:v>
      </x:c>
      <x:c r="B71" s="86" t="str">
        <x:v>DBS-625</x:v>
      </x:c>
      <x:c r="C71" s="86" t="str">
        <x:v>RAF-625</x:v>
      </x:c>
      <x:c r="D71" s="86" t="str">
        <x:v>thermally soaked</x:v>
      </x:c>
      <x:c r="E71" s="108" t="n">
        <x:v>6</x:v>
      </x:c>
      <x:c r="F71" s="109" t="n">
        <x:v>250</x:v>
      </x:c>
      <x:c r="G71" s="91" t="str">
        <x:v>OPEN</x:v>
      </x:c>
      <x:c r="H71" s="91" t="str">
        <x:v>OPEN</x:v>
      </x:c>
      <x:c r="I71" s="91" t="str">
        <x:v>OPEN</x:v>
      </x:c>
      <x:c r="J71" s="91" t="str">
        <x:v>SEALED</x:v>
      </x:c>
      <x:c r="K71" s="91" t="str"/>
      <x:c r="L71" s="91" t="str">
        <x:v>OPEN</x:v>
      </x:c>
    </x:row>
    <x:row r="72">
      <x:c r="A72" s="86" t="str">
        <x:v>MC-067</x:v>
      </x:c>
      <x:c r="B72" s="86" t="str">
        <x:v>DBS-625</x:v>
      </x:c>
      <x:c r="C72" s="86" t="str">
        <x:v>RAF-625</x:v>
      </x:c>
      <x:c r="D72" s="86" t="str">
        <x:v>thermally soaked</x:v>
      </x:c>
      <x:c r="E72" s="108" t="n">
        <x:v>7</x:v>
      </x:c>
      <x:c r="F72" s="109" t="n">
        <x:v>500</x:v>
      </x:c>
      <x:c r="G72" s="91" t="str">
        <x:v>OPEN</x:v>
      </x:c>
      <x:c r="H72" s="91" t="str">
        <x:v>OPEN</x:v>
      </x:c>
      <x:c r="I72" s="91" t="str">
        <x:v>OPEN</x:v>
      </x:c>
      <x:c r="J72" s="91" t="str">
        <x:v>SEALED</x:v>
      </x:c>
      <x:c r="K72" s="91" t="str"/>
      <x:c r="L72" s="91" t="str">
        <x:v>OPEN</x:v>
      </x:c>
    </x:row>
    <x:row r="73">
      <x:c r="A73" s="86" t="str">
        <x:v>MC-068</x:v>
      </x:c>
      <x:c r="B73" s="86" t="str">
        <x:v>DBS-625</x:v>
      </x:c>
      <x:c r="C73" s="86" t="str">
        <x:v>RAF-625</x:v>
      </x:c>
      <x:c r="D73" s="86" t="str">
        <x:v>thermally soaked</x:v>
      </x:c>
      <x:c r="E73" s="108" t="n">
        <x:v>8</x:v>
      </x:c>
      <x:c r="F73" s="109" t="n">
        <x:v>500</x:v>
      </x:c>
      <x:c r="G73" s="91" t="str">
        <x:v>OPEN</x:v>
      </x:c>
      <x:c r="H73" s="91" t="str">
        <x:v>OPEN</x:v>
      </x:c>
      <x:c r="I73" s="91" t="str">
        <x:v>OPEN</x:v>
      </x:c>
      <x:c r="J73" s="91" t="str">
        <x:v>SEALED</x:v>
      </x:c>
      <x:c r="K73" s="91" t="str"/>
      <x:c r="L73" s="91" t="str">
        <x:v>OPEN</x:v>
      </x:c>
    </x:row>
    <x:row r="74">
      <x:c r="A74" s="86" t="str">
        <x:v>MC-069</x:v>
      </x:c>
      <x:c r="B74" s="86" t="str">
        <x:v>DBS-625</x:v>
      </x:c>
      <x:c r="C74" s="86" t="str">
        <x:v>RAF-625</x:v>
      </x:c>
      <x:c r="D74" s="86" t="str">
        <x:v>thermally soaked</x:v>
      </x:c>
      <x:c r="E74" s="108" t="n">
        <x:v>9</x:v>
      </x:c>
      <x:c r="F74" s="109" t="n">
        <x:v>500</x:v>
      </x:c>
      <x:c r="G74" s="91" t="str">
        <x:v>OPEN</x:v>
      </x:c>
      <x:c r="H74" s="91" t="str">
        <x:v>OPEN</x:v>
      </x:c>
      <x:c r="I74" s="91" t="str">
        <x:v>OPEN</x:v>
      </x:c>
      <x:c r="J74" s="91" t="str">
        <x:v>SEALED</x:v>
      </x:c>
      <x:c r="K74" s="91" t="str"/>
      <x:c r="L74" s="91" t="str">
        <x:v>OPEN</x:v>
      </x:c>
    </x:row>
    <x:row r="75">
      <x:c r="A75" s="86" t="str">
        <x:v>MC-070</x:v>
      </x:c>
      <x:c r="B75" s="86" t="str">
        <x:v>DBS-625</x:v>
      </x:c>
      <x:c r="C75" s="86" t="str">
        <x:v>RAF-625</x:v>
      </x:c>
      <x:c r="D75" s="86" t="str">
        <x:v>thermally soaked</x:v>
      </x:c>
      <x:c r="E75" s="108" t="n">
        <x:v>10</x:v>
      </x:c>
      <x:c r="F75" s="109" t="n">
        <x:v>500</x:v>
      </x:c>
      <x:c r="G75" s="91" t="str">
        <x:v>OPEN</x:v>
      </x:c>
      <x:c r="H75" s="91" t="str">
        <x:v>OPEN</x:v>
      </x:c>
      <x:c r="I75" s="91" t="str">
        <x:v>OPEN</x:v>
      </x:c>
      <x:c r="J75" s="91" t="str">
        <x:v>SEALED</x:v>
      </x:c>
      <x:c r="K75" s="91" t="str"/>
      <x:c r="L75" s="91" t="str">
        <x:v>OPEN</x:v>
      </x:c>
    </x:row>
    <x:row r="76">
      <x:c r="A76" s="86" t="str">
        <x:v>MC-071</x:v>
      </x:c>
      <x:c r="B76" s="86" t="str">
        <x:v>DBS-625</x:v>
      </x:c>
      <x:c r="C76" s="86" t="str">
        <x:v>RAF-625</x:v>
      </x:c>
      <x:c r="D76" s="86" t="str">
        <x:v>thermally soaked</x:v>
      </x:c>
      <x:c r="E76" s="108" t="n">
        <x:v>11</x:v>
      </x:c>
      <x:c r="F76" s="109" t="n">
        <x:v>500</x:v>
      </x:c>
      <x:c r="G76" s="91" t="str">
        <x:v>OPEN</x:v>
      </x:c>
      <x:c r="H76" s="91" t="str">
        <x:v>OPEN</x:v>
      </x:c>
      <x:c r="I76" s="91" t="str">
        <x:v>OPEN</x:v>
      </x:c>
      <x:c r="J76" s="91" t="str">
        <x:v>SEALED</x:v>
      </x:c>
      <x:c r="K76" s="91" t="str"/>
      <x:c r="L76" s="91" t="str">
        <x:v>OPEN</x:v>
      </x:c>
    </x:row>
    <x:row r="77">
      <x:c r="A77" s="86" t="str">
        <x:v>MC-072</x:v>
      </x:c>
      <x:c r="B77" s="86" t="str">
        <x:v>DBS-625</x:v>
      </x:c>
      <x:c r="C77" s="86" t="str">
        <x:v>RAF-625</x:v>
      </x:c>
      <x:c r="D77" s="86" t="str">
        <x:v>thermally soaked</x:v>
      </x:c>
      <x:c r="E77" s="108" t="n">
        <x:v>12</x:v>
      </x:c>
      <x:c r="F77" s="109" t="n">
        <x:v>500</x:v>
      </x:c>
      <x:c r="G77" s="91" t="str">
        <x:v>OPEN</x:v>
      </x:c>
      <x:c r="H77" s="91" t="str">
        <x:v>OPEN</x:v>
      </x:c>
      <x:c r="I77" s="91" t="str">
        <x:v>OPEN</x:v>
      </x:c>
      <x:c r="J77" s="91" t="str">
        <x:v>SEALED</x:v>
      </x:c>
      <x:c r="K77" s="91" t="str"/>
      <x:c r="L77" s="91" t="str">
        <x:v>OPEN</x:v>
      </x:c>
    </x:row>
    <x:row r="78">
      <x:c r="A78" s="86" t="str">
        <x:v>MC-073</x:v>
      </x:c>
      <x:c r="B78" s="86" t="str">
        <x:v>PIL-625</x:v>
      </x:c>
      <x:c r="C78" s="86" t="str">
        <x:v>SCM-25</x:v>
      </x:c>
      <x:c r="D78" s="86" t="str">
        <x:v>cold baseline</x:v>
      </x:c>
      <x:c r="E78" s="108" t="n">
        <x:v>1</x:v>
      </x:c>
      <x:c r="F78" s="109" t="n">
        <x:v>250</x:v>
      </x:c>
      <x:c r="G78" s="91" t="str">
        <x:v>OPEN</x:v>
      </x:c>
      <x:c r="H78" s="91" t="str">
        <x:v>OPEN</x:v>
      </x:c>
      <x:c r="I78" s="91" t="str">
        <x:v>OPEN</x:v>
      </x:c>
      <x:c r="J78" s="91" t="str">
        <x:v>SEALED</x:v>
      </x:c>
      <x:c r="K78" s="91" t="str"/>
      <x:c r="L78" s="91" t="str">
        <x:v>OPEN</x:v>
      </x:c>
    </x:row>
    <x:row r="79">
      <x:c r="A79" s="86" t="str">
        <x:v>MC-074</x:v>
      </x:c>
      <x:c r="B79" s="86" t="str">
        <x:v>PIL-625</x:v>
      </x:c>
      <x:c r="C79" s="86" t="str">
        <x:v>SCM-25</x:v>
      </x:c>
      <x:c r="D79" s="86" t="str">
        <x:v>cold baseline</x:v>
      </x:c>
      <x:c r="E79" s="108" t="n">
        <x:v>2</x:v>
      </x:c>
      <x:c r="F79" s="109" t="n">
        <x:v>250</x:v>
      </x:c>
      <x:c r="G79" s="91" t="str">
        <x:v>OPEN</x:v>
      </x:c>
      <x:c r="H79" s="91" t="str">
        <x:v>OPEN</x:v>
      </x:c>
      <x:c r="I79" s="91" t="str">
        <x:v>OPEN</x:v>
      </x:c>
      <x:c r="J79" s="91" t="str">
        <x:v>SEALED</x:v>
      </x:c>
      <x:c r="K79" s="91" t="str"/>
      <x:c r="L79" s="91" t="str">
        <x:v>OPEN</x:v>
      </x:c>
    </x:row>
    <x:row r="80">
      <x:c r="A80" s="86" t="str">
        <x:v>MC-075</x:v>
      </x:c>
      <x:c r="B80" s="86" t="str">
        <x:v>PIL-625</x:v>
      </x:c>
      <x:c r="C80" s="86" t="str">
        <x:v>SCM-25</x:v>
      </x:c>
      <x:c r="D80" s="86" t="str">
        <x:v>cold baseline</x:v>
      </x:c>
      <x:c r="E80" s="108" t="n">
        <x:v>3</x:v>
      </x:c>
      <x:c r="F80" s="109" t="n">
        <x:v>250</x:v>
      </x:c>
      <x:c r="G80" s="91" t="str">
        <x:v>OPEN</x:v>
      </x:c>
      <x:c r="H80" s="91" t="str">
        <x:v>OPEN</x:v>
      </x:c>
      <x:c r="I80" s="91" t="str">
        <x:v>OPEN</x:v>
      </x:c>
      <x:c r="J80" s="91" t="str">
        <x:v>SEALED</x:v>
      </x:c>
      <x:c r="K80" s="91" t="str"/>
      <x:c r="L80" s="91" t="str">
        <x:v>OPEN</x:v>
      </x:c>
    </x:row>
    <x:row r="81">
      <x:c r="A81" s="86" t="str">
        <x:v>MC-076</x:v>
      </x:c>
      <x:c r="B81" s="86" t="str">
        <x:v>PIL-625</x:v>
      </x:c>
      <x:c r="C81" s="86" t="str">
        <x:v>SCM-25</x:v>
      </x:c>
      <x:c r="D81" s="86" t="str">
        <x:v>cold baseline</x:v>
      </x:c>
      <x:c r="E81" s="108" t="n">
        <x:v>4</x:v>
      </x:c>
      <x:c r="F81" s="109" t="n">
        <x:v>250</x:v>
      </x:c>
      <x:c r="G81" s="91" t="str">
        <x:v>OPEN</x:v>
      </x:c>
      <x:c r="H81" s="91" t="str">
        <x:v>OPEN</x:v>
      </x:c>
      <x:c r="I81" s="91" t="str">
        <x:v>OPEN</x:v>
      </x:c>
      <x:c r="J81" s="91" t="str">
        <x:v>SEALED</x:v>
      </x:c>
      <x:c r="K81" s="91" t="str"/>
      <x:c r="L81" s="91" t="str">
        <x:v>OPEN</x:v>
      </x:c>
    </x:row>
    <x:row r="82">
      <x:c r="A82" s="86" t="str">
        <x:v>MC-077</x:v>
      </x:c>
      <x:c r="B82" s="86" t="str">
        <x:v>PIL-625</x:v>
      </x:c>
      <x:c r="C82" s="86" t="str">
        <x:v>SCM-25</x:v>
      </x:c>
      <x:c r="D82" s="86" t="str">
        <x:v>cold baseline</x:v>
      </x:c>
      <x:c r="E82" s="108" t="n">
        <x:v>5</x:v>
      </x:c>
      <x:c r="F82" s="109" t="n">
        <x:v>250</x:v>
      </x:c>
      <x:c r="G82" s="91" t="str">
        <x:v>OPEN</x:v>
      </x:c>
      <x:c r="H82" s="91" t="str">
        <x:v>OPEN</x:v>
      </x:c>
      <x:c r="I82" s="91" t="str">
        <x:v>OPEN</x:v>
      </x:c>
      <x:c r="J82" s="91" t="str">
        <x:v>SEALED</x:v>
      </x:c>
      <x:c r="K82" s="91" t="str"/>
      <x:c r="L82" s="91" t="str">
        <x:v>OPEN</x:v>
      </x:c>
    </x:row>
    <x:row r="83">
      <x:c r="A83" s="86" t="str">
        <x:v>MC-078</x:v>
      </x:c>
      <x:c r="B83" s="86" t="str">
        <x:v>PIL-625</x:v>
      </x:c>
      <x:c r="C83" s="86" t="str">
        <x:v>SCM-25</x:v>
      </x:c>
      <x:c r="D83" s="86" t="str">
        <x:v>cold baseline</x:v>
      </x:c>
      <x:c r="E83" s="108" t="n">
        <x:v>6</x:v>
      </x:c>
      <x:c r="F83" s="109" t="n">
        <x:v>250</x:v>
      </x:c>
      <x:c r="G83" s="91" t="str">
        <x:v>OPEN</x:v>
      </x:c>
      <x:c r="H83" s="91" t="str">
        <x:v>OPEN</x:v>
      </x:c>
      <x:c r="I83" s="91" t="str">
        <x:v>OPEN</x:v>
      </x:c>
      <x:c r="J83" s="91" t="str">
        <x:v>SEALED</x:v>
      </x:c>
      <x:c r="K83" s="91" t="str"/>
      <x:c r="L83" s="91" t="str">
        <x:v>OPEN</x:v>
      </x:c>
    </x:row>
    <x:row r="84">
      <x:c r="A84" s="86" t="str">
        <x:v>MC-079</x:v>
      </x:c>
      <x:c r="B84" s="86" t="str">
        <x:v>PIL-625</x:v>
      </x:c>
      <x:c r="C84" s="86" t="str">
        <x:v>SCM-25</x:v>
      </x:c>
      <x:c r="D84" s="86" t="str">
        <x:v>cold baseline</x:v>
      </x:c>
      <x:c r="E84" s="108" t="n">
        <x:v>7</x:v>
      </x:c>
      <x:c r="F84" s="109" t="n">
        <x:v>500</x:v>
      </x:c>
      <x:c r="G84" s="91" t="str">
        <x:v>OPEN</x:v>
      </x:c>
      <x:c r="H84" s="91" t="str">
        <x:v>OPEN</x:v>
      </x:c>
      <x:c r="I84" s="91" t="str">
        <x:v>OPEN</x:v>
      </x:c>
      <x:c r="J84" s="91" t="str">
        <x:v>SEALED</x:v>
      </x:c>
      <x:c r="K84" s="91" t="str"/>
      <x:c r="L84" s="91" t="str">
        <x:v>OPEN</x:v>
      </x:c>
    </x:row>
    <x:row r="85">
      <x:c r="A85" s="86" t="str">
        <x:v>MC-080</x:v>
      </x:c>
      <x:c r="B85" s="86" t="str">
        <x:v>PIL-625</x:v>
      </x:c>
      <x:c r="C85" s="86" t="str">
        <x:v>SCM-25</x:v>
      </x:c>
      <x:c r="D85" s="86" t="str">
        <x:v>cold baseline</x:v>
      </x:c>
      <x:c r="E85" s="108" t="n">
        <x:v>8</x:v>
      </x:c>
      <x:c r="F85" s="109" t="n">
        <x:v>500</x:v>
      </x:c>
      <x:c r="G85" s="91" t="str">
        <x:v>OPEN</x:v>
      </x:c>
      <x:c r="H85" s="91" t="str">
        <x:v>OPEN</x:v>
      </x:c>
      <x:c r="I85" s="91" t="str">
        <x:v>OPEN</x:v>
      </x:c>
      <x:c r="J85" s="91" t="str">
        <x:v>SEALED</x:v>
      </x:c>
      <x:c r="K85" s="91" t="str"/>
      <x:c r="L85" s="91" t="str">
        <x:v>OPEN</x:v>
      </x:c>
    </x:row>
    <x:row r="86">
      <x:c r="A86" s="86" t="str">
        <x:v>MC-081</x:v>
      </x:c>
      <x:c r="B86" s="86" t="str">
        <x:v>PIL-625</x:v>
      </x:c>
      <x:c r="C86" s="86" t="str">
        <x:v>SCM-25</x:v>
      </x:c>
      <x:c r="D86" s="86" t="str">
        <x:v>cold baseline</x:v>
      </x:c>
      <x:c r="E86" s="108" t="n">
        <x:v>9</x:v>
      </x:c>
      <x:c r="F86" s="109" t="n">
        <x:v>500</x:v>
      </x:c>
      <x:c r="G86" s="91" t="str">
        <x:v>OPEN</x:v>
      </x:c>
      <x:c r="H86" s="91" t="str">
        <x:v>OPEN</x:v>
      </x:c>
      <x:c r="I86" s="91" t="str">
        <x:v>OPEN</x:v>
      </x:c>
      <x:c r="J86" s="91" t="str">
        <x:v>SEALED</x:v>
      </x:c>
      <x:c r="K86" s="91" t="str"/>
      <x:c r="L86" s="91" t="str">
        <x:v>OPEN</x:v>
      </x:c>
    </x:row>
    <x:row r="87">
      <x:c r="A87" s="86" t="str">
        <x:v>MC-082</x:v>
      </x:c>
      <x:c r="B87" s="86" t="str">
        <x:v>PIL-625</x:v>
      </x:c>
      <x:c r="C87" s="86" t="str">
        <x:v>SCM-25</x:v>
      </x:c>
      <x:c r="D87" s="86" t="str">
        <x:v>cold baseline</x:v>
      </x:c>
      <x:c r="E87" s="108" t="n">
        <x:v>10</x:v>
      </x:c>
      <x:c r="F87" s="109" t="n">
        <x:v>500</x:v>
      </x:c>
      <x:c r="G87" s="91" t="str">
        <x:v>OPEN</x:v>
      </x:c>
      <x:c r="H87" s="91" t="str">
        <x:v>OPEN</x:v>
      </x:c>
      <x:c r="I87" s="91" t="str">
        <x:v>OPEN</x:v>
      </x:c>
      <x:c r="J87" s="91" t="str">
        <x:v>SEALED</x:v>
      </x:c>
      <x:c r="K87" s="91" t="str"/>
      <x:c r="L87" s="91" t="str">
        <x:v>OPEN</x:v>
      </x:c>
    </x:row>
    <x:row r="88">
      <x:c r="A88" s="86" t="str">
        <x:v>MC-083</x:v>
      </x:c>
      <x:c r="B88" s="86" t="str">
        <x:v>PIL-625</x:v>
      </x:c>
      <x:c r="C88" s="86" t="str">
        <x:v>SCM-25</x:v>
      </x:c>
      <x:c r="D88" s="86" t="str">
        <x:v>cold baseline</x:v>
      </x:c>
      <x:c r="E88" s="108" t="n">
        <x:v>11</x:v>
      </x:c>
      <x:c r="F88" s="109" t="n">
        <x:v>500</x:v>
      </x:c>
      <x:c r="G88" s="91" t="str">
        <x:v>OPEN</x:v>
      </x:c>
      <x:c r="H88" s="91" t="str">
        <x:v>OPEN</x:v>
      </x:c>
      <x:c r="I88" s="91" t="str">
        <x:v>OPEN</x:v>
      </x:c>
      <x:c r="J88" s="91" t="str">
        <x:v>SEALED</x:v>
      </x:c>
      <x:c r="K88" s="91" t="str"/>
      <x:c r="L88" s="91" t="str">
        <x:v>OPEN</x:v>
      </x:c>
    </x:row>
    <x:row r="89">
      <x:c r="A89" s="86" t="str">
        <x:v>MC-084</x:v>
      </x:c>
      <x:c r="B89" s="86" t="str">
        <x:v>PIL-625</x:v>
      </x:c>
      <x:c r="C89" s="86" t="str">
        <x:v>SCM-25</x:v>
      </x:c>
      <x:c r="D89" s="86" t="str">
        <x:v>cold baseline</x:v>
      </x:c>
      <x:c r="E89" s="108" t="n">
        <x:v>12</x:v>
      </x:c>
      <x:c r="F89" s="109" t="n">
        <x:v>500</x:v>
      </x:c>
      <x:c r="G89" s="91" t="str">
        <x:v>OPEN</x:v>
      </x:c>
      <x:c r="H89" s="91" t="str">
        <x:v>OPEN</x:v>
      </x:c>
      <x:c r="I89" s="91" t="str">
        <x:v>OPEN</x:v>
      </x:c>
      <x:c r="J89" s="91" t="str">
        <x:v>SEALED</x:v>
      </x:c>
      <x:c r="K89" s="91" t="str"/>
      <x:c r="L89" s="91" t="str">
        <x:v>OPEN</x:v>
      </x:c>
    </x:row>
    <x:row r="90">
      <x:c r="A90" s="86" t="str">
        <x:v>MC-085</x:v>
      </x:c>
      <x:c r="B90" s="86" t="str">
        <x:v>PIL-625</x:v>
      </x:c>
      <x:c r="C90" s="86" t="str">
        <x:v>SCM-25</x:v>
      </x:c>
      <x:c r="D90" s="86" t="str">
        <x:v>thermally soaked</x:v>
      </x:c>
      <x:c r="E90" s="108" t="n">
        <x:v>1</x:v>
      </x:c>
      <x:c r="F90" s="109" t="n">
        <x:v>250</x:v>
      </x:c>
      <x:c r="G90" s="91" t="str">
        <x:v>OPEN</x:v>
      </x:c>
      <x:c r="H90" s="91" t="str">
        <x:v>OPEN</x:v>
      </x:c>
      <x:c r="I90" s="91" t="str">
        <x:v>OPEN</x:v>
      </x:c>
      <x:c r="J90" s="91" t="str">
        <x:v>SEALED</x:v>
      </x:c>
      <x:c r="K90" s="91" t="str"/>
      <x:c r="L90" s="91" t="str">
        <x:v>OPEN</x:v>
      </x:c>
    </x:row>
    <x:row r="91">
      <x:c r="A91" s="86" t="str">
        <x:v>MC-086</x:v>
      </x:c>
      <x:c r="B91" s="86" t="str">
        <x:v>PIL-625</x:v>
      </x:c>
      <x:c r="C91" s="86" t="str">
        <x:v>SCM-25</x:v>
      </x:c>
      <x:c r="D91" s="86" t="str">
        <x:v>thermally soaked</x:v>
      </x:c>
      <x:c r="E91" s="108" t="n">
        <x:v>2</x:v>
      </x:c>
      <x:c r="F91" s="109" t="n">
        <x:v>250</x:v>
      </x:c>
      <x:c r="G91" s="91" t="str">
        <x:v>OPEN</x:v>
      </x:c>
      <x:c r="H91" s="91" t="str">
        <x:v>OPEN</x:v>
      </x:c>
      <x:c r="I91" s="91" t="str">
        <x:v>OPEN</x:v>
      </x:c>
      <x:c r="J91" s="91" t="str">
        <x:v>SEALED</x:v>
      </x:c>
      <x:c r="K91" s="91" t="str"/>
      <x:c r="L91" s="91" t="str">
        <x:v>OPEN</x:v>
      </x:c>
    </x:row>
    <x:row r="92">
      <x:c r="A92" s="86" t="str">
        <x:v>MC-087</x:v>
      </x:c>
      <x:c r="B92" s="86" t="str">
        <x:v>PIL-625</x:v>
      </x:c>
      <x:c r="C92" s="86" t="str">
        <x:v>SCM-25</x:v>
      </x:c>
      <x:c r="D92" s="86" t="str">
        <x:v>thermally soaked</x:v>
      </x:c>
      <x:c r="E92" s="108" t="n">
        <x:v>3</x:v>
      </x:c>
      <x:c r="F92" s="109" t="n">
        <x:v>250</x:v>
      </x:c>
      <x:c r="G92" s="91" t="str">
        <x:v>OPEN</x:v>
      </x:c>
      <x:c r="H92" s="91" t="str">
        <x:v>OPEN</x:v>
      </x:c>
      <x:c r="I92" s="91" t="str">
        <x:v>OPEN</x:v>
      </x:c>
      <x:c r="J92" s="91" t="str">
        <x:v>SEALED</x:v>
      </x:c>
      <x:c r="K92" s="91" t="str"/>
      <x:c r="L92" s="91" t="str">
        <x:v>OPEN</x:v>
      </x:c>
    </x:row>
    <x:row r="93">
      <x:c r="A93" s="86" t="str">
        <x:v>MC-088</x:v>
      </x:c>
      <x:c r="B93" s="86" t="str">
        <x:v>PIL-625</x:v>
      </x:c>
      <x:c r="C93" s="86" t="str">
        <x:v>SCM-25</x:v>
      </x:c>
      <x:c r="D93" s="86" t="str">
        <x:v>thermally soaked</x:v>
      </x:c>
      <x:c r="E93" s="108" t="n">
        <x:v>4</x:v>
      </x:c>
      <x:c r="F93" s="109" t="n">
        <x:v>250</x:v>
      </x:c>
      <x:c r="G93" s="91" t="str">
        <x:v>OPEN</x:v>
      </x:c>
      <x:c r="H93" s="91" t="str">
        <x:v>OPEN</x:v>
      </x:c>
      <x:c r="I93" s="91" t="str">
        <x:v>OPEN</x:v>
      </x:c>
      <x:c r="J93" s="91" t="str">
        <x:v>SEALED</x:v>
      </x:c>
      <x:c r="K93" s="91" t="str"/>
      <x:c r="L93" s="91" t="str">
        <x:v>OPEN</x:v>
      </x:c>
    </x:row>
    <x:row r="94">
      <x:c r="A94" s="86" t="str">
        <x:v>MC-089</x:v>
      </x:c>
      <x:c r="B94" s="86" t="str">
        <x:v>PIL-625</x:v>
      </x:c>
      <x:c r="C94" s="86" t="str">
        <x:v>SCM-25</x:v>
      </x:c>
      <x:c r="D94" s="86" t="str">
        <x:v>thermally soaked</x:v>
      </x:c>
      <x:c r="E94" s="108" t="n">
        <x:v>5</x:v>
      </x:c>
      <x:c r="F94" s="109" t="n">
        <x:v>250</x:v>
      </x:c>
      <x:c r="G94" s="91" t="str">
        <x:v>OPEN</x:v>
      </x:c>
      <x:c r="H94" s="91" t="str">
        <x:v>OPEN</x:v>
      </x:c>
      <x:c r="I94" s="91" t="str">
        <x:v>OPEN</x:v>
      </x:c>
      <x:c r="J94" s="91" t="str">
        <x:v>SEALED</x:v>
      </x:c>
      <x:c r="K94" s="91" t="str"/>
      <x:c r="L94" s="91" t="str">
        <x:v>OPEN</x:v>
      </x:c>
    </x:row>
    <x:row r="95">
      <x:c r="A95" s="86" t="str">
        <x:v>MC-090</x:v>
      </x:c>
      <x:c r="B95" s="86" t="str">
        <x:v>PIL-625</x:v>
      </x:c>
      <x:c r="C95" s="86" t="str">
        <x:v>SCM-25</x:v>
      </x:c>
      <x:c r="D95" s="86" t="str">
        <x:v>thermally soaked</x:v>
      </x:c>
      <x:c r="E95" s="108" t="n">
        <x:v>6</x:v>
      </x:c>
      <x:c r="F95" s="109" t="n">
        <x:v>250</x:v>
      </x:c>
      <x:c r="G95" s="91" t="str">
        <x:v>OPEN</x:v>
      </x:c>
      <x:c r="H95" s="91" t="str">
        <x:v>OPEN</x:v>
      </x:c>
      <x:c r="I95" s="91" t="str">
        <x:v>OPEN</x:v>
      </x:c>
      <x:c r="J95" s="91" t="str">
        <x:v>SEALED</x:v>
      </x:c>
      <x:c r="K95" s="91" t="str"/>
      <x:c r="L95" s="91" t="str">
        <x:v>OPEN</x:v>
      </x:c>
    </x:row>
    <x:row r="96">
      <x:c r="A96" s="86" t="str">
        <x:v>MC-091</x:v>
      </x:c>
      <x:c r="B96" s="86" t="str">
        <x:v>PIL-625</x:v>
      </x:c>
      <x:c r="C96" s="86" t="str">
        <x:v>SCM-25</x:v>
      </x:c>
      <x:c r="D96" s="86" t="str">
        <x:v>thermally soaked</x:v>
      </x:c>
      <x:c r="E96" s="108" t="n">
        <x:v>7</x:v>
      </x:c>
      <x:c r="F96" s="109" t="n">
        <x:v>500</x:v>
      </x:c>
      <x:c r="G96" s="91" t="str">
        <x:v>OPEN</x:v>
      </x:c>
      <x:c r="H96" s="91" t="str">
        <x:v>OPEN</x:v>
      </x:c>
      <x:c r="I96" s="91" t="str">
        <x:v>OPEN</x:v>
      </x:c>
      <x:c r="J96" s="91" t="str">
        <x:v>SEALED</x:v>
      </x:c>
      <x:c r="K96" s="91" t="str"/>
      <x:c r="L96" s="91" t="str">
        <x:v>OPEN</x:v>
      </x:c>
    </x:row>
    <x:row r="97">
      <x:c r="A97" s="86" t="str">
        <x:v>MC-092</x:v>
      </x:c>
      <x:c r="B97" s="86" t="str">
        <x:v>PIL-625</x:v>
      </x:c>
      <x:c r="C97" s="86" t="str">
        <x:v>SCM-25</x:v>
      </x:c>
      <x:c r="D97" s="86" t="str">
        <x:v>thermally soaked</x:v>
      </x:c>
      <x:c r="E97" s="108" t="n">
        <x:v>8</x:v>
      </x:c>
      <x:c r="F97" s="109" t="n">
        <x:v>500</x:v>
      </x:c>
      <x:c r="G97" s="91" t="str">
        <x:v>OPEN</x:v>
      </x:c>
      <x:c r="H97" s="91" t="str">
        <x:v>OPEN</x:v>
      </x:c>
      <x:c r="I97" s="91" t="str">
        <x:v>OPEN</x:v>
      </x:c>
      <x:c r="J97" s="91" t="str">
        <x:v>SEALED</x:v>
      </x:c>
      <x:c r="K97" s="91" t="str"/>
      <x:c r="L97" s="91" t="str">
        <x:v>OPEN</x:v>
      </x:c>
    </x:row>
    <x:row r="98">
      <x:c r="A98" s="86" t="str">
        <x:v>MC-093</x:v>
      </x:c>
      <x:c r="B98" s="86" t="str">
        <x:v>PIL-625</x:v>
      </x:c>
      <x:c r="C98" s="86" t="str">
        <x:v>SCM-25</x:v>
      </x:c>
      <x:c r="D98" s="86" t="str">
        <x:v>thermally soaked</x:v>
      </x:c>
      <x:c r="E98" s="108" t="n">
        <x:v>9</x:v>
      </x:c>
      <x:c r="F98" s="109" t="n">
        <x:v>500</x:v>
      </x:c>
      <x:c r="G98" s="91" t="str">
        <x:v>OPEN</x:v>
      </x:c>
      <x:c r="H98" s="91" t="str">
        <x:v>OPEN</x:v>
      </x:c>
      <x:c r="I98" s="91" t="str">
        <x:v>OPEN</x:v>
      </x:c>
      <x:c r="J98" s="91" t="str">
        <x:v>SEALED</x:v>
      </x:c>
      <x:c r="K98" s="91" t="str"/>
      <x:c r="L98" s="91" t="str">
        <x:v>OPEN</x:v>
      </x:c>
    </x:row>
    <x:row r="99">
      <x:c r="A99" s="86" t="str">
        <x:v>MC-094</x:v>
      </x:c>
      <x:c r="B99" s="86" t="str">
        <x:v>PIL-625</x:v>
      </x:c>
      <x:c r="C99" s="86" t="str">
        <x:v>SCM-25</x:v>
      </x:c>
      <x:c r="D99" s="86" t="str">
        <x:v>thermally soaked</x:v>
      </x:c>
      <x:c r="E99" s="108" t="n">
        <x:v>10</x:v>
      </x:c>
      <x:c r="F99" s="109" t="n">
        <x:v>500</x:v>
      </x:c>
      <x:c r="G99" s="91" t="str">
        <x:v>OPEN</x:v>
      </x:c>
      <x:c r="H99" s="91" t="str">
        <x:v>OPEN</x:v>
      </x:c>
      <x:c r="I99" s="91" t="str">
        <x:v>OPEN</x:v>
      </x:c>
      <x:c r="J99" s="91" t="str">
        <x:v>SEALED</x:v>
      </x:c>
      <x:c r="K99" s="91" t="str"/>
      <x:c r="L99" s="91" t="str">
        <x:v>OPEN</x:v>
      </x:c>
    </x:row>
    <x:row r="100">
      <x:c r="A100" s="86" t="str">
        <x:v>MC-095</x:v>
      </x:c>
      <x:c r="B100" s="86" t="str">
        <x:v>PIL-625</x:v>
      </x:c>
      <x:c r="C100" s="86" t="str">
        <x:v>SCM-25</x:v>
      </x:c>
      <x:c r="D100" s="86" t="str">
        <x:v>thermally soaked</x:v>
      </x:c>
      <x:c r="E100" s="108" t="n">
        <x:v>11</x:v>
      </x:c>
      <x:c r="F100" s="109" t="n">
        <x:v>500</x:v>
      </x:c>
      <x:c r="G100" s="91" t="str">
        <x:v>OPEN</x:v>
      </x:c>
      <x:c r="H100" s="91" t="str">
        <x:v>OPEN</x:v>
      </x:c>
      <x:c r="I100" s="91" t="str">
        <x:v>OPEN</x:v>
      </x:c>
      <x:c r="J100" s="91" t="str">
        <x:v>SEALED</x:v>
      </x:c>
      <x:c r="K100" s="91" t="str"/>
      <x:c r="L100" s="91" t="str">
        <x:v>OPEN</x:v>
      </x:c>
    </x:row>
    <x:row r="101">
      <x:c r="A101" s="86" t="str">
        <x:v>MC-096</x:v>
      </x:c>
      <x:c r="B101" s="86" t="str">
        <x:v>PIL-625</x:v>
      </x:c>
      <x:c r="C101" s="86" t="str">
        <x:v>SCM-25</x:v>
      </x:c>
      <x:c r="D101" s="86" t="str">
        <x:v>thermally soaked</x:v>
      </x:c>
      <x:c r="E101" s="108" t="n">
        <x:v>12</x:v>
      </x:c>
      <x:c r="F101" s="109" t="n">
        <x:v>500</x:v>
      </x:c>
      <x:c r="G101" s="91" t="str">
        <x:v>OPEN</x:v>
      </x:c>
      <x:c r="H101" s="91" t="str">
        <x:v>OPEN</x:v>
      </x:c>
      <x:c r="I101" s="91" t="str">
        <x:v>OPEN</x:v>
      </x:c>
      <x:c r="J101" s="91" t="str">
        <x:v>SEALED</x:v>
      </x:c>
      <x:c r="K101" s="91" t="str"/>
      <x:c r="L101" s="91" t="str">
        <x:v>OPEN</x:v>
      </x:c>
    </x:row>
    <x:row r="102">
      <x:c r="A102" s="86" t="str">
        <x:v>MC-097</x:v>
      </x:c>
      <x:c r="B102" s="86" t="str">
        <x:v>PIL-625</x:v>
      </x:c>
      <x:c r="C102" s="86" t="str">
        <x:v>RAF-625</x:v>
      </x:c>
      <x:c r="D102" s="86" t="str">
        <x:v>cold baseline</x:v>
      </x:c>
      <x:c r="E102" s="108" t="n">
        <x:v>1</x:v>
      </x:c>
      <x:c r="F102" s="109" t="n">
        <x:v>250</x:v>
      </x:c>
      <x:c r="G102" s="91" t="str">
        <x:v>OPEN</x:v>
      </x:c>
      <x:c r="H102" s="91" t="str">
        <x:v>OPEN</x:v>
      </x:c>
      <x:c r="I102" s="91" t="str">
        <x:v>OPEN</x:v>
      </x:c>
      <x:c r="J102" s="91" t="str">
        <x:v>SEALED</x:v>
      </x:c>
      <x:c r="K102" s="91" t="str"/>
      <x:c r="L102" s="91" t="str">
        <x:v>OPEN</x:v>
      </x:c>
    </x:row>
    <x:row r="103">
      <x:c r="A103" s="86" t="str">
        <x:v>MC-098</x:v>
      </x:c>
      <x:c r="B103" s="86" t="str">
        <x:v>PIL-625</x:v>
      </x:c>
      <x:c r="C103" s="86" t="str">
        <x:v>RAF-625</x:v>
      </x:c>
      <x:c r="D103" s="86" t="str">
        <x:v>cold baseline</x:v>
      </x:c>
      <x:c r="E103" s="108" t="n">
        <x:v>2</x:v>
      </x:c>
      <x:c r="F103" s="109" t="n">
        <x:v>250</x:v>
      </x:c>
      <x:c r="G103" s="91" t="str">
        <x:v>OPEN</x:v>
      </x:c>
      <x:c r="H103" s="91" t="str">
        <x:v>OPEN</x:v>
      </x:c>
      <x:c r="I103" s="91" t="str">
        <x:v>OPEN</x:v>
      </x:c>
      <x:c r="J103" s="91" t="str">
        <x:v>SEALED</x:v>
      </x:c>
      <x:c r="K103" s="91" t="str"/>
      <x:c r="L103" s="91" t="str">
        <x:v>OPEN</x:v>
      </x:c>
    </x:row>
    <x:row r="104">
      <x:c r="A104" s="86" t="str">
        <x:v>MC-099</x:v>
      </x:c>
      <x:c r="B104" s="86" t="str">
        <x:v>PIL-625</x:v>
      </x:c>
      <x:c r="C104" s="86" t="str">
        <x:v>RAF-625</x:v>
      </x:c>
      <x:c r="D104" s="86" t="str">
        <x:v>cold baseline</x:v>
      </x:c>
      <x:c r="E104" s="108" t="n">
        <x:v>3</x:v>
      </x:c>
      <x:c r="F104" s="109" t="n">
        <x:v>250</x:v>
      </x:c>
      <x:c r="G104" s="91" t="str">
        <x:v>OPEN</x:v>
      </x:c>
      <x:c r="H104" s="91" t="str">
        <x:v>OPEN</x:v>
      </x:c>
      <x:c r="I104" s="91" t="str">
        <x:v>OPEN</x:v>
      </x:c>
      <x:c r="J104" s="91" t="str">
        <x:v>SEALED</x:v>
      </x:c>
      <x:c r="K104" s="91" t="str"/>
      <x:c r="L104" s="91" t="str">
        <x:v>OPEN</x:v>
      </x:c>
    </x:row>
    <x:row r="105">
      <x:c r="A105" s="86" t="str">
        <x:v>MC-100</x:v>
      </x:c>
      <x:c r="B105" s="86" t="str">
        <x:v>PIL-625</x:v>
      </x:c>
      <x:c r="C105" s="86" t="str">
        <x:v>RAF-625</x:v>
      </x:c>
      <x:c r="D105" s="86" t="str">
        <x:v>cold baseline</x:v>
      </x:c>
      <x:c r="E105" s="108" t="n">
        <x:v>4</x:v>
      </x:c>
      <x:c r="F105" s="109" t="n">
        <x:v>250</x:v>
      </x:c>
      <x:c r="G105" s="91" t="str">
        <x:v>OPEN</x:v>
      </x:c>
      <x:c r="H105" s="91" t="str">
        <x:v>OPEN</x:v>
      </x:c>
      <x:c r="I105" s="91" t="str">
        <x:v>OPEN</x:v>
      </x:c>
      <x:c r="J105" s="91" t="str">
        <x:v>SEALED</x:v>
      </x:c>
      <x:c r="K105" s="91" t="str"/>
      <x:c r="L105" s="91" t="str">
        <x:v>OPEN</x:v>
      </x:c>
    </x:row>
    <x:row r="106">
      <x:c r="A106" s="86" t="str">
        <x:v>MC-101</x:v>
      </x:c>
      <x:c r="B106" s="86" t="str">
        <x:v>PIL-625</x:v>
      </x:c>
      <x:c r="C106" s="86" t="str">
        <x:v>RAF-625</x:v>
      </x:c>
      <x:c r="D106" s="86" t="str">
        <x:v>cold baseline</x:v>
      </x:c>
      <x:c r="E106" s="108" t="n">
        <x:v>5</x:v>
      </x:c>
      <x:c r="F106" s="109" t="n">
        <x:v>250</x:v>
      </x:c>
      <x:c r="G106" s="91" t="str">
        <x:v>OPEN</x:v>
      </x:c>
      <x:c r="H106" s="91" t="str">
        <x:v>OPEN</x:v>
      </x:c>
      <x:c r="I106" s="91" t="str">
        <x:v>OPEN</x:v>
      </x:c>
      <x:c r="J106" s="91" t="str">
        <x:v>SEALED</x:v>
      </x:c>
      <x:c r="K106" s="91" t="str"/>
      <x:c r="L106" s="91" t="str">
        <x:v>OPEN</x:v>
      </x:c>
    </x:row>
    <x:row r="107">
      <x:c r="A107" s="86" t="str">
        <x:v>MC-102</x:v>
      </x:c>
      <x:c r="B107" s="86" t="str">
        <x:v>PIL-625</x:v>
      </x:c>
      <x:c r="C107" s="86" t="str">
        <x:v>RAF-625</x:v>
      </x:c>
      <x:c r="D107" s="86" t="str">
        <x:v>cold baseline</x:v>
      </x:c>
      <x:c r="E107" s="108" t="n">
        <x:v>6</x:v>
      </x:c>
      <x:c r="F107" s="109" t="n">
        <x:v>250</x:v>
      </x:c>
      <x:c r="G107" s="91" t="str">
        <x:v>OPEN</x:v>
      </x:c>
      <x:c r="H107" s="91" t="str">
        <x:v>OPEN</x:v>
      </x:c>
      <x:c r="I107" s="91" t="str">
        <x:v>OPEN</x:v>
      </x:c>
      <x:c r="J107" s="91" t="str">
        <x:v>SEALED</x:v>
      </x:c>
      <x:c r="K107" s="91" t="str"/>
      <x:c r="L107" s="91" t="str">
        <x:v>OPEN</x:v>
      </x:c>
    </x:row>
    <x:row r="108">
      <x:c r="A108" s="86" t="str">
        <x:v>MC-103</x:v>
      </x:c>
      <x:c r="B108" s="86" t="str">
        <x:v>PIL-625</x:v>
      </x:c>
      <x:c r="C108" s="86" t="str">
        <x:v>RAF-625</x:v>
      </x:c>
      <x:c r="D108" s="86" t="str">
        <x:v>cold baseline</x:v>
      </x:c>
      <x:c r="E108" s="108" t="n">
        <x:v>7</x:v>
      </x:c>
      <x:c r="F108" s="109" t="n">
        <x:v>500</x:v>
      </x:c>
      <x:c r="G108" s="91" t="str">
        <x:v>OPEN</x:v>
      </x:c>
      <x:c r="H108" s="91" t="str">
        <x:v>OPEN</x:v>
      </x:c>
      <x:c r="I108" s="91" t="str">
        <x:v>OPEN</x:v>
      </x:c>
      <x:c r="J108" s="91" t="str">
        <x:v>SEALED</x:v>
      </x:c>
      <x:c r="K108" s="91" t="str"/>
      <x:c r="L108" s="91" t="str">
        <x:v>OPEN</x:v>
      </x:c>
    </x:row>
    <x:row r="109">
      <x:c r="A109" s="86" t="str">
        <x:v>MC-104</x:v>
      </x:c>
      <x:c r="B109" s="86" t="str">
        <x:v>PIL-625</x:v>
      </x:c>
      <x:c r="C109" s="86" t="str">
        <x:v>RAF-625</x:v>
      </x:c>
      <x:c r="D109" s="86" t="str">
        <x:v>cold baseline</x:v>
      </x:c>
      <x:c r="E109" s="108" t="n">
        <x:v>8</x:v>
      </x:c>
      <x:c r="F109" s="109" t="n">
        <x:v>500</x:v>
      </x:c>
      <x:c r="G109" s="91" t="str">
        <x:v>OPEN</x:v>
      </x:c>
      <x:c r="H109" s="91" t="str">
        <x:v>OPEN</x:v>
      </x:c>
      <x:c r="I109" s="91" t="str">
        <x:v>OPEN</x:v>
      </x:c>
      <x:c r="J109" s="91" t="str">
        <x:v>SEALED</x:v>
      </x:c>
      <x:c r="K109" s="91" t="str"/>
      <x:c r="L109" s="91" t="str">
        <x:v>OPEN</x:v>
      </x:c>
    </x:row>
    <x:row r="110">
      <x:c r="A110" s="86" t="str">
        <x:v>MC-105</x:v>
      </x:c>
      <x:c r="B110" s="86" t="str">
        <x:v>PIL-625</x:v>
      </x:c>
      <x:c r="C110" s="86" t="str">
        <x:v>RAF-625</x:v>
      </x:c>
      <x:c r="D110" s="86" t="str">
        <x:v>cold baseline</x:v>
      </x:c>
      <x:c r="E110" s="108" t="n">
        <x:v>9</x:v>
      </x:c>
      <x:c r="F110" s="109" t="n">
        <x:v>500</x:v>
      </x:c>
      <x:c r="G110" s="91" t="str">
        <x:v>OPEN</x:v>
      </x:c>
      <x:c r="H110" s="91" t="str">
        <x:v>OPEN</x:v>
      </x:c>
      <x:c r="I110" s="91" t="str">
        <x:v>OPEN</x:v>
      </x:c>
      <x:c r="J110" s="91" t="str">
        <x:v>SEALED</x:v>
      </x:c>
      <x:c r="K110" s="91" t="str"/>
      <x:c r="L110" s="91" t="str">
        <x:v>OPEN</x:v>
      </x:c>
    </x:row>
    <x:row r="111">
      <x:c r="A111" s="86" t="str">
        <x:v>MC-106</x:v>
      </x:c>
      <x:c r="B111" s="86" t="str">
        <x:v>PIL-625</x:v>
      </x:c>
      <x:c r="C111" s="86" t="str">
        <x:v>RAF-625</x:v>
      </x:c>
      <x:c r="D111" s="86" t="str">
        <x:v>cold baseline</x:v>
      </x:c>
      <x:c r="E111" s="108" t="n">
        <x:v>10</x:v>
      </x:c>
      <x:c r="F111" s="109" t="n">
        <x:v>500</x:v>
      </x:c>
      <x:c r="G111" s="91" t="str">
        <x:v>OPEN</x:v>
      </x:c>
      <x:c r="H111" s="91" t="str">
        <x:v>OPEN</x:v>
      </x:c>
      <x:c r="I111" s="91" t="str">
        <x:v>OPEN</x:v>
      </x:c>
      <x:c r="J111" s="91" t="str">
        <x:v>SEALED</x:v>
      </x:c>
      <x:c r="K111" s="91" t="str"/>
      <x:c r="L111" s="91" t="str">
        <x:v>OPEN</x:v>
      </x:c>
    </x:row>
    <x:row r="112">
      <x:c r="A112" s="86" t="str">
        <x:v>MC-107</x:v>
      </x:c>
      <x:c r="B112" s="86" t="str">
        <x:v>PIL-625</x:v>
      </x:c>
      <x:c r="C112" s="86" t="str">
        <x:v>RAF-625</x:v>
      </x:c>
      <x:c r="D112" s="86" t="str">
        <x:v>cold baseline</x:v>
      </x:c>
      <x:c r="E112" s="108" t="n">
        <x:v>11</x:v>
      </x:c>
      <x:c r="F112" s="109" t="n">
        <x:v>500</x:v>
      </x:c>
      <x:c r="G112" s="91" t="str">
        <x:v>OPEN</x:v>
      </x:c>
      <x:c r="H112" s="91" t="str">
        <x:v>OPEN</x:v>
      </x:c>
      <x:c r="I112" s="91" t="str">
        <x:v>OPEN</x:v>
      </x:c>
      <x:c r="J112" s="91" t="str">
        <x:v>SEALED</x:v>
      </x:c>
      <x:c r="K112" s="91" t="str"/>
      <x:c r="L112" s="91" t="str">
        <x:v>OPEN</x:v>
      </x:c>
    </x:row>
    <x:row r="113">
      <x:c r="A113" s="86" t="str">
        <x:v>MC-108</x:v>
      </x:c>
      <x:c r="B113" s="86" t="str">
        <x:v>PIL-625</x:v>
      </x:c>
      <x:c r="C113" s="86" t="str">
        <x:v>RAF-625</x:v>
      </x:c>
      <x:c r="D113" s="86" t="str">
        <x:v>cold baseline</x:v>
      </x:c>
      <x:c r="E113" s="108" t="n">
        <x:v>12</x:v>
      </x:c>
      <x:c r="F113" s="109" t="n">
        <x:v>500</x:v>
      </x:c>
      <x:c r="G113" s="91" t="str">
        <x:v>OPEN</x:v>
      </x:c>
      <x:c r="H113" s="91" t="str">
        <x:v>OPEN</x:v>
      </x:c>
      <x:c r="I113" s="91" t="str">
        <x:v>OPEN</x:v>
      </x:c>
      <x:c r="J113" s="91" t="str">
        <x:v>SEALED</x:v>
      </x:c>
      <x:c r="K113" s="91" t="str"/>
      <x:c r="L113" s="91" t="str">
        <x:v>OPEN</x:v>
      </x:c>
    </x:row>
    <x:row r="114">
      <x:c r="A114" s="86" t="str">
        <x:v>MC-109</x:v>
      </x:c>
      <x:c r="B114" s="86" t="str">
        <x:v>PIL-625</x:v>
      </x:c>
      <x:c r="C114" s="86" t="str">
        <x:v>RAF-625</x:v>
      </x:c>
      <x:c r="D114" s="86" t="str">
        <x:v>thermally soaked</x:v>
      </x:c>
      <x:c r="E114" s="108" t="n">
        <x:v>1</x:v>
      </x:c>
      <x:c r="F114" s="109" t="n">
        <x:v>250</x:v>
      </x:c>
      <x:c r="G114" s="91" t="str">
        <x:v>OPEN</x:v>
      </x:c>
      <x:c r="H114" s="91" t="str">
        <x:v>OPEN</x:v>
      </x:c>
      <x:c r="I114" s="91" t="str">
        <x:v>OPEN</x:v>
      </x:c>
      <x:c r="J114" s="91" t="str">
        <x:v>SEALED</x:v>
      </x:c>
      <x:c r="K114" s="91" t="str"/>
      <x:c r="L114" s="91" t="str">
        <x:v>OPEN</x:v>
      </x:c>
    </x:row>
    <x:row r="115">
      <x:c r="A115" s="86" t="str">
        <x:v>MC-110</x:v>
      </x:c>
      <x:c r="B115" s="86" t="str">
        <x:v>PIL-625</x:v>
      </x:c>
      <x:c r="C115" s="86" t="str">
        <x:v>RAF-625</x:v>
      </x:c>
      <x:c r="D115" s="86" t="str">
        <x:v>thermally soaked</x:v>
      </x:c>
      <x:c r="E115" s="108" t="n">
        <x:v>2</x:v>
      </x:c>
      <x:c r="F115" s="109" t="n">
        <x:v>250</x:v>
      </x:c>
      <x:c r="G115" s="91" t="str">
        <x:v>OPEN</x:v>
      </x:c>
      <x:c r="H115" s="91" t="str">
        <x:v>OPEN</x:v>
      </x:c>
      <x:c r="I115" s="91" t="str">
        <x:v>OPEN</x:v>
      </x:c>
      <x:c r="J115" s="91" t="str">
        <x:v>SEALED</x:v>
      </x:c>
      <x:c r="K115" s="91" t="str"/>
      <x:c r="L115" s="91" t="str">
        <x:v>OPEN</x:v>
      </x:c>
    </x:row>
    <x:row r="116">
      <x:c r="A116" s="86" t="str">
        <x:v>MC-111</x:v>
      </x:c>
      <x:c r="B116" s="86" t="str">
        <x:v>PIL-625</x:v>
      </x:c>
      <x:c r="C116" s="86" t="str">
        <x:v>RAF-625</x:v>
      </x:c>
      <x:c r="D116" s="86" t="str">
        <x:v>thermally soaked</x:v>
      </x:c>
      <x:c r="E116" s="108" t="n">
        <x:v>3</x:v>
      </x:c>
      <x:c r="F116" s="109" t="n">
        <x:v>250</x:v>
      </x:c>
      <x:c r="G116" s="91" t="str">
        <x:v>OPEN</x:v>
      </x:c>
      <x:c r="H116" s="91" t="str">
        <x:v>OPEN</x:v>
      </x:c>
      <x:c r="I116" s="91" t="str">
        <x:v>OPEN</x:v>
      </x:c>
      <x:c r="J116" s="91" t="str">
        <x:v>SEALED</x:v>
      </x:c>
      <x:c r="K116" s="91" t="str"/>
      <x:c r="L116" s="91" t="str">
        <x:v>OPEN</x:v>
      </x:c>
    </x:row>
    <x:row r="117">
      <x:c r="A117" s="86" t="str">
        <x:v>MC-112</x:v>
      </x:c>
      <x:c r="B117" s="86" t="str">
        <x:v>PIL-625</x:v>
      </x:c>
      <x:c r="C117" s="86" t="str">
        <x:v>RAF-625</x:v>
      </x:c>
      <x:c r="D117" s="86" t="str">
        <x:v>thermally soaked</x:v>
      </x:c>
      <x:c r="E117" s="108" t="n">
        <x:v>4</x:v>
      </x:c>
      <x:c r="F117" s="109" t="n">
        <x:v>250</x:v>
      </x:c>
      <x:c r="G117" s="91" t="str">
        <x:v>OPEN</x:v>
      </x:c>
      <x:c r="H117" s="91" t="str">
        <x:v>OPEN</x:v>
      </x:c>
      <x:c r="I117" s="91" t="str">
        <x:v>OPEN</x:v>
      </x:c>
      <x:c r="J117" s="91" t="str">
        <x:v>SEALED</x:v>
      </x:c>
      <x:c r="K117" s="91" t="str"/>
      <x:c r="L117" s="91" t="str">
        <x:v>OPEN</x:v>
      </x:c>
    </x:row>
    <x:row r="118">
      <x:c r="A118" s="86" t="str">
        <x:v>MC-113</x:v>
      </x:c>
      <x:c r="B118" s="86" t="str">
        <x:v>PIL-625</x:v>
      </x:c>
      <x:c r="C118" s="86" t="str">
        <x:v>RAF-625</x:v>
      </x:c>
      <x:c r="D118" s="86" t="str">
        <x:v>thermally soaked</x:v>
      </x:c>
      <x:c r="E118" s="108" t="n">
        <x:v>5</x:v>
      </x:c>
      <x:c r="F118" s="109" t="n">
        <x:v>250</x:v>
      </x:c>
      <x:c r="G118" s="91" t="str">
        <x:v>OPEN</x:v>
      </x:c>
      <x:c r="H118" s="91" t="str">
        <x:v>OPEN</x:v>
      </x:c>
      <x:c r="I118" s="91" t="str">
        <x:v>OPEN</x:v>
      </x:c>
      <x:c r="J118" s="91" t="str">
        <x:v>SEALED</x:v>
      </x:c>
      <x:c r="K118" s="91" t="str"/>
      <x:c r="L118" s="91" t="str">
        <x:v>OPEN</x:v>
      </x:c>
    </x:row>
    <x:row r="119">
      <x:c r="A119" s="86" t="str">
        <x:v>MC-114</x:v>
      </x:c>
      <x:c r="B119" s="86" t="str">
        <x:v>PIL-625</x:v>
      </x:c>
      <x:c r="C119" s="86" t="str">
        <x:v>RAF-625</x:v>
      </x:c>
      <x:c r="D119" s="86" t="str">
        <x:v>thermally soaked</x:v>
      </x:c>
      <x:c r="E119" s="108" t="n">
        <x:v>6</x:v>
      </x:c>
      <x:c r="F119" s="109" t="n">
        <x:v>250</x:v>
      </x:c>
      <x:c r="G119" s="91" t="str">
        <x:v>OPEN</x:v>
      </x:c>
      <x:c r="H119" s="91" t="str">
        <x:v>OPEN</x:v>
      </x:c>
      <x:c r="I119" s="91" t="str">
        <x:v>OPEN</x:v>
      </x:c>
      <x:c r="J119" s="91" t="str">
        <x:v>SEALED</x:v>
      </x:c>
      <x:c r="K119" s="91" t="str"/>
      <x:c r="L119" s="91" t="str">
        <x:v>OPEN</x:v>
      </x:c>
    </x:row>
    <x:row r="120">
      <x:c r="A120" s="86" t="str">
        <x:v>MC-115</x:v>
      </x:c>
      <x:c r="B120" s="86" t="str">
        <x:v>PIL-625</x:v>
      </x:c>
      <x:c r="C120" s="86" t="str">
        <x:v>RAF-625</x:v>
      </x:c>
      <x:c r="D120" s="86" t="str">
        <x:v>thermally soaked</x:v>
      </x:c>
      <x:c r="E120" s="108" t="n">
        <x:v>7</x:v>
      </x:c>
      <x:c r="F120" s="109" t="n">
        <x:v>500</x:v>
      </x:c>
      <x:c r="G120" s="91" t="str">
        <x:v>OPEN</x:v>
      </x:c>
      <x:c r="H120" s="91" t="str">
        <x:v>OPEN</x:v>
      </x:c>
      <x:c r="I120" s="91" t="str">
        <x:v>OPEN</x:v>
      </x:c>
      <x:c r="J120" s="91" t="str">
        <x:v>SEALED</x:v>
      </x:c>
      <x:c r="K120" s="91" t="str"/>
      <x:c r="L120" s="91" t="str">
        <x:v>OPEN</x:v>
      </x:c>
    </x:row>
    <x:row r="121">
      <x:c r="A121" s="86" t="str">
        <x:v>MC-116</x:v>
      </x:c>
      <x:c r="B121" s="86" t="str">
        <x:v>PIL-625</x:v>
      </x:c>
      <x:c r="C121" s="86" t="str">
        <x:v>RAF-625</x:v>
      </x:c>
      <x:c r="D121" s="86" t="str">
        <x:v>thermally soaked</x:v>
      </x:c>
      <x:c r="E121" s="108" t="n">
        <x:v>8</x:v>
      </x:c>
      <x:c r="F121" s="109" t="n">
        <x:v>500</x:v>
      </x:c>
      <x:c r="G121" s="91" t="str">
        <x:v>OPEN</x:v>
      </x:c>
      <x:c r="H121" s="91" t="str">
        <x:v>OPEN</x:v>
      </x:c>
      <x:c r="I121" s="91" t="str">
        <x:v>OPEN</x:v>
      </x:c>
      <x:c r="J121" s="91" t="str">
        <x:v>SEALED</x:v>
      </x:c>
      <x:c r="K121" s="91" t="str"/>
      <x:c r="L121" s="91" t="str">
        <x:v>OPEN</x:v>
      </x:c>
    </x:row>
    <x:row r="122">
      <x:c r="A122" s="86" t="str">
        <x:v>MC-117</x:v>
      </x:c>
      <x:c r="B122" s="86" t="str">
        <x:v>PIL-625</x:v>
      </x:c>
      <x:c r="C122" s="86" t="str">
        <x:v>RAF-625</x:v>
      </x:c>
      <x:c r="D122" s="86" t="str">
        <x:v>thermally soaked</x:v>
      </x:c>
      <x:c r="E122" s="108" t="n">
        <x:v>9</x:v>
      </x:c>
      <x:c r="F122" s="109" t="n">
        <x:v>500</x:v>
      </x:c>
      <x:c r="G122" s="91" t="str">
        <x:v>OPEN</x:v>
      </x:c>
      <x:c r="H122" s="91" t="str">
        <x:v>OPEN</x:v>
      </x:c>
      <x:c r="I122" s="91" t="str">
        <x:v>OPEN</x:v>
      </x:c>
      <x:c r="J122" s="91" t="str">
        <x:v>SEALED</x:v>
      </x:c>
      <x:c r="K122" s="91" t="str"/>
      <x:c r="L122" s="91" t="str">
        <x:v>OPEN</x:v>
      </x:c>
    </x:row>
    <x:row r="123">
      <x:c r="A123" s="86" t="str">
        <x:v>MC-118</x:v>
      </x:c>
      <x:c r="B123" s="86" t="str">
        <x:v>PIL-625</x:v>
      </x:c>
      <x:c r="C123" s="86" t="str">
        <x:v>RAF-625</x:v>
      </x:c>
      <x:c r="D123" s="86" t="str">
        <x:v>thermally soaked</x:v>
      </x:c>
      <x:c r="E123" s="108" t="n">
        <x:v>10</x:v>
      </x:c>
      <x:c r="F123" s="109" t="n">
        <x:v>500</x:v>
      </x:c>
      <x:c r="G123" s="91" t="str">
        <x:v>OPEN</x:v>
      </x:c>
      <x:c r="H123" s="91" t="str">
        <x:v>OPEN</x:v>
      </x:c>
      <x:c r="I123" s="91" t="str">
        <x:v>OPEN</x:v>
      </x:c>
      <x:c r="J123" s="91" t="str">
        <x:v>SEALED</x:v>
      </x:c>
      <x:c r="K123" s="91" t="str"/>
      <x:c r="L123" s="91" t="str">
        <x:v>OPEN</x:v>
      </x:c>
    </x:row>
    <x:row r="124">
      <x:c r="A124" s="86" t="str">
        <x:v>MC-119</x:v>
      </x:c>
      <x:c r="B124" s="86" t="str">
        <x:v>PIL-625</x:v>
      </x:c>
      <x:c r="C124" s="86" t="str">
        <x:v>RAF-625</x:v>
      </x:c>
      <x:c r="D124" s="86" t="str">
        <x:v>thermally soaked</x:v>
      </x:c>
      <x:c r="E124" s="108" t="n">
        <x:v>11</x:v>
      </x:c>
      <x:c r="F124" s="109" t="n">
        <x:v>500</x:v>
      </x:c>
      <x:c r="G124" s="91" t="str">
        <x:v>OPEN</x:v>
      </x:c>
      <x:c r="H124" s="91" t="str">
        <x:v>OPEN</x:v>
      </x:c>
      <x:c r="I124" s="91" t="str">
        <x:v>OPEN</x:v>
      </x:c>
      <x:c r="J124" s="91" t="str">
        <x:v>SEALED</x:v>
      </x:c>
      <x:c r="K124" s="91" t="str"/>
      <x:c r="L124" s="91" t="str">
        <x:v>OPEN</x:v>
      </x:c>
    </x:row>
    <x:row r="125">
      <x:c r="A125" s="86" t="str">
        <x:v>MC-120</x:v>
      </x:c>
      <x:c r="B125" s="86" t="str">
        <x:v>PIL-625</x:v>
      </x:c>
      <x:c r="C125" s="86" t="str">
        <x:v>RAF-625</x:v>
      </x:c>
      <x:c r="D125" s="86" t="str">
        <x:v>thermally soaked</x:v>
      </x:c>
      <x:c r="E125" s="108" t="n">
        <x:v>12</x:v>
      </x:c>
      <x:c r="F125" s="109" t="n">
        <x:v>500</x:v>
      </x:c>
      <x:c r="G125" s="91" t="str">
        <x:v>OPEN</x:v>
      </x:c>
      <x:c r="H125" s="91" t="str">
        <x:v>OPEN</x:v>
      </x:c>
      <x:c r="I125" s="91" t="str">
        <x:v>OPEN</x:v>
      </x:c>
      <x:c r="J125" s="91" t="str">
        <x:v>SEALED</x:v>
      </x:c>
      <x:c r="K125" s="91" t="str"/>
      <x:c r="L125" s="91" t="str">
        <x:v>OPEN</x:v>
      </x:c>
    </x:row>
    <x:row r="126">
      <x:c r="A126" s="86" t="str">
        <x:v>MC-121</x:v>
      </x:c>
      <x:c r="B126" s="86" t="str">
        <x:v>SCM-25</x:v>
      </x:c>
      <x:c r="C126" s="86" t="str">
        <x:v>RAF-625</x:v>
      </x:c>
      <x:c r="D126" s="86" t="str">
        <x:v>cold baseline</x:v>
      </x:c>
      <x:c r="E126" s="108" t="n">
        <x:v>1</x:v>
      </x:c>
      <x:c r="F126" s="109" t="n">
        <x:v>250</x:v>
      </x:c>
      <x:c r="G126" s="91" t="str">
        <x:v>OPEN</x:v>
      </x:c>
      <x:c r="H126" s="91" t="str">
        <x:v>OPEN</x:v>
      </x:c>
      <x:c r="I126" s="91" t="str">
        <x:v>OPEN</x:v>
      </x:c>
      <x:c r="J126" s="91" t="str">
        <x:v>SEALED</x:v>
      </x:c>
      <x:c r="K126" s="91" t="str"/>
      <x:c r="L126" s="91" t="str">
        <x:v>OPEN</x:v>
      </x:c>
    </x:row>
    <x:row r="127">
      <x:c r="A127" s="86" t="str">
        <x:v>MC-122</x:v>
      </x:c>
      <x:c r="B127" s="86" t="str">
        <x:v>SCM-25</x:v>
      </x:c>
      <x:c r="C127" s="86" t="str">
        <x:v>RAF-625</x:v>
      </x:c>
      <x:c r="D127" s="86" t="str">
        <x:v>cold baseline</x:v>
      </x:c>
      <x:c r="E127" s="108" t="n">
        <x:v>2</x:v>
      </x:c>
      <x:c r="F127" s="109" t="n">
        <x:v>250</x:v>
      </x:c>
      <x:c r="G127" s="91" t="str">
        <x:v>OPEN</x:v>
      </x:c>
      <x:c r="H127" s="91" t="str">
        <x:v>OPEN</x:v>
      </x:c>
      <x:c r="I127" s="91" t="str">
        <x:v>OPEN</x:v>
      </x:c>
      <x:c r="J127" s="91" t="str">
        <x:v>SEALED</x:v>
      </x:c>
      <x:c r="K127" s="91" t="str"/>
      <x:c r="L127" s="91" t="str">
        <x:v>OPEN</x:v>
      </x:c>
    </x:row>
    <x:row r="128">
      <x:c r="A128" s="86" t="str">
        <x:v>MC-123</x:v>
      </x:c>
      <x:c r="B128" s="86" t="str">
        <x:v>SCM-25</x:v>
      </x:c>
      <x:c r="C128" s="86" t="str">
        <x:v>RAF-625</x:v>
      </x:c>
      <x:c r="D128" s="86" t="str">
        <x:v>cold baseline</x:v>
      </x:c>
      <x:c r="E128" s="108" t="n">
        <x:v>3</x:v>
      </x:c>
      <x:c r="F128" s="109" t="n">
        <x:v>250</x:v>
      </x:c>
      <x:c r="G128" s="91" t="str">
        <x:v>OPEN</x:v>
      </x:c>
      <x:c r="H128" s="91" t="str">
        <x:v>OPEN</x:v>
      </x:c>
      <x:c r="I128" s="91" t="str">
        <x:v>OPEN</x:v>
      </x:c>
      <x:c r="J128" s="91" t="str">
        <x:v>SEALED</x:v>
      </x:c>
      <x:c r="K128" s="91" t="str"/>
      <x:c r="L128" s="91" t="str">
        <x:v>OPEN</x:v>
      </x:c>
    </x:row>
    <x:row r="129">
      <x:c r="A129" s="86" t="str">
        <x:v>MC-124</x:v>
      </x:c>
      <x:c r="B129" s="86" t="str">
        <x:v>SCM-25</x:v>
      </x:c>
      <x:c r="C129" s="86" t="str">
        <x:v>RAF-625</x:v>
      </x:c>
      <x:c r="D129" s="86" t="str">
        <x:v>cold baseline</x:v>
      </x:c>
      <x:c r="E129" s="108" t="n">
        <x:v>4</x:v>
      </x:c>
      <x:c r="F129" s="109" t="n">
        <x:v>250</x:v>
      </x:c>
      <x:c r="G129" s="91" t="str">
        <x:v>OPEN</x:v>
      </x:c>
      <x:c r="H129" s="91" t="str">
        <x:v>OPEN</x:v>
      </x:c>
      <x:c r="I129" s="91" t="str">
        <x:v>OPEN</x:v>
      </x:c>
      <x:c r="J129" s="91" t="str">
        <x:v>SEALED</x:v>
      </x:c>
      <x:c r="K129" s="91" t="str"/>
      <x:c r="L129" s="91" t="str">
        <x:v>OPEN</x:v>
      </x:c>
    </x:row>
    <x:row r="130">
      <x:c r="A130" s="86" t="str">
        <x:v>MC-125</x:v>
      </x:c>
      <x:c r="B130" s="86" t="str">
        <x:v>SCM-25</x:v>
      </x:c>
      <x:c r="C130" s="86" t="str">
        <x:v>RAF-625</x:v>
      </x:c>
      <x:c r="D130" s="86" t="str">
        <x:v>cold baseline</x:v>
      </x:c>
      <x:c r="E130" s="108" t="n">
        <x:v>5</x:v>
      </x:c>
      <x:c r="F130" s="109" t="n">
        <x:v>250</x:v>
      </x:c>
      <x:c r="G130" s="91" t="str">
        <x:v>OPEN</x:v>
      </x:c>
      <x:c r="H130" s="91" t="str">
        <x:v>OPEN</x:v>
      </x:c>
      <x:c r="I130" s="91" t="str">
        <x:v>OPEN</x:v>
      </x:c>
      <x:c r="J130" s="91" t="str">
        <x:v>SEALED</x:v>
      </x:c>
      <x:c r="K130" s="91" t="str"/>
      <x:c r="L130" s="91" t="str">
        <x:v>OPEN</x:v>
      </x:c>
    </x:row>
    <x:row r="131">
      <x:c r="A131" s="86" t="str">
        <x:v>MC-126</x:v>
      </x:c>
      <x:c r="B131" s="86" t="str">
        <x:v>SCM-25</x:v>
      </x:c>
      <x:c r="C131" s="86" t="str">
        <x:v>RAF-625</x:v>
      </x:c>
      <x:c r="D131" s="86" t="str">
        <x:v>cold baseline</x:v>
      </x:c>
      <x:c r="E131" s="108" t="n">
        <x:v>6</x:v>
      </x:c>
      <x:c r="F131" s="109" t="n">
        <x:v>250</x:v>
      </x:c>
      <x:c r="G131" s="91" t="str">
        <x:v>OPEN</x:v>
      </x:c>
      <x:c r="H131" s="91" t="str">
        <x:v>OPEN</x:v>
      </x:c>
      <x:c r="I131" s="91" t="str">
        <x:v>OPEN</x:v>
      </x:c>
      <x:c r="J131" s="91" t="str">
        <x:v>SEALED</x:v>
      </x:c>
      <x:c r="K131" s="91" t="str"/>
      <x:c r="L131" s="91" t="str">
        <x:v>OPEN</x:v>
      </x:c>
    </x:row>
    <x:row r="132">
      <x:c r="A132" s="86" t="str">
        <x:v>MC-127</x:v>
      </x:c>
      <x:c r="B132" s="86" t="str">
        <x:v>SCM-25</x:v>
      </x:c>
      <x:c r="C132" s="86" t="str">
        <x:v>RAF-625</x:v>
      </x:c>
      <x:c r="D132" s="86" t="str">
        <x:v>cold baseline</x:v>
      </x:c>
      <x:c r="E132" s="108" t="n">
        <x:v>7</x:v>
      </x:c>
      <x:c r="F132" s="109" t="n">
        <x:v>500</x:v>
      </x:c>
      <x:c r="G132" s="91" t="str">
        <x:v>OPEN</x:v>
      </x:c>
      <x:c r="H132" s="91" t="str">
        <x:v>OPEN</x:v>
      </x:c>
      <x:c r="I132" s="91" t="str">
        <x:v>OPEN</x:v>
      </x:c>
      <x:c r="J132" s="91" t="str">
        <x:v>SEALED</x:v>
      </x:c>
      <x:c r="K132" s="91" t="str"/>
      <x:c r="L132" s="91" t="str">
        <x:v>OPEN</x:v>
      </x:c>
    </x:row>
    <x:row r="133">
      <x:c r="A133" s="86" t="str">
        <x:v>MC-128</x:v>
      </x:c>
      <x:c r="B133" s="86" t="str">
        <x:v>SCM-25</x:v>
      </x:c>
      <x:c r="C133" s="86" t="str">
        <x:v>RAF-625</x:v>
      </x:c>
      <x:c r="D133" s="86" t="str">
        <x:v>cold baseline</x:v>
      </x:c>
      <x:c r="E133" s="108" t="n">
        <x:v>8</x:v>
      </x:c>
      <x:c r="F133" s="109" t="n">
        <x:v>500</x:v>
      </x:c>
      <x:c r="G133" s="91" t="str">
        <x:v>OPEN</x:v>
      </x:c>
      <x:c r="H133" s="91" t="str">
        <x:v>OPEN</x:v>
      </x:c>
      <x:c r="I133" s="91" t="str">
        <x:v>OPEN</x:v>
      </x:c>
      <x:c r="J133" s="91" t="str">
        <x:v>SEALED</x:v>
      </x:c>
      <x:c r="K133" s="91" t="str"/>
      <x:c r="L133" s="91" t="str">
        <x:v>OPEN</x:v>
      </x:c>
    </x:row>
    <x:row r="134">
      <x:c r="A134" s="86" t="str">
        <x:v>MC-129</x:v>
      </x:c>
      <x:c r="B134" s="86" t="str">
        <x:v>SCM-25</x:v>
      </x:c>
      <x:c r="C134" s="86" t="str">
        <x:v>RAF-625</x:v>
      </x:c>
      <x:c r="D134" s="86" t="str">
        <x:v>cold baseline</x:v>
      </x:c>
      <x:c r="E134" s="108" t="n">
        <x:v>9</x:v>
      </x:c>
      <x:c r="F134" s="109" t="n">
        <x:v>500</x:v>
      </x:c>
      <x:c r="G134" s="91" t="str">
        <x:v>OPEN</x:v>
      </x:c>
      <x:c r="H134" s="91" t="str">
        <x:v>OPEN</x:v>
      </x:c>
      <x:c r="I134" s="91" t="str">
        <x:v>OPEN</x:v>
      </x:c>
      <x:c r="J134" s="91" t="str">
        <x:v>SEALED</x:v>
      </x:c>
      <x:c r="K134" s="91" t="str"/>
      <x:c r="L134" s="91" t="str">
        <x:v>OPEN</x:v>
      </x:c>
    </x:row>
    <x:row r="135">
      <x:c r="A135" s="86" t="str">
        <x:v>MC-130</x:v>
      </x:c>
      <x:c r="B135" s="86" t="str">
        <x:v>SCM-25</x:v>
      </x:c>
      <x:c r="C135" s="86" t="str">
        <x:v>RAF-625</x:v>
      </x:c>
      <x:c r="D135" s="86" t="str">
        <x:v>cold baseline</x:v>
      </x:c>
      <x:c r="E135" s="108" t="n">
        <x:v>10</x:v>
      </x:c>
      <x:c r="F135" s="109" t="n">
        <x:v>500</x:v>
      </x:c>
      <x:c r="G135" s="91" t="str">
        <x:v>OPEN</x:v>
      </x:c>
      <x:c r="H135" s="91" t="str">
        <x:v>OPEN</x:v>
      </x:c>
      <x:c r="I135" s="91" t="str">
        <x:v>OPEN</x:v>
      </x:c>
      <x:c r="J135" s="91" t="str">
        <x:v>SEALED</x:v>
      </x:c>
      <x:c r="K135" s="91" t="str"/>
      <x:c r="L135" s="91" t="str">
        <x:v>OPEN</x:v>
      </x:c>
    </x:row>
    <x:row r="136">
      <x:c r="A136" s="86" t="str">
        <x:v>MC-131</x:v>
      </x:c>
      <x:c r="B136" s="86" t="str">
        <x:v>SCM-25</x:v>
      </x:c>
      <x:c r="C136" s="86" t="str">
        <x:v>RAF-625</x:v>
      </x:c>
      <x:c r="D136" s="86" t="str">
        <x:v>cold baseline</x:v>
      </x:c>
      <x:c r="E136" s="108" t="n">
        <x:v>11</x:v>
      </x:c>
      <x:c r="F136" s="109" t="n">
        <x:v>500</x:v>
      </x:c>
      <x:c r="G136" s="91" t="str">
        <x:v>OPEN</x:v>
      </x:c>
      <x:c r="H136" s="91" t="str">
        <x:v>OPEN</x:v>
      </x:c>
      <x:c r="I136" s="91" t="str">
        <x:v>OPEN</x:v>
      </x:c>
      <x:c r="J136" s="91" t="str">
        <x:v>SEALED</x:v>
      </x:c>
      <x:c r="K136" s="91" t="str"/>
      <x:c r="L136" s="91" t="str">
        <x:v>OPEN</x:v>
      </x:c>
    </x:row>
    <x:row r="137">
      <x:c r="A137" s="86" t="str">
        <x:v>MC-132</x:v>
      </x:c>
      <x:c r="B137" s="86" t="str">
        <x:v>SCM-25</x:v>
      </x:c>
      <x:c r="C137" s="86" t="str">
        <x:v>RAF-625</x:v>
      </x:c>
      <x:c r="D137" s="86" t="str">
        <x:v>cold baseline</x:v>
      </x:c>
      <x:c r="E137" s="108" t="n">
        <x:v>12</x:v>
      </x:c>
      <x:c r="F137" s="109" t="n">
        <x:v>500</x:v>
      </x:c>
      <x:c r="G137" s="91" t="str">
        <x:v>OPEN</x:v>
      </x:c>
      <x:c r="H137" s="91" t="str">
        <x:v>OPEN</x:v>
      </x:c>
      <x:c r="I137" s="91" t="str">
        <x:v>OPEN</x:v>
      </x:c>
      <x:c r="J137" s="91" t="str">
        <x:v>SEALED</x:v>
      </x:c>
      <x:c r="K137" s="91" t="str"/>
      <x:c r="L137" s="91" t="str">
        <x:v>OPEN</x:v>
      </x:c>
    </x:row>
    <x:row r="138">
      <x:c r="A138" s="86" t="str">
        <x:v>MC-133</x:v>
      </x:c>
      <x:c r="B138" s="86" t="str">
        <x:v>SCM-25</x:v>
      </x:c>
      <x:c r="C138" s="86" t="str">
        <x:v>RAF-625</x:v>
      </x:c>
      <x:c r="D138" s="86" t="str">
        <x:v>thermally soaked</x:v>
      </x:c>
      <x:c r="E138" s="108" t="n">
        <x:v>1</x:v>
      </x:c>
      <x:c r="F138" s="109" t="n">
        <x:v>250</x:v>
      </x:c>
      <x:c r="G138" s="91" t="str">
        <x:v>OPEN</x:v>
      </x:c>
      <x:c r="H138" s="91" t="str">
        <x:v>OPEN</x:v>
      </x:c>
      <x:c r="I138" s="91" t="str">
        <x:v>OPEN</x:v>
      </x:c>
      <x:c r="J138" s="91" t="str">
        <x:v>SEALED</x:v>
      </x:c>
      <x:c r="K138" s="91" t="str"/>
      <x:c r="L138" s="91" t="str">
        <x:v>OPEN</x:v>
      </x:c>
    </x:row>
    <x:row r="139">
      <x:c r="A139" s="86" t="str">
        <x:v>MC-134</x:v>
      </x:c>
      <x:c r="B139" s="86" t="str">
        <x:v>SCM-25</x:v>
      </x:c>
      <x:c r="C139" s="86" t="str">
        <x:v>RAF-625</x:v>
      </x:c>
      <x:c r="D139" s="86" t="str">
        <x:v>thermally soaked</x:v>
      </x:c>
      <x:c r="E139" s="108" t="n">
        <x:v>2</x:v>
      </x:c>
      <x:c r="F139" s="109" t="n">
        <x:v>250</x:v>
      </x:c>
      <x:c r="G139" s="91" t="str">
        <x:v>OPEN</x:v>
      </x:c>
      <x:c r="H139" s="91" t="str">
        <x:v>OPEN</x:v>
      </x:c>
      <x:c r="I139" s="91" t="str">
        <x:v>OPEN</x:v>
      </x:c>
      <x:c r="J139" s="91" t="str">
        <x:v>SEALED</x:v>
      </x:c>
      <x:c r="K139" s="91" t="str"/>
      <x:c r="L139" s="91" t="str">
        <x:v>OPEN</x:v>
      </x:c>
    </x:row>
    <x:row r="140">
      <x:c r="A140" s="86" t="str">
        <x:v>MC-135</x:v>
      </x:c>
      <x:c r="B140" s="86" t="str">
        <x:v>SCM-25</x:v>
      </x:c>
      <x:c r="C140" s="86" t="str">
        <x:v>RAF-625</x:v>
      </x:c>
      <x:c r="D140" s="86" t="str">
        <x:v>thermally soaked</x:v>
      </x:c>
      <x:c r="E140" s="108" t="n">
        <x:v>3</x:v>
      </x:c>
      <x:c r="F140" s="109" t="n">
        <x:v>250</x:v>
      </x:c>
      <x:c r="G140" s="91" t="str">
        <x:v>OPEN</x:v>
      </x:c>
      <x:c r="H140" s="91" t="str">
        <x:v>OPEN</x:v>
      </x:c>
      <x:c r="I140" s="91" t="str">
        <x:v>OPEN</x:v>
      </x:c>
      <x:c r="J140" s="91" t="str">
        <x:v>SEALED</x:v>
      </x:c>
      <x:c r="K140" s="91" t="str"/>
      <x:c r="L140" s="91" t="str">
        <x:v>OPEN</x:v>
      </x:c>
    </x:row>
    <x:row r="141">
      <x:c r="A141" s="86" t="str">
        <x:v>MC-136</x:v>
      </x:c>
      <x:c r="B141" s="86" t="str">
        <x:v>SCM-25</x:v>
      </x:c>
      <x:c r="C141" s="86" t="str">
        <x:v>RAF-625</x:v>
      </x:c>
      <x:c r="D141" s="86" t="str">
        <x:v>thermally soaked</x:v>
      </x:c>
      <x:c r="E141" s="108" t="n">
        <x:v>4</x:v>
      </x:c>
      <x:c r="F141" s="109" t="n">
        <x:v>250</x:v>
      </x:c>
      <x:c r="G141" s="91" t="str">
        <x:v>OPEN</x:v>
      </x:c>
      <x:c r="H141" s="91" t="str">
        <x:v>OPEN</x:v>
      </x:c>
      <x:c r="I141" s="91" t="str">
        <x:v>OPEN</x:v>
      </x:c>
      <x:c r="J141" s="91" t="str">
        <x:v>SEALED</x:v>
      </x:c>
      <x:c r="K141" s="91" t="str"/>
      <x:c r="L141" s="91" t="str">
        <x:v>OPEN</x:v>
      </x:c>
    </x:row>
    <x:row r="142">
      <x:c r="A142" s="86" t="str">
        <x:v>MC-137</x:v>
      </x:c>
      <x:c r="B142" s="86" t="str">
        <x:v>SCM-25</x:v>
      </x:c>
      <x:c r="C142" s="86" t="str">
        <x:v>RAF-625</x:v>
      </x:c>
      <x:c r="D142" s="86" t="str">
        <x:v>thermally soaked</x:v>
      </x:c>
      <x:c r="E142" s="108" t="n">
        <x:v>5</x:v>
      </x:c>
      <x:c r="F142" s="109" t="n">
        <x:v>250</x:v>
      </x:c>
      <x:c r="G142" s="91" t="str">
        <x:v>OPEN</x:v>
      </x:c>
      <x:c r="H142" s="91" t="str">
        <x:v>OPEN</x:v>
      </x:c>
      <x:c r="I142" s="91" t="str">
        <x:v>OPEN</x:v>
      </x:c>
      <x:c r="J142" s="91" t="str">
        <x:v>SEALED</x:v>
      </x:c>
      <x:c r="K142" s="91" t="str"/>
      <x:c r="L142" s="91" t="str">
        <x:v>OPEN</x:v>
      </x:c>
    </x:row>
    <x:row r="143">
      <x:c r="A143" s="86" t="str">
        <x:v>MC-138</x:v>
      </x:c>
      <x:c r="B143" s="86" t="str">
        <x:v>SCM-25</x:v>
      </x:c>
      <x:c r="C143" s="86" t="str">
        <x:v>RAF-625</x:v>
      </x:c>
      <x:c r="D143" s="86" t="str">
        <x:v>thermally soaked</x:v>
      </x:c>
      <x:c r="E143" s="108" t="n">
        <x:v>6</x:v>
      </x:c>
      <x:c r="F143" s="109" t="n">
        <x:v>250</x:v>
      </x:c>
      <x:c r="G143" s="91" t="str">
        <x:v>OPEN</x:v>
      </x:c>
      <x:c r="H143" s="91" t="str">
        <x:v>OPEN</x:v>
      </x:c>
      <x:c r="I143" s="91" t="str">
        <x:v>OPEN</x:v>
      </x:c>
      <x:c r="J143" s="91" t="str">
        <x:v>SEALED</x:v>
      </x:c>
      <x:c r="K143" s="91" t="str"/>
      <x:c r="L143" s="91" t="str">
        <x:v>OPEN</x:v>
      </x:c>
    </x:row>
    <x:row r="144">
      <x:c r="A144" s="86" t="str">
        <x:v>MC-139</x:v>
      </x:c>
      <x:c r="B144" s="86" t="str">
        <x:v>SCM-25</x:v>
      </x:c>
      <x:c r="C144" s="86" t="str">
        <x:v>RAF-625</x:v>
      </x:c>
      <x:c r="D144" s="86" t="str">
        <x:v>thermally soaked</x:v>
      </x:c>
      <x:c r="E144" s="108" t="n">
        <x:v>7</x:v>
      </x:c>
      <x:c r="F144" s="109" t="n">
        <x:v>500</x:v>
      </x:c>
      <x:c r="G144" s="91" t="str">
        <x:v>OPEN</x:v>
      </x:c>
      <x:c r="H144" s="91" t="str">
        <x:v>OPEN</x:v>
      </x:c>
      <x:c r="I144" s="91" t="str">
        <x:v>OPEN</x:v>
      </x:c>
      <x:c r="J144" s="91" t="str">
        <x:v>SEALED</x:v>
      </x:c>
      <x:c r="K144" s="91" t="str"/>
      <x:c r="L144" s="91" t="str">
        <x:v>OPEN</x:v>
      </x:c>
    </x:row>
    <x:row r="145">
      <x:c r="A145" s="86" t="str">
        <x:v>MC-140</x:v>
      </x:c>
      <x:c r="B145" s="86" t="str">
        <x:v>SCM-25</x:v>
      </x:c>
      <x:c r="C145" s="86" t="str">
        <x:v>RAF-625</x:v>
      </x:c>
      <x:c r="D145" s="86" t="str">
        <x:v>thermally soaked</x:v>
      </x:c>
      <x:c r="E145" s="108" t="n">
        <x:v>8</x:v>
      </x:c>
      <x:c r="F145" s="109" t="n">
        <x:v>500</x:v>
      </x:c>
      <x:c r="G145" s="91" t="str">
        <x:v>OPEN</x:v>
      </x:c>
      <x:c r="H145" s="91" t="str">
        <x:v>OPEN</x:v>
      </x:c>
      <x:c r="I145" s="91" t="str">
        <x:v>OPEN</x:v>
      </x:c>
      <x:c r="J145" s="91" t="str">
        <x:v>SEALED</x:v>
      </x:c>
      <x:c r="K145" s="91" t="str"/>
      <x:c r="L145" s="91" t="str">
        <x:v>OPEN</x:v>
      </x:c>
    </x:row>
    <x:row r="146">
      <x:c r="A146" s="86" t="str">
        <x:v>MC-141</x:v>
      </x:c>
      <x:c r="B146" s="86" t="str">
        <x:v>SCM-25</x:v>
      </x:c>
      <x:c r="C146" s="86" t="str">
        <x:v>RAF-625</x:v>
      </x:c>
      <x:c r="D146" s="86" t="str">
        <x:v>thermally soaked</x:v>
      </x:c>
      <x:c r="E146" s="108" t="n">
        <x:v>9</x:v>
      </x:c>
      <x:c r="F146" s="109" t="n">
        <x:v>500</x:v>
      </x:c>
      <x:c r="G146" s="91" t="str">
        <x:v>OPEN</x:v>
      </x:c>
      <x:c r="H146" s="91" t="str">
        <x:v>OPEN</x:v>
      </x:c>
      <x:c r="I146" s="91" t="str">
        <x:v>OPEN</x:v>
      </x:c>
      <x:c r="J146" s="91" t="str">
        <x:v>SEALED</x:v>
      </x:c>
      <x:c r="K146" s="91" t="str"/>
      <x:c r="L146" s="91" t="str">
        <x:v>OPEN</x:v>
      </x:c>
    </x:row>
    <x:row r="147">
      <x:c r="A147" s="86" t="str">
        <x:v>MC-142</x:v>
      </x:c>
      <x:c r="B147" s="86" t="str">
        <x:v>SCM-25</x:v>
      </x:c>
      <x:c r="C147" s="86" t="str">
        <x:v>RAF-625</x:v>
      </x:c>
      <x:c r="D147" s="86" t="str">
        <x:v>thermally soaked</x:v>
      </x:c>
      <x:c r="E147" s="108" t="n">
        <x:v>10</x:v>
      </x:c>
      <x:c r="F147" s="109" t="n">
        <x:v>500</x:v>
      </x:c>
      <x:c r="G147" s="91" t="str">
        <x:v>OPEN</x:v>
      </x:c>
      <x:c r="H147" s="91" t="str">
        <x:v>OPEN</x:v>
      </x:c>
      <x:c r="I147" s="91" t="str">
        <x:v>OPEN</x:v>
      </x:c>
      <x:c r="J147" s="91" t="str">
        <x:v>SEALED</x:v>
      </x:c>
      <x:c r="K147" s="91" t="str"/>
      <x:c r="L147" s="91" t="str">
        <x:v>OPEN</x:v>
      </x:c>
    </x:row>
    <x:row r="148">
      <x:c r="A148" s="86" t="str">
        <x:v>MC-143</x:v>
      </x:c>
      <x:c r="B148" s="86" t="str">
        <x:v>SCM-25</x:v>
      </x:c>
      <x:c r="C148" s="86" t="str">
        <x:v>RAF-625</x:v>
      </x:c>
      <x:c r="D148" s="86" t="str">
        <x:v>thermally soaked</x:v>
      </x:c>
      <x:c r="E148" s="108" t="n">
        <x:v>11</x:v>
      </x:c>
      <x:c r="F148" s="109" t="n">
        <x:v>500</x:v>
      </x:c>
      <x:c r="G148" s="91" t="str">
        <x:v>OPEN</x:v>
      </x:c>
      <x:c r="H148" s="91" t="str">
        <x:v>OPEN</x:v>
      </x:c>
      <x:c r="I148" s="91" t="str">
        <x:v>OPEN</x:v>
      </x:c>
      <x:c r="J148" s="91" t="str">
        <x:v>SEALED</x:v>
      </x:c>
      <x:c r="K148" s="91" t="str"/>
      <x:c r="L148" s="91" t="str">
        <x:v>OPEN</x:v>
      </x:c>
    </x:row>
    <x:row r="149">
      <x:c r="A149" s="87" t="str">
        <x:v>MC-144</x:v>
      </x:c>
      <x:c r="B149" s="87" t="str">
        <x:v>SCM-25</x:v>
      </x:c>
      <x:c r="C149" s="87" t="str">
        <x:v>RAF-625</x:v>
      </x:c>
      <x:c r="D149" s="87" t="str">
        <x:v>thermally soaked</x:v>
      </x:c>
      <x:c r="E149" s="110" t="n">
        <x:v>12</x:v>
      </x:c>
      <x:c r="F149" s="111" t="n">
        <x:v>500</x:v>
      </x:c>
      <x:c r="G149" s="95" t="str">
        <x:v>OPEN</x:v>
      </x:c>
      <x:c r="H149" s="95" t="str">
        <x:v>OPEN</x:v>
      </x:c>
      <x:c r="I149" s="95" t="str">
        <x:v>OPEN</x:v>
      </x:c>
      <x:c r="J149" s="95" t="str">
        <x:v>SEALED</x:v>
      </x:c>
      <x:c r="K149" s="95" t="str"/>
      <x:c r="L149" s="95" t="str">
        <x:v>OPEN</x:v>
      </x:c>
    </x:row>
  </x:sheetData>
  <x:mergeCells>
    <x:mergeCell ref="A2:L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16" hidden="0" customWidth="1"/>
    <x:col min="3" max="3" width="16" hidden="0" customWidth="1"/>
    <x:col min="4" max="4" width="16" hidden="0" customWidth="1"/>
    <x:col min="5" max="5" width="18" hidden="0" customWidth="1"/>
    <x:col min="6" max="6" width="18" hidden="0" customWidth="1"/>
    <x:col min="7" max="7" width="16" hidden="0" customWidth="1"/>
    <x:col min="8" max="8" width="16" hidden="0" customWidth="1"/>
    <x:col min="9" max="9" width="14" hidden="0" customWidth="1"/>
    <x:col min="10" max="10" width="18" hidden="0" customWidth="1"/>
  </x:cols>
  <x:sheetData>
    <x:row r="2" ht="24" customHeight="1">
      <x:c r="A2" s="82" t="str">
        <x:v>Conjunctive field-time architecture selection</x:v>
      </x:c>
      <x:c r="B2" s="83"/>
      <x:c r="C2" s="83"/>
      <x:c r="D2" s="83"/>
      <x:c r="E2" s="83"/>
      <x:c r="F2" s="83"/>
      <x:c r="G2" s="83"/>
      <x:c r="H2" s="83"/>
      <x:c r="I2" s="83"/>
      <x:c r="J2" s="83"/>
    </x:row>
    <x:row r="3">
      <x:c r="A3" s="84"/>
      <x:c r="B3" s="84"/>
      <x:c r="C3" s="84"/>
      <x:c r="D3" s="84"/>
      <x:c r="E3" s="84"/>
      <x:c r="F3" s="84"/>
      <x:c r="G3" s="84"/>
      <x:c r="H3" s="84"/>
      <x:c r="I3" s="84"/>
      <x:c r="J3" s="84"/>
    </x:row>
    <x:row r="4">
      <x:c r="A4" s="83"/>
      <x:c r="B4" s="83"/>
      <x:c r="C4" s="83"/>
      <x:c r="D4" s="83"/>
      <x:c r="E4" s="83"/>
      <x:c r="F4" s="83"/>
      <x:c r="G4" s="83"/>
      <x:c r="H4" s="83"/>
      <x:c r="I4" s="83"/>
      <x:c r="J4" s="83"/>
    </x:row>
    <x:row r="5" ht="22" customHeight="1">
      <x:c r="A5" s="7" t="str">
        <x:v>Architecture</x:v>
      </x:c>
      <x:c r="B5" s="8" t="str">
        <x:v>Capacity</x:v>
      </x:c>
      <x:c r="C5" s="8" t="str">
        <x:v>Geometry</x:v>
      </x:c>
      <x:c r="D5" s="8" t="str">
        <x:v>Topology</x:v>
      </x:c>
      <x:c r="E5" s="8" t="str">
        <x:v>Five roots</x:v>
      </x:c>
      <x:c r="F5" s="8" t="str">
        <x:v>Atmosphere</x:v>
      </x:c>
      <x:c r="G5" s="8" t="str">
        <x:v>Safe end</x:v>
      </x:c>
      <x:c r="H5" s="8" t="str">
        <x:v>Return</x:v>
      </x:c>
      <x:c r="I5" s="8" t="str">
        <x:v>Eligible</x:v>
      </x:c>
      <x:c r="J5" s="9" t="str">
        <x:v>Selected</x:v>
      </x:c>
    </x:row>
    <x:row r="6">
      <x:c r="A6" s="85" t="str">
        <x:v>DBS-625</x:v>
      </x:c>
      <x:c r="B6" s="100" t="str">
        <x:v>OPEN</x:v>
      </x:c>
      <x:c r="C6" s="100" t="str">
        <x:v>OPEN</x:v>
      </x:c>
      <x:c r="D6" s="100" t="str">
        <x:v>OPEN</x:v>
      </x:c>
      <x:c r="E6" s="100" t="str">
        <x:v>OPEN</x:v>
      </x:c>
      <x:c r="F6" s="100" t="str">
        <x:v>OPEN</x:v>
      </x:c>
      <x:c r="G6" s="100" t="str">
        <x:v>OPEN</x:v>
      </x:c>
      <x:c r="H6" s="100" t="str">
        <x:v>OPEN</x:v>
      </x:c>
      <x:c r="I6" s="100" t="str">
        <x:v>NO</x:v>
      </x:c>
      <x:c r="J6" s="100" t="str"/>
    </x:row>
    <x:row r="7">
      <x:c r="A7" s="86" t="str">
        <x:v>PIL-625</x:v>
      </x:c>
      <x:c r="B7" s="91" t="str">
        <x:v>OPEN</x:v>
      </x:c>
      <x:c r="C7" s="91" t="str">
        <x:v>OPEN</x:v>
      </x:c>
      <x:c r="D7" s="91" t="str">
        <x:v>OPEN</x:v>
      </x:c>
      <x:c r="E7" s="91" t="str">
        <x:v>OPEN</x:v>
      </x:c>
      <x:c r="F7" s="91" t="str">
        <x:v>OPEN</x:v>
      </x:c>
      <x:c r="G7" s="91" t="str">
        <x:v>OPEN</x:v>
      </x:c>
      <x:c r="H7" s="91" t="str">
        <x:v>OPEN</x:v>
      </x:c>
      <x:c r="I7" s="91" t="str">
        <x:v>NO</x:v>
      </x:c>
      <x:c r="J7" s="91" t="str"/>
    </x:row>
    <x:row r="8">
      <x:c r="A8" s="86" t="str">
        <x:v>SCM-25</x:v>
      </x:c>
      <x:c r="B8" s="91" t="str">
        <x:v>OPEN</x:v>
      </x:c>
      <x:c r="C8" s="91" t="str">
        <x:v>OPEN</x:v>
      </x:c>
      <x:c r="D8" s="91" t="str">
        <x:v>OPEN</x:v>
      </x:c>
      <x:c r="E8" s="91" t="str">
        <x:v>OPEN</x:v>
      </x:c>
      <x:c r="F8" s="91" t="str">
        <x:v>OPEN</x:v>
      </x:c>
      <x:c r="G8" s="91" t="str">
        <x:v>OPEN</x:v>
      </x:c>
      <x:c r="H8" s="91" t="str">
        <x:v>OPEN</x:v>
      </x:c>
      <x:c r="I8" s="91" t="str">
        <x:v>NO</x:v>
      </x:c>
      <x:c r="J8" s="91" t="str"/>
    </x:row>
    <x:row r="9">
      <x:c r="A9" s="87" t="str">
        <x:v>RAF-625</x:v>
      </x:c>
      <x:c r="B9" s="95" t="str">
        <x:v>OPEN</x:v>
      </x:c>
      <x:c r="C9" s="95" t="str">
        <x:v>OPEN</x:v>
      </x:c>
      <x:c r="D9" s="95" t="str">
        <x:v>OPEN</x:v>
      </x:c>
      <x:c r="E9" s="95" t="str">
        <x:v>OPEN</x:v>
      </x:c>
      <x:c r="F9" s="95" t="str">
        <x:v>OPEN</x:v>
      </x:c>
      <x:c r="G9" s="95" t="str">
        <x:v>OPEN</x:v>
      </x:c>
      <x:c r="H9" s="95" t="str">
        <x:v>OPEN</x:v>
      </x:c>
      <x:c r="I9" s="95" t="str">
        <x:v>NO</x:v>
      </x:c>
      <x:c r="J9" s="95" t="str"/>
    </x:row>
    <x:row r="10">
      <x:c r="A10" s="83"/>
      <x:c r="B10" s="83"/>
      <x:c r="C10" s="83"/>
      <x:c r="D10" s="83"/>
      <x:c r="E10" s="83"/>
      <x:c r="F10" s="83"/>
      <x:c r="G10" s="83"/>
      <x:c r="H10" s="83"/>
      <x:c r="I10" s="83"/>
      <x:c r="J10" s="83"/>
    </x:row>
    <x:row r="11">
      <x:c r="A11" s="83"/>
      <x:c r="B11" s="83"/>
      <x:c r="C11" s="83"/>
      <x:c r="D11" s="83"/>
      <x:c r="E11" s="83"/>
      <x:c r="F11" s="83"/>
      <x:c r="G11" s="83"/>
      <x:c r="H11" s="83"/>
      <x:c r="I11" s="83"/>
      <x:c r="J11" s="83"/>
    </x:row>
    <x:row r="12" ht="22" customHeight="1">
      <x:c r="A12" s="40" t="str">
        <x:v>Selection rule</x:v>
      </x:c>
      <x:c r="B12" s="42" t="str">
        <x:v>State</x:v>
      </x:c>
      <x:c r="C12" s="83"/>
      <x:c r="D12" s="83"/>
      <x:c r="E12" s="83"/>
      <x:c r="F12" s="83"/>
      <x:c r="G12" s="83"/>
      <x:c r="H12" s="83"/>
      <x:c r="I12" s="83"/>
      <x:c r="J12" s="83"/>
    </x:row>
    <x:row r="13">
      <x:c r="A13" s="85" t="str">
        <x:v>one architecture carries complete 500 kg event</x:v>
      </x:c>
      <x:c r="B13" s="100" t="str">
        <x:v>OPEN</x:v>
      </x:c>
      <x:c r="C13" s="83"/>
      <x:c r="D13" s="83"/>
      <x:c r="E13" s="83"/>
      <x:c r="F13" s="83"/>
      <x:c r="G13" s="83"/>
      <x:c r="H13" s="83"/>
      <x:c r="I13" s="83"/>
      <x:c r="J13" s="83"/>
    </x:row>
    <x:row r="14">
      <x:c r="A14" s="86" t="str">
        <x:v>all hard gates close</x:v>
      </x:c>
      <x:c r="B14" s="91" t="str">
        <x:v>OPEN</x:v>
      </x:c>
      <x:c r="C14" s="83"/>
      <x:c r="D14" s="83"/>
      <x:c r="E14" s="83"/>
      <x:c r="F14" s="83"/>
      <x:c r="G14" s="83"/>
      <x:c r="H14" s="83"/>
      <x:c r="I14" s="83"/>
      <x:c r="J14" s="83"/>
    </x:row>
    <x:row r="15">
      <x:c r="A15" s="86" t="str">
        <x:v>no score offsets a hard failure</x:v>
      </x:c>
      <x:c r="B15" s="86" t="str">
        <x:v>REQUIRED</x:v>
      </x:c>
      <x:c r="C15" s="83"/>
      <x:c r="D15" s="83"/>
      <x:c r="E15" s="83"/>
      <x:c r="F15" s="83"/>
      <x:c r="G15" s="83"/>
      <x:c r="H15" s="83"/>
      <x:c r="I15" s="83"/>
      <x:c r="J15" s="83"/>
    </x:row>
    <x:row r="16">
      <x:c r="A16" s="87" t="str">
        <x:v>cost enters after eligibility</x:v>
      </x:c>
      <x:c r="B16" s="87" t="str">
        <x:v>REQUIRED</x:v>
      </x:c>
      <x:c r="C16" s="83"/>
      <x:c r="D16" s="83"/>
      <x:c r="E16" s="83"/>
      <x:c r="F16" s="83"/>
      <x:c r="G16" s="83"/>
      <x:c r="H16" s="83"/>
      <x:c r="I16" s="83"/>
      <x:c r="J16" s="83"/>
    </x:row>
  </x:sheetData>
  <x:mergeCells>
    <x:mergeCell ref="A2:J2"/>
  </x:mergeCells>
  <x:dataValidations count="1">
    <x:dataValidation type="list" sqref="J6:J9">
      <x:formula1>",SELECTED,NOT SELECTED"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14" hidden="0" customWidth="1"/>
    <x:col min="4" max="4" width="18" hidden="0" customWidth="1"/>
    <x:col min="5" max="5" width="18" hidden="0" customWidth="1"/>
    <x:col min="6" max="6" width="18" hidden="0" customWidth="1"/>
    <x:col min="7" max="7" width="12" hidden="0" customWidth="1"/>
    <x:col min="8" max="8" width="16" hidden="0" customWidth="1"/>
    <x:col min="9" max="9" width="16" hidden="0" customWidth="1"/>
    <x:col min="10" max="10" width="16" hidden="0" customWidth="1"/>
  </x:cols>
  <x:sheetData>
    <x:row r="2" ht="24" customHeight="1">
      <x:c r="A2" s="82" t="str">
        <x:v>FRC-500 serialized module bank</x:v>
      </x:c>
      <x:c r="B2" s="83"/>
      <x:c r="C2" s="83"/>
      <x:c r="D2" s="83"/>
      <x:c r="E2" s="83"/>
      <x:c r="F2" s="83"/>
      <x:c r="G2" s="83"/>
      <x:c r="H2" s="83"/>
      <x:c r="I2" s="83"/>
      <x:c r="J2" s="83"/>
    </x:row>
    <x:row r="3">
      <x:c r="A3" s="84"/>
      <x:c r="B3" s="84"/>
      <x:c r="C3" s="84"/>
      <x:c r="D3" s="84"/>
      <x:c r="E3" s="84"/>
      <x:c r="F3" s="84"/>
      <x:c r="G3" s="84"/>
      <x:c r="H3" s="84"/>
      <x:c r="I3" s="84"/>
      <x:c r="J3" s="84"/>
    </x:row>
    <x:row r="4">
      <x:c r="A4" s="83"/>
      <x:c r="B4" s="83"/>
      <x:c r="C4" s="83"/>
      <x:c r="D4" s="83"/>
      <x:c r="E4" s="83"/>
      <x:c r="F4" s="83"/>
      <x:c r="G4" s="83"/>
      <x:c r="H4" s="83"/>
      <x:c r="I4" s="83"/>
      <x:c r="J4" s="83"/>
    </x:row>
    <x:row r="5" ht="22" customHeight="1">
      <x:c r="A5" s="7" t="str">
        <x:v>Module</x:v>
      </x:c>
      <x:c r="B5" s="8" t="str">
        <x:v>Role</x:v>
      </x:c>
      <x:c r="C5" s="8" t="str">
        <x:v>Lineage</x:v>
      </x:c>
      <x:c r="D5" s="8" t="str">
        <x:v>Assigned campus</x:v>
      </x:c>
      <x:c r="E5" s="8" t="str">
        <x:v>Field article</x:v>
      </x:c>
      <x:c r="F5" s="8" t="str">
        <x:v>Topology root</x:v>
      </x:c>
      <x:c r="G5" s="8" t="str">
        <x:v>Cycles</x:v>
      </x:c>
      <x:c r="H5" s="8" t="str">
        <x:v>Return state</x:v>
      </x:c>
      <x:c r="I5" s="8" t="str">
        <x:v>Exchange state</x:v>
      </x:c>
      <x:c r="J5" s="9" t="str">
        <x:v>Release state</x:v>
      </x:c>
    </x:row>
    <x:row r="6">
      <x:c r="A6" s="85" t="str">
        <x:v>FRC500-01</x:v>
      </x:c>
      <x:c r="B6" s="85" t="str">
        <x:v>active</x:v>
      </x:c>
      <x:c r="C6" s="85" t="str">
        <x:v>A</x:v>
      </x:c>
      <x:c r="D6" s="85" t="str">
        <x:v>C1</x:v>
      </x:c>
      <x:c r="E6" s="100" t="str"/>
      <x:c r="F6" s="100" t="str"/>
      <x:c r="G6" s="112" t="n">
        <x:v>8</x:v>
      </x:c>
      <x:c r="H6" s="100" t="str">
        <x:v>OPEN</x:v>
      </x:c>
      <x:c r="I6" s="100" t="str">
        <x:v>OPEN</x:v>
      </x:c>
      <x:c r="J6" s="100" t="str">
        <x:v>PLANNED</x:v>
      </x:c>
    </x:row>
    <x:row r="7">
      <x:c r="A7" s="86" t="str">
        <x:v>FRC500-02</x:v>
      </x:c>
      <x:c r="B7" s="86" t="str">
        <x:v>active</x:v>
      </x:c>
      <x:c r="C7" s="86" t="str">
        <x:v>B</x:v>
      </x:c>
      <x:c r="D7" s="86" t="str">
        <x:v>C2</x:v>
      </x:c>
      <x:c r="E7" s="91" t="str"/>
      <x:c r="F7" s="91" t="str"/>
      <x:c r="G7" s="113" t="n">
        <x:v>8</x:v>
      </x:c>
      <x:c r="H7" s="91" t="str">
        <x:v>OPEN</x:v>
      </x:c>
      <x:c r="I7" s="91" t="str">
        <x:v>OPEN</x:v>
      </x:c>
      <x:c r="J7" s="91" t="str">
        <x:v>PLANNED</x:v>
      </x:c>
    </x:row>
    <x:row r="8">
      <x:c r="A8" s="86" t="str">
        <x:v>FRC500-03</x:v>
      </x:c>
      <x:c r="B8" s="86" t="str">
        <x:v>active</x:v>
      </x:c>
      <x:c r="C8" s="86" t="str">
        <x:v>A</x:v>
      </x:c>
      <x:c r="D8" s="86" t="str">
        <x:v>C3</x:v>
      </x:c>
      <x:c r="E8" s="91" t="str"/>
      <x:c r="F8" s="91" t="str"/>
      <x:c r="G8" s="113" t="n">
        <x:v>8</x:v>
      </x:c>
      <x:c r="H8" s="91" t="str">
        <x:v>OPEN</x:v>
      </x:c>
      <x:c r="I8" s="91" t="str">
        <x:v>OPEN</x:v>
      </x:c>
      <x:c r="J8" s="91" t="str">
        <x:v>PLANNED</x:v>
      </x:c>
    </x:row>
    <x:row r="9">
      <x:c r="A9" s="86" t="str">
        <x:v>FRC500-04</x:v>
      </x:c>
      <x:c r="B9" s="86" t="str">
        <x:v>active</x:v>
      </x:c>
      <x:c r="C9" s="86" t="str">
        <x:v>B</x:v>
      </x:c>
      <x:c r="D9" s="86" t="str">
        <x:v>C1</x:v>
      </x:c>
      <x:c r="E9" s="91" t="str"/>
      <x:c r="F9" s="91" t="str"/>
      <x:c r="G9" s="113" t="n">
        <x:v>8</x:v>
      </x:c>
      <x:c r="H9" s="91" t="str">
        <x:v>OPEN</x:v>
      </x:c>
      <x:c r="I9" s="91" t="str">
        <x:v>OPEN</x:v>
      </x:c>
      <x:c r="J9" s="91" t="str">
        <x:v>PLANNED</x:v>
      </x:c>
    </x:row>
    <x:row r="10">
      <x:c r="A10" s="86" t="str">
        <x:v>FRC500-05</x:v>
      </x:c>
      <x:c r="B10" s="86" t="str">
        <x:v>active</x:v>
      </x:c>
      <x:c r="C10" s="86" t="str">
        <x:v>A</x:v>
      </x:c>
      <x:c r="D10" s="86" t="str">
        <x:v>C2</x:v>
      </x:c>
      <x:c r="E10" s="91" t="str"/>
      <x:c r="F10" s="91" t="str"/>
      <x:c r="G10" s="113" t="n">
        <x:v>8</x:v>
      </x:c>
      <x:c r="H10" s="91" t="str">
        <x:v>OPEN</x:v>
      </x:c>
      <x:c r="I10" s="91" t="str">
        <x:v>OPEN</x:v>
      </x:c>
      <x:c r="J10" s="91" t="str">
        <x:v>PLANNED</x:v>
      </x:c>
    </x:row>
    <x:row r="11">
      <x:c r="A11" s="86" t="str">
        <x:v>FRC500-06</x:v>
      </x:c>
      <x:c r="B11" s="86" t="str">
        <x:v>active</x:v>
      </x:c>
      <x:c r="C11" s="86" t="str">
        <x:v>B</x:v>
      </x:c>
      <x:c r="D11" s="86" t="str">
        <x:v>C3</x:v>
      </x:c>
      <x:c r="E11" s="91" t="str"/>
      <x:c r="F11" s="91" t="str"/>
      <x:c r="G11" s="113" t="n">
        <x:v>8</x:v>
      </x:c>
      <x:c r="H11" s="91" t="str">
        <x:v>OPEN</x:v>
      </x:c>
      <x:c r="I11" s="91" t="str">
        <x:v>OPEN</x:v>
      </x:c>
      <x:c r="J11" s="91" t="str">
        <x:v>PLANNED</x:v>
      </x:c>
    </x:row>
    <x:row r="12">
      <x:c r="A12" s="86" t="str">
        <x:v>FRC500-07</x:v>
      </x:c>
      <x:c r="B12" s="86" t="str">
        <x:v>active</x:v>
      </x:c>
      <x:c r="C12" s="86" t="str">
        <x:v>A</x:v>
      </x:c>
      <x:c r="D12" s="86" t="str">
        <x:v>C1</x:v>
      </x:c>
      <x:c r="E12" s="91" t="str"/>
      <x:c r="F12" s="91" t="str"/>
      <x:c r="G12" s="113" t="n">
        <x:v>8</x:v>
      </x:c>
      <x:c r="H12" s="91" t="str">
        <x:v>OPEN</x:v>
      </x:c>
      <x:c r="I12" s="91" t="str">
        <x:v>OPEN</x:v>
      </x:c>
      <x:c r="J12" s="91" t="str">
        <x:v>PLANNED</x:v>
      </x:c>
    </x:row>
    <x:row r="13">
      <x:c r="A13" s="86" t="str">
        <x:v>FRC500-08</x:v>
      </x:c>
      <x:c r="B13" s="86" t="str">
        <x:v>active</x:v>
      </x:c>
      <x:c r="C13" s="86" t="str">
        <x:v>B</x:v>
      </x:c>
      <x:c r="D13" s="86" t="str">
        <x:v>C2</x:v>
      </x:c>
      <x:c r="E13" s="91" t="str"/>
      <x:c r="F13" s="91" t="str"/>
      <x:c r="G13" s="113" t="n">
        <x:v>8</x:v>
      </x:c>
      <x:c r="H13" s="91" t="str">
        <x:v>OPEN</x:v>
      </x:c>
      <x:c r="I13" s="91" t="str">
        <x:v>OPEN</x:v>
      </x:c>
      <x:c r="J13" s="91" t="str">
        <x:v>PLANNED</x:v>
      </x:c>
    </x:row>
    <x:row r="14">
      <x:c r="A14" s="86" t="str">
        <x:v>FRC500-09</x:v>
      </x:c>
      <x:c r="B14" s="86" t="str">
        <x:v>active</x:v>
      </x:c>
      <x:c r="C14" s="86" t="str">
        <x:v>A</x:v>
      </x:c>
      <x:c r="D14" s="86" t="str">
        <x:v>C3</x:v>
      </x:c>
      <x:c r="E14" s="91" t="str"/>
      <x:c r="F14" s="91" t="str"/>
      <x:c r="G14" s="113" t="n">
        <x:v>8</x:v>
      </x:c>
      <x:c r="H14" s="91" t="str">
        <x:v>OPEN</x:v>
      </x:c>
      <x:c r="I14" s="91" t="str">
        <x:v>OPEN</x:v>
      </x:c>
      <x:c r="J14" s="91" t="str">
        <x:v>PLANNED</x:v>
      </x:c>
    </x:row>
    <x:row r="15">
      <x:c r="A15" s="86" t="str">
        <x:v>FRC500-10</x:v>
      </x:c>
      <x:c r="B15" s="86" t="str">
        <x:v>active</x:v>
      </x:c>
      <x:c r="C15" s="86" t="str">
        <x:v>B</x:v>
      </x:c>
      <x:c r="D15" s="86" t="str">
        <x:v>C1</x:v>
      </x:c>
      <x:c r="E15" s="91" t="str"/>
      <x:c r="F15" s="91" t="str"/>
      <x:c r="G15" s="113" t="n">
        <x:v>8</x:v>
      </x:c>
      <x:c r="H15" s="91" t="str">
        <x:v>OPEN</x:v>
      </x:c>
      <x:c r="I15" s="91" t="str">
        <x:v>OPEN</x:v>
      </x:c>
      <x:c r="J15" s="91" t="str">
        <x:v>PLANNED</x:v>
      </x:c>
    </x:row>
    <x:row r="16">
      <x:c r="A16" s="86" t="str">
        <x:v>FRC500-11</x:v>
      </x:c>
      <x:c r="B16" s="86" t="str">
        <x:v>active</x:v>
      </x:c>
      <x:c r="C16" s="86" t="str">
        <x:v>A</x:v>
      </x:c>
      <x:c r="D16" s="86" t="str">
        <x:v>C2</x:v>
      </x:c>
      <x:c r="E16" s="91" t="str"/>
      <x:c r="F16" s="91" t="str"/>
      <x:c r="G16" s="113" t="n">
        <x:v>8</x:v>
      </x:c>
      <x:c r="H16" s="91" t="str">
        <x:v>OPEN</x:v>
      </x:c>
      <x:c r="I16" s="91" t="str">
        <x:v>OPEN</x:v>
      </x:c>
      <x:c r="J16" s="91" t="str">
        <x:v>PLANNED</x:v>
      </x:c>
    </x:row>
    <x:row r="17">
      <x:c r="A17" s="86" t="str">
        <x:v>FRC500-12</x:v>
      </x:c>
      <x:c r="B17" s="86" t="str">
        <x:v>active</x:v>
      </x:c>
      <x:c r="C17" s="86" t="str">
        <x:v>B</x:v>
      </x:c>
      <x:c r="D17" s="86" t="str">
        <x:v>C3</x:v>
      </x:c>
      <x:c r="E17" s="91" t="str"/>
      <x:c r="F17" s="91" t="str"/>
      <x:c r="G17" s="113" t="n">
        <x:v>8</x:v>
      </x:c>
      <x:c r="H17" s="91" t="str">
        <x:v>OPEN</x:v>
      </x:c>
      <x:c r="I17" s="91" t="str">
        <x:v>OPEN</x:v>
      </x:c>
      <x:c r="J17" s="91" t="str">
        <x:v>PLANNED</x:v>
      </x:c>
    </x:row>
    <x:row r="18">
      <x:c r="A18" s="86" t="str">
        <x:v>FRC500-13</x:v>
      </x:c>
      <x:c r="B18" s="86" t="str">
        <x:v>spare</x:v>
      </x:c>
      <x:c r="C18" s="86" t="str">
        <x:v>A</x:v>
      </x:c>
      <x:c r="D18" s="86" t="str"/>
      <x:c r="E18" s="91" t="str"/>
      <x:c r="F18" s="91" t="str"/>
      <x:c r="G18" s="113" t="n">
        <x:v>8</x:v>
      </x:c>
      <x:c r="H18" s="91" t="str">
        <x:v>OPEN</x:v>
      </x:c>
      <x:c r="I18" s="91" t="str">
        <x:v>OPEN</x:v>
      </x:c>
      <x:c r="J18" s="91" t="str">
        <x:v>PLANNED</x:v>
      </x:c>
    </x:row>
    <x:row r="19">
      <x:c r="A19" s="86" t="str">
        <x:v>FRC500-14</x:v>
      </x:c>
      <x:c r="B19" s="86" t="str">
        <x:v>spare</x:v>
      </x:c>
      <x:c r="C19" s="86" t="str">
        <x:v>B</x:v>
      </x:c>
      <x:c r="D19" s="86" t="str"/>
      <x:c r="E19" s="91" t="str"/>
      <x:c r="F19" s="91" t="str"/>
      <x:c r="G19" s="113" t="n">
        <x:v>8</x:v>
      </x:c>
      <x:c r="H19" s="91" t="str">
        <x:v>OPEN</x:v>
      </x:c>
      <x:c r="I19" s="91" t="str">
        <x:v>OPEN</x:v>
      </x:c>
      <x:c r="J19" s="91" t="str">
        <x:v>PLANNED</x:v>
      </x:c>
    </x:row>
    <x:row r="20">
      <x:c r="A20" s="86" t="str">
        <x:v>FRC500-15</x:v>
      </x:c>
      <x:c r="B20" s="86" t="str">
        <x:v>spare</x:v>
      </x:c>
      <x:c r="C20" s="86" t="str">
        <x:v>A</x:v>
      </x:c>
      <x:c r="D20" s="86" t="str"/>
      <x:c r="E20" s="91" t="str"/>
      <x:c r="F20" s="91" t="str"/>
      <x:c r="G20" s="113" t="n">
        <x:v>8</x:v>
      </x:c>
      <x:c r="H20" s="91" t="str">
        <x:v>OPEN</x:v>
      </x:c>
      <x:c r="I20" s="91" t="str">
        <x:v>OPEN</x:v>
      </x:c>
      <x:c r="J20" s="91" t="str">
        <x:v>PLANNED</x:v>
      </x:c>
    </x:row>
    <x:row r="21">
      <x:c r="A21" s="86" t="str">
        <x:v>FRC500-16</x:v>
      </x:c>
      <x:c r="B21" s="86" t="str">
        <x:v>spare</x:v>
      </x:c>
      <x:c r="C21" s="86" t="str">
        <x:v>B</x:v>
      </x:c>
      <x:c r="D21" s="86" t="str"/>
      <x:c r="E21" s="91" t="str"/>
      <x:c r="F21" s="91" t="str"/>
      <x:c r="G21" s="113" t="n">
        <x:v>8</x:v>
      </x:c>
      <x:c r="H21" s="91" t="str">
        <x:v>OPEN</x:v>
      </x:c>
      <x:c r="I21" s="91" t="str">
        <x:v>OPEN</x:v>
      </x:c>
      <x:c r="J21" s="91" t="str">
        <x:v>PLANNED</x:v>
      </x:c>
    </x:row>
    <x:row r="22">
      <x:c r="A22" s="86" t="str">
        <x:v>FRC500-17</x:v>
      </x:c>
      <x:c r="B22" s="86" t="str">
        <x:v>forensic</x:v>
      </x:c>
      <x:c r="C22" s="86" t="str">
        <x:v>SEALED</x:v>
      </x:c>
      <x:c r="D22" s="86" t="str"/>
      <x:c r="E22" s="86" t="str"/>
      <x:c r="F22" s="86" t="str"/>
      <x:c r="G22" s="108" t="n">
        <x:v>0</x:v>
      </x:c>
      <x:c r="H22" s="86" t="str">
        <x:v>SEALED</x:v>
      </x:c>
      <x:c r="I22" s="86" t="str">
        <x:v>SEALED</x:v>
      </x:c>
      <x:c r="J22" s="86" t="str">
        <x:v>SEALED</x:v>
      </x:c>
    </x:row>
    <x:row r="23">
      <x:c r="A23" s="87" t="str">
        <x:v>FRC500-18</x:v>
      </x:c>
      <x:c r="B23" s="87" t="str">
        <x:v>forensic</x:v>
      </x:c>
      <x:c r="C23" s="87" t="str">
        <x:v>SEALED</x:v>
      </x:c>
      <x:c r="D23" s="87" t="str"/>
      <x:c r="E23" s="87" t="str"/>
      <x:c r="F23" s="87" t="str"/>
      <x:c r="G23" s="110" t="n">
        <x:v>0</x:v>
      </x:c>
      <x:c r="H23" s="87" t="str">
        <x:v>SEALED</x:v>
      </x:c>
      <x:c r="I23" s="87" t="str">
        <x:v>SEALED</x:v>
      </x:c>
      <x:c r="J23" s="87" t="str">
        <x:v>SEALED</x:v>
      </x:c>
    </x:row>
  </x:sheetData>
  <x:mergeCells>
    <x:mergeCell ref="A2:J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6" hidden="0" customWidth="1"/>
    <x:col min="2" max="2" width="18" hidden="0" customWidth="1"/>
    <x:col min="3" max="3" width="12" hidden="0" customWidth="1"/>
    <x:col min="4" max="4" width="10" hidden="0" customWidth="1"/>
    <x:col min="5" max="5" width="16" hidden="0" customWidth="1"/>
    <x:col min="6" max="6" width="14" hidden="0" customWidth="1"/>
    <x:col min="7" max="7" width="16" hidden="0" customWidth="1"/>
    <x:col min="8" max="8" width="46" hidden="0" customWidth="1"/>
    <x:col min="9" max="9" width="15" hidden="0" customWidth="1"/>
    <x:col min="10" max="10" width="16" hidden="0" customWidth="1"/>
    <x:col min="11" max="11" width="18" hidden="0" customWidth="1"/>
    <x:col min="12" max="12" width="15" hidden="0" customWidth="1"/>
    <x:col min="13" max="13" width="18" hidden="0" customWidth="1"/>
    <x:col min="14" max="14" width="14" hidden="0" customWidth="1"/>
  </x:cols>
  <x:sheetData>
    <x:row r="2" ht="24" customHeight="1">
      <x:c r="A2" s="82" t="str">
        <x:v>128 integrated field-time qualification cycles</x:v>
      </x:c>
      <x:c r="B2" s="83"/>
      <x:c r="C2" s="83"/>
      <x:c r="D2" s="83"/>
      <x:c r="E2" s="83"/>
      <x:c r="F2" s="83"/>
      <x:c r="G2" s="83"/>
      <x:c r="H2" s="83"/>
      <x:c r="I2" s="83"/>
      <x:c r="J2" s="83"/>
      <x:c r="K2" s="83"/>
      <x:c r="L2" s="83"/>
      <x:c r="M2" s="83"/>
      <x:c r="N2" s="83"/>
    </x:row>
    <x:row r="3">
      <x:c r="A3" s="84"/>
      <x:c r="B3" s="84"/>
      <x:c r="C3" s="84"/>
      <x:c r="D3" s="84"/>
      <x:c r="E3" s="84"/>
      <x:c r="F3" s="84"/>
      <x:c r="G3" s="84"/>
      <x:c r="H3" s="84"/>
      <x:c r="I3" s="84"/>
      <x:c r="J3" s="84"/>
      <x:c r="K3" s="84"/>
      <x:c r="L3" s="84"/>
      <x:c r="M3" s="84"/>
      <x:c r="N3" s="84"/>
    </x:row>
    <x:row r="4">
      <x:c r="A4" s="83"/>
      <x:c r="B4" s="83"/>
      <x:c r="C4" s="83"/>
      <x:c r="D4" s="83"/>
      <x:c r="E4" s="83"/>
      <x:c r="F4" s="83"/>
      <x:c r="G4" s="83"/>
      <x:c r="H4" s="83"/>
      <x:c r="I4" s="83"/>
      <x:c r="J4" s="83"/>
      <x:c r="K4" s="83"/>
      <x:c r="L4" s="83"/>
      <x:c r="M4" s="83"/>
      <x:c r="N4" s="83"/>
    </x:row>
    <x:row r="5" ht="22" customHeight="1">
      <x:c r="A5" s="7" t="str">
        <x:v>Cycle ID</x:v>
      </x:c>
      <x:c r="B5" s="8" t="str">
        <x:v>Module</x:v>
      </x:c>
      <x:c r="C5" s="8" t="str">
        <x:v>Lineage</x:v>
      </x:c>
      <x:c r="D5" s="8" t="str">
        <x:v>Cycle</x:v>
      </x:c>
      <x:c r="E5" s="8" t="str">
        <x:v>Source (kg)</x:v>
      </x:c>
      <x:c r="F5" s="8" t="str">
        <x:v>Area (m²)</x:v>
      </x:c>
      <x:c r="G5" s="8" t="str">
        <x:v>Source/area</x:v>
      </x:c>
      <x:c r="H5" s="8" t="str">
        <x:v>Purpose</x:v>
      </x:c>
      <x:c r="I5" s="8" t="str">
        <x:v>Flame</x:v>
      </x:c>
      <x:c r="J5" s="8" t="str">
        <x:v>Topology</x:v>
      </x:c>
      <x:c r="K5" s="8" t="str">
        <x:v>Transformation</x:v>
      </x:c>
      <x:c r="L5" s="8" t="str">
        <x:v>Energy</x:v>
      </x:c>
      <x:c r="M5" s="8" t="str">
        <x:v>Atmosphere</x:v>
      </x:c>
      <x:c r="N5" s="9" t="str">
        <x:v>State</x:v>
      </x:c>
    </x:row>
    <x:row r="6">
      <x:c r="A6" s="85" t="str">
        <x:v>Q-001</x:v>
      </x:c>
      <x:c r="B6" s="85" t="str">
        <x:v>FRC500-01</x:v>
      </x:c>
      <x:c r="C6" s="85" t="str">
        <x:v>A</x:v>
      </x:c>
      <x:c r="D6" s="85" t="str">
        <x:v>Q1</x:v>
      </x:c>
      <x:c r="E6" s="114" t="n">
        <x:f>IF(D6="Q1",'Assumptions'!B6,IF(OR(D6="Q2",D6="Q3"),'Assumptions'!B7,IF(D6="Q4",400,'Assumptions'!B8)))</x:f>
        <x:v>100</x:v>
      </x:c>
      <x:c r="F6" s="114" t="n">
        <x:f>IF(D6="Q1",'Assumptions'!B9,IF(OR(D6="Q2",D6="Q4"),'Assumptions'!B10,'Assumptions'!B11))</x:f>
        <x:v>2.5</x:v>
      </x:c>
      <x:c r="G6" s="114" t="n">
        <x:f>E6/F6</x:f>
        <x:v>40</x:v>
      </x:c>
      <x:c r="H6" s="85" t="str">
        <x:v>accepted low-source anchor</x:v>
      </x:c>
      <x:c r="I6" s="100" t="str"/>
      <x:c r="J6" s="100" t="str"/>
      <x:c r="K6" s="100" t="str"/>
      <x:c r="L6" s="100" t="str"/>
      <x:c r="M6" s="100" t="str"/>
      <x:c r="N6" s="100" t="str">
        <x:v>OPEN</x:v>
      </x:c>
    </x:row>
    <x:row r="7">
      <x:c r="A7" s="86" t="str">
        <x:v>Q-002</x:v>
      </x:c>
      <x:c r="B7" s="86" t="str">
        <x:v>FRC500-01</x:v>
      </x:c>
      <x:c r="C7" s="86" t="str">
        <x:v>A</x:v>
      </x:c>
      <x:c r="D7" s="86" t="str">
        <x:v>Q2</x:v>
      </x:c>
      <x:c r="E7" s="115" t="n">
        <x:f>IF(D7="Q1",'Assumptions'!B6,IF(OR(D7="Q2",D7="Q3"),'Assumptions'!B7,IF(D7="Q4",400,'Assumptions'!B8)))</x:f>
        <x:v>250</x:v>
      </x:c>
      <x:c r="F7" s="115" t="n">
        <x:f>IF(D7="Q1",'Assumptions'!B9,IF(OR(D7="Q2",D7="Q4"),'Assumptions'!B10,'Assumptions'!B11))</x:f>
        <x:v>5</x:v>
      </x:c>
      <x:c r="G7" s="115" t="n">
        <x:f>E7/F7</x:f>
        <x:v>50</x:v>
      </x:c>
      <x:c r="H7" s="86" t="str">
        <x:v>accepted intermediate dry anchor</x:v>
      </x:c>
      <x:c r="I7" s="91" t="str"/>
      <x:c r="J7" s="91" t="str"/>
      <x:c r="K7" s="91" t="str"/>
      <x:c r="L7" s="91" t="str"/>
      <x:c r="M7" s="91" t="str"/>
      <x:c r="N7" s="91" t="str">
        <x:v>OPEN</x:v>
      </x:c>
    </x:row>
    <x:row r="8">
      <x:c r="A8" s="86" t="str">
        <x:v>Q-003</x:v>
      </x:c>
      <x:c r="B8" s="86" t="str">
        <x:v>FRC500-01</x:v>
      </x:c>
      <x:c r="C8" s="86" t="str">
        <x:v>A</x:v>
      </x:c>
      <x:c r="D8" s="86" t="str">
        <x:v>Q3</x:v>
      </x:c>
      <x:c r="E8" s="115" t="n">
        <x:f>IF(D8="Q1",'Assumptions'!B6,IF(OR(D8="Q2",D8="Q3"),'Assumptions'!B7,IF(D8="Q4",400,'Assumptions'!B8)))</x:f>
        <x:v>250</x:v>
      </x:c>
      <x:c r="F8" s="115" t="n">
        <x:f>IF(D8="Q1",'Assumptions'!B9,IF(OR(D8="Q2",D8="Q4"),'Assumptions'!B10,'Assumptions'!B11))</x:f>
        <x:v>6.25</x:v>
      </x:c>
      <x:c r="G8" s="115" t="n">
        <x:f>E8/F8</x:f>
        <x:v>40</x:v>
      </x:c>
      <x:c r="H8" s="86" t="str">
        <x:v>field expansion at fixed source</x:v>
      </x:c>
      <x:c r="I8" s="91" t="str"/>
      <x:c r="J8" s="91" t="str"/>
      <x:c r="K8" s="91" t="str"/>
      <x:c r="L8" s="91" t="str"/>
      <x:c r="M8" s="91" t="str"/>
      <x:c r="N8" s="91" t="str">
        <x:v>OPEN</x:v>
      </x:c>
    </x:row>
    <x:row r="9">
      <x:c r="A9" s="86" t="str">
        <x:v>Q-004</x:v>
      </x:c>
      <x:c r="B9" s="86" t="str">
        <x:v>FRC500-01</x:v>
      </x:c>
      <x:c r="C9" s="86" t="str">
        <x:v>A</x:v>
      </x:c>
      <x:c r="D9" s="86" t="str">
        <x:v>Q4</x:v>
      </x:c>
      <x:c r="E9" s="115" t="n">
        <x:f>IF(D9="Q1",'Assumptions'!B6,IF(OR(D9="Q2",D9="Q3"),'Assumptions'!B7,IF(D9="Q4",400,'Assumptions'!B8)))</x:f>
        <x:v>400</x:v>
      </x:c>
      <x:c r="F9" s="115" t="n">
        <x:f>IF(D9="Q1",'Assumptions'!B9,IF(OR(D9="Q2",D9="Q4"),'Assumptions'!B10,'Assumptions'!B11))</x:f>
        <x:v>5</x:v>
      </x:c>
      <x:c r="G9" s="115" t="n">
        <x:f>E9/F9</x:f>
        <x:v>80</x:v>
      </x:c>
      <x:c r="H9" s="86" t="str">
        <x:v>target areal load at prior field extent</x:v>
      </x:c>
      <x:c r="I9" s="91" t="str"/>
      <x:c r="J9" s="91" t="str"/>
      <x:c r="K9" s="91" t="str"/>
      <x:c r="L9" s="91" t="str"/>
      <x:c r="M9" s="91" t="str"/>
      <x:c r="N9" s="91" t="str">
        <x:v>OPEN</x:v>
      </x:c>
    </x:row>
    <x:row r="10">
      <x:c r="A10" s="86" t="str">
        <x:v>Q-005</x:v>
      </x:c>
      <x:c r="B10" s="86" t="str">
        <x:v>FRC500-01</x:v>
      </x:c>
      <x:c r="C10" s="86" t="str">
        <x:v>A</x:v>
      </x:c>
      <x:c r="D10" s="86" t="str">
        <x:v>Q5</x:v>
      </x:c>
      <x:c r="E10" s="115" t="n">
        <x:f>IF(D10="Q1",'Assumptions'!B6,IF(OR(D10="Q2",D10="Q3"),'Assumptions'!B7,IF(D10="Q4",400,'Assumptions'!B8)))</x:f>
        <x:v>500</x:v>
      </x:c>
      <x:c r="F10" s="115" t="n">
        <x:f>IF(D10="Q1",'Assumptions'!B9,IF(OR(D10="Q2",D10="Q4"),'Assumptions'!B10,'Assumptions'!B11))</x:f>
        <x:v>6.25</x:v>
      </x:c>
      <x:c r="G10" s="115" t="n">
        <x:f>E10/F10</x:f>
        <x:v>80</x:v>
      </x:c>
      <x:c r="H10" s="86" t="str">
        <x:v>exact ER-08 state</x:v>
      </x:c>
      <x:c r="I10" s="91" t="str"/>
      <x:c r="J10" s="91" t="str"/>
      <x:c r="K10" s="91" t="str"/>
      <x:c r="L10" s="91" t="str"/>
      <x:c r="M10" s="91" t="str"/>
      <x:c r="N10" s="91" t="str">
        <x:v>OPEN</x:v>
      </x:c>
    </x:row>
    <x:row r="11">
      <x:c r="A11" s="86" t="str">
        <x:v>Q-006</x:v>
      </x:c>
      <x:c r="B11" s="86" t="str">
        <x:v>FRC500-01</x:v>
      </x:c>
      <x:c r="C11" s="86" t="str">
        <x:v>A</x:v>
      </x:c>
      <x:c r="D11" s="86" t="str">
        <x:v>Q6</x:v>
      </x:c>
      <x:c r="E11" s="115" t="n">
        <x:f>IF(D11="Q1",'Assumptions'!B6,IF(OR(D11="Q2",D11="Q3"),'Assumptions'!B7,IF(D11="Q4",400,'Assumptions'!B8)))</x:f>
        <x:v>500</x:v>
      </x:c>
      <x:c r="F11" s="115" t="n">
        <x:f>IF(D11="Q1",'Assumptions'!B9,IF(OR(D11="Q2",D11="Q4"),'Assumptions'!B10,'Assumptions'!B11))</x:f>
        <x:v>6.25</x:v>
      </x:c>
      <x:c r="G11" s="115" t="n">
        <x:f>E11/F11</x:f>
        <x:v>80</x:v>
      </x:c>
      <x:c r="H11" s="86" t="str">
        <x:v>atmosphere accumulation and exhaust perturbation</x:v>
      </x:c>
      <x:c r="I11" s="91" t="str"/>
      <x:c r="J11" s="91" t="str"/>
      <x:c r="K11" s="91" t="str"/>
      <x:c r="L11" s="91" t="str"/>
      <x:c r="M11" s="91" t="str"/>
      <x:c r="N11" s="91" t="str">
        <x:v>OPEN</x:v>
      </x:c>
    </x:row>
    <x:row r="12">
      <x:c r="A12" s="86" t="str">
        <x:v>Q-007</x:v>
      </x:c>
      <x:c r="B12" s="86" t="str">
        <x:v>FRC500-01</x:v>
      </x:c>
      <x:c r="C12" s="86" t="str">
        <x:v>A</x:v>
      </x:c>
      <x:c r="D12" s="86" t="str">
        <x:v>Q7</x:v>
      </x:c>
      <x:c r="E12" s="115" t="n">
        <x:f>IF(D12="Q1",'Assumptions'!B6,IF(OR(D12="Q2",D12="Q3"),'Assumptions'!B7,IF(D12="Q4",400,'Assumptions'!B8)))</x:f>
        <x:v>500</x:v>
      </x:c>
      <x:c r="F12" s="115" t="n">
        <x:f>IF(D12="Q1",'Assumptions'!B9,IF(OR(D12="Q2",D12="Q4"),'Assumptions'!B10,'Assumptions'!B11))</x:f>
        <x:v>6.25</x:v>
      </x:c>
      <x:c r="G12" s="115" t="n">
        <x:f>E12/F12</x:f>
        <x:v>80</x:v>
      </x:c>
      <x:c r="H12" s="86" t="str">
        <x:v>one root and one primary service denied</x:v>
      </x:c>
      <x:c r="I12" s="91" t="str"/>
      <x:c r="J12" s="91" t="str"/>
      <x:c r="K12" s="91" t="str"/>
      <x:c r="L12" s="91" t="str"/>
      <x:c r="M12" s="91" t="str"/>
      <x:c r="N12" s="91" t="str">
        <x:v>OPEN</x:v>
      </x:c>
    </x:row>
    <x:row r="13">
      <x:c r="A13" s="86" t="str">
        <x:v>Q-008</x:v>
      </x:c>
      <x:c r="B13" s="86" t="str">
        <x:v>FRC500-01</x:v>
      </x:c>
      <x:c r="C13" s="86" t="str">
        <x:v>A</x:v>
      </x:c>
      <x:c r="D13" s="86" t="str">
        <x:v>Q8</x:v>
      </x:c>
      <x:c r="E13" s="115" t="n">
        <x:f>IF(D13="Q1",'Assumptions'!B6,IF(OR(D13="Q2",D13="Q3"),'Assumptions'!B7,IF(D13="Q4",400,'Assumptions'!B8)))</x:f>
        <x:v>500</x:v>
      </x:c>
      <x:c r="F13" s="115" t="n">
        <x:f>IF(D13="Q1",'Assumptions'!B9,IF(OR(D13="Q2",D13="Q4"),'Assumptions'!B10,'Assumptions'!B11))</x:f>
        <x:v>6.25</x:v>
      </x:c>
      <x:c r="G13" s="115" t="n">
        <x:f>E13/F13</x:f>
        <x:v>80</x:v>
      </x:c>
      <x:c r="H13" s="86" t="str">
        <x:v>thermal soak, recovery and return</x:v>
      </x:c>
      <x:c r="I13" s="91" t="str"/>
      <x:c r="J13" s="91" t="str"/>
      <x:c r="K13" s="91" t="str"/>
      <x:c r="L13" s="91" t="str"/>
      <x:c r="M13" s="91" t="str"/>
      <x:c r="N13" s="91" t="str">
        <x:v>OPEN</x:v>
      </x:c>
    </x:row>
    <x:row r="14">
      <x:c r="A14" s="86" t="str">
        <x:v>Q-009</x:v>
      </x:c>
      <x:c r="B14" s="86" t="str">
        <x:v>FRC500-02</x:v>
      </x:c>
      <x:c r="C14" s="86" t="str">
        <x:v>B</x:v>
      </x:c>
      <x:c r="D14" s="86" t="str">
        <x:v>Q1</x:v>
      </x:c>
      <x:c r="E14" s="115" t="n">
        <x:f>IF(D14="Q1",'Assumptions'!B6,IF(OR(D14="Q2",D14="Q3"),'Assumptions'!B7,IF(D14="Q4",400,'Assumptions'!B8)))</x:f>
        <x:v>100</x:v>
      </x:c>
      <x:c r="F14" s="115" t="n">
        <x:f>IF(D14="Q1",'Assumptions'!B9,IF(OR(D14="Q2",D14="Q4"),'Assumptions'!B10,'Assumptions'!B11))</x:f>
        <x:v>2.5</x:v>
      </x:c>
      <x:c r="G14" s="115" t="n">
        <x:f>E14/F14</x:f>
        <x:v>40</x:v>
      </x:c>
      <x:c r="H14" s="86" t="str">
        <x:v>accepted low-source anchor</x:v>
      </x:c>
      <x:c r="I14" s="91" t="str"/>
      <x:c r="J14" s="91" t="str"/>
      <x:c r="K14" s="91" t="str"/>
      <x:c r="L14" s="91" t="str"/>
      <x:c r="M14" s="91" t="str"/>
      <x:c r="N14" s="91" t="str">
        <x:v>OPEN</x:v>
      </x:c>
    </x:row>
    <x:row r="15">
      <x:c r="A15" s="86" t="str">
        <x:v>Q-010</x:v>
      </x:c>
      <x:c r="B15" s="86" t="str">
        <x:v>FRC500-02</x:v>
      </x:c>
      <x:c r="C15" s="86" t="str">
        <x:v>B</x:v>
      </x:c>
      <x:c r="D15" s="86" t="str">
        <x:v>Q2</x:v>
      </x:c>
      <x:c r="E15" s="115" t="n">
        <x:f>IF(D15="Q1",'Assumptions'!B6,IF(OR(D15="Q2",D15="Q3"),'Assumptions'!B7,IF(D15="Q4",400,'Assumptions'!B8)))</x:f>
        <x:v>250</x:v>
      </x:c>
      <x:c r="F15" s="115" t="n">
        <x:f>IF(D15="Q1",'Assumptions'!B9,IF(OR(D15="Q2",D15="Q4"),'Assumptions'!B10,'Assumptions'!B11))</x:f>
        <x:v>5</x:v>
      </x:c>
      <x:c r="G15" s="115" t="n">
        <x:f>E15/F15</x:f>
        <x:v>50</x:v>
      </x:c>
      <x:c r="H15" s="86" t="str">
        <x:v>accepted intermediate dry anchor</x:v>
      </x:c>
      <x:c r="I15" s="91" t="str"/>
      <x:c r="J15" s="91" t="str"/>
      <x:c r="K15" s="91" t="str"/>
      <x:c r="L15" s="91" t="str"/>
      <x:c r="M15" s="91" t="str"/>
      <x:c r="N15" s="91" t="str">
        <x:v>OPEN</x:v>
      </x:c>
    </x:row>
    <x:row r="16">
      <x:c r="A16" s="86" t="str">
        <x:v>Q-011</x:v>
      </x:c>
      <x:c r="B16" s="86" t="str">
        <x:v>FRC500-02</x:v>
      </x:c>
      <x:c r="C16" s="86" t="str">
        <x:v>B</x:v>
      </x:c>
      <x:c r="D16" s="86" t="str">
        <x:v>Q3</x:v>
      </x:c>
      <x:c r="E16" s="115" t="n">
        <x:f>IF(D16="Q1",'Assumptions'!B6,IF(OR(D16="Q2",D16="Q3"),'Assumptions'!B7,IF(D16="Q4",400,'Assumptions'!B8)))</x:f>
        <x:v>250</x:v>
      </x:c>
      <x:c r="F16" s="115" t="n">
        <x:f>IF(D16="Q1",'Assumptions'!B9,IF(OR(D16="Q2",D16="Q4"),'Assumptions'!B10,'Assumptions'!B11))</x:f>
        <x:v>6.25</x:v>
      </x:c>
      <x:c r="G16" s="115" t="n">
        <x:f>E16/F16</x:f>
        <x:v>40</x:v>
      </x:c>
      <x:c r="H16" s="86" t="str">
        <x:v>field expansion at fixed source</x:v>
      </x:c>
      <x:c r="I16" s="91" t="str"/>
      <x:c r="J16" s="91" t="str"/>
      <x:c r="K16" s="91" t="str"/>
      <x:c r="L16" s="91" t="str"/>
      <x:c r="M16" s="91" t="str"/>
      <x:c r="N16" s="91" t="str">
        <x:v>OPEN</x:v>
      </x:c>
    </x:row>
    <x:row r="17">
      <x:c r="A17" s="86" t="str">
        <x:v>Q-012</x:v>
      </x:c>
      <x:c r="B17" s="86" t="str">
        <x:v>FRC500-02</x:v>
      </x:c>
      <x:c r="C17" s="86" t="str">
        <x:v>B</x:v>
      </x:c>
      <x:c r="D17" s="86" t="str">
        <x:v>Q4</x:v>
      </x:c>
      <x:c r="E17" s="115" t="n">
        <x:f>IF(D17="Q1",'Assumptions'!B6,IF(OR(D17="Q2",D17="Q3"),'Assumptions'!B7,IF(D17="Q4",400,'Assumptions'!B8)))</x:f>
        <x:v>400</x:v>
      </x:c>
      <x:c r="F17" s="115" t="n">
        <x:f>IF(D17="Q1",'Assumptions'!B9,IF(OR(D17="Q2",D17="Q4"),'Assumptions'!B10,'Assumptions'!B11))</x:f>
        <x:v>5</x:v>
      </x:c>
      <x:c r="G17" s="115" t="n">
        <x:f>E17/F17</x:f>
        <x:v>80</x:v>
      </x:c>
      <x:c r="H17" s="86" t="str">
        <x:v>target areal load at prior field extent</x:v>
      </x:c>
      <x:c r="I17" s="91" t="str"/>
      <x:c r="J17" s="91" t="str"/>
      <x:c r="K17" s="91" t="str"/>
      <x:c r="L17" s="91" t="str"/>
      <x:c r="M17" s="91" t="str"/>
      <x:c r="N17" s="91" t="str">
        <x:v>OPEN</x:v>
      </x:c>
    </x:row>
    <x:row r="18">
      <x:c r="A18" s="86" t="str">
        <x:v>Q-013</x:v>
      </x:c>
      <x:c r="B18" s="86" t="str">
        <x:v>FRC500-02</x:v>
      </x:c>
      <x:c r="C18" s="86" t="str">
        <x:v>B</x:v>
      </x:c>
      <x:c r="D18" s="86" t="str">
        <x:v>Q5</x:v>
      </x:c>
      <x:c r="E18" s="115" t="n">
        <x:f>IF(D18="Q1",'Assumptions'!B6,IF(OR(D18="Q2",D18="Q3"),'Assumptions'!B7,IF(D18="Q4",400,'Assumptions'!B8)))</x:f>
        <x:v>500</x:v>
      </x:c>
      <x:c r="F18" s="115" t="n">
        <x:f>IF(D18="Q1",'Assumptions'!B9,IF(OR(D18="Q2",D18="Q4"),'Assumptions'!B10,'Assumptions'!B11))</x:f>
        <x:v>6.25</x:v>
      </x:c>
      <x:c r="G18" s="115" t="n">
        <x:f>E18/F18</x:f>
        <x:v>80</x:v>
      </x:c>
      <x:c r="H18" s="86" t="str">
        <x:v>exact ER-08 state</x:v>
      </x:c>
      <x:c r="I18" s="91" t="str"/>
      <x:c r="J18" s="91" t="str"/>
      <x:c r="K18" s="91" t="str"/>
      <x:c r="L18" s="91" t="str"/>
      <x:c r="M18" s="91" t="str"/>
      <x:c r="N18" s="91" t="str">
        <x:v>OPEN</x:v>
      </x:c>
    </x:row>
    <x:row r="19">
      <x:c r="A19" s="86" t="str">
        <x:v>Q-014</x:v>
      </x:c>
      <x:c r="B19" s="86" t="str">
        <x:v>FRC500-02</x:v>
      </x:c>
      <x:c r="C19" s="86" t="str">
        <x:v>B</x:v>
      </x:c>
      <x:c r="D19" s="86" t="str">
        <x:v>Q6</x:v>
      </x:c>
      <x:c r="E19" s="115" t="n">
        <x:f>IF(D19="Q1",'Assumptions'!B6,IF(OR(D19="Q2",D19="Q3"),'Assumptions'!B7,IF(D19="Q4",400,'Assumptions'!B8)))</x:f>
        <x:v>500</x:v>
      </x:c>
      <x:c r="F19" s="115" t="n">
        <x:f>IF(D19="Q1",'Assumptions'!B9,IF(OR(D19="Q2",D19="Q4"),'Assumptions'!B10,'Assumptions'!B11))</x:f>
        <x:v>6.25</x:v>
      </x:c>
      <x:c r="G19" s="115" t="n">
        <x:f>E19/F19</x:f>
        <x:v>80</x:v>
      </x:c>
      <x:c r="H19" s="86" t="str">
        <x:v>atmosphere accumulation and exhaust perturbation</x:v>
      </x:c>
      <x:c r="I19" s="91" t="str"/>
      <x:c r="J19" s="91" t="str"/>
      <x:c r="K19" s="91" t="str"/>
      <x:c r="L19" s="91" t="str"/>
      <x:c r="M19" s="91" t="str"/>
      <x:c r="N19" s="91" t="str">
        <x:v>OPEN</x:v>
      </x:c>
    </x:row>
    <x:row r="20">
      <x:c r="A20" s="86" t="str">
        <x:v>Q-015</x:v>
      </x:c>
      <x:c r="B20" s="86" t="str">
        <x:v>FRC500-02</x:v>
      </x:c>
      <x:c r="C20" s="86" t="str">
        <x:v>B</x:v>
      </x:c>
      <x:c r="D20" s="86" t="str">
        <x:v>Q7</x:v>
      </x:c>
      <x:c r="E20" s="115" t="n">
        <x:f>IF(D20="Q1",'Assumptions'!B6,IF(OR(D20="Q2",D20="Q3"),'Assumptions'!B7,IF(D20="Q4",400,'Assumptions'!B8)))</x:f>
        <x:v>500</x:v>
      </x:c>
      <x:c r="F20" s="115" t="n">
        <x:f>IF(D20="Q1",'Assumptions'!B9,IF(OR(D20="Q2",D20="Q4"),'Assumptions'!B10,'Assumptions'!B11))</x:f>
        <x:v>6.25</x:v>
      </x:c>
      <x:c r="G20" s="115" t="n">
        <x:f>E20/F20</x:f>
        <x:v>80</x:v>
      </x:c>
      <x:c r="H20" s="86" t="str">
        <x:v>one root and one primary service denied</x:v>
      </x:c>
      <x:c r="I20" s="91" t="str"/>
      <x:c r="J20" s="91" t="str"/>
      <x:c r="K20" s="91" t="str"/>
      <x:c r="L20" s="91" t="str"/>
      <x:c r="M20" s="91" t="str"/>
      <x:c r="N20" s="91" t="str">
        <x:v>OPEN</x:v>
      </x:c>
    </x:row>
    <x:row r="21">
      <x:c r="A21" s="86" t="str">
        <x:v>Q-016</x:v>
      </x:c>
      <x:c r="B21" s="86" t="str">
        <x:v>FRC500-02</x:v>
      </x:c>
      <x:c r="C21" s="86" t="str">
        <x:v>B</x:v>
      </x:c>
      <x:c r="D21" s="86" t="str">
        <x:v>Q8</x:v>
      </x:c>
      <x:c r="E21" s="115" t="n">
        <x:f>IF(D21="Q1",'Assumptions'!B6,IF(OR(D21="Q2",D21="Q3"),'Assumptions'!B7,IF(D21="Q4",400,'Assumptions'!B8)))</x:f>
        <x:v>500</x:v>
      </x:c>
      <x:c r="F21" s="115" t="n">
        <x:f>IF(D21="Q1",'Assumptions'!B9,IF(OR(D21="Q2",D21="Q4"),'Assumptions'!B10,'Assumptions'!B11))</x:f>
        <x:v>6.25</x:v>
      </x:c>
      <x:c r="G21" s="115" t="n">
        <x:f>E21/F21</x:f>
        <x:v>80</x:v>
      </x:c>
      <x:c r="H21" s="86" t="str">
        <x:v>thermal soak, recovery and return</x:v>
      </x:c>
      <x:c r="I21" s="91" t="str"/>
      <x:c r="J21" s="91" t="str"/>
      <x:c r="K21" s="91" t="str"/>
      <x:c r="L21" s="91" t="str"/>
      <x:c r="M21" s="91" t="str"/>
      <x:c r="N21" s="91" t="str">
        <x:v>OPEN</x:v>
      </x:c>
    </x:row>
    <x:row r="22">
      <x:c r="A22" s="86" t="str">
        <x:v>Q-017</x:v>
      </x:c>
      <x:c r="B22" s="86" t="str">
        <x:v>FRC500-03</x:v>
      </x:c>
      <x:c r="C22" s="86" t="str">
        <x:v>A</x:v>
      </x:c>
      <x:c r="D22" s="86" t="str">
        <x:v>Q1</x:v>
      </x:c>
      <x:c r="E22" s="115" t="n">
        <x:f>IF(D22="Q1",'Assumptions'!B6,IF(OR(D22="Q2",D22="Q3"),'Assumptions'!B7,IF(D22="Q4",400,'Assumptions'!B8)))</x:f>
        <x:v>100</x:v>
      </x:c>
      <x:c r="F22" s="115" t="n">
        <x:f>IF(D22="Q1",'Assumptions'!B9,IF(OR(D22="Q2",D22="Q4"),'Assumptions'!B10,'Assumptions'!B11))</x:f>
        <x:v>2.5</x:v>
      </x:c>
      <x:c r="G22" s="115" t="n">
        <x:f>E22/F22</x:f>
        <x:v>40</x:v>
      </x:c>
      <x:c r="H22" s="86" t="str">
        <x:v>accepted low-source anchor</x:v>
      </x:c>
      <x:c r="I22" s="91" t="str"/>
      <x:c r="J22" s="91" t="str"/>
      <x:c r="K22" s="91" t="str"/>
      <x:c r="L22" s="91" t="str"/>
      <x:c r="M22" s="91" t="str"/>
      <x:c r="N22" s="91" t="str">
        <x:v>OPEN</x:v>
      </x:c>
    </x:row>
    <x:row r="23">
      <x:c r="A23" s="86" t="str">
        <x:v>Q-018</x:v>
      </x:c>
      <x:c r="B23" s="86" t="str">
        <x:v>FRC500-03</x:v>
      </x:c>
      <x:c r="C23" s="86" t="str">
        <x:v>A</x:v>
      </x:c>
      <x:c r="D23" s="86" t="str">
        <x:v>Q2</x:v>
      </x:c>
      <x:c r="E23" s="115" t="n">
        <x:f>IF(D23="Q1",'Assumptions'!B6,IF(OR(D23="Q2",D23="Q3"),'Assumptions'!B7,IF(D23="Q4",400,'Assumptions'!B8)))</x:f>
        <x:v>250</x:v>
      </x:c>
      <x:c r="F23" s="115" t="n">
        <x:f>IF(D23="Q1",'Assumptions'!B9,IF(OR(D23="Q2",D23="Q4"),'Assumptions'!B10,'Assumptions'!B11))</x:f>
        <x:v>5</x:v>
      </x:c>
      <x:c r="G23" s="115" t="n">
        <x:f>E23/F23</x:f>
        <x:v>50</x:v>
      </x:c>
      <x:c r="H23" s="86" t="str">
        <x:v>accepted intermediate dry anchor</x:v>
      </x:c>
      <x:c r="I23" s="91" t="str"/>
      <x:c r="J23" s="91" t="str"/>
      <x:c r="K23" s="91" t="str"/>
      <x:c r="L23" s="91" t="str"/>
      <x:c r="M23" s="91" t="str"/>
      <x:c r="N23" s="91" t="str">
        <x:v>OPEN</x:v>
      </x:c>
    </x:row>
    <x:row r="24">
      <x:c r="A24" s="86" t="str">
        <x:v>Q-019</x:v>
      </x:c>
      <x:c r="B24" s="86" t="str">
        <x:v>FRC500-03</x:v>
      </x:c>
      <x:c r="C24" s="86" t="str">
        <x:v>A</x:v>
      </x:c>
      <x:c r="D24" s="86" t="str">
        <x:v>Q3</x:v>
      </x:c>
      <x:c r="E24" s="115" t="n">
        <x:f>IF(D24="Q1",'Assumptions'!B6,IF(OR(D24="Q2",D24="Q3"),'Assumptions'!B7,IF(D24="Q4",400,'Assumptions'!B8)))</x:f>
        <x:v>250</x:v>
      </x:c>
      <x:c r="F24" s="115" t="n">
        <x:f>IF(D24="Q1",'Assumptions'!B9,IF(OR(D24="Q2",D24="Q4"),'Assumptions'!B10,'Assumptions'!B11))</x:f>
        <x:v>6.25</x:v>
      </x:c>
      <x:c r="G24" s="115" t="n">
        <x:f>E24/F24</x:f>
        <x:v>40</x:v>
      </x:c>
      <x:c r="H24" s="86" t="str">
        <x:v>field expansion at fixed source</x:v>
      </x:c>
      <x:c r="I24" s="91" t="str"/>
      <x:c r="J24" s="91" t="str"/>
      <x:c r="K24" s="91" t="str"/>
      <x:c r="L24" s="91" t="str"/>
      <x:c r="M24" s="91" t="str"/>
      <x:c r="N24" s="91" t="str">
        <x:v>OPEN</x:v>
      </x:c>
    </x:row>
    <x:row r="25">
      <x:c r="A25" s="86" t="str">
        <x:v>Q-020</x:v>
      </x:c>
      <x:c r="B25" s="86" t="str">
        <x:v>FRC500-03</x:v>
      </x:c>
      <x:c r="C25" s="86" t="str">
        <x:v>A</x:v>
      </x:c>
      <x:c r="D25" s="86" t="str">
        <x:v>Q4</x:v>
      </x:c>
      <x:c r="E25" s="115" t="n">
        <x:f>IF(D25="Q1",'Assumptions'!B6,IF(OR(D25="Q2",D25="Q3"),'Assumptions'!B7,IF(D25="Q4",400,'Assumptions'!B8)))</x:f>
        <x:v>400</x:v>
      </x:c>
      <x:c r="F25" s="115" t="n">
        <x:f>IF(D25="Q1",'Assumptions'!B9,IF(OR(D25="Q2",D25="Q4"),'Assumptions'!B10,'Assumptions'!B11))</x:f>
        <x:v>5</x:v>
      </x:c>
      <x:c r="G25" s="115" t="n">
        <x:f>E25/F25</x:f>
        <x:v>80</x:v>
      </x:c>
      <x:c r="H25" s="86" t="str">
        <x:v>target areal load at prior field extent</x:v>
      </x:c>
      <x:c r="I25" s="91" t="str"/>
      <x:c r="J25" s="91" t="str"/>
      <x:c r="K25" s="91" t="str"/>
      <x:c r="L25" s="91" t="str"/>
      <x:c r="M25" s="91" t="str"/>
      <x:c r="N25" s="91" t="str">
        <x:v>OPEN</x:v>
      </x:c>
    </x:row>
    <x:row r="26">
      <x:c r="A26" s="86" t="str">
        <x:v>Q-021</x:v>
      </x:c>
      <x:c r="B26" s="86" t="str">
        <x:v>FRC500-03</x:v>
      </x:c>
      <x:c r="C26" s="86" t="str">
        <x:v>A</x:v>
      </x:c>
      <x:c r="D26" s="86" t="str">
        <x:v>Q5</x:v>
      </x:c>
      <x:c r="E26" s="115" t="n">
        <x:f>IF(D26="Q1",'Assumptions'!B6,IF(OR(D26="Q2",D26="Q3"),'Assumptions'!B7,IF(D26="Q4",400,'Assumptions'!B8)))</x:f>
        <x:v>500</x:v>
      </x:c>
      <x:c r="F26" s="115" t="n">
        <x:f>IF(D26="Q1",'Assumptions'!B9,IF(OR(D26="Q2",D26="Q4"),'Assumptions'!B10,'Assumptions'!B11))</x:f>
        <x:v>6.25</x:v>
      </x:c>
      <x:c r="G26" s="115" t="n">
        <x:f>E26/F26</x:f>
        <x:v>80</x:v>
      </x:c>
      <x:c r="H26" s="86" t="str">
        <x:v>exact ER-08 state</x:v>
      </x:c>
      <x:c r="I26" s="91" t="str"/>
      <x:c r="J26" s="91" t="str"/>
      <x:c r="K26" s="91" t="str"/>
      <x:c r="L26" s="91" t="str"/>
      <x:c r="M26" s="91" t="str"/>
      <x:c r="N26" s="91" t="str">
        <x:v>OPEN</x:v>
      </x:c>
    </x:row>
    <x:row r="27">
      <x:c r="A27" s="86" t="str">
        <x:v>Q-022</x:v>
      </x:c>
      <x:c r="B27" s="86" t="str">
        <x:v>FRC500-03</x:v>
      </x:c>
      <x:c r="C27" s="86" t="str">
        <x:v>A</x:v>
      </x:c>
      <x:c r="D27" s="86" t="str">
        <x:v>Q6</x:v>
      </x:c>
      <x:c r="E27" s="115" t="n">
        <x:f>IF(D27="Q1",'Assumptions'!B6,IF(OR(D27="Q2",D27="Q3"),'Assumptions'!B7,IF(D27="Q4",400,'Assumptions'!B8)))</x:f>
        <x:v>500</x:v>
      </x:c>
      <x:c r="F27" s="115" t="n">
        <x:f>IF(D27="Q1",'Assumptions'!B9,IF(OR(D27="Q2",D27="Q4"),'Assumptions'!B10,'Assumptions'!B11))</x:f>
        <x:v>6.25</x:v>
      </x:c>
      <x:c r="G27" s="115" t="n">
        <x:f>E27/F27</x:f>
        <x:v>80</x:v>
      </x:c>
      <x:c r="H27" s="86" t="str">
        <x:v>atmosphere accumulation and exhaust perturbation</x:v>
      </x:c>
      <x:c r="I27" s="91" t="str"/>
      <x:c r="J27" s="91" t="str"/>
      <x:c r="K27" s="91" t="str"/>
      <x:c r="L27" s="91" t="str"/>
      <x:c r="M27" s="91" t="str"/>
      <x:c r="N27" s="91" t="str">
        <x:v>OPEN</x:v>
      </x:c>
    </x:row>
    <x:row r="28">
      <x:c r="A28" s="86" t="str">
        <x:v>Q-023</x:v>
      </x:c>
      <x:c r="B28" s="86" t="str">
        <x:v>FRC500-03</x:v>
      </x:c>
      <x:c r="C28" s="86" t="str">
        <x:v>A</x:v>
      </x:c>
      <x:c r="D28" s="86" t="str">
        <x:v>Q7</x:v>
      </x:c>
      <x:c r="E28" s="115" t="n">
        <x:f>IF(D28="Q1",'Assumptions'!B6,IF(OR(D28="Q2",D28="Q3"),'Assumptions'!B7,IF(D28="Q4",400,'Assumptions'!B8)))</x:f>
        <x:v>500</x:v>
      </x:c>
      <x:c r="F28" s="115" t="n">
        <x:f>IF(D28="Q1",'Assumptions'!B9,IF(OR(D28="Q2",D28="Q4"),'Assumptions'!B10,'Assumptions'!B11))</x:f>
        <x:v>6.25</x:v>
      </x:c>
      <x:c r="G28" s="115" t="n">
        <x:f>E28/F28</x:f>
        <x:v>80</x:v>
      </x:c>
      <x:c r="H28" s="86" t="str">
        <x:v>one root and one primary service denied</x:v>
      </x:c>
      <x:c r="I28" s="91" t="str"/>
      <x:c r="J28" s="91" t="str"/>
      <x:c r="K28" s="91" t="str"/>
      <x:c r="L28" s="91" t="str"/>
      <x:c r="M28" s="91" t="str"/>
      <x:c r="N28" s="91" t="str">
        <x:v>OPEN</x:v>
      </x:c>
    </x:row>
    <x:row r="29">
      <x:c r="A29" s="86" t="str">
        <x:v>Q-024</x:v>
      </x:c>
      <x:c r="B29" s="86" t="str">
        <x:v>FRC500-03</x:v>
      </x:c>
      <x:c r="C29" s="86" t="str">
        <x:v>A</x:v>
      </x:c>
      <x:c r="D29" s="86" t="str">
        <x:v>Q8</x:v>
      </x:c>
      <x:c r="E29" s="115" t="n">
        <x:f>IF(D29="Q1",'Assumptions'!B6,IF(OR(D29="Q2",D29="Q3"),'Assumptions'!B7,IF(D29="Q4",400,'Assumptions'!B8)))</x:f>
        <x:v>500</x:v>
      </x:c>
      <x:c r="F29" s="115" t="n">
        <x:f>IF(D29="Q1",'Assumptions'!B9,IF(OR(D29="Q2",D29="Q4"),'Assumptions'!B10,'Assumptions'!B11))</x:f>
        <x:v>6.25</x:v>
      </x:c>
      <x:c r="G29" s="115" t="n">
        <x:f>E29/F29</x:f>
        <x:v>80</x:v>
      </x:c>
      <x:c r="H29" s="86" t="str">
        <x:v>thermal soak, recovery and return</x:v>
      </x:c>
      <x:c r="I29" s="91" t="str"/>
      <x:c r="J29" s="91" t="str"/>
      <x:c r="K29" s="91" t="str"/>
      <x:c r="L29" s="91" t="str"/>
      <x:c r="M29" s="91" t="str"/>
      <x:c r="N29" s="91" t="str">
        <x:v>OPEN</x:v>
      </x:c>
    </x:row>
    <x:row r="30">
      <x:c r="A30" s="86" t="str">
        <x:v>Q-025</x:v>
      </x:c>
      <x:c r="B30" s="86" t="str">
        <x:v>FRC500-04</x:v>
      </x:c>
      <x:c r="C30" s="86" t="str">
        <x:v>B</x:v>
      </x:c>
      <x:c r="D30" s="86" t="str">
        <x:v>Q1</x:v>
      </x:c>
      <x:c r="E30" s="115" t="n">
        <x:f>IF(D30="Q1",'Assumptions'!B6,IF(OR(D30="Q2",D30="Q3"),'Assumptions'!B7,IF(D30="Q4",400,'Assumptions'!B8)))</x:f>
        <x:v>100</x:v>
      </x:c>
      <x:c r="F30" s="115" t="n">
        <x:f>IF(D30="Q1",'Assumptions'!B9,IF(OR(D30="Q2",D30="Q4"),'Assumptions'!B10,'Assumptions'!B11))</x:f>
        <x:v>2.5</x:v>
      </x:c>
      <x:c r="G30" s="115" t="n">
        <x:f>E30/F30</x:f>
        <x:v>40</x:v>
      </x:c>
      <x:c r="H30" s="86" t="str">
        <x:v>accepted low-source anchor</x:v>
      </x:c>
      <x:c r="I30" s="91" t="str"/>
      <x:c r="J30" s="91" t="str"/>
      <x:c r="K30" s="91" t="str"/>
      <x:c r="L30" s="91" t="str"/>
      <x:c r="M30" s="91" t="str"/>
      <x:c r="N30" s="91" t="str">
        <x:v>OPEN</x:v>
      </x:c>
    </x:row>
    <x:row r="31">
      <x:c r="A31" s="86" t="str">
        <x:v>Q-026</x:v>
      </x:c>
      <x:c r="B31" s="86" t="str">
        <x:v>FRC500-04</x:v>
      </x:c>
      <x:c r="C31" s="86" t="str">
        <x:v>B</x:v>
      </x:c>
      <x:c r="D31" s="86" t="str">
        <x:v>Q2</x:v>
      </x:c>
      <x:c r="E31" s="115" t="n">
        <x:f>IF(D31="Q1",'Assumptions'!B6,IF(OR(D31="Q2",D31="Q3"),'Assumptions'!B7,IF(D31="Q4",400,'Assumptions'!B8)))</x:f>
        <x:v>250</x:v>
      </x:c>
      <x:c r="F31" s="115" t="n">
        <x:f>IF(D31="Q1",'Assumptions'!B9,IF(OR(D31="Q2",D31="Q4"),'Assumptions'!B10,'Assumptions'!B11))</x:f>
        <x:v>5</x:v>
      </x:c>
      <x:c r="G31" s="115" t="n">
        <x:f>E31/F31</x:f>
        <x:v>50</x:v>
      </x:c>
      <x:c r="H31" s="86" t="str">
        <x:v>accepted intermediate dry anchor</x:v>
      </x:c>
      <x:c r="I31" s="91" t="str"/>
      <x:c r="J31" s="91" t="str"/>
      <x:c r="K31" s="91" t="str"/>
      <x:c r="L31" s="91" t="str"/>
      <x:c r="M31" s="91" t="str"/>
      <x:c r="N31" s="91" t="str">
        <x:v>OPEN</x:v>
      </x:c>
    </x:row>
    <x:row r="32">
      <x:c r="A32" s="86" t="str">
        <x:v>Q-027</x:v>
      </x:c>
      <x:c r="B32" s="86" t="str">
        <x:v>FRC500-04</x:v>
      </x:c>
      <x:c r="C32" s="86" t="str">
        <x:v>B</x:v>
      </x:c>
      <x:c r="D32" s="86" t="str">
        <x:v>Q3</x:v>
      </x:c>
      <x:c r="E32" s="115" t="n">
        <x:f>IF(D32="Q1",'Assumptions'!B6,IF(OR(D32="Q2",D32="Q3"),'Assumptions'!B7,IF(D32="Q4",400,'Assumptions'!B8)))</x:f>
        <x:v>250</x:v>
      </x:c>
      <x:c r="F32" s="115" t="n">
        <x:f>IF(D32="Q1",'Assumptions'!B9,IF(OR(D32="Q2",D32="Q4"),'Assumptions'!B10,'Assumptions'!B11))</x:f>
        <x:v>6.25</x:v>
      </x:c>
      <x:c r="G32" s="115" t="n">
        <x:f>E32/F32</x:f>
        <x:v>40</x:v>
      </x:c>
      <x:c r="H32" s="86" t="str">
        <x:v>field expansion at fixed source</x:v>
      </x:c>
      <x:c r="I32" s="91" t="str"/>
      <x:c r="J32" s="91" t="str"/>
      <x:c r="K32" s="91" t="str"/>
      <x:c r="L32" s="91" t="str"/>
      <x:c r="M32" s="91" t="str"/>
      <x:c r="N32" s="91" t="str">
        <x:v>OPEN</x:v>
      </x:c>
    </x:row>
    <x:row r="33">
      <x:c r="A33" s="86" t="str">
        <x:v>Q-028</x:v>
      </x:c>
      <x:c r="B33" s="86" t="str">
        <x:v>FRC500-04</x:v>
      </x:c>
      <x:c r="C33" s="86" t="str">
        <x:v>B</x:v>
      </x:c>
      <x:c r="D33" s="86" t="str">
        <x:v>Q4</x:v>
      </x:c>
      <x:c r="E33" s="115" t="n">
        <x:f>IF(D33="Q1",'Assumptions'!B6,IF(OR(D33="Q2",D33="Q3"),'Assumptions'!B7,IF(D33="Q4",400,'Assumptions'!B8)))</x:f>
        <x:v>400</x:v>
      </x:c>
      <x:c r="F33" s="115" t="n">
        <x:f>IF(D33="Q1",'Assumptions'!B9,IF(OR(D33="Q2",D33="Q4"),'Assumptions'!B10,'Assumptions'!B11))</x:f>
        <x:v>5</x:v>
      </x:c>
      <x:c r="G33" s="115" t="n">
        <x:f>E33/F33</x:f>
        <x:v>80</x:v>
      </x:c>
      <x:c r="H33" s="86" t="str">
        <x:v>target areal load at prior field extent</x:v>
      </x:c>
      <x:c r="I33" s="91" t="str"/>
      <x:c r="J33" s="91" t="str"/>
      <x:c r="K33" s="91" t="str"/>
      <x:c r="L33" s="91" t="str"/>
      <x:c r="M33" s="91" t="str"/>
      <x:c r="N33" s="91" t="str">
        <x:v>OPEN</x:v>
      </x:c>
    </x:row>
    <x:row r="34">
      <x:c r="A34" s="86" t="str">
        <x:v>Q-029</x:v>
      </x:c>
      <x:c r="B34" s="86" t="str">
        <x:v>FRC500-04</x:v>
      </x:c>
      <x:c r="C34" s="86" t="str">
        <x:v>B</x:v>
      </x:c>
      <x:c r="D34" s="86" t="str">
        <x:v>Q5</x:v>
      </x:c>
      <x:c r="E34" s="115" t="n">
        <x:f>IF(D34="Q1",'Assumptions'!B6,IF(OR(D34="Q2",D34="Q3"),'Assumptions'!B7,IF(D34="Q4",400,'Assumptions'!B8)))</x:f>
        <x:v>500</x:v>
      </x:c>
      <x:c r="F34" s="115" t="n">
        <x:f>IF(D34="Q1",'Assumptions'!B9,IF(OR(D34="Q2",D34="Q4"),'Assumptions'!B10,'Assumptions'!B11))</x:f>
        <x:v>6.25</x:v>
      </x:c>
      <x:c r="G34" s="115" t="n">
        <x:f>E34/F34</x:f>
        <x:v>80</x:v>
      </x:c>
      <x:c r="H34" s="86" t="str">
        <x:v>exact ER-08 state</x:v>
      </x:c>
      <x:c r="I34" s="91" t="str"/>
      <x:c r="J34" s="91" t="str"/>
      <x:c r="K34" s="91" t="str"/>
      <x:c r="L34" s="91" t="str"/>
      <x:c r="M34" s="91" t="str"/>
      <x:c r="N34" s="91" t="str">
        <x:v>OPEN</x:v>
      </x:c>
    </x:row>
    <x:row r="35">
      <x:c r="A35" s="86" t="str">
        <x:v>Q-030</x:v>
      </x:c>
      <x:c r="B35" s="86" t="str">
        <x:v>FRC500-04</x:v>
      </x:c>
      <x:c r="C35" s="86" t="str">
        <x:v>B</x:v>
      </x:c>
      <x:c r="D35" s="86" t="str">
        <x:v>Q6</x:v>
      </x:c>
      <x:c r="E35" s="115" t="n">
        <x:f>IF(D35="Q1",'Assumptions'!B6,IF(OR(D35="Q2",D35="Q3"),'Assumptions'!B7,IF(D35="Q4",400,'Assumptions'!B8)))</x:f>
        <x:v>500</x:v>
      </x:c>
      <x:c r="F35" s="115" t="n">
        <x:f>IF(D35="Q1",'Assumptions'!B9,IF(OR(D35="Q2",D35="Q4"),'Assumptions'!B10,'Assumptions'!B11))</x:f>
        <x:v>6.25</x:v>
      </x:c>
      <x:c r="G35" s="115" t="n">
        <x:f>E35/F35</x:f>
        <x:v>80</x:v>
      </x:c>
      <x:c r="H35" s="86" t="str">
        <x:v>atmosphere accumulation and exhaust perturbation</x:v>
      </x:c>
      <x:c r="I35" s="91" t="str"/>
      <x:c r="J35" s="91" t="str"/>
      <x:c r="K35" s="91" t="str"/>
      <x:c r="L35" s="91" t="str"/>
      <x:c r="M35" s="91" t="str"/>
      <x:c r="N35" s="91" t="str">
        <x:v>OPEN</x:v>
      </x:c>
    </x:row>
    <x:row r="36">
      <x:c r="A36" s="86" t="str">
        <x:v>Q-031</x:v>
      </x:c>
      <x:c r="B36" s="86" t="str">
        <x:v>FRC500-04</x:v>
      </x:c>
      <x:c r="C36" s="86" t="str">
        <x:v>B</x:v>
      </x:c>
      <x:c r="D36" s="86" t="str">
        <x:v>Q7</x:v>
      </x:c>
      <x:c r="E36" s="115" t="n">
        <x:f>IF(D36="Q1",'Assumptions'!B6,IF(OR(D36="Q2",D36="Q3"),'Assumptions'!B7,IF(D36="Q4",400,'Assumptions'!B8)))</x:f>
        <x:v>500</x:v>
      </x:c>
      <x:c r="F36" s="115" t="n">
        <x:f>IF(D36="Q1",'Assumptions'!B9,IF(OR(D36="Q2",D36="Q4"),'Assumptions'!B10,'Assumptions'!B11))</x:f>
        <x:v>6.25</x:v>
      </x:c>
      <x:c r="G36" s="115" t="n">
        <x:f>E36/F36</x:f>
        <x:v>80</x:v>
      </x:c>
      <x:c r="H36" s="86" t="str">
        <x:v>one root and one primary service denied</x:v>
      </x:c>
      <x:c r="I36" s="91" t="str"/>
      <x:c r="J36" s="91" t="str"/>
      <x:c r="K36" s="91" t="str"/>
      <x:c r="L36" s="91" t="str"/>
      <x:c r="M36" s="91" t="str"/>
      <x:c r="N36" s="91" t="str">
        <x:v>OPEN</x:v>
      </x:c>
    </x:row>
    <x:row r="37">
      <x:c r="A37" s="86" t="str">
        <x:v>Q-032</x:v>
      </x:c>
      <x:c r="B37" s="86" t="str">
        <x:v>FRC500-04</x:v>
      </x:c>
      <x:c r="C37" s="86" t="str">
        <x:v>B</x:v>
      </x:c>
      <x:c r="D37" s="86" t="str">
        <x:v>Q8</x:v>
      </x:c>
      <x:c r="E37" s="115" t="n">
        <x:f>IF(D37="Q1",'Assumptions'!B6,IF(OR(D37="Q2",D37="Q3"),'Assumptions'!B7,IF(D37="Q4",400,'Assumptions'!B8)))</x:f>
        <x:v>500</x:v>
      </x:c>
      <x:c r="F37" s="115" t="n">
        <x:f>IF(D37="Q1",'Assumptions'!B9,IF(OR(D37="Q2",D37="Q4"),'Assumptions'!B10,'Assumptions'!B11))</x:f>
        <x:v>6.25</x:v>
      </x:c>
      <x:c r="G37" s="115" t="n">
        <x:f>E37/F37</x:f>
        <x:v>80</x:v>
      </x:c>
      <x:c r="H37" s="86" t="str">
        <x:v>thermal soak, recovery and return</x:v>
      </x:c>
      <x:c r="I37" s="91" t="str"/>
      <x:c r="J37" s="91" t="str"/>
      <x:c r="K37" s="91" t="str"/>
      <x:c r="L37" s="91" t="str"/>
      <x:c r="M37" s="91" t="str"/>
      <x:c r="N37" s="91" t="str">
        <x:v>OPEN</x:v>
      </x:c>
    </x:row>
    <x:row r="38">
      <x:c r="A38" s="86" t="str">
        <x:v>Q-033</x:v>
      </x:c>
      <x:c r="B38" s="86" t="str">
        <x:v>FRC500-05</x:v>
      </x:c>
      <x:c r="C38" s="86" t="str">
        <x:v>A</x:v>
      </x:c>
      <x:c r="D38" s="86" t="str">
        <x:v>Q1</x:v>
      </x:c>
      <x:c r="E38" s="115" t="n">
        <x:f>IF(D38="Q1",'Assumptions'!B6,IF(OR(D38="Q2",D38="Q3"),'Assumptions'!B7,IF(D38="Q4",400,'Assumptions'!B8)))</x:f>
        <x:v>100</x:v>
      </x:c>
      <x:c r="F38" s="115" t="n">
        <x:f>IF(D38="Q1",'Assumptions'!B9,IF(OR(D38="Q2",D38="Q4"),'Assumptions'!B10,'Assumptions'!B11))</x:f>
        <x:v>2.5</x:v>
      </x:c>
      <x:c r="G38" s="115" t="n">
        <x:f>E38/F38</x:f>
        <x:v>40</x:v>
      </x:c>
      <x:c r="H38" s="86" t="str">
        <x:v>accepted low-source anchor</x:v>
      </x:c>
      <x:c r="I38" s="91" t="str"/>
      <x:c r="J38" s="91" t="str"/>
      <x:c r="K38" s="91" t="str"/>
      <x:c r="L38" s="91" t="str"/>
      <x:c r="M38" s="91" t="str"/>
      <x:c r="N38" s="91" t="str">
        <x:v>OPEN</x:v>
      </x:c>
    </x:row>
    <x:row r="39">
      <x:c r="A39" s="86" t="str">
        <x:v>Q-034</x:v>
      </x:c>
      <x:c r="B39" s="86" t="str">
        <x:v>FRC500-05</x:v>
      </x:c>
      <x:c r="C39" s="86" t="str">
        <x:v>A</x:v>
      </x:c>
      <x:c r="D39" s="86" t="str">
        <x:v>Q2</x:v>
      </x:c>
      <x:c r="E39" s="115" t="n">
        <x:f>IF(D39="Q1",'Assumptions'!B6,IF(OR(D39="Q2",D39="Q3"),'Assumptions'!B7,IF(D39="Q4",400,'Assumptions'!B8)))</x:f>
        <x:v>250</x:v>
      </x:c>
      <x:c r="F39" s="115" t="n">
        <x:f>IF(D39="Q1",'Assumptions'!B9,IF(OR(D39="Q2",D39="Q4"),'Assumptions'!B10,'Assumptions'!B11))</x:f>
        <x:v>5</x:v>
      </x:c>
      <x:c r="G39" s="115" t="n">
        <x:f>E39/F39</x:f>
        <x:v>50</x:v>
      </x:c>
      <x:c r="H39" s="86" t="str">
        <x:v>accepted intermediate dry anchor</x:v>
      </x:c>
      <x:c r="I39" s="91" t="str"/>
      <x:c r="J39" s="91" t="str"/>
      <x:c r="K39" s="91" t="str"/>
      <x:c r="L39" s="91" t="str"/>
      <x:c r="M39" s="91" t="str"/>
      <x:c r="N39" s="91" t="str">
        <x:v>OPEN</x:v>
      </x:c>
    </x:row>
    <x:row r="40">
      <x:c r="A40" s="86" t="str">
        <x:v>Q-035</x:v>
      </x:c>
      <x:c r="B40" s="86" t="str">
        <x:v>FRC500-05</x:v>
      </x:c>
      <x:c r="C40" s="86" t="str">
        <x:v>A</x:v>
      </x:c>
      <x:c r="D40" s="86" t="str">
        <x:v>Q3</x:v>
      </x:c>
      <x:c r="E40" s="115" t="n">
        <x:f>IF(D40="Q1",'Assumptions'!B6,IF(OR(D40="Q2",D40="Q3"),'Assumptions'!B7,IF(D40="Q4",400,'Assumptions'!B8)))</x:f>
        <x:v>250</x:v>
      </x:c>
      <x:c r="F40" s="115" t="n">
        <x:f>IF(D40="Q1",'Assumptions'!B9,IF(OR(D40="Q2",D40="Q4"),'Assumptions'!B10,'Assumptions'!B11))</x:f>
        <x:v>6.25</x:v>
      </x:c>
      <x:c r="G40" s="115" t="n">
        <x:f>E40/F40</x:f>
        <x:v>40</x:v>
      </x:c>
      <x:c r="H40" s="86" t="str">
        <x:v>field expansion at fixed source</x:v>
      </x:c>
      <x:c r="I40" s="91" t="str"/>
      <x:c r="J40" s="91" t="str"/>
      <x:c r="K40" s="91" t="str"/>
      <x:c r="L40" s="91" t="str"/>
      <x:c r="M40" s="91" t="str"/>
      <x:c r="N40" s="91" t="str">
        <x:v>OPEN</x:v>
      </x:c>
    </x:row>
    <x:row r="41">
      <x:c r="A41" s="86" t="str">
        <x:v>Q-036</x:v>
      </x:c>
      <x:c r="B41" s="86" t="str">
        <x:v>FRC500-05</x:v>
      </x:c>
      <x:c r="C41" s="86" t="str">
        <x:v>A</x:v>
      </x:c>
      <x:c r="D41" s="86" t="str">
        <x:v>Q4</x:v>
      </x:c>
      <x:c r="E41" s="115" t="n">
        <x:f>IF(D41="Q1",'Assumptions'!B6,IF(OR(D41="Q2",D41="Q3"),'Assumptions'!B7,IF(D41="Q4",400,'Assumptions'!B8)))</x:f>
        <x:v>400</x:v>
      </x:c>
      <x:c r="F41" s="115" t="n">
        <x:f>IF(D41="Q1",'Assumptions'!B9,IF(OR(D41="Q2",D41="Q4"),'Assumptions'!B10,'Assumptions'!B11))</x:f>
        <x:v>5</x:v>
      </x:c>
      <x:c r="G41" s="115" t="n">
        <x:f>E41/F41</x:f>
        <x:v>80</x:v>
      </x:c>
      <x:c r="H41" s="86" t="str">
        <x:v>target areal load at prior field extent</x:v>
      </x:c>
      <x:c r="I41" s="91" t="str"/>
      <x:c r="J41" s="91" t="str"/>
      <x:c r="K41" s="91" t="str"/>
      <x:c r="L41" s="91" t="str"/>
      <x:c r="M41" s="91" t="str"/>
      <x:c r="N41" s="91" t="str">
        <x:v>OPEN</x:v>
      </x:c>
    </x:row>
    <x:row r="42">
      <x:c r="A42" s="86" t="str">
        <x:v>Q-037</x:v>
      </x:c>
      <x:c r="B42" s="86" t="str">
        <x:v>FRC500-05</x:v>
      </x:c>
      <x:c r="C42" s="86" t="str">
        <x:v>A</x:v>
      </x:c>
      <x:c r="D42" s="86" t="str">
        <x:v>Q5</x:v>
      </x:c>
      <x:c r="E42" s="115" t="n">
        <x:f>IF(D42="Q1",'Assumptions'!B6,IF(OR(D42="Q2",D42="Q3"),'Assumptions'!B7,IF(D42="Q4",400,'Assumptions'!B8)))</x:f>
        <x:v>500</x:v>
      </x:c>
      <x:c r="F42" s="115" t="n">
        <x:f>IF(D42="Q1",'Assumptions'!B9,IF(OR(D42="Q2",D42="Q4"),'Assumptions'!B10,'Assumptions'!B11))</x:f>
        <x:v>6.25</x:v>
      </x:c>
      <x:c r="G42" s="115" t="n">
        <x:f>E42/F42</x:f>
        <x:v>80</x:v>
      </x:c>
      <x:c r="H42" s="86" t="str">
        <x:v>exact ER-08 state</x:v>
      </x:c>
      <x:c r="I42" s="91" t="str"/>
      <x:c r="J42" s="91" t="str"/>
      <x:c r="K42" s="91" t="str"/>
      <x:c r="L42" s="91" t="str"/>
      <x:c r="M42" s="91" t="str"/>
      <x:c r="N42" s="91" t="str">
        <x:v>OPEN</x:v>
      </x:c>
    </x:row>
    <x:row r="43">
      <x:c r="A43" s="86" t="str">
        <x:v>Q-038</x:v>
      </x:c>
      <x:c r="B43" s="86" t="str">
        <x:v>FRC500-05</x:v>
      </x:c>
      <x:c r="C43" s="86" t="str">
        <x:v>A</x:v>
      </x:c>
      <x:c r="D43" s="86" t="str">
        <x:v>Q6</x:v>
      </x:c>
      <x:c r="E43" s="115" t="n">
        <x:f>IF(D43="Q1",'Assumptions'!B6,IF(OR(D43="Q2",D43="Q3"),'Assumptions'!B7,IF(D43="Q4",400,'Assumptions'!B8)))</x:f>
        <x:v>500</x:v>
      </x:c>
      <x:c r="F43" s="115" t="n">
        <x:f>IF(D43="Q1",'Assumptions'!B9,IF(OR(D43="Q2",D43="Q4"),'Assumptions'!B10,'Assumptions'!B11))</x:f>
        <x:v>6.25</x:v>
      </x:c>
      <x:c r="G43" s="115" t="n">
        <x:f>E43/F43</x:f>
        <x:v>80</x:v>
      </x:c>
      <x:c r="H43" s="86" t="str">
        <x:v>atmosphere accumulation and exhaust perturbation</x:v>
      </x:c>
      <x:c r="I43" s="91" t="str"/>
      <x:c r="J43" s="91" t="str"/>
      <x:c r="K43" s="91" t="str"/>
      <x:c r="L43" s="91" t="str"/>
      <x:c r="M43" s="91" t="str"/>
      <x:c r="N43" s="91" t="str">
        <x:v>OPEN</x:v>
      </x:c>
    </x:row>
    <x:row r="44">
      <x:c r="A44" s="86" t="str">
        <x:v>Q-039</x:v>
      </x:c>
      <x:c r="B44" s="86" t="str">
        <x:v>FRC500-05</x:v>
      </x:c>
      <x:c r="C44" s="86" t="str">
        <x:v>A</x:v>
      </x:c>
      <x:c r="D44" s="86" t="str">
        <x:v>Q7</x:v>
      </x:c>
      <x:c r="E44" s="115" t="n">
        <x:f>IF(D44="Q1",'Assumptions'!B6,IF(OR(D44="Q2",D44="Q3"),'Assumptions'!B7,IF(D44="Q4",400,'Assumptions'!B8)))</x:f>
        <x:v>500</x:v>
      </x:c>
      <x:c r="F44" s="115" t="n">
        <x:f>IF(D44="Q1",'Assumptions'!B9,IF(OR(D44="Q2",D44="Q4"),'Assumptions'!B10,'Assumptions'!B11))</x:f>
        <x:v>6.25</x:v>
      </x:c>
      <x:c r="G44" s="115" t="n">
        <x:f>E44/F44</x:f>
        <x:v>80</x:v>
      </x:c>
      <x:c r="H44" s="86" t="str">
        <x:v>one root and one primary service denied</x:v>
      </x:c>
      <x:c r="I44" s="91" t="str"/>
      <x:c r="J44" s="91" t="str"/>
      <x:c r="K44" s="91" t="str"/>
      <x:c r="L44" s="91" t="str"/>
      <x:c r="M44" s="91" t="str"/>
      <x:c r="N44" s="91" t="str">
        <x:v>OPEN</x:v>
      </x:c>
    </x:row>
    <x:row r="45">
      <x:c r="A45" s="86" t="str">
        <x:v>Q-040</x:v>
      </x:c>
      <x:c r="B45" s="86" t="str">
        <x:v>FRC500-05</x:v>
      </x:c>
      <x:c r="C45" s="86" t="str">
        <x:v>A</x:v>
      </x:c>
      <x:c r="D45" s="86" t="str">
        <x:v>Q8</x:v>
      </x:c>
      <x:c r="E45" s="115" t="n">
        <x:f>IF(D45="Q1",'Assumptions'!B6,IF(OR(D45="Q2",D45="Q3"),'Assumptions'!B7,IF(D45="Q4",400,'Assumptions'!B8)))</x:f>
        <x:v>500</x:v>
      </x:c>
      <x:c r="F45" s="115" t="n">
        <x:f>IF(D45="Q1",'Assumptions'!B9,IF(OR(D45="Q2",D45="Q4"),'Assumptions'!B10,'Assumptions'!B11))</x:f>
        <x:v>6.25</x:v>
      </x:c>
      <x:c r="G45" s="115" t="n">
        <x:f>E45/F45</x:f>
        <x:v>80</x:v>
      </x:c>
      <x:c r="H45" s="86" t="str">
        <x:v>thermal soak, recovery and return</x:v>
      </x:c>
      <x:c r="I45" s="91" t="str"/>
      <x:c r="J45" s="91" t="str"/>
      <x:c r="K45" s="91" t="str"/>
      <x:c r="L45" s="91" t="str"/>
      <x:c r="M45" s="91" t="str"/>
      <x:c r="N45" s="91" t="str">
        <x:v>OPEN</x:v>
      </x:c>
    </x:row>
    <x:row r="46">
      <x:c r="A46" s="86" t="str">
        <x:v>Q-041</x:v>
      </x:c>
      <x:c r="B46" s="86" t="str">
        <x:v>FRC500-06</x:v>
      </x:c>
      <x:c r="C46" s="86" t="str">
        <x:v>B</x:v>
      </x:c>
      <x:c r="D46" s="86" t="str">
        <x:v>Q1</x:v>
      </x:c>
      <x:c r="E46" s="115" t="n">
        <x:f>IF(D46="Q1",'Assumptions'!B6,IF(OR(D46="Q2",D46="Q3"),'Assumptions'!B7,IF(D46="Q4",400,'Assumptions'!B8)))</x:f>
        <x:v>100</x:v>
      </x:c>
      <x:c r="F46" s="115" t="n">
        <x:f>IF(D46="Q1",'Assumptions'!B9,IF(OR(D46="Q2",D46="Q4"),'Assumptions'!B10,'Assumptions'!B11))</x:f>
        <x:v>2.5</x:v>
      </x:c>
      <x:c r="G46" s="115" t="n">
        <x:f>E46/F46</x:f>
        <x:v>40</x:v>
      </x:c>
      <x:c r="H46" s="86" t="str">
        <x:v>accepted low-source anchor</x:v>
      </x:c>
      <x:c r="I46" s="91" t="str"/>
      <x:c r="J46" s="91" t="str"/>
      <x:c r="K46" s="91" t="str"/>
      <x:c r="L46" s="91" t="str"/>
      <x:c r="M46" s="91" t="str"/>
      <x:c r="N46" s="91" t="str">
        <x:v>OPEN</x:v>
      </x:c>
    </x:row>
    <x:row r="47">
      <x:c r="A47" s="86" t="str">
        <x:v>Q-042</x:v>
      </x:c>
      <x:c r="B47" s="86" t="str">
        <x:v>FRC500-06</x:v>
      </x:c>
      <x:c r="C47" s="86" t="str">
        <x:v>B</x:v>
      </x:c>
      <x:c r="D47" s="86" t="str">
        <x:v>Q2</x:v>
      </x:c>
      <x:c r="E47" s="115" t="n">
        <x:f>IF(D47="Q1",'Assumptions'!B6,IF(OR(D47="Q2",D47="Q3"),'Assumptions'!B7,IF(D47="Q4",400,'Assumptions'!B8)))</x:f>
        <x:v>250</x:v>
      </x:c>
      <x:c r="F47" s="115" t="n">
        <x:f>IF(D47="Q1",'Assumptions'!B9,IF(OR(D47="Q2",D47="Q4"),'Assumptions'!B10,'Assumptions'!B11))</x:f>
        <x:v>5</x:v>
      </x:c>
      <x:c r="G47" s="115" t="n">
        <x:f>E47/F47</x:f>
        <x:v>50</x:v>
      </x:c>
      <x:c r="H47" s="86" t="str">
        <x:v>accepted intermediate dry anchor</x:v>
      </x:c>
      <x:c r="I47" s="91" t="str"/>
      <x:c r="J47" s="91" t="str"/>
      <x:c r="K47" s="91" t="str"/>
      <x:c r="L47" s="91" t="str"/>
      <x:c r="M47" s="91" t="str"/>
      <x:c r="N47" s="91" t="str">
        <x:v>OPEN</x:v>
      </x:c>
    </x:row>
    <x:row r="48">
      <x:c r="A48" s="86" t="str">
        <x:v>Q-043</x:v>
      </x:c>
      <x:c r="B48" s="86" t="str">
        <x:v>FRC500-06</x:v>
      </x:c>
      <x:c r="C48" s="86" t="str">
        <x:v>B</x:v>
      </x:c>
      <x:c r="D48" s="86" t="str">
        <x:v>Q3</x:v>
      </x:c>
      <x:c r="E48" s="115" t="n">
        <x:f>IF(D48="Q1",'Assumptions'!B6,IF(OR(D48="Q2",D48="Q3"),'Assumptions'!B7,IF(D48="Q4",400,'Assumptions'!B8)))</x:f>
        <x:v>250</x:v>
      </x:c>
      <x:c r="F48" s="115" t="n">
        <x:f>IF(D48="Q1",'Assumptions'!B9,IF(OR(D48="Q2",D48="Q4"),'Assumptions'!B10,'Assumptions'!B11))</x:f>
        <x:v>6.25</x:v>
      </x:c>
      <x:c r="G48" s="115" t="n">
        <x:f>E48/F48</x:f>
        <x:v>40</x:v>
      </x:c>
      <x:c r="H48" s="86" t="str">
        <x:v>field expansion at fixed source</x:v>
      </x:c>
      <x:c r="I48" s="91" t="str"/>
      <x:c r="J48" s="91" t="str"/>
      <x:c r="K48" s="91" t="str"/>
      <x:c r="L48" s="91" t="str"/>
      <x:c r="M48" s="91" t="str"/>
      <x:c r="N48" s="91" t="str">
        <x:v>OPEN</x:v>
      </x:c>
    </x:row>
    <x:row r="49">
      <x:c r="A49" s="86" t="str">
        <x:v>Q-044</x:v>
      </x:c>
      <x:c r="B49" s="86" t="str">
        <x:v>FRC500-06</x:v>
      </x:c>
      <x:c r="C49" s="86" t="str">
        <x:v>B</x:v>
      </x:c>
      <x:c r="D49" s="86" t="str">
        <x:v>Q4</x:v>
      </x:c>
      <x:c r="E49" s="115" t="n">
        <x:f>IF(D49="Q1",'Assumptions'!B6,IF(OR(D49="Q2",D49="Q3"),'Assumptions'!B7,IF(D49="Q4",400,'Assumptions'!B8)))</x:f>
        <x:v>400</x:v>
      </x:c>
      <x:c r="F49" s="115" t="n">
        <x:f>IF(D49="Q1",'Assumptions'!B9,IF(OR(D49="Q2",D49="Q4"),'Assumptions'!B10,'Assumptions'!B11))</x:f>
        <x:v>5</x:v>
      </x:c>
      <x:c r="G49" s="115" t="n">
        <x:f>E49/F49</x:f>
        <x:v>80</x:v>
      </x:c>
      <x:c r="H49" s="86" t="str">
        <x:v>target areal load at prior field extent</x:v>
      </x:c>
      <x:c r="I49" s="91" t="str"/>
      <x:c r="J49" s="91" t="str"/>
      <x:c r="K49" s="91" t="str"/>
      <x:c r="L49" s="91" t="str"/>
      <x:c r="M49" s="91" t="str"/>
      <x:c r="N49" s="91" t="str">
        <x:v>OPEN</x:v>
      </x:c>
    </x:row>
    <x:row r="50">
      <x:c r="A50" s="86" t="str">
        <x:v>Q-045</x:v>
      </x:c>
      <x:c r="B50" s="86" t="str">
        <x:v>FRC500-06</x:v>
      </x:c>
      <x:c r="C50" s="86" t="str">
        <x:v>B</x:v>
      </x:c>
      <x:c r="D50" s="86" t="str">
        <x:v>Q5</x:v>
      </x:c>
      <x:c r="E50" s="115" t="n">
        <x:f>IF(D50="Q1",'Assumptions'!B6,IF(OR(D50="Q2",D50="Q3"),'Assumptions'!B7,IF(D50="Q4",400,'Assumptions'!B8)))</x:f>
        <x:v>500</x:v>
      </x:c>
      <x:c r="F50" s="115" t="n">
        <x:f>IF(D50="Q1",'Assumptions'!B9,IF(OR(D50="Q2",D50="Q4"),'Assumptions'!B10,'Assumptions'!B11))</x:f>
        <x:v>6.25</x:v>
      </x:c>
      <x:c r="G50" s="115" t="n">
        <x:f>E50/F50</x:f>
        <x:v>80</x:v>
      </x:c>
      <x:c r="H50" s="86" t="str">
        <x:v>exact ER-08 state</x:v>
      </x:c>
      <x:c r="I50" s="91" t="str"/>
      <x:c r="J50" s="91" t="str"/>
      <x:c r="K50" s="91" t="str"/>
      <x:c r="L50" s="91" t="str"/>
      <x:c r="M50" s="91" t="str"/>
      <x:c r="N50" s="91" t="str">
        <x:v>OPEN</x:v>
      </x:c>
    </x:row>
    <x:row r="51">
      <x:c r="A51" s="86" t="str">
        <x:v>Q-046</x:v>
      </x:c>
      <x:c r="B51" s="86" t="str">
        <x:v>FRC500-06</x:v>
      </x:c>
      <x:c r="C51" s="86" t="str">
        <x:v>B</x:v>
      </x:c>
      <x:c r="D51" s="86" t="str">
        <x:v>Q6</x:v>
      </x:c>
      <x:c r="E51" s="115" t="n">
        <x:f>IF(D51="Q1",'Assumptions'!B6,IF(OR(D51="Q2",D51="Q3"),'Assumptions'!B7,IF(D51="Q4",400,'Assumptions'!B8)))</x:f>
        <x:v>500</x:v>
      </x:c>
      <x:c r="F51" s="115" t="n">
        <x:f>IF(D51="Q1",'Assumptions'!B9,IF(OR(D51="Q2",D51="Q4"),'Assumptions'!B10,'Assumptions'!B11))</x:f>
        <x:v>6.25</x:v>
      </x:c>
      <x:c r="G51" s="115" t="n">
        <x:f>E51/F51</x:f>
        <x:v>80</x:v>
      </x:c>
      <x:c r="H51" s="86" t="str">
        <x:v>atmosphere accumulation and exhaust perturbation</x:v>
      </x:c>
      <x:c r="I51" s="91" t="str"/>
      <x:c r="J51" s="91" t="str"/>
      <x:c r="K51" s="91" t="str"/>
      <x:c r="L51" s="91" t="str"/>
      <x:c r="M51" s="91" t="str"/>
      <x:c r="N51" s="91" t="str">
        <x:v>OPEN</x:v>
      </x:c>
    </x:row>
    <x:row r="52">
      <x:c r="A52" s="86" t="str">
        <x:v>Q-047</x:v>
      </x:c>
      <x:c r="B52" s="86" t="str">
        <x:v>FRC500-06</x:v>
      </x:c>
      <x:c r="C52" s="86" t="str">
        <x:v>B</x:v>
      </x:c>
      <x:c r="D52" s="86" t="str">
        <x:v>Q7</x:v>
      </x:c>
      <x:c r="E52" s="115" t="n">
        <x:f>IF(D52="Q1",'Assumptions'!B6,IF(OR(D52="Q2",D52="Q3"),'Assumptions'!B7,IF(D52="Q4",400,'Assumptions'!B8)))</x:f>
        <x:v>500</x:v>
      </x:c>
      <x:c r="F52" s="115" t="n">
        <x:f>IF(D52="Q1",'Assumptions'!B9,IF(OR(D52="Q2",D52="Q4"),'Assumptions'!B10,'Assumptions'!B11))</x:f>
        <x:v>6.25</x:v>
      </x:c>
      <x:c r="G52" s="115" t="n">
        <x:f>E52/F52</x:f>
        <x:v>80</x:v>
      </x:c>
      <x:c r="H52" s="86" t="str">
        <x:v>one root and one primary service denied</x:v>
      </x:c>
      <x:c r="I52" s="91" t="str"/>
      <x:c r="J52" s="91" t="str"/>
      <x:c r="K52" s="91" t="str"/>
      <x:c r="L52" s="91" t="str"/>
      <x:c r="M52" s="91" t="str"/>
      <x:c r="N52" s="91" t="str">
        <x:v>OPEN</x:v>
      </x:c>
    </x:row>
    <x:row r="53">
      <x:c r="A53" s="86" t="str">
        <x:v>Q-048</x:v>
      </x:c>
      <x:c r="B53" s="86" t="str">
        <x:v>FRC500-06</x:v>
      </x:c>
      <x:c r="C53" s="86" t="str">
        <x:v>B</x:v>
      </x:c>
      <x:c r="D53" s="86" t="str">
        <x:v>Q8</x:v>
      </x:c>
      <x:c r="E53" s="115" t="n">
        <x:f>IF(D53="Q1",'Assumptions'!B6,IF(OR(D53="Q2",D53="Q3"),'Assumptions'!B7,IF(D53="Q4",400,'Assumptions'!B8)))</x:f>
        <x:v>500</x:v>
      </x:c>
      <x:c r="F53" s="115" t="n">
        <x:f>IF(D53="Q1",'Assumptions'!B9,IF(OR(D53="Q2",D53="Q4"),'Assumptions'!B10,'Assumptions'!B11))</x:f>
        <x:v>6.25</x:v>
      </x:c>
      <x:c r="G53" s="115" t="n">
        <x:f>E53/F53</x:f>
        <x:v>80</x:v>
      </x:c>
      <x:c r="H53" s="86" t="str">
        <x:v>thermal soak, recovery and return</x:v>
      </x:c>
      <x:c r="I53" s="91" t="str"/>
      <x:c r="J53" s="91" t="str"/>
      <x:c r="K53" s="91" t="str"/>
      <x:c r="L53" s="91" t="str"/>
      <x:c r="M53" s="91" t="str"/>
      <x:c r="N53" s="91" t="str">
        <x:v>OPEN</x:v>
      </x:c>
    </x:row>
    <x:row r="54">
      <x:c r="A54" s="86" t="str">
        <x:v>Q-049</x:v>
      </x:c>
      <x:c r="B54" s="86" t="str">
        <x:v>FRC500-07</x:v>
      </x:c>
      <x:c r="C54" s="86" t="str">
        <x:v>A</x:v>
      </x:c>
      <x:c r="D54" s="86" t="str">
        <x:v>Q1</x:v>
      </x:c>
      <x:c r="E54" s="115" t="n">
        <x:f>IF(D54="Q1",'Assumptions'!B6,IF(OR(D54="Q2",D54="Q3"),'Assumptions'!B7,IF(D54="Q4",400,'Assumptions'!B8)))</x:f>
        <x:v>100</x:v>
      </x:c>
      <x:c r="F54" s="115" t="n">
        <x:f>IF(D54="Q1",'Assumptions'!B9,IF(OR(D54="Q2",D54="Q4"),'Assumptions'!B10,'Assumptions'!B11))</x:f>
        <x:v>2.5</x:v>
      </x:c>
      <x:c r="G54" s="115" t="n">
        <x:f>E54/F54</x:f>
        <x:v>40</x:v>
      </x:c>
      <x:c r="H54" s="86" t="str">
        <x:v>accepted low-source anchor</x:v>
      </x:c>
      <x:c r="I54" s="91" t="str"/>
      <x:c r="J54" s="91" t="str"/>
      <x:c r="K54" s="91" t="str"/>
      <x:c r="L54" s="91" t="str"/>
      <x:c r="M54" s="91" t="str"/>
      <x:c r="N54" s="91" t="str">
        <x:v>OPEN</x:v>
      </x:c>
    </x:row>
    <x:row r="55">
      <x:c r="A55" s="86" t="str">
        <x:v>Q-050</x:v>
      </x:c>
      <x:c r="B55" s="86" t="str">
        <x:v>FRC500-07</x:v>
      </x:c>
      <x:c r="C55" s="86" t="str">
        <x:v>A</x:v>
      </x:c>
      <x:c r="D55" s="86" t="str">
        <x:v>Q2</x:v>
      </x:c>
      <x:c r="E55" s="115" t="n">
        <x:f>IF(D55="Q1",'Assumptions'!B6,IF(OR(D55="Q2",D55="Q3"),'Assumptions'!B7,IF(D55="Q4",400,'Assumptions'!B8)))</x:f>
        <x:v>250</x:v>
      </x:c>
      <x:c r="F55" s="115" t="n">
        <x:f>IF(D55="Q1",'Assumptions'!B9,IF(OR(D55="Q2",D55="Q4"),'Assumptions'!B10,'Assumptions'!B11))</x:f>
        <x:v>5</x:v>
      </x:c>
      <x:c r="G55" s="115" t="n">
        <x:f>E55/F55</x:f>
        <x:v>50</x:v>
      </x:c>
      <x:c r="H55" s="86" t="str">
        <x:v>accepted intermediate dry anchor</x:v>
      </x:c>
      <x:c r="I55" s="91" t="str"/>
      <x:c r="J55" s="91" t="str"/>
      <x:c r="K55" s="91" t="str"/>
      <x:c r="L55" s="91" t="str"/>
      <x:c r="M55" s="91" t="str"/>
      <x:c r="N55" s="91" t="str">
        <x:v>OPEN</x:v>
      </x:c>
    </x:row>
    <x:row r="56">
      <x:c r="A56" s="86" t="str">
        <x:v>Q-051</x:v>
      </x:c>
      <x:c r="B56" s="86" t="str">
        <x:v>FRC500-07</x:v>
      </x:c>
      <x:c r="C56" s="86" t="str">
        <x:v>A</x:v>
      </x:c>
      <x:c r="D56" s="86" t="str">
        <x:v>Q3</x:v>
      </x:c>
      <x:c r="E56" s="115" t="n">
        <x:f>IF(D56="Q1",'Assumptions'!B6,IF(OR(D56="Q2",D56="Q3"),'Assumptions'!B7,IF(D56="Q4",400,'Assumptions'!B8)))</x:f>
        <x:v>250</x:v>
      </x:c>
      <x:c r="F56" s="115" t="n">
        <x:f>IF(D56="Q1",'Assumptions'!B9,IF(OR(D56="Q2",D56="Q4"),'Assumptions'!B10,'Assumptions'!B11))</x:f>
        <x:v>6.25</x:v>
      </x:c>
      <x:c r="G56" s="115" t="n">
        <x:f>E56/F56</x:f>
        <x:v>40</x:v>
      </x:c>
      <x:c r="H56" s="86" t="str">
        <x:v>field expansion at fixed source</x:v>
      </x:c>
      <x:c r="I56" s="91" t="str"/>
      <x:c r="J56" s="91" t="str"/>
      <x:c r="K56" s="91" t="str"/>
      <x:c r="L56" s="91" t="str"/>
      <x:c r="M56" s="91" t="str"/>
      <x:c r="N56" s="91" t="str">
        <x:v>OPEN</x:v>
      </x:c>
    </x:row>
    <x:row r="57">
      <x:c r="A57" s="86" t="str">
        <x:v>Q-052</x:v>
      </x:c>
      <x:c r="B57" s="86" t="str">
        <x:v>FRC500-07</x:v>
      </x:c>
      <x:c r="C57" s="86" t="str">
        <x:v>A</x:v>
      </x:c>
      <x:c r="D57" s="86" t="str">
        <x:v>Q4</x:v>
      </x:c>
      <x:c r="E57" s="115" t="n">
        <x:f>IF(D57="Q1",'Assumptions'!B6,IF(OR(D57="Q2",D57="Q3"),'Assumptions'!B7,IF(D57="Q4",400,'Assumptions'!B8)))</x:f>
        <x:v>400</x:v>
      </x:c>
      <x:c r="F57" s="115" t="n">
        <x:f>IF(D57="Q1",'Assumptions'!B9,IF(OR(D57="Q2",D57="Q4"),'Assumptions'!B10,'Assumptions'!B11))</x:f>
        <x:v>5</x:v>
      </x:c>
      <x:c r="G57" s="115" t="n">
        <x:f>E57/F57</x:f>
        <x:v>80</x:v>
      </x:c>
      <x:c r="H57" s="86" t="str">
        <x:v>target areal load at prior field extent</x:v>
      </x:c>
      <x:c r="I57" s="91" t="str"/>
      <x:c r="J57" s="91" t="str"/>
      <x:c r="K57" s="91" t="str"/>
      <x:c r="L57" s="91" t="str"/>
      <x:c r="M57" s="91" t="str"/>
      <x:c r="N57" s="91" t="str">
        <x:v>OPEN</x:v>
      </x:c>
    </x:row>
    <x:row r="58">
      <x:c r="A58" s="86" t="str">
        <x:v>Q-053</x:v>
      </x:c>
      <x:c r="B58" s="86" t="str">
        <x:v>FRC500-07</x:v>
      </x:c>
      <x:c r="C58" s="86" t="str">
        <x:v>A</x:v>
      </x:c>
      <x:c r="D58" s="86" t="str">
        <x:v>Q5</x:v>
      </x:c>
      <x:c r="E58" s="115" t="n">
        <x:f>IF(D58="Q1",'Assumptions'!B6,IF(OR(D58="Q2",D58="Q3"),'Assumptions'!B7,IF(D58="Q4",400,'Assumptions'!B8)))</x:f>
        <x:v>500</x:v>
      </x:c>
      <x:c r="F58" s="115" t="n">
        <x:f>IF(D58="Q1",'Assumptions'!B9,IF(OR(D58="Q2",D58="Q4"),'Assumptions'!B10,'Assumptions'!B11))</x:f>
        <x:v>6.25</x:v>
      </x:c>
      <x:c r="G58" s="115" t="n">
        <x:f>E58/F58</x:f>
        <x:v>80</x:v>
      </x:c>
      <x:c r="H58" s="86" t="str">
        <x:v>exact ER-08 state</x:v>
      </x:c>
      <x:c r="I58" s="91" t="str"/>
      <x:c r="J58" s="91" t="str"/>
      <x:c r="K58" s="91" t="str"/>
      <x:c r="L58" s="91" t="str"/>
      <x:c r="M58" s="91" t="str"/>
      <x:c r="N58" s="91" t="str">
        <x:v>OPEN</x:v>
      </x:c>
    </x:row>
    <x:row r="59">
      <x:c r="A59" s="86" t="str">
        <x:v>Q-054</x:v>
      </x:c>
      <x:c r="B59" s="86" t="str">
        <x:v>FRC500-07</x:v>
      </x:c>
      <x:c r="C59" s="86" t="str">
        <x:v>A</x:v>
      </x:c>
      <x:c r="D59" s="86" t="str">
        <x:v>Q6</x:v>
      </x:c>
      <x:c r="E59" s="115" t="n">
        <x:f>IF(D59="Q1",'Assumptions'!B6,IF(OR(D59="Q2",D59="Q3"),'Assumptions'!B7,IF(D59="Q4",400,'Assumptions'!B8)))</x:f>
        <x:v>500</x:v>
      </x:c>
      <x:c r="F59" s="115" t="n">
        <x:f>IF(D59="Q1",'Assumptions'!B9,IF(OR(D59="Q2",D59="Q4"),'Assumptions'!B10,'Assumptions'!B11))</x:f>
        <x:v>6.25</x:v>
      </x:c>
      <x:c r="G59" s="115" t="n">
        <x:f>E59/F59</x:f>
        <x:v>80</x:v>
      </x:c>
      <x:c r="H59" s="86" t="str">
        <x:v>atmosphere accumulation and exhaust perturbation</x:v>
      </x:c>
      <x:c r="I59" s="91" t="str"/>
      <x:c r="J59" s="91" t="str"/>
      <x:c r="K59" s="91" t="str"/>
      <x:c r="L59" s="91" t="str"/>
      <x:c r="M59" s="91" t="str"/>
      <x:c r="N59" s="91" t="str">
        <x:v>OPEN</x:v>
      </x:c>
    </x:row>
    <x:row r="60">
      <x:c r="A60" s="86" t="str">
        <x:v>Q-055</x:v>
      </x:c>
      <x:c r="B60" s="86" t="str">
        <x:v>FRC500-07</x:v>
      </x:c>
      <x:c r="C60" s="86" t="str">
        <x:v>A</x:v>
      </x:c>
      <x:c r="D60" s="86" t="str">
        <x:v>Q7</x:v>
      </x:c>
      <x:c r="E60" s="115" t="n">
        <x:f>IF(D60="Q1",'Assumptions'!B6,IF(OR(D60="Q2",D60="Q3"),'Assumptions'!B7,IF(D60="Q4",400,'Assumptions'!B8)))</x:f>
        <x:v>500</x:v>
      </x:c>
      <x:c r="F60" s="115" t="n">
        <x:f>IF(D60="Q1",'Assumptions'!B9,IF(OR(D60="Q2",D60="Q4"),'Assumptions'!B10,'Assumptions'!B11))</x:f>
        <x:v>6.25</x:v>
      </x:c>
      <x:c r="G60" s="115" t="n">
        <x:f>E60/F60</x:f>
        <x:v>80</x:v>
      </x:c>
      <x:c r="H60" s="86" t="str">
        <x:v>one root and one primary service denied</x:v>
      </x:c>
      <x:c r="I60" s="91" t="str"/>
      <x:c r="J60" s="91" t="str"/>
      <x:c r="K60" s="91" t="str"/>
      <x:c r="L60" s="91" t="str"/>
      <x:c r="M60" s="91" t="str"/>
      <x:c r="N60" s="91" t="str">
        <x:v>OPEN</x:v>
      </x:c>
    </x:row>
    <x:row r="61">
      <x:c r="A61" s="86" t="str">
        <x:v>Q-056</x:v>
      </x:c>
      <x:c r="B61" s="86" t="str">
        <x:v>FRC500-07</x:v>
      </x:c>
      <x:c r="C61" s="86" t="str">
        <x:v>A</x:v>
      </x:c>
      <x:c r="D61" s="86" t="str">
        <x:v>Q8</x:v>
      </x:c>
      <x:c r="E61" s="115" t="n">
        <x:f>IF(D61="Q1",'Assumptions'!B6,IF(OR(D61="Q2",D61="Q3"),'Assumptions'!B7,IF(D61="Q4",400,'Assumptions'!B8)))</x:f>
        <x:v>500</x:v>
      </x:c>
      <x:c r="F61" s="115" t="n">
        <x:f>IF(D61="Q1",'Assumptions'!B9,IF(OR(D61="Q2",D61="Q4"),'Assumptions'!B10,'Assumptions'!B11))</x:f>
        <x:v>6.25</x:v>
      </x:c>
      <x:c r="G61" s="115" t="n">
        <x:f>E61/F61</x:f>
        <x:v>80</x:v>
      </x:c>
      <x:c r="H61" s="86" t="str">
        <x:v>thermal soak, recovery and return</x:v>
      </x:c>
      <x:c r="I61" s="91" t="str"/>
      <x:c r="J61" s="91" t="str"/>
      <x:c r="K61" s="91" t="str"/>
      <x:c r="L61" s="91" t="str"/>
      <x:c r="M61" s="91" t="str"/>
      <x:c r="N61" s="91" t="str">
        <x:v>OPEN</x:v>
      </x:c>
    </x:row>
    <x:row r="62">
      <x:c r="A62" s="86" t="str">
        <x:v>Q-057</x:v>
      </x:c>
      <x:c r="B62" s="86" t="str">
        <x:v>FRC500-08</x:v>
      </x:c>
      <x:c r="C62" s="86" t="str">
        <x:v>B</x:v>
      </x:c>
      <x:c r="D62" s="86" t="str">
        <x:v>Q1</x:v>
      </x:c>
      <x:c r="E62" s="115" t="n">
        <x:f>IF(D62="Q1",'Assumptions'!B6,IF(OR(D62="Q2",D62="Q3"),'Assumptions'!B7,IF(D62="Q4",400,'Assumptions'!B8)))</x:f>
        <x:v>100</x:v>
      </x:c>
      <x:c r="F62" s="115" t="n">
        <x:f>IF(D62="Q1",'Assumptions'!B9,IF(OR(D62="Q2",D62="Q4"),'Assumptions'!B10,'Assumptions'!B11))</x:f>
        <x:v>2.5</x:v>
      </x:c>
      <x:c r="G62" s="115" t="n">
        <x:f>E62/F62</x:f>
        <x:v>40</x:v>
      </x:c>
      <x:c r="H62" s="86" t="str">
        <x:v>accepted low-source anchor</x:v>
      </x:c>
      <x:c r="I62" s="91" t="str"/>
      <x:c r="J62" s="91" t="str"/>
      <x:c r="K62" s="91" t="str"/>
      <x:c r="L62" s="91" t="str"/>
      <x:c r="M62" s="91" t="str"/>
      <x:c r="N62" s="91" t="str">
        <x:v>OPEN</x:v>
      </x:c>
    </x:row>
    <x:row r="63">
      <x:c r="A63" s="86" t="str">
        <x:v>Q-058</x:v>
      </x:c>
      <x:c r="B63" s="86" t="str">
        <x:v>FRC500-08</x:v>
      </x:c>
      <x:c r="C63" s="86" t="str">
        <x:v>B</x:v>
      </x:c>
      <x:c r="D63" s="86" t="str">
        <x:v>Q2</x:v>
      </x:c>
      <x:c r="E63" s="115" t="n">
        <x:f>IF(D63="Q1",'Assumptions'!B6,IF(OR(D63="Q2",D63="Q3"),'Assumptions'!B7,IF(D63="Q4",400,'Assumptions'!B8)))</x:f>
        <x:v>250</x:v>
      </x:c>
      <x:c r="F63" s="115" t="n">
        <x:f>IF(D63="Q1",'Assumptions'!B9,IF(OR(D63="Q2",D63="Q4"),'Assumptions'!B10,'Assumptions'!B11))</x:f>
        <x:v>5</x:v>
      </x:c>
      <x:c r="G63" s="115" t="n">
        <x:f>E63/F63</x:f>
        <x:v>50</x:v>
      </x:c>
      <x:c r="H63" s="86" t="str">
        <x:v>accepted intermediate dry anchor</x:v>
      </x:c>
      <x:c r="I63" s="91" t="str"/>
      <x:c r="J63" s="91" t="str"/>
      <x:c r="K63" s="91" t="str"/>
      <x:c r="L63" s="91" t="str"/>
      <x:c r="M63" s="91" t="str"/>
      <x:c r="N63" s="91" t="str">
        <x:v>OPEN</x:v>
      </x:c>
    </x:row>
    <x:row r="64">
      <x:c r="A64" s="86" t="str">
        <x:v>Q-059</x:v>
      </x:c>
      <x:c r="B64" s="86" t="str">
        <x:v>FRC500-08</x:v>
      </x:c>
      <x:c r="C64" s="86" t="str">
        <x:v>B</x:v>
      </x:c>
      <x:c r="D64" s="86" t="str">
        <x:v>Q3</x:v>
      </x:c>
      <x:c r="E64" s="115" t="n">
        <x:f>IF(D64="Q1",'Assumptions'!B6,IF(OR(D64="Q2",D64="Q3"),'Assumptions'!B7,IF(D64="Q4",400,'Assumptions'!B8)))</x:f>
        <x:v>250</x:v>
      </x:c>
      <x:c r="F64" s="115" t="n">
        <x:f>IF(D64="Q1",'Assumptions'!B9,IF(OR(D64="Q2",D64="Q4"),'Assumptions'!B10,'Assumptions'!B11))</x:f>
        <x:v>6.25</x:v>
      </x:c>
      <x:c r="G64" s="115" t="n">
        <x:f>E64/F64</x:f>
        <x:v>40</x:v>
      </x:c>
      <x:c r="H64" s="86" t="str">
        <x:v>field expansion at fixed source</x:v>
      </x:c>
      <x:c r="I64" s="91" t="str"/>
      <x:c r="J64" s="91" t="str"/>
      <x:c r="K64" s="91" t="str"/>
      <x:c r="L64" s="91" t="str"/>
      <x:c r="M64" s="91" t="str"/>
      <x:c r="N64" s="91" t="str">
        <x:v>OPEN</x:v>
      </x:c>
    </x:row>
    <x:row r="65">
      <x:c r="A65" s="86" t="str">
        <x:v>Q-060</x:v>
      </x:c>
      <x:c r="B65" s="86" t="str">
        <x:v>FRC500-08</x:v>
      </x:c>
      <x:c r="C65" s="86" t="str">
        <x:v>B</x:v>
      </x:c>
      <x:c r="D65" s="86" t="str">
        <x:v>Q4</x:v>
      </x:c>
      <x:c r="E65" s="115" t="n">
        <x:f>IF(D65="Q1",'Assumptions'!B6,IF(OR(D65="Q2",D65="Q3"),'Assumptions'!B7,IF(D65="Q4",400,'Assumptions'!B8)))</x:f>
        <x:v>400</x:v>
      </x:c>
      <x:c r="F65" s="115" t="n">
        <x:f>IF(D65="Q1",'Assumptions'!B9,IF(OR(D65="Q2",D65="Q4"),'Assumptions'!B10,'Assumptions'!B11))</x:f>
        <x:v>5</x:v>
      </x:c>
      <x:c r="G65" s="115" t="n">
        <x:f>E65/F65</x:f>
        <x:v>80</x:v>
      </x:c>
      <x:c r="H65" s="86" t="str">
        <x:v>target areal load at prior field extent</x:v>
      </x:c>
      <x:c r="I65" s="91" t="str"/>
      <x:c r="J65" s="91" t="str"/>
      <x:c r="K65" s="91" t="str"/>
      <x:c r="L65" s="91" t="str"/>
      <x:c r="M65" s="91" t="str"/>
      <x:c r="N65" s="91" t="str">
        <x:v>OPEN</x:v>
      </x:c>
    </x:row>
    <x:row r="66">
      <x:c r="A66" s="86" t="str">
        <x:v>Q-061</x:v>
      </x:c>
      <x:c r="B66" s="86" t="str">
        <x:v>FRC500-08</x:v>
      </x:c>
      <x:c r="C66" s="86" t="str">
        <x:v>B</x:v>
      </x:c>
      <x:c r="D66" s="86" t="str">
        <x:v>Q5</x:v>
      </x:c>
      <x:c r="E66" s="115" t="n">
        <x:f>IF(D66="Q1",'Assumptions'!B6,IF(OR(D66="Q2",D66="Q3"),'Assumptions'!B7,IF(D66="Q4",400,'Assumptions'!B8)))</x:f>
        <x:v>500</x:v>
      </x:c>
      <x:c r="F66" s="115" t="n">
        <x:f>IF(D66="Q1",'Assumptions'!B9,IF(OR(D66="Q2",D66="Q4"),'Assumptions'!B10,'Assumptions'!B11))</x:f>
        <x:v>6.25</x:v>
      </x:c>
      <x:c r="G66" s="115" t="n">
        <x:f>E66/F66</x:f>
        <x:v>80</x:v>
      </x:c>
      <x:c r="H66" s="86" t="str">
        <x:v>exact ER-08 state</x:v>
      </x:c>
      <x:c r="I66" s="91" t="str"/>
      <x:c r="J66" s="91" t="str"/>
      <x:c r="K66" s="91" t="str"/>
      <x:c r="L66" s="91" t="str"/>
      <x:c r="M66" s="91" t="str"/>
      <x:c r="N66" s="91" t="str">
        <x:v>OPEN</x:v>
      </x:c>
    </x:row>
    <x:row r="67">
      <x:c r="A67" s="86" t="str">
        <x:v>Q-062</x:v>
      </x:c>
      <x:c r="B67" s="86" t="str">
        <x:v>FRC500-08</x:v>
      </x:c>
      <x:c r="C67" s="86" t="str">
        <x:v>B</x:v>
      </x:c>
      <x:c r="D67" s="86" t="str">
        <x:v>Q6</x:v>
      </x:c>
      <x:c r="E67" s="115" t="n">
        <x:f>IF(D67="Q1",'Assumptions'!B6,IF(OR(D67="Q2",D67="Q3"),'Assumptions'!B7,IF(D67="Q4",400,'Assumptions'!B8)))</x:f>
        <x:v>500</x:v>
      </x:c>
      <x:c r="F67" s="115" t="n">
        <x:f>IF(D67="Q1",'Assumptions'!B9,IF(OR(D67="Q2",D67="Q4"),'Assumptions'!B10,'Assumptions'!B11))</x:f>
        <x:v>6.25</x:v>
      </x:c>
      <x:c r="G67" s="115" t="n">
        <x:f>E67/F67</x:f>
        <x:v>80</x:v>
      </x:c>
      <x:c r="H67" s="86" t="str">
        <x:v>atmosphere accumulation and exhaust perturbation</x:v>
      </x:c>
      <x:c r="I67" s="91" t="str"/>
      <x:c r="J67" s="91" t="str"/>
      <x:c r="K67" s="91" t="str"/>
      <x:c r="L67" s="91" t="str"/>
      <x:c r="M67" s="91" t="str"/>
      <x:c r="N67" s="91" t="str">
        <x:v>OPEN</x:v>
      </x:c>
    </x:row>
    <x:row r="68">
      <x:c r="A68" s="86" t="str">
        <x:v>Q-063</x:v>
      </x:c>
      <x:c r="B68" s="86" t="str">
        <x:v>FRC500-08</x:v>
      </x:c>
      <x:c r="C68" s="86" t="str">
        <x:v>B</x:v>
      </x:c>
      <x:c r="D68" s="86" t="str">
        <x:v>Q7</x:v>
      </x:c>
      <x:c r="E68" s="115" t="n">
        <x:f>IF(D68="Q1",'Assumptions'!B6,IF(OR(D68="Q2",D68="Q3"),'Assumptions'!B7,IF(D68="Q4",400,'Assumptions'!B8)))</x:f>
        <x:v>500</x:v>
      </x:c>
      <x:c r="F68" s="115" t="n">
        <x:f>IF(D68="Q1",'Assumptions'!B9,IF(OR(D68="Q2",D68="Q4"),'Assumptions'!B10,'Assumptions'!B11))</x:f>
        <x:v>6.25</x:v>
      </x:c>
      <x:c r="G68" s="115" t="n">
        <x:f>E68/F68</x:f>
        <x:v>80</x:v>
      </x:c>
      <x:c r="H68" s="86" t="str">
        <x:v>one root and one primary service denied</x:v>
      </x:c>
      <x:c r="I68" s="91" t="str"/>
      <x:c r="J68" s="91" t="str"/>
      <x:c r="K68" s="91" t="str"/>
      <x:c r="L68" s="91" t="str"/>
      <x:c r="M68" s="91" t="str"/>
      <x:c r="N68" s="91" t="str">
        <x:v>OPEN</x:v>
      </x:c>
    </x:row>
    <x:row r="69">
      <x:c r="A69" s="86" t="str">
        <x:v>Q-064</x:v>
      </x:c>
      <x:c r="B69" s="86" t="str">
        <x:v>FRC500-08</x:v>
      </x:c>
      <x:c r="C69" s="86" t="str">
        <x:v>B</x:v>
      </x:c>
      <x:c r="D69" s="86" t="str">
        <x:v>Q8</x:v>
      </x:c>
      <x:c r="E69" s="115" t="n">
        <x:f>IF(D69="Q1",'Assumptions'!B6,IF(OR(D69="Q2",D69="Q3"),'Assumptions'!B7,IF(D69="Q4",400,'Assumptions'!B8)))</x:f>
        <x:v>500</x:v>
      </x:c>
      <x:c r="F69" s="115" t="n">
        <x:f>IF(D69="Q1",'Assumptions'!B9,IF(OR(D69="Q2",D69="Q4"),'Assumptions'!B10,'Assumptions'!B11))</x:f>
        <x:v>6.25</x:v>
      </x:c>
      <x:c r="G69" s="115" t="n">
        <x:f>E69/F69</x:f>
        <x:v>80</x:v>
      </x:c>
      <x:c r="H69" s="86" t="str">
        <x:v>thermal soak, recovery and return</x:v>
      </x:c>
      <x:c r="I69" s="91" t="str"/>
      <x:c r="J69" s="91" t="str"/>
      <x:c r="K69" s="91" t="str"/>
      <x:c r="L69" s="91" t="str"/>
      <x:c r="M69" s="91" t="str"/>
      <x:c r="N69" s="91" t="str">
        <x:v>OPEN</x:v>
      </x:c>
    </x:row>
    <x:row r="70">
      <x:c r="A70" s="86" t="str">
        <x:v>Q-065</x:v>
      </x:c>
      <x:c r="B70" s="86" t="str">
        <x:v>FRC500-09</x:v>
      </x:c>
      <x:c r="C70" s="86" t="str">
        <x:v>A</x:v>
      </x:c>
      <x:c r="D70" s="86" t="str">
        <x:v>Q1</x:v>
      </x:c>
      <x:c r="E70" s="115" t="n">
        <x:f>IF(D70="Q1",'Assumptions'!B6,IF(OR(D70="Q2",D70="Q3"),'Assumptions'!B7,IF(D70="Q4",400,'Assumptions'!B8)))</x:f>
        <x:v>100</x:v>
      </x:c>
      <x:c r="F70" s="115" t="n">
        <x:f>IF(D70="Q1",'Assumptions'!B9,IF(OR(D70="Q2",D70="Q4"),'Assumptions'!B10,'Assumptions'!B11))</x:f>
        <x:v>2.5</x:v>
      </x:c>
      <x:c r="G70" s="115" t="n">
        <x:f>E70/F70</x:f>
        <x:v>40</x:v>
      </x:c>
      <x:c r="H70" s="86" t="str">
        <x:v>accepted low-source anchor</x:v>
      </x:c>
      <x:c r="I70" s="91" t="str"/>
      <x:c r="J70" s="91" t="str"/>
      <x:c r="K70" s="91" t="str"/>
      <x:c r="L70" s="91" t="str"/>
      <x:c r="M70" s="91" t="str"/>
      <x:c r="N70" s="91" t="str">
        <x:v>OPEN</x:v>
      </x:c>
    </x:row>
    <x:row r="71">
      <x:c r="A71" s="86" t="str">
        <x:v>Q-066</x:v>
      </x:c>
      <x:c r="B71" s="86" t="str">
        <x:v>FRC500-09</x:v>
      </x:c>
      <x:c r="C71" s="86" t="str">
        <x:v>A</x:v>
      </x:c>
      <x:c r="D71" s="86" t="str">
        <x:v>Q2</x:v>
      </x:c>
      <x:c r="E71" s="115" t="n">
        <x:f>IF(D71="Q1",'Assumptions'!B6,IF(OR(D71="Q2",D71="Q3"),'Assumptions'!B7,IF(D71="Q4",400,'Assumptions'!B8)))</x:f>
        <x:v>250</x:v>
      </x:c>
      <x:c r="F71" s="115" t="n">
        <x:f>IF(D71="Q1",'Assumptions'!B9,IF(OR(D71="Q2",D71="Q4"),'Assumptions'!B10,'Assumptions'!B11))</x:f>
        <x:v>5</x:v>
      </x:c>
      <x:c r="G71" s="115" t="n">
        <x:f>E71/F71</x:f>
        <x:v>50</x:v>
      </x:c>
      <x:c r="H71" s="86" t="str">
        <x:v>accepted intermediate dry anchor</x:v>
      </x:c>
      <x:c r="I71" s="91" t="str"/>
      <x:c r="J71" s="91" t="str"/>
      <x:c r="K71" s="91" t="str"/>
      <x:c r="L71" s="91" t="str"/>
      <x:c r="M71" s="91" t="str"/>
      <x:c r="N71" s="91" t="str">
        <x:v>OPEN</x:v>
      </x:c>
    </x:row>
    <x:row r="72">
      <x:c r="A72" s="86" t="str">
        <x:v>Q-067</x:v>
      </x:c>
      <x:c r="B72" s="86" t="str">
        <x:v>FRC500-09</x:v>
      </x:c>
      <x:c r="C72" s="86" t="str">
        <x:v>A</x:v>
      </x:c>
      <x:c r="D72" s="86" t="str">
        <x:v>Q3</x:v>
      </x:c>
      <x:c r="E72" s="115" t="n">
        <x:f>IF(D72="Q1",'Assumptions'!B6,IF(OR(D72="Q2",D72="Q3"),'Assumptions'!B7,IF(D72="Q4",400,'Assumptions'!B8)))</x:f>
        <x:v>250</x:v>
      </x:c>
      <x:c r="F72" s="115" t="n">
        <x:f>IF(D72="Q1",'Assumptions'!B9,IF(OR(D72="Q2",D72="Q4"),'Assumptions'!B10,'Assumptions'!B11))</x:f>
        <x:v>6.25</x:v>
      </x:c>
      <x:c r="G72" s="115" t="n">
        <x:f>E72/F72</x:f>
        <x:v>40</x:v>
      </x:c>
      <x:c r="H72" s="86" t="str">
        <x:v>field expansion at fixed source</x:v>
      </x:c>
      <x:c r="I72" s="91" t="str"/>
      <x:c r="J72" s="91" t="str"/>
      <x:c r="K72" s="91" t="str"/>
      <x:c r="L72" s="91" t="str"/>
      <x:c r="M72" s="91" t="str"/>
      <x:c r="N72" s="91" t="str">
        <x:v>OPEN</x:v>
      </x:c>
    </x:row>
    <x:row r="73">
      <x:c r="A73" s="86" t="str">
        <x:v>Q-068</x:v>
      </x:c>
      <x:c r="B73" s="86" t="str">
        <x:v>FRC500-09</x:v>
      </x:c>
      <x:c r="C73" s="86" t="str">
        <x:v>A</x:v>
      </x:c>
      <x:c r="D73" s="86" t="str">
        <x:v>Q4</x:v>
      </x:c>
      <x:c r="E73" s="115" t="n">
        <x:f>IF(D73="Q1",'Assumptions'!B6,IF(OR(D73="Q2",D73="Q3"),'Assumptions'!B7,IF(D73="Q4",400,'Assumptions'!B8)))</x:f>
        <x:v>400</x:v>
      </x:c>
      <x:c r="F73" s="115" t="n">
        <x:f>IF(D73="Q1",'Assumptions'!B9,IF(OR(D73="Q2",D73="Q4"),'Assumptions'!B10,'Assumptions'!B11))</x:f>
        <x:v>5</x:v>
      </x:c>
      <x:c r="G73" s="115" t="n">
        <x:f>E73/F73</x:f>
        <x:v>80</x:v>
      </x:c>
      <x:c r="H73" s="86" t="str">
        <x:v>target areal load at prior field extent</x:v>
      </x:c>
      <x:c r="I73" s="91" t="str"/>
      <x:c r="J73" s="91" t="str"/>
      <x:c r="K73" s="91" t="str"/>
      <x:c r="L73" s="91" t="str"/>
      <x:c r="M73" s="91" t="str"/>
      <x:c r="N73" s="91" t="str">
        <x:v>OPEN</x:v>
      </x:c>
    </x:row>
    <x:row r="74">
      <x:c r="A74" s="86" t="str">
        <x:v>Q-069</x:v>
      </x:c>
      <x:c r="B74" s="86" t="str">
        <x:v>FRC500-09</x:v>
      </x:c>
      <x:c r="C74" s="86" t="str">
        <x:v>A</x:v>
      </x:c>
      <x:c r="D74" s="86" t="str">
        <x:v>Q5</x:v>
      </x:c>
      <x:c r="E74" s="115" t="n">
        <x:f>IF(D74="Q1",'Assumptions'!B6,IF(OR(D74="Q2",D74="Q3"),'Assumptions'!B7,IF(D74="Q4",400,'Assumptions'!B8)))</x:f>
        <x:v>500</x:v>
      </x:c>
      <x:c r="F74" s="115" t="n">
        <x:f>IF(D74="Q1",'Assumptions'!B9,IF(OR(D74="Q2",D74="Q4"),'Assumptions'!B10,'Assumptions'!B11))</x:f>
        <x:v>6.25</x:v>
      </x:c>
      <x:c r="G74" s="115" t="n">
        <x:f>E74/F74</x:f>
        <x:v>80</x:v>
      </x:c>
      <x:c r="H74" s="86" t="str">
        <x:v>exact ER-08 state</x:v>
      </x:c>
      <x:c r="I74" s="91" t="str"/>
      <x:c r="J74" s="91" t="str"/>
      <x:c r="K74" s="91" t="str"/>
      <x:c r="L74" s="91" t="str"/>
      <x:c r="M74" s="91" t="str"/>
      <x:c r="N74" s="91" t="str">
        <x:v>OPEN</x:v>
      </x:c>
    </x:row>
    <x:row r="75">
      <x:c r="A75" s="86" t="str">
        <x:v>Q-070</x:v>
      </x:c>
      <x:c r="B75" s="86" t="str">
        <x:v>FRC500-09</x:v>
      </x:c>
      <x:c r="C75" s="86" t="str">
        <x:v>A</x:v>
      </x:c>
      <x:c r="D75" s="86" t="str">
        <x:v>Q6</x:v>
      </x:c>
      <x:c r="E75" s="115" t="n">
        <x:f>IF(D75="Q1",'Assumptions'!B6,IF(OR(D75="Q2",D75="Q3"),'Assumptions'!B7,IF(D75="Q4",400,'Assumptions'!B8)))</x:f>
        <x:v>500</x:v>
      </x:c>
      <x:c r="F75" s="115" t="n">
        <x:f>IF(D75="Q1",'Assumptions'!B9,IF(OR(D75="Q2",D75="Q4"),'Assumptions'!B10,'Assumptions'!B11))</x:f>
        <x:v>6.25</x:v>
      </x:c>
      <x:c r="G75" s="115" t="n">
        <x:f>E75/F75</x:f>
        <x:v>80</x:v>
      </x:c>
      <x:c r="H75" s="86" t="str">
        <x:v>atmosphere accumulation and exhaust perturbation</x:v>
      </x:c>
      <x:c r="I75" s="91" t="str"/>
      <x:c r="J75" s="91" t="str"/>
      <x:c r="K75" s="91" t="str"/>
      <x:c r="L75" s="91" t="str"/>
      <x:c r="M75" s="91" t="str"/>
      <x:c r="N75" s="91" t="str">
        <x:v>OPEN</x:v>
      </x:c>
    </x:row>
    <x:row r="76">
      <x:c r="A76" s="86" t="str">
        <x:v>Q-071</x:v>
      </x:c>
      <x:c r="B76" s="86" t="str">
        <x:v>FRC500-09</x:v>
      </x:c>
      <x:c r="C76" s="86" t="str">
        <x:v>A</x:v>
      </x:c>
      <x:c r="D76" s="86" t="str">
        <x:v>Q7</x:v>
      </x:c>
      <x:c r="E76" s="115" t="n">
        <x:f>IF(D76="Q1",'Assumptions'!B6,IF(OR(D76="Q2",D76="Q3"),'Assumptions'!B7,IF(D76="Q4",400,'Assumptions'!B8)))</x:f>
        <x:v>500</x:v>
      </x:c>
      <x:c r="F76" s="115" t="n">
        <x:f>IF(D76="Q1",'Assumptions'!B9,IF(OR(D76="Q2",D76="Q4"),'Assumptions'!B10,'Assumptions'!B11))</x:f>
        <x:v>6.25</x:v>
      </x:c>
      <x:c r="G76" s="115" t="n">
        <x:f>E76/F76</x:f>
        <x:v>80</x:v>
      </x:c>
      <x:c r="H76" s="86" t="str">
        <x:v>one root and one primary service denied</x:v>
      </x:c>
      <x:c r="I76" s="91" t="str"/>
      <x:c r="J76" s="91" t="str"/>
      <x:c r="K76" s="91" t="str"/>
      <x:c r="L76" s="91" t="str"/>
      <x:c r="M76" s="91" t="str"/>
      <x:c r="N76" s="91" t="str">
        <x:v>OPEN</x:v>
      </x:c>
    </x:row>
    <x:row r="77">
      <x:c r="A77" s="86" t="str">
        <x:v>Q-072</x:v>
      </x:c>
      <x:c r="B77" s="86" t="str">
        <x:v>FRC500-09</x:v>
      </x:c>
      <x:c r="C77" s="86" t="str">
        <x:v>A</x:v>
      </x:c>
      <x:c r="D77" s="86" t="str">
        <x:v>Q8</x:v>
      </x:c>
      <x:c r="E77" s="115" t="n">
        <x:f>IF(D77="Q1",'Assumptions'!B6,IF(OR(D77="Q2",D77="Q3"),'Assumptions'!B7,IF(D77="Q4",400,'Assumptions'!B8)))</x:f>
        <x:v>500</x:v>
      </x:c>
      <x:c r="F77" s="115" t="n">
        <x:f>IF(D77="Q1",'Assumptions'!B9,IF(OR(D77="Q2",D77="Q4"),'Assumptions'!B10,'Assumptions'!B11))</x:f>
        <x:v>6.25</x:v>
      </x:c>
      <x:c r="G77" s="115" t="n">
        <x:f>E77/F77</x:f>
        <x:v>80</x:v>
      </x:c>
      <x:c r="H77" s="86" t="str">
        <x:v>thermal soak, recovery and return</x:v>
      </x:c>
      <x:c r="I77" s="91" t="str"/>
      <x:c r="J77" s="91" t="str"/>
      <x:c r="K77" s="91" t="str"/>
      <x:c r="L77" s="91" t="str"/>
      <x:c r="M77" s="91" t="str"/>
      <x:c r="N77" s="91" t="str">
        <x:v>OPEN</x:v>
      </x:c>
    </x:row>
    <x:row r="78">
      <x:c r="A78" s="86" t="str">
        <x:v>Q-073</x:v>
      </x:c>
      <x:c r="B78" s="86" t="str">
        <x:v>FRC500-10</x:v>
      </x:c>
      <x:c r="C78" s="86" t="str">
        <x:v>B</x:v>
      </x:c>
      <x:c r="D78" s="86" t="str">
        <x:v>Q1</x:v>
      </x:c>
      <x:c r="E78" s="115" t="n">
        <x:f>IF(D78="Q1",'Assumptions'!B6,IF(OR(D78="Q2",D78="Q3"),'Assumptions'!B7,IF(D78="Q4",400,'Assumptions'!B8)))</x:f>
        <x:v>100</x:v>
      </x:c>
      <x:c r="F78" s="115" t="n">
        <x:f>IF(D78="Q1",'Assumptions'!B9,IF(OR(D78="Q2",D78="Q4"),'Assumptions'!B10,'Assumptions'!B11))</x:f>
        <x:v>2.5</x:v>
      </x:c>
      <x:c r="G78" s="115" t="n">
        <x:f>E78/F78</x:f>
        <x:v>40</x:v>
      </x:c>
      <x:c r="H78" s="86" t="str">
        <x:v>accepted low-source anchor</x:v>
      </x:c>
      <x:c r="I78" s="91" t="str"/>
      <x:c r="J78" s="91" t="str"/>
      <x:c r="K78" s="91" t="str"/>
      <x:c r="L78" s="91" t="str"/>
      <x:c r="M78" s="91" t="str"/>
      <x:c r="N78" s="91" t="str">
        <x:v>OPEN</x:v>
      </x:c>
    </x:row>
    <x:row r="79">
      <x:c r="A79" s="86" t="str">
        <x:v>Q-074</x:v>
      </x:c>
      <x:c r="B79" s="86" t="str">
        <x:v>FRC500-10</x:v>
      </x:c>
      <x:c r="C79" s="86" t="str">
        <x:v>B</x:v>
      </x:c>
      <x:c r="D79" s="86" t="str">
        <x:v>Q2</x:v>
      </x:c>
      <x:c r="E79" s="115" t="n">
        <x:f>IF(D79="Q1",'Assumptions'!B6,IF(OR(D79="Q2",D79="Q3"),'Assumptions'!B7,IF(D79="Q4",400,'Assumptions'!B8)))</x:f>
        <x:v>250</x:v>
      </x:c>
      <x:c r="F79" s="115" t="n">
        <x:f>IF(D79="Q1",'Assumptions'!B9,IF(OR(D79="Q2",D79="Q4"),'Assumptions'!B10,'Assumptions'!B11))</x:f>
        <x:v>5</x:v>
      </x:c>
      <x:c r="G79" s="115" t="n">
        <x:f>E79/F79</x:f>
        <x:v>50</x:v>
      </x:c>
      <x:c r="H79" s="86" t="str">
        <x:v>accepted intermediate dry anchor</x:v>
      </x:c>
      <x:c r="I79" s="91" t="str"/>
      <x:c r="J79" s="91" t="str"/>
      <x:c r="K79" s="91" t="str"/>
      <x:c r="L79" s="91" t="str"/>
      <x:c r="M79" s="91" t="str"/>
      <x:c r="N79" s="91" t="str">
        <x:v>OPEN</x:v>
      </x:c>
    </x:row>
    <x:row r="80">
      <x:c r="A80" s="86" t="str">
        <x:v>Q-075</x:v>
      </x:c>
      <x:c r="B80" s="86" t="str">
        <x:v>FRC500-10</x:v>
      </x:c>
      <x:c r="C80" s="86" t="str">
        <x:v>B</x:v>
      </x:c>
      <x:c r="D80" s="86" t="str">
        <x:v>Q3</x:v>
      </x:c>
      <x:c r="E80" s="115" t="n">
        <x:f>IF(D80="Q1",'Assumptions'!B6,IF(OR(D80="Q2",D80="Q3"),'Assumptions'!B7,IF(D80="Q4",400,'Assumptions'!B8)))</x:f>
        <x:v>250</x:v>
      </x:c>
      <x:c r="F80" s="115" t="n">
        <x:f>IF(D80="Q1",'Assumptions'!B9,IF(OR(D80="Q2",D80="Q4"),'Assumptions'!B10,'Assumptions'!B11))</x:f>
        <x:v>6.25</x:v>
      </x:c>
      <x:c r="G80" s="115" t="n">
        <x:f>E80/F80</x:f>
        <x:v>40</x:v>
      </x:c>
      <x:c r="H80" s="86" t="str">
        <x:v>field expansion at fixed source</x:v>
      </x:c>
      <x:c r="I80" s="91" t="str"/>
      <x:c r="J80" s="91" t="str"/>
      <x:c r="K80" s="91" t="str"/>
      <x:c r="L80" s="91" t="str"/>
      <x:c r="M80" s="91" t="str"/>
      <x:c r="N80" s="91" t="str">
        <x:v>OPEN</x:v>
      </x:c>
    </x:row>
    <x:row r="81">
      <x:c r="A81" s="86" t="str">
        <x:v>Q-076</x:v>
      </x:c>
      <x:c r="B81" s="86" t="str">
        <x:v>FRC500-10</x:v>
      </x:c>
      <x:c r="C81" s="86" t="str">
        <x:v>B</x:v>
      </x:c>
      <x:c r="D81" s="86" t="str">
        <x:v>Q4</x:v>
      </x:c>
      <x:c r="E81" s="115" t="n">
        <x:f>IF(D81="Q1",'Assumptions'!B6,IF(OR(D81="Q2",D81="Q3"),'Assumptions'!B7,IF(D81="Q4",400,'Assumptions'!B8)))</x:f>
        <x:v>400</x:v>
      </x:c>
      <x:c r="F81" s="115" t="n">
        <x:f>IF(D81="Q1",'Assumptions'!B9,IF(OR(D81="Q2",D81="Q4"),'Assumptions'!B10,'Assumptions'!B11))</x:f>
        <x:v>5</x:v>
      </x:c>
      <x:c r="G81" s="115" t="n">
        <x:f>E81/F81</x:f>
        <x:v>80</x:v>
      </x:c>
      <x:c r="H81" s="86" t="str">
        <x:v>target areal load at prior field extent</x:v>
      </x:c>
      <x:c r="I81" s="91" t="str"/>
      <x:c r="J81" s="91" t="str"/>
      <x:c r="K81" s="91" t="str"/>
      <x:c r="L81" s="91" t="str"/>
      <x:c r="M81" s="91" t="str"/>
      <x:c r="N81" s="91" t="str">
        <x:v>OPEN</x:v>
      </x:c>
    </x:row>
    <x:row r="82">
      <x:c r="A82" s="86" t="str">
        <x:v>Q-077</x:v>
      </x:c>
      <x:c r="B82" s="86" t="str">
        <x:v>FRC500-10</x:v>
      </x:c>
      <x:c r="C82" s="86" t="str">
        <x:v>B</x:v>
      </x:c>
      <x:c r="D82" s="86" t="str">
        <x:v>Q5</x:v>
      </x:c>
      <x:c r="E82" s="115" t="n">
        <x:f>IF(D82="Q1",'Assumptions'!B6,IF(OR(D82="Q2",D82="Q3"),'Assumptions'!B7,IF(D82="Q4",400,'Assumptions'!B8)))</x:f>
        <x:v>500</x:v>
      </x:c>
      <x:c r="F82" s="115" t="n">
        <x:f>IF(D82="Q1",'Assumptions'!B9,IF(OR(D82="Q2",D82="Q4"),'Assumptions'!B10,'Assumptions'!B11))</x:f>
        <x:v>6.25</x:v>
      </x:c>
      <x:c r="G82" s="115" t="n">
        <x:f>E82/F82</x:f>
        <x:v>80</x:v>
      </x:c>
      <x:c r="H82" s="86" t="str">
        <x:v>exact ER-08 state</x:v>
      </x:c>
      <x:c r="I82" s="91" t="str"/>
      <x:c r="J82" s="91" t="str"/>
      <x:c r="K82" s="91" t="str"/>
      <x:c r="L82" s="91" t="str"/>
      <x:c r="M82" s="91" t="str"/>
      <x:c r="N82" s="91" t="str">
        <x:v>OPEN</x:v>
      </x:c>
    </x:row>
    <x:row r="83">
      <x:c r="A83" s="86" t="str">
        <x:v>Q-078</x:v>
      </x:c>
      <x:c r="B83" s="86" t="str">
        <x:v>FRC500-10</x:v>
      </x:c>
      <x:c r="C83" s="86" t="str">
        <x:v>B</x:v>
      </x:c>
      <x:c r="D83" s="86" t="str">
        <x:v>Q6</x:v>
      </x:c>
      <x:c r="E83" s="115" t="n">
        <x:f>IF(D83="Q1",'Assumptions'!B6,IF(OR(D83="Q2",D83="Q3"),'Assumptions'!B7,IF(D83="Q4",400,'Assumptions'!B8)))</x:f>
        <x:v>500</x:v>
      </x:c>
      <x:c r="F83" s="115" t="n">
        <x:f>IF(D83="Q1",'Assumptions'!B9,IF(OR(D83="Q2",D83="Q4"),'Assumptions'!B10,'Assumptions'!B11))</x:f>
        <x:v>6.25</x:v>
      </x:c>
      <x:c r="G83" s="115" t="n">
        <x:f>E83/F83</x:f>
        <x:v>80</x:v>
      </x:c>
      <x:c r="H83" s="86" t="str">
        <x:v>atmosphere accumulation and exhaust perturbation</x:v>
      </x:c>
      <x:c r="I83" s="91" t="str"/>
      <x:c r="J83" s="91" t="str"/>
      <x:c r="K83" s="91" t="str"/>
      <x:c r="L83" s="91" t="str"/>
      <x:c r="M83" s="91" t="str"/>
      <x:c r="N83" s="91" t="str">
        <x:v>OPEN</x:v>
      </x:c>
    </x:row>
    <x:row r="84">
      <x:c r="A84" s="86" t="str">
        <x:v>Q-079</x:v>
      </x:c>
      <x:c r="B84" s="86" t="str">
        <x:v>FRC500-10</x:v>
      </x:c>
      <x:c r="C84" s="86" t="str">
        <x:v>B</x:v>
      </x:c>
      <x:c r="D84" s="86" t="str">
        <x:v>Q7</x:v>
      </x:c>
      <x:c r="E84" s="115" t="n">
        <x:f>IF(D84="Q1",'Assumptions'!B6,IF(OR(D84="Q2",D84="Q3"),'Assumptions'!B7,IF(D84="Q4",400,'Assumptions'!B8)))</x:f>
        <x:v>500</x:v>
      </x:c>
      <x:c r="F84" s="115" t="n">
        <x:f>IF(D84="Q1",'Assumptions'!B9,IF(OR(D84="Q2",D84="Q4"),'Assumptions'!B10,'Assumptions'!B11))</x:f>
        <x:v>6.25</x:v>
      </x:c>
      <x:c r="G84" s="115" t="n">
        <x:f>E84/F84</x:f>
        <x:v>80</x:v>
      </x:c>
      <x:c r="H84" s="86" t="str">
        <x:v>one root and one primary service denied</x:v>
      </x:c>
      <x:c r="I84" s="91" t="str"/>
      <x:c r="J84" s="91" t="str"/>
      <x:c r="K84" s="91" t="str"/>
      <x:c r="L84" s="91" t="str"/>
      <x:c r="M84" s="91" t="str"/>
      <x:c r="N84" s="91" t="str">
        <x:v>OPEN</x:v>
      </x:c>
    </x:row>
    <x:row r="85">
      <x:c r="A85" s="86" t="str">
        <x:v>Q-080</x:v>
      </x:c>
      <x:c r="B85" s="86" t="str">
        <x:v>FRC500-10</x:v>
      </x:c>
      <x:c r="C85" s="86" t="str">
        <x:v>B</x:v>
      </x:c>
      <x:c r="D85" s="86" t="str">
        <x:v>Q8</x:v>
      </x:c>
      <x:c r="E85" s="115" t="n">
        <x:f>IF(D85="Q1",'Assumptions'!B6,IF(OR(D85="Q2",D85="Q3"),'Assumptions'!B7,IF(D85="Q4",400,'Assumptions'!B8)))</x:f>
        <x:v>500</x:v>
      </x:c>
      <x:c r="F85" s="115" t="n">
        <x:f>IF(D85="Q1",'Assumptions'!B9,IF(OR(D85="Q2",D85="Q4"),'Assumptions'!B10,'Assumptions'!B11))</x:f>
        <x:v>6.25</x:v>
      </x:c>
      <x:c r="G85" s="115" t="n">
        <x:f>E85/F85</x:f>
        <x:v>80</x:v>
      </x:c>
      <x:c r="H85" s="86" t="str">
        <x:v>thermal soak, recovery and return</x:v>
      </x:c>
      <x:c r="I85" s="91" t="str"/>
      <x:c r="J85" s="91" t="str"/>
      <x:c r="K85" s="91" t="str"/>
      <x:c r="L85" s="91" t="str"/>
      <x:c r="M85" s="91" t="str"/>
      <x:c r="N85" s="91" t="str">
        <x:v>OPEN</x:v>
      </x:c>
    </x:row>
    <x:row r="86">
      <x:c r="A86" s="86" t="str">
        <x:v>Q-081</x:v>
      </x:c>
      <x:c r="B86" s="86" t="str">
        <x:v>FRC500-11</x:v>
      </x:c>
      <x:c r="C86" s="86" t="str">
        <x:v>A</x:v>
      </x:c>
      <x:c r="D86" s="86" t="str">
        <x:v>Q1</x:v>
      </x:c>
      <x:c r="E86" s="115" t="n">
        <x:f>IF(D86="Q1",'Assumptions'!B6,IF(OR(D86="Q2",D86="Q3"),'Assumptions'!B7,IF(D86="Q4",400,'Assumptions'!B8)))</x:f>
        <x:v>100</x:v>
      </x:c>
      <x:c r="F86" s="115" t="n">
        <x:f>IF(D86="Q1",'Assumptions'!B9,IF(OR(D86="Q2",D86="Q4"),'Assumptions'!B10,'Assumptions'!B11))</x:f>
        <x:v>2.5</x:v>
      </x:c>
      <x:c r="G86" s="115" t="n">
        <x:f>E86/F86</x:f>
        <x:v>40</x:v>
      </x:c>
      <x:c r="H86" s="86" t="str">
        <x:v>accepted low-source anchor</x:v>
      </x:c>
      <x:c r="I86" s="91" t="str"/>
      <x:c r="J86" s="91" t="str"/>
      <x:c r="K86" s="91" t="str"/>
      <x:c r="L86" s="91" t="str"/>
      <x:c r="M86" s="91" t="str"/>
      <x:c r="N86" s="91" t="str">
        <x:v>OPEN</x:v>
      </x:c>
    </x:row>
    <x:row r="87">
      <x:c r="A87" s="86" t="str">
        <x:v>Q-082</x:v>
      </x:c>
      <x:c r="B87" s="86" t="str">
        <x:v>FRC500-11</x:v>
      </x:c>
      <x:c r="C87" s="86" t="str">
        <x:v>A</x:v>
      </x:c>
      <x:c r="D87" s="86" t="str">
        <x:v>Q2</x:v>
      </x:c>
      <x:c r="E87" s="115" t="n">
        <x:f>IF(D87="Q1",'Assumptions'!B6,IF(OR(D87="Q2",D87="Q3"),'Assumptions'!B7,IF(D87="Q4",400,'Assumptions'!B8)))</x:f>
        <x:v>250</x:v>
      </x:c>
      <x:c r="F87" s="115" t="n">
        <x:f>IF(D87="Q1",'Assumptions'!B9,IF(OR(D87="Q2",D87="Q4"),'Assumptions'!B10,'Assumptions'!B11))</x:f>
        <x:v>5</x:v>
      </x:c>
      <x:c r="G87" s="115" t="n">
        <x:f>E87/F87</x:f>
        <x:v>50</x:v>
      </x:c>
      <x:c r="H87" s="86" t="str">
        <x:v>accepted intermediate dry anchor</x:v>
      </x:c>
      <x:c r="I87" s="91" t="str"/>
      <x:c r="J87" s="91" t="str"/>
      <x:c r="K87" s="91" t="str"/>
      <x:c r="L87" s="91" t="str"/>
      <x:c r="M87" s="91" t="str"/>
      <x:c r="N87" s="91" t="str">
        <x:v>OPEN</x:v>
      </x:c>
    </x:row>
    <x:row r="88">
      <x:c r="A88" s="86" t="str">
        <x:v>Q-083</x:v>
      </x:c>
      <x:c r="B88" s="86" t="str">
        <x:v>FRC500-11</x:v>
      </x:c>
      <x:c r="C88" s="86" t="str">
        <x:v>A</x:v>
      </x:c>
      <x:c r="D88" s="86" t="str">
        <x:v>Q3</x:v>
      </x:c>
      <x:c r="E88" s="115" t="n">
        <x:f>IF(D88="Q1",'Assumptions'!B6,IF(OR(D88="Q2",D88="Q3"),'Assumptions'!B7,IF(D88="Q4",400,'Assumptions'!B8)))</x:f>
        <x:v>250</x:v>
      </x:c>
      <x:c r="F88" s="115" t="n">
        <x:f>IF(D88="Q1",'Assumptions'!B9,IF(OR(D88="Q2",D88="Q4"),'Assumptions'!B10,'Assumptions'!B11))</x:f>
        <x:v>6.25</x:v>
      </x:c>
      <x:c r="G88" s="115" t="n">
        <x:f>E88/F88</x:f>
        <x:v>40</x:v>
      </x:c>
      <x:c r="H88" s="86" t="str">
        <x:v>field expansion at fixed source</x:v>
      </x:c>
      <x:c r="I88" s="91" t="str"/>
      <x:c r="J88" s="91" t="str"/>
      <x:c r="K88" s="91" t="str"/>
      <x:c r="L88" s="91" t="str"/>
      <x:c r="M88" s="91" t="str"/>
      <x:c r="N88" s="91" t="str">
        <x:v>OPEN</x:v>
      </x:c>
    </x:row>
    <x:row r="89">
      <x:c r="A89" s="86" t="str">
        <x:v>Q-084</x:v>
      </x:c>
      <x:c r="B89" s="86" t="str">
        <x:v>FRC500-11</x:v>
      </x:c>
      <x:c r="C89" s="86" t="str">
        <x:v>A</x:v>
      </x:c>
      <x:c r="D89" s="86" t="str">
        <x:v>Q4</x:v>
      </x:c>
      <x:c r="E89" s="115" t="n">
        <x:f>IF(D89="Q1",'Assumptions'!B6,IF(OR(D89="Q2",D89="Q3"),'Assumptions'!B7,IF(D89="Q4",400,'Assumptions'!B8)))</x:f>
        <x:v>400</x:v>
      </x:c>
      <x:c r="F89" s="115" t="n">
        <x:f>IF(D89="Q1",'Assumptions'!B9,IF(OR(D89="Q2",D89="Q4"),'Assumptions'!B10,'Assumptions'!B11))</x:f>
        <x:v>5</x:v>
      </x:c>
      <x:c r="G89" s="115" t="n">
        <x:f>E89/F89</x:f>
        <x:v>80</x:v>
      </x:c>
      <x:c r="H89" s="86" t="str">
        <x:v>target areal load at prior field extent</x:v>
      </x:c>
      <x:c r="I89" s="91" t="str"/>
      <x:c r="J89" s="91" t="str"/>
      <x:c r="K89" s="91" t="str"/>
      <x:c r="L89" s="91" t="str"/>
      <x:c r="M89" s="91" t="str"/>
      <x:c r="N89" s="91" t="str">
        <x:v>OPEN</x:v>
      </x:c>
    </x:row>
    <x:row r="90">
      <x:c r="A90" s="86" t="str">
        <x:v>Q-085</x:v>
      </x:c>
      <x:c r="B90" s="86" t="str">
        <x:v>FRC500-11</x:v>
      </x:c>
      <x:c r="C90" s="86" t="str">
        <x:v>A</x:v>
      </x:c>
      <x:c r="D90" s="86" t="str">
        <x:v>Q5</x:v>
      </x:c>
      <x:c r="E90" s="115" t="n">
        <x:f>IF(D90="Q1",'Assumptions'!B6,IF(OR(D90="Q2",D90="Q3"),'Assumptions'!B7,IF(D90="Q4",400,'Assumptions'!B8)))</x:f>
        <x:v>500</x:v>
      </x:c>
      <x:c r="F90" s="115" t="n">
        <x:f>IF(D90="Q1",'Assumptions'!B9,IF(OR(D90="Q2",D90="Q4"),'Assumptions'!B10,'Assumptions'!B11))</x:f>
        <x:v>6.25</x:v>
      </x:c>
      <x:c r="G90" s="115" t="n">
        <x:f>E90/F90</x:f>
        <x:v>80</x:v>
      </x:c>
      <x:c r="H90" s="86" t="str">
        <x:v>exact ER-08 state</x:v>
      </x:c>
      <x:c r="I90" s="91" t="str"/>
      <x:c r="J90" s="91" t="str"/>
      <x:c r="K90" s="91" t="str"/>
      <x:c r="L90" s="91" t="str"/>
      <x:c r="M90" s="91" t="str"/>
      <x:c r="N90" s="91" t="str">
        <x:v>OPEN</x:v>
      </x:c>
    </x:row>
    <x:row r="91">
      <x:c r="A91" s="86" t="str">
        <x:v>Q-086</x:v>
      </x:c>
      <x:c r="B91" s="86" t="str">
        <x:v>FRC500-11</x:v>
      </x:c>
      <x:c r="C91" s="86" t="str">
        <x:v>A</x:v>
      </x:c>
      <x:c r="D91" s="86" t="str">
        <x:v>Q6</x:v>
      </x:c>
      <x:c r="E91" s="115" t="n">
        <x:f>IF(D91="Q1",'Assumptions'!B6,IF(OR(D91="Q2",D91="Q3"),'Assumptions'!B7,IF(D91="Q4",400,'Assumptions'!B8)))</x:f>
        <x:v>500</x:v>
      </x:c>
      <x:c r="F91" s="115" t="n">
        <x:f>IF(D91="Q1",'Assumptions'!B9,IF(OR(D91="Q2",D91="Q4"),'Assumptions'!B10,'Assumptions'!B11))</x:f>
        <x:v>6.25</x:v>
      </x:c>
      <x:c r="G91" s="115" t="n">
        <x:f>E91/F91</x:f>
        <x:v>80</x:v>
      </x:c>
      <x:c r="H91" s="86" t="str">
        <x:v>atmosphere accumulation and exhaust perturbation</x:v>
      </x:c>
      <x:c r="I91" s="91" t="str"/>
      <x:c r="J91" s="91" t="str"/>
      <x:c r="K91" s="91" t="str"/>
      <x:c r="L91" s="91" t="str"/>
      <x:c r="M91" s="91" t="str"/>
      <x:c r="N91" s="91" t="str">
        <x:v>OPEN</x:v>
      </x:c>
    </x:row>
    <x:row r="92">
      <x:c r="A92" s="86" t="str">
        <x:v>Q-087</x:v>
      </x:c>
      <x:c r="B92" s="86" t="str">
        <x:v>FRC500-11</x:v>
      </x:c>
      <x:c r="C92" s="86" t="str">
        <x:v>A</x:v>
      </x:c>
      <x:c r="D92" s="86" t="str">
        <x:v>Q7</x:v>
      </x:c>
      <x:c r="E92" s="115" t="n">
        <x:f>IF(D92="Q1",'Assumptions'!B6,IF(OR(D92="Q2",D92="Q3"),'Assumptions'!B7,IF(D92="Q4",400,'Assumptions'!B8)))</x:f>
        <x:v>500</x:v>
      </x:c>
      <x:c r="F92" s="115" t="n">
        <x:f>IF(D92="Q1",'Assumptions'!B9,IF(OR(D92="Q2",D92="Q4"),'Assumptions'!B10,'Assumptions'!B11))</x:f>
        <x:v>6.25</x:v>
      </x:c>
      <x:c r="G92" s="115" t="n">
        <x:f>E92/F92</x:f>
        <x:v>80</x:v>
      </x:c>
      <x:c r="H92" s="86" t="str">
        <x:v>one root and one primary service denied</x:v>
      </x:c>
      <x:c r="I92" s="91" t="str"/>
      <x:c r="J92" s="91" t="str"/>
      <x:c r="K92" s="91" t="str"/>
      <x:c r="L92" s="91" t="str"/>
      <x:c r="M92" s="91" t="str"/>
      <x:c r="N92" s="91" t="str">
        <x:v>OPEN</x:v>
      </x:c>
    </x:row>
    <x:row r="93">
      <x:c r="A93" s="86" t="str">
        <x:v>Q-088</x:v>
      </x:c>
      <x:c r="B93" s="86" t="str">
        <x:v>FRC500-11</x:v>
      </x:c>
      <x:c r="C93" s="86" t="str">
        <x:v>A</x:v>
      </x:c>
      <x:c r="D93" s="86" t="str">
        <x:v>Q8</x:v>
      </x:c>
      <x:c r="E93" s="115" t="n">
        <x:f>IF(D93="Q1",'Assumptions'!B6,IF(OR(D93="Q2",D93="Q3"),'Assumptions'!B7,IF(D93="Q4",400,'Assumptions'!B8)))</x:f>
        <x:v>500</x:v>
      </x:c>
      <x:c r="F93" s="115" t="n">
        <x:f>IF(D93="Q1",'Assumptions'!B9,IF(OR(D93="Q2",D93="Q4"),'Assumptions'!B10,'Assumptions'!B11))</x:f>
        <x:v>6.25</x:v>
      </x:c>
      <x:c r="G93" s="115" t="n">
        <x:f>E93/F93</x:f>
        <x:v>80</x:v>
      </x:c>
      <x:c r="H93" s="86" t="str">
        <x:v>thermal soak, recovery and return</x:v>
      </x:c>
      <x:c r="I93" s="91" t="str"/>
      <x:c r="J93" s="91" t="str"/>
      <x:c r="K93" s="91" t="str"/>
      <x:c r="L93" s="91" t="str"/>
      <x:c r="M93" s="91" t="str"/>
      <x:c r="N93" s="91" t="str">
        <x:v>OPEN</x:v>
      </x:c>
    </x:row>
    <x:row r="94">
      <x:c r="A94" s="86" t="str">
        <x:v>Q-089</x:v>
      </x:c>
      <x:c r="B94" s="86" t="str">
        <x:v>FRC500-12</x:v>
      </x:c>
      <x:c r="C94" s="86" t="str">
        <x:v>B</x:v>
      </x:c>
      <x:c r="D94" s="86" t="str">
        <x:v>Q1</x:v>
      </x:c>
      <x:c r="E94" s="115" t="n">
        <x:f>IF(D94="Q1",'Assumptions'!B6,IF(OR(D94="Q2",D94="Q3"),'Assumptions'!B7,IF(D94="Q4",400,'Assumptions'!B8)))</x:f>
        <x:v>100</x:v>
      </x:c>
      <x:c r="F94" s="115" t="n">
        <x:f>IF(D94="Q1",'Assumptions'!B9,IF(OR(D94="Q2",D94="Q4"),'Assumptions'!B10,'Assumptions'!B11))</x:f>
        <x:v>2.5</x:v>
      </x:c>
      <x:c r="G94" s="115" t="n">
        <x:f>E94/F94</x:f>
        <x:v>40</x:v>
      </x:c>
      <x:c r="H94" s="86" t="str">
        <x:v>accepted low-source anchor</x:v>
      </x:c>
      <x:c r="I94" s="91" t="str"/>
      <x:c r="J94" s="91" t="str"/>
      <x:c r="K94" s="91" t="str"/>
      <x:c r="L94" s="91" t="str"/>
      <x:c r="M94" s="91" t="str"/>
      <x:c r="N94" s="91" t="str">
        <x:v>OPEN</x:v>
      </x:c>
    </x:row>
    <x:row r="95">
      <x:c r="A95" s="86" t="str">
        <x:v>Q-090</x:v>
      </x:c>
      <x:c r="B95" s="86" t="str">
        <x:v>FRC500-12</x:v>
      </x:c>
      <x:c r="C95" s="86" t="str">
        <x:v>B</x:v>
      </x:c>
      <x:c r="D95" s="86" t="str">
        <x:v>Q2</x:v>
      </x:c>
      <x:c r="E95" s="115" t="n">
        <x:f>IF(D95="Q1",'Assumptions'!B6,IF(OR(D95="Q2",D95="Q3"),'Assumptions'!B7,IF(D95="Q4",400,'Assumptions'!B8)))</x:f>
        <x:v>250</x:v>
      </x:c>
      <x:c r="F95" s="115" t="n">
        <x:f>IF(D95="Q1",'Assumptions'!B9,IF(OR(D95="Q2",D95="Q4"),'Assumptions'!B10,'Assumptions'!B11))</x:f>
        <x:v>5</x:v>
      </x:c>
      <x:c r="G95" s="115" t="n">
        <x:f>E95/F95</x:f>
        <x:v>50</x:v>
      </x:c>
      <x:c r="H95" s="86" t="str">
        <x:v>accepted intermediate dry anchor</x:v>
      </x:c>
      <x:c r="I95" s="91" t="str"/>
      <x:c r="J95" s="91" t="str"/>
      <x:c r="K95" s="91" t="str"/>
      <x:c r="L95" s="91" t="str"/>
      <x:c r="M95" s="91" t="str"/>
      <x:c r="N95" s="91" t="str">
        <x:v>OPEN</x:v>
      </x:c>
    </x:row>
    <x:row r="96">
      <x:c r="A96" s="86" t="str">
        <x:v>Q-091</x:v>
      </x:c>
      <x:c r="B96" s="86" t="str">
        <x:v>FRC500-12</x:v>
      </x:c>
      <x:c r="C96" s="86" t="str">
        <x:v>B</x:v>
      </x:c>
      <x:c r="D96" s="86" t="str">
        <x:v>Q3</x:v>
      </x:c>
      <x:c r="E96" s="115" t="n">
        <x:f>IF(D96="Q1",'Assumptions'!B6,IF(OR(D96="Q2",D96="Q3"),'Assumptions'!B7,IF(D96="Q4",400,'Assumptions'!B8)))</x:f>
        <x:v>250</x:v>
      </x:c>
      <x:c r="F96" s="115" t="n">
        <x:f>IF(D96="Q1",'Assumptions'!B9,IF(OR(D96="Q2",D96="Q4"),'Assumptions'!B10,'Assumptions'!B11))</x:f>
        <x:v>6.25</x:v>
      </x:c>
      <x:c r="G96" s="115" t="n">
        <x:f>E96/F96</x:f>
        <x:v>40</x:v>
      </x:c>
      <x:c r="H96" s="86" t="str">
        <x:v>field expansion at fixed source</x:v>
      </x:c>
      <x:c r="I96" s="91" t="str"/>
      <x:c r="J96" s="91" t="str"/>
      <x:c r="K96" s="91" t="str"/>
      <x:c r="L96" s="91" t="str"/>
      <x:c r="M96" s="91" t="str"/>
      <x:c r="N96" s="91" t="str">
        <x:v>OPEN</x:v>
      </x:c>
    </x:row>
    <x:row r="97">
      <x:c r="A97" s="86" t="str">
        <x:v>Q-092</x:v>
      </x:c>
      <x:c r="B97" s="86" t="str">
        <x:v>FRC500-12</x:v>
      </x:c>
      <x:c r="C97" s="86" t="str">
        <x:v>B</x:v>
      </x:c>
      <x:c r="D97" s="86" t="str">
        <x:v>Q4</x:v>
      </x:c>
      <x:c r="E97" s="115" t="n">
        <x:f>IF(D97="Q1",'Assumptions'!B6,IF(OR(D97="Q2",D97="Q3"),'Assumptions'!B7,IF(D97="Q4",400,'Assumptions'!B8)))</x:f>
        <x:v>400</x:v>
      </x:c>
      <x:c r="F97" s="115" t="n">
        <x:f>IF(D97="Q1",'Assumptions'!B9,IF(OR(D97="Q2",D97="Q4"),'Assumptions'!B10,'Assumptions'!B11))</x:f>
        <x:v>5</x:v>
      </x:c>
      <x:c r="G97" s="115" t="n">
        <x:f>E97/F97</x:f>
        <x:v>80</x:v>
      </x:c>
      <x:c r="H97" s="86" t="str">
        <x:v>target areal load at prior field extent</x:v>
      </x:c>
      <x:c r="I97" s="91" t="str"/>
      <x:c r="J97" s="91" t="str"/>
      <x:c r="K97" s="91" t="str"/>
      <x:c r="L97" s="91" t="str"/>
      <x:c r="M97" s="91" t="str"/>
      <x:c r="N97" s="91" t="str">
        <x:v>OPEN</x:v>
      </x:c>
    </x:row>
    <x:row r="98">
      <x:c r="A98" s="86" t="str">
        <x:v>Q-093</x:v>
      </x:c>
      <x:c r="B98" s="86" t="str">
        <x:v>FRC500-12</x:v>
      </x:c>
      <x:c r="C98" s="86" t="str">
        <x:v>B</x:v>
      </x:c>
      <x:c r="D98" s="86" t="str">
        <x:v>Q5</x:v>
      </x:c>
      <x:c r="E98" s="115" t="n">
        <x:f>IF(D98="Q1",'Assumptions'!B6,IF(OR(D98="Q2",D98="Q3"),'Assumptions'!B7,IF(D98="Q4",400,'Assumptions'!B8)))</x:f>
        <x:v>500</x:v>
      </x:c>
      <x:c r="F98" s="115" t="n">
        <x:f>IF(D98="Q1",'Assumptions'!B9,IF(OR(D98="Q2",D98="Q4"),'Assumptions'!B10,'Assumptions'!B11))</x:f>
        <x:v>6.25</x:v>
      </x:c>
      <x:c r="G98" s="115" t="n">
        <x:f>E98/F98</x:f>
        <x:v>80</x:v>
      </x:c>
      <x:c r="H98" s="86" t="str">
        <x:v>exact ER-08 state</x:v>
      </x:c>
      <x:c r="I98" s="91" t="str"/>
      <x:c r="J98" s="91" t="str"/>
      <x:c r="K98" s="91" t="str"/>
      <x:c r="L98" s="91" t="str"/>
      <x:c r="M98" s="91" t="str"/>
      <x:c r="N98" s="91" t="str">
        <x:v>OPEN</x:v>
      </x:c>
    </x:row>
    <x:row r="99">
      <x:c r="A99" s="86" t="str">
        <x:v>Q-094</x:v>
      </x:c>
      <x:c r="B99" s="86" t="str">
        <x:v>FRC500-12</x:v>
      </x:c>
      <x:c r="C99" s="86" t="str">
        <x:v>B</x:v>
      </x:c>
      <x:c r="D99" s="86" t="str">
        <x:v>Q6</x:v>
      </x:c>
      <x:c r="E99" s="115" t="n">
        <x:f>IF(D99="Q1",'Assumptions'!B6,IF(OR(D99="Q2",D99="Q3"),'Assumptions'!B7,IF(D99="Q4",400,'Assumptions'!B8)))</x:f>
        <x:v>500</x:v>
      </x:c>
      <x:c r="F99" s="115" t="n">
        <x:f>IF(D99="Q1",'Assumptions'!B9,IF(OR(D99="Q2",D99="Q4"),'Assumptions'!B10,'Assumptions'!B11))</x:f>
        <x:v>6.25</x:v>
      </x:c>
      <x:c r="G99" s="115" t="n">
        <x:f>E99/F99</x:f>
        <x:v>80</x:v>
      </x:c>
      <x:c r="H99" s="86" t="str">
        <x:v>atmosphere accumulation and exhaust perturbation</x:v>
      </x:c>
      <x:c r="I99" s="91" t="str"/>
      <x:c r="J99" s="91" t="str"/>
      <x:c r="K99" s="91" t="str"/>
      <x:c r="L99" s="91" t="str"/>
      <x:c r="M99" s="91" t="str"/>
      <x:c r="N99" s="91" t="str">
        <x:v>OPEN</x:v>
      </x:c>
    </x:row>
    <x:row r="100">
      <x:c r="A100" s="86" t="str">
        <x:v>Q-095</x:v>
      </x:c>
      <x:c r="B100" s="86" t="str">
        <x:v>FRC500-12</x:v>
      </x:c>
      <x:c r="C100" s="86" t="str">
        <x:v>B</x:v>
      </x:c>
      <x:c r="D100" s="86" t="str">
        <x:v>Q7</x:v>
      </x:c>
      <x:c r="E100" s="115" t="n">
        <x:f>IF(D100="Q1",'Assumptions'!B6,IF(OR(D100="Q2",D100="Q3"),'Assumptions'!B7,IF(D100="Q4",400,'Assumptions'!B8)))</x:f>
        <x:v>500</x:v>
      </x:c>
      <x:c r="F100" s="115" t="n">
        <x:f>IF(D100="Q1",'Assumptions'!B9,IF(OR(D100="Q2",D100="Q4"),'Assumptions'!B10,'Assumptions'!B11))</x:f>
        <x:v>6.25</x:v>
      </x:c>
      <x:c r="G100" s="115" t="n">
        <x:f>E100/F100</x:f>
        <x:v>80</x:v>
      </x:c>
      <x:c r="H100" s="86" t="str">
        <x:v>one root and one primary service denied</x:v>
      </x:c>
      <x:c r="I100" s="91" t="str"/>
      <x:c r="J100" s="91" t="str"/>
      <x:c r="K100" s="91" t="str"/>
      <x:c r="L100" s="91" t="str"/>
      <x:c r="M100" s="91" t="str"/>
      <x:c r="N100" s="91" t="str">
        <x:v>OPEN</x:v>
      </x:c>
    </x:row>
    <x:row r="101">
      <x:c r="A101" s="86" t="str">
        <x:v>Q-096</x:v>
      </x:c>
      <x:c r="B101" s="86" t="str">
        <x:v>FRC500-12</x:v>
      </x:c>
      <x:c r="C101" s="86" t="str">
        <x:v>B</x:v>
      </x:c>
      <x:c r="D101" s="86" t="str">
        <x:v>Q8</x:v>
      </x:c>
      <x:c r="E101" s="115" t="n">
        <x:f>IF(D101="Q1",'Assumptions'!B6,IF(OR(D101="Q2",D101="Q3"),'Assumptions'!B7,IF(D101="Q4",400,'Assumptions'!B8)))</x:f>
        <x:v>500</x:v>
      </x:c>
      <x:c r="F101" s="115" t="n">
        <x:f>IF(D101="Q1",'Assumptions'!B9,IF(OR(D101="Q2",D101="Q4"),'Assumptions'!B10,'Assumptions'!B11))</x:f>
        <x:v>6.25</x:v>
      </x:c>
      <x:c r="G101" s="115" t="n">
        <x:f>E101/F101</x:f>
        <x:v>80</x:v>
      </x:c>
      <x:c r="H101" s="86" t="str">
        <x:v>thermal soak, recovery and return</x:v>
      </x:c>
      <x:c r="I101" s="91" t="str"/>
      <x:c r="J101" s="91" t="str"/>
      <x:c r="K101" s="91" t="str"/>
      <x:c r="L101" s="91" t="str"/>
      <x:c r="M101" s="91" t="str"/>
      <x:c r="N101" s="91" t="str">
        <x:v>OPEN</x:v>
      </x:c>
    </x:row>
    <x:row r="102">
      <x:c r="A102" s="86" t="str">
        <x:v>Q-097</x:v>
      </x:c>
      <x:c r="B102" s="86" t="str">
        <x:v>FRC500-13</x:v>
      </x:c>
      <x:c r="C102" s="86" t="str">
        <x:v>A</x:v>
      </x:c>
      <x:c r="D102" s="86" t="str">
        <x:v>Q1</x:v>
      </x:c>
      <x:c r="E102" s="115" t="n">
        <x:f>IF(D102="Q1",'Assumptions'!B6,IF(OR(D102="Q2",D102="Q3"),'Assumptions'!B7,IF(D102="Q4",400,'Assumptions'!B8)))</x:f>
        <x:v>100</x:v>
      </x:c>
      <x:c r="F102" s="115" t="n">
        <x:f>IF(D102="Q1",'Assumptions'!B9,IF(OR(D102="Q2",D102="Q4"),'Assumptions'!B10,'Assumptions'!B11))</x:f>
        <x:v>2.5</x:v>
      </x:c>
      <x:c r="G102" s="115" t="n">
        <x:f>E102/F102</x:f>
        <x:v>40</x:v>
      </x:c>
      <x:c r="H102" s="86" t="str">
        <x:v>accepted low-source anchor</x:v>
      </x:c>
      <x:c r="I102" s="91" t="str"/>
      <x:c r="J102" s="91" t="str"/>
      <x:c r="K102" s="91" t="str"/>
      <x:c r="L102" s="91" t="str"/>
      <x:c r="M102" s="91" t="str"/>
      <x:c r="N102" s="91" t="str">
        <x:v>OPEN</x:v>
      </x:c>
    </x:row>
    <x:row r="103">
      <x:c r="A103" s="86" t="str">
        <x:v>Q-098</x:v>
      </x:c>
      <x:c r="B103" s="86" t="str">
        <x:v>FRC500-13</x:v>
      </x:c>
      <x:c r="C103" s="86" t="str">
        <x:v>A</x:v>
      </x:c>
      <x:c r="D103" s="86" t="str">
        <x:v>Q2</x:v>
      </x:c>
      <x:c r="E103" s="115" t="n">
        <x:f>IF(D103="Q1",'Assumptions'!B6,IF(OR(D103="Q2",D103="Q3"),'Assumptions'!B7,IF(D103="Q4",400,'Assumptions'!B8)))</x:f>
        <x:v>250</x:v>
      </x:c>
      <x:c r="F103" s="115" t="n">
        <x:f>IF(D103="Q1",'Assumptions'!B9,IF(OR(D103="Q2",D103="Q4"),'Assumptions'!B10,'Assumptions'!B11))</x:f>
        <x:v>5</x:v>
      </x:c>
      <x:c r="G103" s="115" t="n">
        <x:f>E103/F103</x:f>
        <x:v>50</x:v>
      </x:c>
      <x:c r="H103" s="86" t="str">
        <x:v>accepted intermediate dry anchor</x:v>
      </x:c>
      <x:c r="I103" s="91" t="str"/>
      <x:c r="J103" s="91" t="str"/>
      <x:c r="K103" s="91" t="str"/>
      <x:c r="L103" s="91" t="str"/>
      <x:c r="M103" s="91" t="str"/>
      <x:c r="N103" s="91" t="str">
        <x:v>OPEN</x:v>
      </x:c>
    </x:row>
    <x:row r="104">
      <x:c r="A104" s="86" t="str">
        <x:v>Q-099</x:v>
      </x:c>
      <x:c r="B104" s="86" t="str">
        <x:v>FRC500-13</x:v>
      </x:c>
      <x:c r="C104" s="86" t="str">
        <x:v>A</x:v>
      </x:c>
      <x:c r="D104" s="86" t="str">
        <x:v>Q3</x:v>
      </x:c>
      <x:c r="E104" s="115" t="n">
        <x:f>IF(D104="Q1",'Assumptions'!B6,IF(OR(D104="Q2",D104="Q3"),'Assumptions'!B7,IF(D104="Q4",400,'Assumptions'!B8)))</x:f>
        <x:v>250</x:v>
      </x:c>
      <x:c r="F104" s="115" t="n">
        <x:f>IF(D104="Q1",'Assumptions'!B9,IF(OR(D104="Q2",D104="Q4"),'Assumptions'!B10,'Assumptions'!B11))</x:f>
        <x:v>6.25</x:v>
      </x:c>
      <x:c r="G104" s="115" t="n">
        <x:f>E104/F104</x:f>
        <x:v>40</x:v>
      </x:c>
      <x:c r="H104" s="86" t="str">
        <x:v>field expansion at fixed source</x:v>
      </x:c>
      <x:c r="I104" s="91" t="str"/>
      <x:c r="J104" s="91" t="str"/>
      <x:c r="K104" s="91" t="str"/>
      <x:c r="L104" s="91" t="str"/>
      <x:c r="M104" s="91" t="str"/>
      <x:c r="N104" s="91" t="str">
        <x:v>OPEN</x:v>
      </x:c>
    </x:row>
    <x:row r="105">
      <x:c r="A105" s="86" t="str">
        <x:v>Q-100</x:v>
      </x:c>
      <x:c r="B105" s="86" t="str">
        <x:v>FRC500-13</x:v>
      </x:c>
      <x:c r="C105" s="86" t="str">
        <x:v>A</x:v>
      </x:c>
      <x:c r="D105" s="86" t="str">
        <x:v>Q4</x:v>
      </x:c>
      <x:c r="E105" s="115" t="n">
        <x:f>IF(D105="Q1",'Assumptions'!B6,IF(OR(D105="Q2",D105="Q3"),'Assumptions'!B7,IF(D105="Q4",400,'Assumptions'!B8)))</x:f>
        <x:v>400</x:v>
      </x:c>
      <x:c r="F105" s="115" t="n">
        <x:f>IF(D105="Q1",'Assumptions'!B9,IF(OR(D105="Q2",D105="Q4"),'Assumptions'!B10,'Assumptions'!B11))</x:f>
        <x:v>5</x:v>
      </x:c>
      <x:c r="G105" s="115" t="n">
        <x:f>E105/F105</x:f>
        <x:v>80</x:v>
      </x:c>
      <x:c r="H105" s="86" t="str">
        <x:v>target areal load at prior field extent</x:v>
      </x:c>
      <x:c r="I105" s="91" t="str"/>
      <x:c r="J105" s="91" t="str"/>
      <x:c r="K105" s="91" t="str"/>
      <x:c r="L105" s="91" t="str"/>
      <x:c r="M105" s="91" t="str"/>
      <x:c r="N105" s="91" t="str">
        <x:v>OPEN</x:v>
      </x:c>
    </x:row>
    <x:row r="106">
      <x:c r="A106" s="86" t="str">
        <x:v>Q-101</x:v>
      </x:c>
      <x:c r="B106" s="86" t="str">
        <x:v>FRC500-13</x:v>
      </x:c>
      <x:c r="C106" s="86" t="str">
        <x:v>A</x:v>
      </x:c>
      <x:c r="D106" s="86" t="str">
        <x:v>Q5</x:v>
      </x:c>
      <x:c r="E106" s="115" t="n">
        <x:f>IF(D106="Q1",'Assumptions'!B6,IF(OR(D106="Q2",D106="Q3"),'Assumptions'!B7,IF(D106="Q4",400,'Assumptions'!B8)))</x:f>
        <x:v>500</x:v>
      </x:c>
      <x:c r="F106" s="115" t="n">
        <x:f>IF(D106="Q1",'Assumptions'!B9,IF(OR(D106="Q2",D106="Q4"),'Assumptions'!B10,'Assumptions'!B11))</x:f>
        <x:v>6.25</x:v>
      </x:c>
      <x:c r="G106" s="115" t="n">
        <x:f>E106/F106</x:f>
        <x:v>80</x:v>
      </x:c>
      <x:c r="H106" s="86" t="str">
        <x:v>exact ER-08 state</x:v>
      </x:c>
      <x:c r="I106" s="91" t="str"/>
      <x:c r="J106" s="91" t="str"/>
      <x:c r="K106" s="91" t="str"/>
      <x:c r="L106" s="91" t="str"/>
      <x:c r="M106" s="91" t="str"/>
      <x:c r="N106" s="91" t="str">
        <x:v>OPEN</x:v>
      </x:c>
    </x:row>
    <x:row r="107">
      <x:c r="A107" s="86" t="str">
        <x:v>Q-102</x:v>
      </x:c>
      <x:c r="B107" s="86" t="str">
        <x:v>FRC500-13</x:v>
      </x:c>
      <x:c r="C107" s="86" t="str">
        <x:v>A</x:v>
      </x:c>
      <x:c r="D107" s="86" t="str">
        <x:v>Q6</x:v>
      </x:c>
      <x:c r="E107" s="115" t="n">
        <x:f>IF(D107="Q1",'Assumptions'!B6,IF(OR(D107="Q2",D107="Q3"),'Assumptions'!B7,IF(D107="Q4",400,'Assumptions'!B8)))</x:f>
        <x:v>500</x:v>
      </x:c>
      <x:c r="F107" s="115" t="n">
        <x:f>IF(D107="Q1",'Assumptions'!B9,IF(OR(D107="Q2",D107="Q4"),'Assumptions'!B10,'Assumptions'!B11))</x:f>
        <x:v>6.25</x:v>
      </x:c>
      <x:c r="G107" s="115" t="n">
        <x:f>E107/F107</x:f>
        <x:v>80</x:v>
      </x:c>
      <x:c r="H107" s="86" t="str">
        <x:v>atmosphere accumulation and exhaust perturbation</x:v>
      </x:c>
      <x:c r="I107" s="91" t="str"/>
      <x:c r="J107" s="91" t="str"/>
      <x:c r="K107" s="91" t="str"/>
      <x:c r="L107" s="91" t="str"/>
      <x:c r="M107" s="91" t="str"/>
      <x:c r="N107" s="91" t="str">
        <x:v>OPEN</x:v>
      </x:c>
    </x:row>
    <x:row r="108">
      <x:c r="A108" s="86" t="str">
        <x:v>Q-103</x:v>
      </x:c>
      <x:c r="B108" s="86" t="str">
        <x:v>FRC500-13</x:v>
      </x:c>
      <x:c r="C108" s="86" t="str">
        <x:v>A</x:v>
      </x:c>
      <x:c r="D108" s="86" t="str">
        <x:v>Q7</x:v>
      </x:c>
      <x:c r="E108" s="115" t="n">
        <x:f>IF(D108="Q1",'Assumptions'!B6,IF(OR(D108="Q2",D108="Q3"),'Assumptions'!B7,IF(D108="Q4",400,'Assumptions'!B8)))</x:f>
        <x:v>500</x:v>
      </x:c>
      <x:c r="F108" s="115" t="n">
        <x:f>IF(D108="Q1",'Assumptions'!B9,IF(OR(D108="Q2",D108="Q4"),'Assumptions'!B10,'Assumptions'!B11))</x:f>
        <x:v>6.25</x:v>
      </x:c>
      <x:c r="G108" s="115" t="n">
        <x:f>E108/F108</x:f>
        <x:v>80</x:v>
      </x:c>
      <x:c r="H108" s="86" t="str">
        <x:v>one root and one primary service denied</x:v>
      </x:c>
      <x:c r="I108" s="91" t="str"/>
      <x:c r="J108" s="91" t="str"/>
      <x:c r="K108" s="91" t="str"/>
      <x:c r="L108" s="91" t="str"/>
      <x:c r="M108" s="91" t="str"/>
      <x:c r="N108" s="91" t="str">
        <x:v>OPEN</x:v>
      </x:c>
    </x:row>
    <x:row r="109">
      <x:c r="A109" s="86" t="str">
        <x:v>Q-104</x:v>
      </x:c>
      <x:c r="B109" s="86" t="str">
        <x:v>FRC500-13</x:v>
      </x:c>
      <x:c r="C109" s="86" t="str">
        <x:v>A</x:v>
      </x:c>
      <x:c r="D109" s="86" t="str">
        <x:v>Q8</x:v>
      </x:c>
      <x:c r="E109" s="115" t="n">
        <x:f>IF(D109="Q1",'Assumptions'!B6,IF(OR(D109="Q2",D109="Q3"),'Assumptions'!B7,IF(D109="Q4",400,'Assumptions'!B8)))</x:f>
        <x:v>500</x:v>
      </x:c>
      <x:c r="F109" s="115" t="n">
        <x:f>IF(D109="Q1",'Assumptions'!B9,IF(OR(D109="Q2",D109="Q4"),'Assumptions'!B10,'Assumptions'!B11))</x:f>
        <x:v>6.25</x:v>
      </x:c>
      <x:c r="G109" s="115" t="n">
        <x:f>E109/F109</x:f>
        <x:v>80</x:v>
      </x:c>
      <x:c r="H109" s="86" t="str">
        <x:v>thermal soak, recovery and return</x:v>
      </x:c>
      <x:c r="I109" s="91" t="str"/>
      <x:c r="J109" s="91" t="str"/>
      <x:c r="K109" s="91" t="str"/>
      <x:c r="L109" s="91" t="str"/>
      <x:c r="M109" s="91" t="str"/>
      <x:c r="N109" s="91" t="str">
        <x:v>OPEN</x:v>
      </x:c>
    </x:row>
    <x:row r="110">
      <x:c r="A110" s="86" t="str">
        <x:v>Q-105</x:v>
      </x:c>
      <x:c r="B110" s="86" t="str">
        <x:v>FRC500-14</x:v>
      </x:c>
      <x:c r="C110" s="86" t="str">
        <x:v>B</x:v>
      </x:c>
      <x:c r="D110" s="86" t="str">
        <x:v>Q1</x:v>
      </x:c>
      <x:c r="E110" s="115" t="n">
        <x:f>IF(D110="Q1",'Assumptions'!B6,IF(OR(D110="Q2",D110="Q3"),'Assumptions'!B7,IF(D110="Q4",400,'Assumptions'!B8)))</x:f>
        <x:v>100</x:v>
      </x:c>
      <x:c r="F110" s="115" t="n">
        <x:f>IF(D110="Q1",'Assumptions'!B9,IF(OR(D110="Q2",D110="Q4"),'Assumptions'!B10,'Assumptions'!B11))</x:f>
        <x:v>2.5</x:v>
      </x:c>
      <x:c r="G110" s="115" t="n">
        <x:f>E110/F110</x:f>
        <x:v>40</x:v>
      </x:c>
      <x:c r="H110" s="86" t="str">
        <x:v>accepted low-source anchor</x:v>
      </x:c>
      <x:c r="I110" s="91" t="str"/>
      <x:c r="J110" s="91" t="str"/>
      <x:c r="K110" s="91" t="str"/>
      <x:c r="L110" s="91" t="str"/>
      <x:c r="M110" s="91" t="str"/>
      <x:c r="N110" s="91" t="str">
        <x:v>OPEN</x:v>
      </x:c>
    </x:row>
    <x:row r="111">
      <x:c r="A111" s="86" t="str">
        <x:v>Q-106</x:v>
      </x:c>
      <x:c r="B111" s="86" t="str">
        <x:v>FRC500-14</x:v>
      </x:c>
      <x:c r="C111" s="86" t="str">
        <x:v>B</x:v>
      </x:c>
      <x:c r="D111" s="86" t="str">
        <x:v>Q2</x:v>
      </x:c>
      <x:c r="E111" s="115" t="n">
        <x:f>IF(D111="Q1",'Assumptions'!B6,IF(OR(D111="Q2",D111="Q3"),'Assumptions'!B7,IF(D111="Q4",400,'Assumptions'!B8)))</x:f>
        <x:v>250</x:v>
      </x:c>
      <x:c r="F111" s="115" t="n">
        <x:f>IF(D111="Q1",'Assumptions'!B9,IF(OR(D111="Q2",D111="Q4"),'Assumptions'!B10,'Assumptions'!B11))</x:f>
        <x:v>5</x:v>
      </x:c>
      <x:c r="G111" s="115" t="n">
        <x:f>E111/F111</x:f>
        <x:v>50</x:v>
      </x:c>
      <x:c r="H111" s="86" t="str">
        <x:v>accepted intermediate dry anchor</x:v>
      </x:c>
      <x:c r="I111" s="91" t="str"/>
      <x:c r="J111" s="91" t="str"/>
      <x:c r="K111" s="91" t="str"/>
      <x:c r="L111" s="91" t="str"/>
      <x:c r="M111" s="91" t="str"/>
      <x:c r="N111" s="91" t="str">
        <x:v>OPEN</x:v>
      </x:c>
    </x:row>
    <x:row r="112">
      <x:c r="A112" s="86" t="str">
        <x:v>Q-107</x:v>
      </x:c>
      <x:c r="B112" s="86" t="str">
        <x:v>FRC500-14</x:v>
      </x:c>
      <x:c r="C112" s="86" t="str">
        <x:v>B</x:v>
      </x:c>
      <x:c r="D112" s="86" t="str">
        <x:v>Q3</x:v>
      </x:c>
      <x:c r="E112" s="115" t="n">
        <x:f>IF(D112="Q1",'Assumptions'!B6,IF(OR(D112="Q2",D112="Q3"),'Assumptions'!B7,IF(D112="Q4",400,'Assumptions'!B8)))</x:f>
        <x:v>250</x:v>
      </x:c>
      <x:c r="F112" s="115" t="n">
        <x:f>IF(D112="Q1",'Assumptions'!B9,IF(OR(D112="Q2",D112="Q4"),'Assumptions'!B10,'Assumptions'!B11))</x:f>
        <x:v>6.25</x:v>
      </x:c>
      <x:c r="G112" s="115" t="n">
        <x:f>E112/F112</x:f>
        <x:v>40</x:v>
      </x:c>
      <x:c r="H112" s="86" t="str">
        <x:v>field expansion at fixed source</x:v>
      </x:c>
      <x:c r="I112" s="91" t="str"/>
      <x:c r="J112" s="91" t="str"/>
      <x:c r="K112" s="91" t="str"/>
      <x:c r="L112" s="91" t="str"/>
      <x:c r="M112" s="91" t="str"/>
      <x:c r="N112" s="91" t="str">
        <x:v>OPEN</x:v>
      </x:c>
    </x:row>
    <x:row r="113">
      <x:c r="A113" s="86" t="str">
        <x:v>Q-108</x:v>
      </x:c>
      <x:c r="B113" s="86" t="str">
        <x:v>FRC500-14</x:v>
      </x:c>
      <x:c r="C113" s="86" t="str">
        <x:v>B</x:v>
      </x:c>
      <x:c r="D113" s="86" t="str">
        <x:v>Q4</x:v>
      </x:c>
      <x:c r="E113" s="115" t="n">
        <x:f>IF(D113="Q1",'Assumptions'!B6,IF(OR(D113="Q2",D113="Q3"),'Assumptions'!B7,IF(D113="Q4",400,'Assumptions'!B8)))</x:f>
        <x:v>400</x:v>
      </x:c>
      <x:c r="F113" s="115" t="n">
        <x:f>IF(D113="Q1",'Assumptions'!B9,IF(OR(D113="Q2",D113="Q4"),'Assumptions'!B10,'Assumptions'!B11))</x:f>
        <x:v>5</x:v>
      </x:c>
      <x:c r="G113" s="115" t="n">
        <x:f>E113/F113</x:f>
        <x:v>80</x:v>
      </x:c>
      <x:c r="H113" s="86" t="str">
        <x:v>target areal load at prior field extent</x:v>
      </x:c>
      <x:c r="I113" s="91" t="str"/>
      <x:c r="J113" s="91" t="str"/>
      <x:c r="K113" s="91" t="str"/>
      <x:c r="L113" s="91" t="str"/>
      <x:c r="M113" s="91" t="str"/>
      <x:c r="N113" s="91" t="str">
        <x:v>OPEN</x:v>
      </x:c>
    </x:row>
    <x:row r="114">
      <x:c r="A114" s="86" t="str">
        <x:v>Q-109</x:v>
      </x:c>
      <x:c r="B114" s="86" t="str">
        <x:v>FRC500-14</x:v>
      </x:c>
      <x:c r="C114" s="86" t="str">
        <x:v>B</x:v>
      </x:c>
      <x:c r="D114" s="86" t="str">
        <x:v>Q5</x:v>
      </x:c>
      <x:c r="E114" s="115" t="n">
        <x:f>IF(D114="Q1",'Assumptions'!B6,IF(OR(D114="Q2",D114="Q3"),'Assumptions'!B7,IF(D114="Q4",400,'Assumptions'!B8)))</x:f>
        <x:v>500</x:v>
      </x:c>
      <x:c r="F114" s="115" t="n">
        <x:f>IF(D114="Q1",'Assumptions'!B9,IF(OR(D114="Q2",D114="Q4"),'Assumptions'!B10,'Assumptions'!B11))</x:f>
        <x:v>6.25</x:v>
      </x:c>
      <x:c r="G114" s="115" t="n">
        <x:f>E114/F114</x:f>
        <x:v>80</x:v>
      </x:c>
      <x:c r="H114" s="86" t="str">
        <x:v>exact ER-08 state</x:v>
      </x:c>
      <x:c r="I114" s="91" t="str"/>
      <x:c r="J114" s="91" t="str"/>
      <x:c r="K114" s="91" t="str"/>
      <x:c r="L114" s="91" t="str"/>
      <x:c r="M114" s="91" t="str"/>
      <x:c r="N114" s="91" t="str">
        <x:v>OPEN</x:v>
      </x:c>
    </x:row>
    <x:row r="115">
      <x:c r="A115" s="86" t="str">
        <x:v>Q-110</x:v>
      </x:c>
      <x:c r="B115" s="86" t="str">
        <x:v>FRC500-14</x:v>
      </x:c>
      <x:c r="C115" s="86" t="str">
        <x:v>B</x:v>
      </x:c>
      <x:c r="D115" s="86" t="str">
        <x:v>Q6</x:v>
      </x:c>
      <x:c r="E115" s="115" t="n">
        <x:f>IF(D115="Q1",'Assumptions'!B6,IF(OR(D115="Q2",D115="Q3"),'Assumptions'!B7,IF(D115="Q4",400,'Assumptions'!B8)))</x:f>
        <x:v>500</x:v>
      </x:c>
      <x:c r="F115" s="115" t="n">
        <x:f>IF(D115="Q1",'Assumptions'!B9,IF(OR(D115="Q2",D115="Q4"),'Assumptions'!B10,'Assumptions'!B11))</x:f>
        <x:v>6.25</x:v>
      </x:c>
      <x:c r="G115" s="115" t="n">
        <x:f>E115/F115</x:f>
        <x:v>80</x:v>
      </x:c>
      <x:c r="H115" s="86" t="str">
        <x:v>atmosphere accumulation and exhaust perturbation</x:v>
      </x:c>
      <x:c r="I115" s="91" t="str"/>
      <x:c r="J115" s="91" t="str"/>
      <x:c r="K115" s="91" t="str"/>
      <x:c r="L115" s="91" t="str"/>
      <x:c r="M115" s="91" t="str"/>
      <x:c r="N115" s="91" t="str">
        <x:v>OPEN</x:v>
      </x:c>
    </x:row>
    <x:row r="116">
      <x:c r="A116" s="86" t="str">
        <x:v>Q-111</x:v>
      </x:c>
      <x:c r="B116" s="86" t="str">
        <x:v>FRC500-14</x:v>
      </x:c>
      <x:c r="C116" s="86" t="str">
        <x:v>B</x:v>
      </x:c>
      <x:c r="D116" s="86" t="str">
        <x:v>Q7</x:v>
      </x:c>
      <x:c r="E116" s="115" t="n">
        <x:f>IF(D116="Q1",'Assumptions'!B6,IF(OR(D116="Q2",D116="Q3"),'Assumptions'!B7,IF(D116="Q4",400,'Assumptions'!B8)))</x:f>
        <x:v>500</x:v>
      </x:c>
      <x:c r="F116" s="115" t="n">
        <x:f>IF(D116="Q1",'Assumptions'!B9,IF(OR(D116="Q2",D116="Q4"),'Assumptions'!B10,'Assumptions'!B11))</x:f>
        <x:v>6.25</x:v>
      </x:c>
      <x:c r="G116" s="115" t="n">
        <x:f>E116/F116</x:f>
        <x:v>80</x:v>
      </x:c>
      <x:c r="H116" s="86" t="str">
        <x:v>one root and one primary service denied</x:v>
      </x:c>
      <x:c r="I116" s="91" t="str"/>
      <x:c r="J116" s="91" t="str"/>
      <x:c r="K116" s="91" t="str"/>
      <x:c r="L116" s="91" t="str"/>
      <x:c r="M116" s="91" t="str"/>
      <x:c r="N116" s="91" t="str">
        <x:v>OPEN</x:v>
      </x:c>
    </x:row>
    <x:row r="117">
      <x:c r="A117" s="86" t="str">
        <x:v>Q-112</x:v>
      </x:c>
      <x:c r="B117" s="86" t="str">
        <x:v>FRC500-14</x:v>
      </x:c>
      <x:c r="C117" s="86" t="str">
        <x:v>B</x:v>
      </x:c>
      <x:c r="D117" s="86" t="str">
        <x:v>Q8</x:v>
      </x:c>
      <x:c r="E117" s="115" t="n">
        <x:f>IF(D117="Q1",'Assumptions'!B6,IF(OR(D117="Q2",D117="Q3"),'Assumptions'!B7,IF(D117="Q4",400,'Assumptions'!B8)))</x:f>
        <x:v>500</x:v>
      </x:c>
      <x:c r="F117" s="115" t="n">
        <x:f>IF(D117="Q1",'Assumptions'!B9,IF(OR(D117="Q2",D117="Q4"),'Assumptions'!B10,'Assumptions'!B11))</x:f>
        <x:v>6.25</x:v>
      </x:c>
      <x:c r="G117" s="115" t="n">
        <x:f>E117/F117</x:f>
        <x:v>80</x:v>
      </x:c>
      <x:c r="H117" s="86" t="str">
        <x:v>thermal soak, recovery and return</x:v>
      </x:c>
      <x:c r="I117" s="91" t="str"/>
      <x:c r="J117" s="91" t="str"/>
      <x:c r="K117" s="91" t="str"/>
      <x:c r="L117" s="91" t="str"/>
      <x:c r="M117" s="91" t="str"/>
      <x:c r="N117" s="91" t="str">
        <x:v>OPEN</x:v>
      </x:c>
    </x:row>
    <x:row r="118">
      <x:c r="A118" s="86" t="str">
        <x:v>Q-113</x:v>
      </x:c>
      <x:c r="B118" s="86" t="str">
        <x:v>FRC500-15</x:v>
      </x:c>
      <x:c r="C118" s="86" t="str">
        <x:v>A</x:v>
      </x:c>
      <x:c r="D118" s="86" t="str">
        <x:v>Q1</x:v>
      </x:c>
      <x:c r="E118" s="115" t="n">
        <x:f>IF(D118="Q1",'Assumptions'!B6,IF(OR(D118="Q2",D118="Q3"),'Assumptions'!B7,IF(D118="Q4",400,'Assumptions'!B8)))</x:f>
        <x:v>100</x:v>
      </x:c>
      <x:c r="F118" s="115" t="n">
        <x:f>IF(D118="Q1",'Assumptions'!B9,IF(OR(D118="Q2",D118="Q4"),'Assumptions'!B10,'Assumptions'!B11))</x:f>
        <x:v>2.5</x:v>
      </x:c>
      <x:c r="G118" s="115" t="n">
        <x:f>E118/F118</x:f>
        <x:v>40</x:v>
      </x:c>
      <x:c r="H118" s="86" t="str">
        <x:v>accepted low-source anchor</x:v>
      </x:c>
      <x:c r="I118" s="91" t="str"/>
      <x:c r="J118" s="91" t="str"/>
      <x:c r="K118" s="91" t="str"/>
      <x:c r="L118" s="91" t="str"/>
      <x:c r="M118" s="91" t="str"/>
      <x:c r="N118" s="91" t="str">
        <x:v>OPEN</x:v>
      </x:c>
    </x:row>
    <x:row r="119">
      <x:c r="A119" s="86" t="str">
        <x:v>Q-114</x:v>
      </x:c>
      <x:c r="B119" s="86" t="str">
        <x:v>FRC500-15</x:v>
      </x:c>
      <x:c r="C119" s="86" t="str">
        <x:v>A</x:v>
      </x:c>
      <x:c r="D119" s="86" t="str">
        <x:v>Q2</x:v>
      </x:c>
      <x:c r="E119" s="115" t="n">
        <x:f>IF(D119="Q1",'Assumptions'!B6,IF(OR(D119="Q2",D119="Q3"),'Assumptions'!B7,IF(D119="Q4",400,'Assumptions'!B8)))</x:f>
        <x:v>250</x:v>
      </x:c>
      <x:c r="F119" s="115" t="n">
        <x:f>IF(D119="Q1",'Assumptions'!B9,IF(OR(D119="Q2",D119="Q4"),'Assumptions'!B10,'Assumptions'!B11))</x:f>
        <x:v>5</x:v>
      </x:c>
      <x:c r="G119" s="115" t="n">
        <x:f>E119/F119</x:f>
        <x:v>50</x:v>
      </x:c>
      <x:c r="H119" s="86" t="str">
        <x:v>accepted intermediate dry anchor</x:v>
      </x:c>
      <x:c r="I119" s="91" t="str"/>
      <x:c r="J119" s="91" t="str"/>
      <x:c r="K119" s="91" t="str"/>
      <x:c r="L119" s="91" t="str"/>
      <x:c r="M119" s="91" t="str"/>
      <x:c r="N119" s="91" t="str">
        <x:v>OPEN</x:v>
      </x:c>
    </x:row>
    <x:row r="120">
      <x:c r="A120" s="86" t="str">
        <x:v>Q-115</x:v>
      </x:c>
      <x:c r="B120" s="86" t="str">
        <x:v>FRC500-15</x:v>
      </x:c>
      <x:c r="C120" s="86" t="str">
        <x:v>A</x:v>
      </x:c>
      <x:c r="D120" s="86" t="str">
        <x:v>Q3</x:v>
      </x:c>
      <x:c r="E120" s="115" t="n">
        <x:f>IF(D120="Q1",'Assumptions'!B6,IF(OR(D120="Q2",D120="Q3"),'Assumptions'!B7,IF(D120="Q4",400,'Assumptions'!B8)))</x:f>
        <x:v>250</x:v>
      </x:c>
      <x:c r="F120" s="115" t="n">
        <x:f>IF(D120="Q1",'Assumptions'!B9,IF(OR(D120="Q2",D120="Q4"),'Assumptions'!B10,'Assumptions'!B11))</x:f>
        <x:v>6.25</x:v>
      </x:c>
      <x:c r="G120" s="115" t="n">
        <x:f>E120/F120</x:f>
        <x:v>40</x:v>
      </x:c>
      <x:c r="H120" s="86" t="str">
        <x:v>field expansion at fixed source</x:v>
      </x:c>
      <x:c r="I120" s="91" t="str"/>
      <x:c r="J120" s="91" t="str"/>
      <x:c r="K120" s="91" t="str"/>
      <x:c r="L120" s="91" t="str"/>
      <x:c r="M120" s="91" t="str"/>
      <x:c r="N120" s="91" t="str">
        <x:v>OPEN</x:v>
      </x:c>
    </x:row>
    <x:row r="121">
      <x:c r="A121" s="86" t="str">
        <x:v>Q-116</x:v>
      </x:c>
      <x:c r="B121" s="86" t="str">
        <x:v>FRC500-15</x:v>
      </x:c>
      <x:c r="C121" s="86" t="str">
        <x:v>A</x:v>
      </x:c>
      <x:c r="D121" s="86" t="str">
        <x:v>Q4</x:v>
      </x:c>
      <x:c r="E121" s="115" t="n">
        <x:f>IF(D121="Q1",'Assumptions'!B6,IF(OR(D121="Q2",D121="Q3"),'Assumptions'!B7,IF(D121="Q4",400,'Assumptions'!B8)))</x:f>
        <x:v>400</x:v>
      </x:c>
      <x:c r="F121" s="115" t="n">
        <x:f>IF(D121="Q1",'Assumptions'!B9,IF(OR(D121="Q2",D121="Q4"),'Assumptions'!B10,'Assumptions'!B11))</x:f>
        <x:v>5</x:v>
      </x:c>
      <x:c r="G121" s="115" t="n">
        <x:f>E121/F121</x:f>
        <x:v>80</x:v>
      </x:c>
      <x:c r="H121" s="86" t="str">
        <x:v>target areal load at prior field extent</x:v>
      </x:c>
      <x:c r="I121" s="91" t="str"/>
      <x:c r="J121" s="91" t="str"/>
      <x:c r="K121" s="91" t="str"/>
      <x:c r="L121" s="91" t="str"/>
      <x:c r="M121" s="91" t="str"/>
      <x:c r="N121" s="91" t="str">
        <x:v>OPEN</x:v>
      </x:c>
    </x:row>
    <x:row r="122">
      <x:c r="A122" s="86" t="str">
        <x:v>Q-117</x:v>
      </x:c>
      <x:c r="B122" s="86" t="str">
        <x:v>FRC500-15</x:v>
      </x:c>
      <x:c r="C122" s="86" t="str">
        <x:v>A</x:v>
      </x:c>
      <x:c r="D122" s="86" t="str">
        <x:v>Q5</x:v>
      </x:c>
      <x:c r="E122" s="115" t="n">
        <x:f>IF(D122="Q1",'Assumptions'!B6,IF(OR(D122="Q2",D122="Q3"),'Assumptions'!B7,IF(D122="Q4",400,'Assumptions'!B8)))</x:f>
        <x:v>500</x:v>
      </x:c>
      <x:c r="F122" s="115" t="n">
        <x:f>IF(D122="Q1",'Assumptions'!B9,IF(OR(D122="Q2",D122="Q4"),'Assumptions'!B10,'Assumptions'!B11))</x:f>
        <x:v>6.25</x:v>
      </x:c>
      <x:c r="G122" s="115" t="n">
        <x:f>E122/F122</x:f>
        <x:v>80</x:v>
      </x:c>
      <x:c r="H122" s="86" t="str">
        <x:v>exact ER-08 state</x:v>
      </x:c>
      <x:c r="I122" s="91" t="str"/>
      <x:c r="J122" s="91" t="str"/>
      <x:c r="K122" s="91" t="str"/>
      <x:c r="L122" s="91" t="str"/>
      <x:c r="M122" s="91" t="str"/>
      <x:c r="N122" s="91" t="str">
        <x:v>OPEN</x:v>
      </x:c>
    </x:row>
    <x:row r="123">
      <x:c r="A123" s="86" t="str">
        <x:v>Q-118</x:v>
      </x:c>
      <x:c r="B123" s="86" t="str">
        <x:v>FRC500-15</x:v>
      </x:c>
      <x:c r="C123" s="86" t="str">
        <x:v>A</x:v>
      </x:c>
      <x:c r="D123" s="86" t="str">
        <x:v>Q6</x:v>
      </x:c>
      <x:c r="E123" s="115" t="n">
        <x:f>IF(D123="Q1",'Assumptions'!B6,IF(OR(D123="Q2",D123="Q3"),'Assumptions'!B7,IF(D123="Q4",400,'Assumptions'!B8)))</x:f>
        <x:v>500</x:v>
      </x:c>
      <x:c r="F123" s="115" t="n">
        <x:f>IF(D123="Q1",'Assumptions'!B9,IF(OR(D123="Q2",D123="Q4"),'Assumptions'!B10,'Assumptions'!B11))</x:f>
        <x:v>6.25</x:v>
      </x:c>
      <x:c r="G123" s="115" t="n">
        <x:f>E123/F123</x:f>
        <x:v>80</x:v>
      </x:c>
      <x:c r="H123" s="86" t="str">
        <x:v>atmosphere accumulation and exhaust perturbation</x:v>
      </x:c>
      <x:c r="I123" s="91" t="str"/>
      <x:c r="J123" s="91" t="str"/>
      <x:c r="K123" s="91" t="str"/>
      <x:c r="L123" s="91" t="str"/>
      <x:c r="M123" s="91" t="str"/>
      <x:c r="N123" s="91" t="str">
        <x:v>OPEN</x:v>
      </x:c>
    </x:row>
    <x:row r="124">
      <x:c r="A124" s="86" t="str">
        <x:v>Q-119</x:v>
      </x:c>
      <x:c r="B124" s="86" t="str">
        <x:v>FRC500-15</x:v>
      </x:c>
      <x:c r="C124" s="86" t="str">
        <x:v>A</x:v>
      </x:c>
      <x:c r="D124" s="86" t="str">
        <x:v>Q7</x:v>
      </x:c>
      <x:c r="E124" s="115" t="n">
        <x:f>IF(D124="Q1",'Assumptions'!B6,IF(OR(D124="Q2",D124="Q3"),'Assumptions'!B7,IF(D124="Q4",400,'Assumptions'!B8)))</x:f>
        <x:v>500</x:v>
      </x:c>
      <x:c r="F124" s="115" t="n">
        <x:f>IF(D124="Q1",'Assumptions'!B9,IF(OR(D124="Q2",D124="Q4"),'Assumptions'!B10,'Assumptions'!B11))</x:f>
        <x:v>6.25</x:v>
      </x:c>
      <x:c r="G124" s="115" t="n">
        <x:f>E124/F124</x:f>
        <x:v>80</x:v>
      </x:c>
      <x:c r="H124" s="86" t="str">
        <x:v>one root and one primary service denied</x:v>
      </x:c>
      <x:c r="I124" s="91" t="str"/>
      <x:c r="J124" s="91" t="str"/>
      <x:c r="K124" s="91" t="str"/>
      <x:c r="L124" s="91" t="str"/>
      <x:c r="M124" s="91" t="str"/>
      <x:c r="N124" s="91" t="str">
        <x:v>OPEN</x:v>
      </x:c>
    </x:row>
    <x:row r="125">
      <x:c r="A125" s="86" t="str">
        <x:v>Q-120</x:v>
      </x:c>
      <x:c r="B125" s="86" t="str">
        <x:v>FRC500-15</x:v>
      </x:c>
      <x:c r="C125" s="86" t="str">
        <x:v>A</x:v>
      </x:c>
      <x:c r="D125" s="86" t="str">
        <x:v>Q8</x:v>
      </x:c>
      <x:c r="E125" s="115" t="n">
        <x:f>IF(D125="Q1",'Assumptions'!B6,IF(OR(D125="Q2",D125="Q3"),'Assumptions'!B7,IF(D125="Q4",400,'Assumptions'!B8)))</x:f>
        <x:v>500</x:v>
      </x:c>
      <x:c r="F125" s="115" t="n">
        <x:f>IF(D125="Q1",'Assumptions'!B9,IF(OR(D125="Q2",D125="Q4"),'Assumptions'!B10,'Assumptions'!B11))</x:f>
        <x:v>6.25</x:v>
      </x:c>
      <x:c r="G125" s="115" t="n">
        <x:f>E125/F125</x:f>
        <x:v>80</x:v>
      </x:c>
      <x:c r="H125" s="86" t="str">
        <x:v>thermal soak, recovery and return</x:v>
      </x:c>
      <x:c r="I125" s="91" t="str"/>
      <x:c r="J125" s="91" t="str"/>
      <x:c r="K125" s="91" t="str"/>
      <x:c r="L125" s="91" t="str"/>
      <x:c r="M125" s="91" t="str"/>
      <x:c r="N125" s="91" t="str">
        <x:v>OPEN</x:v>
      </x:c>
    </x:row>
    <x:row r="126">
      <x:c r="A126" s="86" t="str">
        <x:v>Q-121</x:v>
      </x:c>
      <x:c r="B126" s="86" t="str">
        <x:v>FRC500-16</x:v>
      </x:c>
      <x:c r="C126" s="86" t="str">
        <x:v>B</x:v>
      </x:c>
      <x:c r="D126" s="86" t="str">
        <x:v>Q1</x:v>
      </x:c>
      <x:c r="E126" s="115" t="n">
        <x:f>IF(D126="Q1",'Assumptions'!B6,IF(OR(D126="Q2",D126="Q3"),'Assumptions'!B7,IF(D126="Q4",400,'Assumptions'!B8)))</x:f>
        <x:v>100</x:v>
      </x:c>
      <x:c r="F126" s="115" t="n">
        <x:f>IF(D126="Q1",'Assumptions'!B9,IF(OR(D126="Q2",D126="Q4"),'Assumptions'!B10,'Assumptions'!B11))</x:f>
        <x:v>2.5</x:v>
      </x:c>
      <x:c r="G126" s="115" t="n">
        <x:f>E126/F126</x:f>
        <x:v>40</x:v>
      </x:c>
      <x:c r="H126" s="86" t="str">
        <x:v>accepted low-source anchor</x:v>
      </x:c>
      <x:c r="I126" s="91" t="str"/>
      <x:c r="J126" s="91" t="str"/>
      <x:c r="K126" s="91" t="str"/>
      <x:c r="L126" s="91" t="str"/>
      <x:c r="M126" s="91" t="str"/>
      <x:c r="N126" s="91" t="str">
        <x:v>OPEN</x:v>
      </x:c>
    </x:row>
    <x:row r="127">
      <x:c r="A127" s="86" t="str">
        <x:v>Q-122</x:v>
      </x:c>
      <x:c r="B127" s="86" t="str">
        <x:v>FRC500-16</x:v>
      </x:c>
      <x:c r="C127" s="86" t="str">
        <x:v>B</x:v>
      </x:c>
      <x:c r="D127" s="86" t="str">
        <x:v>Q2</x:v>
      </x:c>
      <x:c r="E127" s="115" t="n">
        <x:f>IF(D127="Q1",'Assumptions'!B6,IF(OR(D127="Q2",D127="Q3"),'Assumptions'!B7,IF(D127="Q4",400,'Assumptions'!B8)))</x:f>
        <x:v>250</x:v>
      </x:c>
      <x:c r="F127" s="115" t="n">
        <x:f>IF(D127="Q1",'Assumptions'!B9,IF(OR(D127="Q2",D127="Q4"),'Assumptions'!B10,'Assumptions'!B11))</x:f>
        <x:v>5</x:v>
      </x:c>
      <x:c r="G127" s="115" t="n">
        <x:f>E127/F127</x:f>
        <x:v>50</x:v>
      </x:c>
      <x:c r="H127" s="86" t="str">
        <x:v>accepted intermediate dry anchor</x:v>
      </x:c>
      <x:c r="I127" s="91" t="str"/>
      <x:c r="J127" s="91" t="str"/>
      <x:c r="K127" s="91" t="str"/>
      <x:c r="L127" s="91" t="str"/>
      <x:c r="M127" s="91" t="str"/>
      <x:c r="N127" s="91" t="str">
        <x:v>OPEN</x:v>
      </x:c>
    </x:row>
    <x:row r="128">
      <x:c r="A128" s="86" t="str">
        <x:v>Q-123</x:v>
      </x:c>
      <x:c r="B128" s="86" t="str">
        <x:v>FRC500-16</x:v>
      </x:c>
      <x:c r="C128" s="86" t="str">
        <x:v>B</x:v>
      </x:c>
      <x:c r="D128" s="86" t="str">
        <x:v>Q3</x:v>
      </x:c>
      <x:c r="E128" s="115" t="n">
        <x:f>IF(D128="Q1",'Assumptions'!B6,IF(OR(D128="Q2",D128="Q3"),'Assumptions'!B7,IF(D128="Q4",400,'Assumptions'!B8)))</x:f>
        <x:v>250</x:v>
      </x:c>
      <x:c r="F128" s="115" t="n">
        <x:f>IF(D128="Q1",'Assumptions'!B9,IF(OR(D128="Q2",D128="Q4"),'Assumptions'!B10,'Assumptions'!B11))</x:f>
        <x:v>6.25</x:v>
      </x:c>
      <x:c r="G128" s="115" t="n">
        <x:f>E128/F128</x:f>
        <x:v>40</x:v>
      </x:c>
      <x:c r="H128" s="86" t="str">
        <x:v>field expansion at fixed source</x:v>
      </x:c>
      <x:c r="I128" s="91" t="str"/>
      <x:c r="J128" s="91" t="str"/>
      <x:c r="K128" s="91" t="str"/>
      <x:c r="L128" s="91" t="str"/>
      <x:c r="M128" s="91" t="str"/>
      <x:c r="N128" s="91" t="str">
        <x:v>OPEN</x:v>
      </x:c>
    </x:row>
    <x:row r="129">
      <x:c r="A129" s="86" t="str">
        <x:v>Q-124</x:v>
      </x:c>
      <x:c r="B129" s="86" t="str">
        <x:v>FRC500-16</x:v>
      </x:c>
      <x:c r="C129" s="86" t="str">
        <x:v>B</x:v>
      </x:c>
      <x:c r="D129" s="86" t="str">
        <x:v>Q4</x:v>
      </x:c>
      <x:c r="E129" s="115" t="n">
        <x:f>IF(D129="Q1",'Assumptions'!B6,IF(OR(D129="Q2",D129="Q3"),'Assumptions'!B7,IF(D129="Q4",400,'Assumptions'!B8)))</x:f>
        <x:v>400</x:v>
      </x:c>
      <x:c r="F129" s="115" t="n">
        <x:f>IF(D129="Q1",'Assumptions'!B9,IF(OR(D129="Q2",D129="Q4"),'Assumptions'!B10,'Assumptions'!B11))</x:f>
        <x:v>5</x:v>
      </x:c>
      <x:c r="G129" s="115" t="n">
        <x:f>E129/F129</x:f>
        <x:v>80</x:v>
      </x:c>
      <x:c r="H129" s="86" t="str">
        <x:v>target areal load at prior field extent</x:v>
      </x:c>
      <x:c r="I129" s="91" t="str"/>
      <x:c r="J129" s="91" t="str"/>
      <x:c r="K129" s="91" t="str"/>
      <x:c r="L129" s="91" t="str"/>
      <x:c r="M129" s="91" t="str"/>
      <x:c r="N129" s="91" t="str">
        <x:v>OPEN</x:v>
      </x:c>
    </x:row>
    <x:row r="130">
      <x:c r="A130" s="86" t="str">
        <x:v>Q-125</x:v>
      </x:c>
      <x:c r="B130" s="86" t="str">
        <x:v>FRC500-16</x:v>
      </x:c>
      <x:c r="C130" s="86" t="str">
        <x:v>B</x:v>
      </x:c>
      <x:c r="D130" s="86" t="str">
        <x:v>Q5</x:v>
      </x:c>
      <x:c r="E130" s="115" t="n">
        <x:f>IF(D130="Q1",'Assumptions'!B6,IF(OR(D130="Q2",D130="Q3"),'Assumptions'!B7,IF(D130="Q4",400,'Assumptions'!B8)))</x:f>
        <x:v>500</x:v>
      </x:c>
      <x:c r="F130" s="115" t="n">
        <x:f>IF(D130="Q1",'Assumptions'!B9,IF(OR(D130="Q2",D130="Q4"),'Assumptions'!B10,'Assumptions'!B11))</x:f>
        <x:v>6.25</x:v>
      </x:c>
      <x:c r="G130" s="115" t="n">
        <x:f>E130/F130</x:f>
        <x:v>80</x:v>
      </x:c>
      <x:c r="H130" s="86" t="str">
        <x:v>exact ER-08 state</x:v>
      </x:c>
      <x:c r="I130" s="91" t="str"/>
      <x:c r="J130" s="91" t="str"/>
      <x:c r="K130" s="91" t="str"/>
      <x:c r="L130" s="91" t="str"/>
      <x:c r="M130" s="91" t="str"/>
      <x:c r="N130" s="91" t="str">
        <x:v>OPEN</x:v>
      </x:c>
    </x:row>
    <x:row r="131">
      <x:c r="A131" s="86" t="str">
        <x:v>Q-126</x:v>
      </x:c>
      <x:c r="B131" s="86" t="str">
        <x:v>FRC500-16</x:v>
      </x:c>
      <x:c r="C131" s="86" t="str">
        <x:v>B</x:v>
      </x:c>
      <x:c r="D131" s="86" t="str">
        <x:v>Q6</x:v>
      </x:c>
      <x:c r="E131" s="115" t="n">
        <x:f>IF(D131="Q1",'Assumptions'!B6,IF(OR(D131="Q2",D131="Q3"),'Assumptions'!B7,IF(D131="Q4",400,'Assumptions'!B8)))</x:f>
        <x:v>500</x:v>
      </x:c>
      <x:c r="F131" s="115" t="n">
        <x:f>IF(D131="Q1",'Assumptions'!B9,IF(OR(D131="Q2",D131="Q4"),'Assumptions'!B10,'Assumptions'!B11))</x:f>
        <x:v>6.25</x:v>
      </x:c>
      <x:c r="G131" s="115" t="n">
        <x:f>E131/F131</x:f>
        <x:v>80</x:v>
      </x:c>
      <x:c r="H131" s="86" t="str">
        <x:v>atmosphere accumulation and exhaust perturbation</x:v>
      </x:c>
      <x:c r="I131" s="91" t="str"/>
      <x:c r="J131" s="91" t="str"/>
      <x:c r="K131" s="91" t="str"/>
      <x:c r="L131" s="91" t="str"/>
      <x:c r="M131" s="91" t="str"/>
      <x:c r="N131" s="91" t="str">
        <x:v>OPEN</x:v>
      </x:c>
    </x:row>
    <x:row r="132">
      <x:c r="A132" s="86" t="str">
        <x:v>Q-127</x:v>
      </x:c>
      <x:c r="B132" s="86" t="str">
        <x:v>FRC500-16</x:v>
      </x:c>
      <x:c r="C132" s="86" t="str">
        <x:v>B</x:v>
      </x:c>
      <x:c r="D132" s="86" t="str">
        <x:v>Q7</x:v>
      </x:c>
      <x:c r="E132" s="115" t="n">
        <x:f>IF(D132="Q1",'Assumptions'!B6,IF(OR(D132="Q2",D132="Q3"),'Assumptions'!B7,IF(D132="Q4",400,'Assumptions'!B8)))</x:f>
        <x:v>500</x:v>
      </x:c>
      <x:c r="F132" s="115" t="n">
        <x:f>IF(D132="Q1",'Assumptions'!B9,IF(OR(D132="Q2",D132="Q4"),'Assumptions'!B10,'Assumptions'!B11))</x:f>
        <x:v>6.25</x:v>
      </x:c>
      <x:c r="G132" s="115" t="n">
        <x:f>E132/F132</x:f>
        <x:v>80</x:v>
      </x:c>
      <x:c r="H132" s="86" t="str">
        <x:v>one root and one primary service denied</x:v>
      </x:c>
      <x:c r="I132" s="91" t="str"/>
      <x:c r="J132" s="91" t="str"/>
      <x:c r="K132" s="91" t="str"/>
      <x:c r="L132" s="91" t="str"/>
      <x:c r="M132" s="91" t="str"/>
      <x:c r="N132" s="91" t="str">
        <x:v>OPEN</x:v>
      </x:c>
    </x:row>
    <x:row r="133">
      <x:c r="A133" s="87" t="str">
        <x:v>Q-128</x:v>
      </x:c>
      <x:c r="B133" s="87" t="str">
        <x:v>FRC500-16</x:v>
      </x:c>
      <x:c r="C133" s="87" t="str">
        <x:v>B</x:v>
      </x:c>
      <x:c r="D133" s="87" t="str">
        <x:v>Q8</x:v>
      </x:c>
      <x:c r="E133" s="116" t="n">
        <x:f>IF(D133="Q1",'Assumptions'!B6,IF(OR(D133="Q2",D133="Q3"),'Assumptions'!B7,IF(D133="Q4",400,'Assumptions'!B8)))</x:f>
        <x:v>500</x:v>
      </x:c>
      <x:c r="F133" s="116" t="n">
        <x:f>IF(D133="Q1",'Assumptions'!B9,IF(OR(D133="Q2",D133="Q4"),'Assumptions'!B10,'Assumptions'!B11))</x:f>
        <x:v>6.25</x:v>
      </x:c>
      <x:c r="G133" s="116" t="n">
        <x:f>E133/F133</x:f>
        <x:v>80</x:v>
      </x:c>
      <x:c r="H133" s="87" t="str">
        <x:v>thermal soak, recovery and return</x:v>
      </x:c>
      <x:c r="I133" s="95" t="str"/>
      <x:c r="J133" s="95" t="str"/>
      <x:c r="K133" s="95" t="str"/>
      <x:c r="L133" s="95" t="str"/>
      <x:c r="M133" s="95" t="str"/>
      <x:c r="N133" s="95" t="str">
        <x:v>OPEN</x:v>
      </x:c>
    </x:row>
  </x:sheetData>
  <x:mergeCells>
    <x:mergeCell ref="A2:N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4" hidden="0" customWidth="1"/>
    <x:col min="4" max="4" width="18" hidden="0" customWidth="1"/>
    <x:col min="5" max="5" width="16" hidden="0" customWidth="1"/>
    <x:col min="6" max="6" width="20" hidden="0" customWidth="1"/>
    <x:col min="7" max="7" width="22" hidden="0" customWidth="1"/>
    <x:col min="8" max="8" width="50" hidden="0" customWidth="1"/>
    <x:col min="9" max="9" width="20" hidden="0" customWidth="1"/>
  </x:cols>
  <x:sheetData>
    <x:row r="2" ht="24" customHeight="1">
      <x:c r="A2" s="82" t="str">
        <x:v>Eight-state qualification logic</x:v>
      </x:c>
      <x:c r="B2" s="83"/>
      <x:c r="C2" s="83"/>
      <x:c r="D2" s="83"/>
      <x:c r="E2" s="83"/>
      <x:c r="F2" s="83"/>
      <x:c r="G2" s="83"/>
      <x:c r="H2" s="83"/>
      <x:c r="I2" s="83"/>
    </x:row>
    <x:row r="3">
      <x:c r="A3" s="84"/>
      <x:c r="B3" s="84"/>
      <x:c r="C3" s="84"/>
      <x:c r="D3" s="84"/>
      <x:c r="E3" s="84"/>
      <x:c r="F3" s="84"/>
      <x:c r="G3" s="84"/>
      <x:c r="H3" s="84"/>
      <x:c r="I3" s="84"/>
    </x:row>
    <x:row r="4">
      <x:c r="A4" s="83"/>
      <x:c r="B4" s="83"/>
      <x:c r="C4" s="83"/>
      <x:c r="D4" s="83"/>
      <x:c r="E4" s="83"/>
      <x:c r="F4" s="83"/>
      <x:c r="G4" s="83"/>
      <x:c r="H4" s="83"/>
      <x:c r="I4" s="83"/>
    </x:row>
    <x:row r="5" ht="22" customHeight="1">
      <x:c r="A5" s="7" t="str">
        <x:v>Cycle</x:v>
      </x:c>
      <x:c r="B5" s="8" t="str">
        <x:v>Source (kg)</x:v>
      </x:c>
      <x:c r="C5" s="8" t="str">
        <x:v>Area (m²)</x:v>
      </x:c>
      <x:c r="D5" s="8" t="str">
        <x:v>Source/area</x:v>
      </x:c>
      <x:c r="E5" s="8" t="str">
        <x:v>Volume (m³)</x:v>
      </x:c>
      <x:c r="F5" s="8" t="str">
        <x:v>Mean depth (mm)</x:v>
      </x:c>
      <x:c r="G5" s="8" t="str">
        <x:v>Notional duration (min)</x:v>
      </x:c>
      <x:c r="H5" s="8" t="str">
        <x:v>Purpose</x:v>
      </x:c>
      <x:c r="I5" s="9" t="str">
        <x:v>Credit</x:v>
      </x:c>
    </x:row>
    <x:row r="6">
      <x:c r="A6" s="85" t="str">
        <x:v>Q1</x:v>
      </x:c>
      <x:c r="B6" s="117" t="n">
        <x:f>'Assumptions'!B6</x:f>
        <x:v>100</x:v>
      </x:c>
      <x:c r="C6" s="117" t="n">
        <x:f>'Assumptions'!B9</x:f>
        <x:v>2.5</x:v>
      </x:c>
      <x:c r="D6" s="117" t="n">
        <x:f>B6/C6</x:f>
        <x:v>40</x:v>
      </x:c>
      <x:c r="E6" s="117" t="n">
        <x:f>B6/'Assumptions'!B12</x:f>
        <x:v>0.125</x:v>
      </x:c>
      <x:c r="F6" s="117" t="n">
        <x:f>E6/C6*1000</x:f>
        <x:v>50</x:v>
      </x:c>
      <x:c r="G6" s="117" t="n">
        <x:f>B6/('Assumptions'!B14*C6)/60</x:f>
        <x:v>12.121212121212121</x:v>
      </x:c>
      <x:c r="H6" s="85" t="str">
        <x:v>accepted low-source anchor</x:v>
      </x:c>
      <x:c r="I6" s="85" t="str">
        <x:v>qualification only</x:v>
      </x:c>
    </x:row>
    <x:row r="7">
      <x:c r="A7" s="86" t="str">
        <x:v>Q2</x:v>
      </x:c>
      <x:c r="B7" s="118" t="n">
        <x:f>'Assumptions'!B7</x:f>
        <x:v>250</x:v>
      </x:c>
      <x:c r="C7" s="118" t="n">
        <x:f>'Assumptions'!B10</x:f>
        <x:v>5</x:v>
      </x:c>
      <x:c r="D7" s="118" t="n">
        <x:f>B7/C7</x:f>
        <x:v>50</x:v>
      </x:c>
      <x:c r="E7" s="118" t="n">
        <x:f>B7/'Assumptions'!B12</x:f>
        <x:v>0.3125</x:v>
      </x:c>
      <x:c r="F7" s="118" t="n">
        <x:f>E7/C7*1000</x:f>
        <x:v>62.5</x:v>
      </x:c>
      <x:c r="G7" s="118" t="n">
        <x:f>B7/('Assumptions'!B14*C7)/60</x:f>
        <x:v>15.15151515151515</x:v>
      </x:c>
      <x:c r="H7" s="86" t="str">
        <x:v>accepted intermediate dry anchor</x:v>
      </x:c>
      <x:c r="I7" s="86" t="str">
        <x:v>qualification only</x:v>
      </x:c>
    </x:row>
    <x:row r="8">
      <x:c r="A8" s="86" t="str">
        <x:v>Q3</x:v>
      </x:c>
      <x:c r="B8" s="118" t="n">
        <x:f>'Assumptions'!B7</x:f>
        <x:v>250</x:v>
      </x:c>
      <x:c r="C8" s="118" t="n">
        <x:f>'Assumptions'!B11</x:f>
        <x:v>6.25</x:v>
      </x:c>
      <x:c r="D8" s="118" t="n">
        <x:f>B8/C8</x:f>
        <x:v>40</x:v>
      </x:c>
      <x:c r="E8" s="118" t="n">
        <x:f>B8/'Assumptions'!B12</x:f>
        <x:v>0.3125</x:v>
      </x:c>
      <x:c r="F8" s="118" t="n">
        <x:f>E8/C8*1000</x:f>
        <x:v>50</x:v>
      </x:c>
      <x:c r="G8" s="118" t="n">
        <x:f>B8/('Assumptions'!B14*C8)/60</x:f>
        <x:v>12.121212121212121</x:v>
      </x:c>
      <x:c r="H8" s="86" t="str">
        <x:v>field expansion at fixed source</x:v>
      </x:c>
      <x:c r="I8" s="86" t="str">
        <x:v>qualification only</x:v>
      </x:c>
    </x:row>
    <x:row r="9">
      <x:c r="A9" s="86" t="str">
        <x:v>Q4</x:v>
      </x:c>
      <x:c r="B9" s="118" t="n">
        <x:f>400</x:f>
        <x:v>400</x:v>
      </x:c>
      <x:c r="C9" s="118" t="n">
        <x:f>'Assumptions'!B10</x:f>
        <x:v>5</x:v>
      </x:c>
      <x:c r="D9" s="118" t="n">
        <x:f>B9/C9</x:f>
        <x:v>80</x:v>
      </x:c>
      <x:c r="E9" s="118" t="n">
        <x:f>B9/'Assumptions'!B12</x:f>
        <x:v>0.5</x:v>
      </x:c>
      <x:c r="F9" s="118" t="n">
        <x:f>E9/C9*1000</x:f>
        <x:v>100</x:v>
      </x:c>
      <x:c r="G9" s="118" t="n">
        <x:f>B9/('Assumptions'!B14*C9)/60</x:f>
        <x:v>24.242424242424242</x:v>
      </x:c>
      <x:c r="H9" s="86" t="str">
        <x:v>target areal load at prior field extent</x:v>
      </x:c>
      <x:c r="I9" s="86" t="str">
        <x:v>qualification only</x:v>
      </x:c>
    </x:row>
    <x:row r="10">
      <x:c r="A10" s="86" t="str">
        <x:v>Q5</x:v>
      </x:c>
      <x:c r="B10" s="118" t="n">
        <x:f>'Assumptions'!B8</x:f>
        <x:v>500</x:v>
      </x:c>
      <x:c r="C10" s="118" t="n">
        <x:f>'Assumptions'!B11</x:f>
        <x:v>6.25</x:v>
      </x:c>
      <x:c r="D10" s="118" t="n">
        <x:f>B10/C10</x:f>
        <x:v>80</x:v>
      </x:c>
      <x:c r="E10" s="118" t="n">
        <x:f>B10/'Assumptions'!B12</x:f>
        <x:v>0.625</x:v>
      </x:c>
      <x:c r="F10" s="118" t="n">
        <x:f>E10/C10*1000</x:f>
        <x:v>100</x:v>
      </x:c>
      <x:c r="G10" s="118" t="n">
        <x:f>B10/('Assumptions'!B14*C10)/60</x:f>
        <x:v>24.242424242424242</x:v>
      </x:c>
      <x:c r="H10" s="86" t="str">
        <x:v>exact ER-08 state</x:v>
      </x:c>
      <x:c r="I10" s="86" t="str">
        <x:v>qualification only</x:v>
      </x:c>
    </x:row>
    <x:row r="11">
      <x:c r="A11" s="86" t="str">
        <x:v>Q6</x:v>
      </x:c>
      <x:c r="B11" s="118" t="n">
        <x:f>'Assumptions'!B8</x:f>
        <x:v>500</x:v>
      </x:c>
      <x:c r="C11" s="118" t="n">
        <x:f>'Assumptions'!B11</x:f>
        <x:v>6.25</x:v>
      </x:c>
      <x:c r="D11" s="118" t="n">
        <x:f>B11/C11</x:f>
        <x:v>80</x:v>
      </x:c>
      <x:c r="E11" s="118" t="n">
        <x:f>B11/'Assumptions'!B12</x:f>
        <x:v>0.625</x:v>
      </x:c>
      <x:c r="F11" s="118" t="n">
        <x:f>E11/C11*1000</x:f>
        <x:v>100</x:v>
      </x:c>
      <x:c r="G11" s="118" t="n">
        <x:f>B11/('Assumptions'!B14*C11)/60</x:f>
        <x:v>24.242424242424242</x:v>
      </x:c>
      <x:c r="H11" s="86" t="str">
        <x:v>atmosphere accumulation and exhaust perturbation</x:v>
      </x:c>
      <x:c r="I11" s="86" t="str">
        <x:v>qualification only</x:v>
      </x:c>
    </x:row>
    <x:row r="12">
      <x:c r="A12" s="86" t="str">
        <x:v>Q7</x:v>
      </x:c>
      <x:c r="B12" s="118" t="n">
        <x:f>'Assumptions'!B8</x:f>
        <x:v>500</x:v>
      </x:c>
      <x:c r="C12" s="118" t="n">
        <x:f>'Assumptions'!B11</x:f>
        <x:v>6.25</x:v>
      </x:c>
      <x:c r="D12" s="118" t="n">
        <x:f>B12/C12</x:f>
        <x:v>80</x:v>
      </x:c>
      <x:c r="E12" s="118" t="n">
        <x:f>B12/'Assumptions'!B12</x:f>
        <x:v>0.625</x:v>
      </x:c>
      <x:c r="F12" s="118" t="n">
        <x:f>E12/C12*1000</x:f>
        <x:v>100</x:v>
      </x:c>
      <x:c r="G12" s="118" t="n">
        <x:f>B12/('Assumptions'!B14*C12)/60</x:f>
        <x:v>24.242424242424242</x:v>
      </x:c>
      <x:c r="H12" s="86" t="str">
        <x:v>one root and one primary service denied</x:v>
      </x:c>
      <x:c r="I12" s="86" t="str">
        <x:v>qualification only</x:v>
      </x:c>
    </x:row>
    <x:row r="13">
      <x:c r="A13" s="87" t="str">
        <x:v>Q8</x:v>
      </x:c>
      <x:c r="B13" s="119" t="n">
        <x:f>'Assumptions'!B8</x:f>
        <x:v>500</x:v>
      </x:c>
      <x:c r="C13" s="119" t="n">
        <x:f>'Assumptions'!B11</x:f>
        <x:v>6.25</x:v>
      </x:c>
      <x:c r="D13" s="119" t="n">
        <x:f>B13/C13</x:f>
        <x:v>80</x:v>
      </x:c>
      <x:c r="E13" s="119" t="n">
        <x:f>B13/'Assumptions'!B12</x:f>
        <x:v>0.625</x:v>
      </x:c>
      <x:c r="F13" s="119" t="n">
        <x:f>E13/C13*1000</x:f>
        <x:v>100</x:v>
      </x:c>
      <x:c r="G13" s="119" t="n">
        <x:f>B13/('Assumptions'!B14*C13)/60</x:f>
        <x:v>24.242424242424242</x:v>
      </x:c>
      <x:c r="H13" s="87" t="str">
        <x:v>thermal soak, recovery and return</x:v>
      </x:c>
      <x:c r="I13" s="87" t="str">
        <x:v>qualification only</x:v>
      </x:c>
    </x:row>
  </x:sheetData>
  <x:mergeCells>
    <x:mergeCell ref="A2:I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8" hidden="0" customWidth="1"/>
    <x:col min="3" max="3" width="42" hidden="0" customWidth="1"/>
    <x:col min="4" max="4" width="24" hidden="0" customWidth="1"/>
    <x:col min="5" max="5" width="20" hidden="0" customWidth="1"/>
    <x:col min="6" max="6" width="36" hidden="0" customWidth="1"/>
    <x:col min="7" max="7" width="14" hidden="0" customWidth="1"/>
  </x:cols>
  <x:sheetData>
    <x:row r="2" ht="24" customHeight="1">
      <x:c r="A2" s="82" t="str">
        <x:v>Five independent 500 kg physical roots</x:v>
      </x:c>
      <x:c r="B2" s="83"/>
      <x:c r="C2" s="83"/>
      <x:c r="D2" s="83"/>
      <x:c r="E2" s="83"/>
      <x:c r="F2" s="83"/>
      <x:c r="G2" s="83"/>
    </x:row>
    <x:row r="3">
      <x:c r="A3" s="84"/>
      <x:c r="B3" s="84"/>
      <x:c r="C3" s="84"/>
      <x:c r="D3" s="84"/>
      <x:c r="E3" s="84"/>
      <x:c r="F3" s="84"/>
      <x:c r="G3" s="84"/>
    </x:row>
    <x:row r="4">
      <x:c r="A4" s="83"/>
      <x:c r="B4" s="83"/>
      <x:c r="C4" s="83"/>
      <x:c r="D4" s="83"/>
      <x:c r="E4" s="83"/>
      <x:c r="F4" s="83"/>
      <x:c r="G4" s="83"/>
    </x:row>
    <x:row r="5" ht="22" customHeight="1">
      <x:c r="A5" s="7" t="str">
        <x:v>Root</x:v>
      </x:c>
      <x:c r="B5" s="8" t="str">
        <x:v>Decisive object</x:v>
      </x:c>
      <x:c r="C5" s="8" t="str">
        <x:v>Physical implementation</x:v>
      </x:c>
      <x:c r="D5" s="8" t="str">
        <x:v>Decision</x:v>
      </x:c>
      <x:c r="E5" s="8" t="str">
        <x:v>Authority</x:v>
      </x:c>
      <x:c r="F5" s="8" t="str">
        <x:v>Shared correction forbidden</x:v>
      </x:c>
      <x:c r="G5" s="9" t="str">
        <x:v>State</x:v>
      </x:c>
    </x:row>
    <x:row r="6">
      <x:c r="A6" s="85" t="str">
        <x:v>PHO-500T</x:v>
      </x:c>
      <x:c r="B6" s="85" t="str">
        <x:v>emission, absorption and obscuration</x:v>
      </x:c>
      <x:c r="C6" s="85" t="str">
        <x:v>short and long protected paths</x:v>
      </x:c>
      <x:c r="D6" s="85" t="str">
        <x:v>flame state</x:v>
      </x:c>
      <x:c r="E6" s="85" t="str">
        <x:v>photon board</x:v>
      </x:c>
      <x:c r="F6" s="85" t="str">
        <x:v>another root's decisive label</x:v>
      </x:c>
      <x:c r="G6" s="100" t="str">
        <x:v>OPEN</x:v>
      </x:c>
    </x:row>
    <x:row r="7">
      <x:c r="A7" s="86" t="str">
        <x:v>ION-500T</x:v>
      </x:c>
      <x:c r="B7" s="86" t="str">
        <x:v>reaction-zone electrical state</x:v>
      </x:c>
      <x:c r="C7" s="86" t="str">
        <x:v>surface and depth interfaces</x:v>
      </x:c>
      <x:c r="D7" s="86" t="str">
        <x:v>flame state</x:v>
      </x:c>
      <x:c r="E7" s="86" t="str">
        <x:v>ion board</x:v>
      </x:c>
      <x:c r="F7" s="86" t="str">
        <x:v>another root's decisive label</x:v>
      </x:c>
      <x:c r="G7" s="91" t="str">
        <x:v>OPEN</x:v>
      </x:c>
    </x:row>
    <x:row r="8">
      <x:c r="A8" s="86" t="str">
        <x:v>TOP-500</x:v>
      </x:c>
      <x:c r="B8" s="86" t="str">
        <x:v>occupied volume, void and position</x:v>
      </x:c>
      <x:c r="C8" s="86" t="str">
        <x:v>surface and depth topology</x:v>
      </x:c>
      <x:c r="D8" s="86" t="str">
        <x:v>inventory state</x:v>
      </x:c>
      <x:c r="E8" s="86" t="str">
        <x:v>topology board</x:v>
      </x:c>
      <x:c r="F8" s="86" t="str">
        <x:v>another root's decisive label</x:v>
      </x:c>
      <x:c r="G8" s="91" t="str">
        <x:v>OPEN</x:v>
      </x:c>
    </x:row>
    <x:row r="9">
      <x:c r="A9" s="86" t="str">
        <x:v>MOL-500T</x:v>
      </x:c>
      <x:c r="B9" s="86" t="str">
        <x:v>gas, particulate, deposits and residue</x:v>
      </x:c>
      <x:c r="C9" s="86" t="str">
        <x:v>multiphase capture routes</x:v>
      </x:c>
      <x:c r="D9" s="86" t="str">
        <x:v>transformation</x:v>
      </x:c>
      <x:c r="E9" s="86" t="str">
        <x:v>product board</x:v>
      </x:c>
      <x:c r="F9" s="86" t="str">
        <x:v>another root's decisive label</x:v>
      </x:c>
      <x:c r="G9" s="91" t="str">
        <x:v>OPEN</x:v>
      </x:c>
    </x:row>
    <x:row r="10">
      <x:c r="A10" s="87" t="str">
        <x:v>CAL-500T</x:v>
      </x:c>
      <x:c r="B10" s="87" t="str">
        <x:v>field, boundary, structure and exhaust energy</x:v>
      </x:c>
      <x:c r="C10" s="87" t="str">
        <x:v>distributed thermal boundaries</x:v>
      </x:c>
      <x:c r="D10" s="87" t="str">
        <x:v>energy and consequence</x:v>
      </x:c>
      <x:c r="E10" s="87" t="str">
        <x:v>thermal board</x:v>
      </x:c>
      <x:c r="F10" s="87" t="str">
        <x:v>another root's decisive label</x:v>
      </x:c>
      <x:c r="G10" s="95" t="str">
        <x:v>OPEN</x:v>
      </x:c>
    </x:row>
  </x:sheetData>
  <x:mergeCells>
    <x:mergeCell ref="A2:G2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2" hidden="0" customWidth="1"/>
    <x:col min="3" max="3" width="34" hidden="0" customWidth="1"/>
    <x:col min="4" max="4" width="24" hidden="0" customWidth="1"/>
    <x:col min="5" max="5" width="22" hidden="0" customWidth="1"/>
    <x:col min="6" max="6" width="22" hidden="0" customWidth="1"/>
    <x:col min="7" max="7" width="14" hidden="0" customWidth="1"/>
  </x:cols>
  <x:sheetData>
    <x:row r="2" ht="24" customHeight="1">
      <x:c r="A2" s="82" t="str">
        <x:v>TOP-500 source-inventory obligations</x:v>
      </x:c>
      <x:c r="B2" s="83"/>
      <x:c r="C2" s="83"/>
      <x:c r="D2" s="83"/>
      <x:c r="E2" s="83"/>
      <x:c r="F2" s="83"/>
      <x:c r="G2" s="83"/>
    </x:row>
    <x:row r="3">
      <x:c r="A3" s="84"/>
      <x:c r="B3" s="84"/>
      <x:c r="C3" s="84"/>
      <x:c r="D3" s="84"/>
      <x:c r="E3" s="84"/>
      <x:c r="F3" s="84"/>
      <x:c r="G3" s="84"/>
    </x:row>
    <x:row r="4">
      <x:c r="A4" s="83"/>
      <x:c r="B4" s="83"/>
      <x:c r="C4" s="83"/>
      <x:c r="D4" s="83"/>
      <x:c r="E4" s="83"/>
      <x:c r="F4" s="83"/>
      <x:c r="G4" s="83"/>
    </x:row>
    <x:row r="5" ht="22" customHeight="1">
      <x:c r="A5" s="7" t="str">
        <x:v>Object</x:v>
      </x:c>
      <x:c r="B5" s="8" t="str">
        <x:v>Required observation</x:v>
      </x:c>
      <x:c r="C5" s="8" t="str">
        <x:v>Native method class</x:v>
      </x:c>
      <x:c r="D5" s="8" t="str">
        <x:v>Perturbation account</x:v>
      </x:c>
      <x:c r="E5" s="8" t="str">
        <x:v>Blind-volume result</x:v>
      </x:c>
      <x:c r="F5" s="8" t="str">
        <x:v>Authority</x:v>
      </x:c>
      <x:c r="G5" s="9" t="str">
        <x:v>State</x:v>
      </x:c>
    </x:row>
    <x:row r="6">
      <x:c r="A6" s="85" t="str">
        <x:v>initial occupied volume</x:v>
      </x:c>
      <x:c r="B6" s="85" t="str">
        <x:v>three-dimensional registered volume</x:v>
      </x:c>
      <x:c r="C6" s="85" t="str">
        <x:v>surveyed mass and topology</x:v>
      </x:c>
      <x:c r="D6" s="85" t="str">
        <x:v>required</x:v>
      </x:c>
      <x:c r="E6" s="100" t="str"/>
      <x:c r="F6" s="100" t="str">
        <x:v>topology board</x:v>
      </x:c>
      <x:c r="G6" s="100" t="str">
        <x:v>OPEN</x:v>
      </x:c>
    </x:row>
    <x:row r="7">
      <x:c r="A7" s="86" t="str">
        <x:v>vertical distribution</x:v>
      </x:c>
      <x:c r="B7" s="86" t="str">
        <x:v>depth by physical zone</x:v>
      </x:c>
      <x:c r="C7" s="86" t="str">
        <x:v>tomography or penetrants</x:v>
      </x:c>
      <x:c r="D7" s="86" t="str">
        <x:v>required</x:v>
      </x:c>
      <x:c r="E7" s="91" t="str"/>
      <x:c r="F7" s="91" t="str">
        <x:v>topology board</x:v>
      </x:c>
      <x:c r="G7" s="91" t="str">
        <x:v>OPEN</x:v>
      </x:c>
    </x:row>
    <x:row r="8">
      <x:c r="A8" s="86" t="str">
        <x:v>exposed surface</x:v>
      </x:c>
      <x:c r="B8" s="86" t="str">
        <x:v>time-resolved interface area</x:v>
      </x:c>
      <x:c r="C8" s="86" t="str">
        <x:v>independent surface root</x:v>
      </x:c>
      <x:c r="D8" s="86" t="str">
        <x:v>required</x:v>
      </x:c>
      <x:c r="E8" s="91" t="str"/>
      <x:c r="F8" s="91" t="str">
        <x:v>topology board</x:v>
      </x:c>
      <x:c r="G8" s="91" t="str">
        <x:v>OPEN</x:v>
      </x:c>
    </x:row>
    <x:row r="9">
      <x:c r="A9" s="86" t="str">
        <x:v>internal void</x:v>
      </x:c>
      <x:c r="B9" s="86" t="str">
        <x:v>bounded void fraction</x:v>
      </x:c>
      <x:c r="C9" s="86" t="str">
        <x:v>volumetric root</x:v>
      </x:c>
      <x:c r="D9" s="86" t="str">
        <x:v>required</x:v>
      </x:c>
      <x:c r="E9" s="91" t="str"/>
      <x:c r="F9" s="91" t="str">
        <x:v>topology board</x:v>
      </x:c>
      <x:c r="G9" s="91" t="str">
        <x:v>OPEN</x:v>
      </x:c>
    </x:row>
    <x:row r="10">
      <x:c r="A10" s="86" t="str">
        <x:v>redistribution</x:v>
      </x:c>
      <x:c r="B10" s="86" t="str">
        <x:v>settlement, collapse, spread and ejection</x:v>
      </x:c>
      <x:c r="C10" s="86" t="str">
        <x:v>local time and position</x:v>
      </x:c>
      <x:c r="D10" s="86" t="str">
        <x:v>required</x:v>
      </x:c>
      <x:c r="E10" s="91" t="str"/>
      <x:c r="F10" s="91" t="str">
        <x:v>topology board</x:v>
      </x:c>
      <x:c r="G10" s="91" t="str">
        <x:v>OPEN</x:v>
      </x:c>
    </x:row>
    <x:row r="11">
      <x:c r="A11" s="86" t="str">
        <x:v>route departure</x:v>
      </x:c>
      <x:c r="B11" s="86" t="str">
        <x:v>mass leaving active field by time</x:v>
      </x:c>
      <x:c r="C11" s="86" t="str">
        <x:v>route custody</x:v>
      </x:c>
      <x:c r="D11" s="86" t="str">
        <x:v>required</x:v>
      </x:c>
      <x:c r="E11" s="91" t="str"/>
      <x:c r="F11" s="91" t="str">
        <x:v>source custody</x:v>
      </x:c>
      <x:c r="G11" s="91" t="str">
        <x:v>OPEN</x:v>
      </x:c>
    </x:row>
    <x:row r="12">
      <x:c r="A12" s="86" t="str">
        <x:v>blind volume</x:v>
      </x:c>
      <x:c r="B12" s="86" t="str">
        <x:v>unknown volume and uncertainty</x:v>
      </x:c>
      <x:c r="C12" s="86" t="str">
        <x:v>explicit unresolved region</x:v>
      </x:c>
      <x:c r="D12" s="86" t="str">
        <x:v>required</x:v>
      </x:c>
      <x:c r="E12" s="91" t="str"/>
      <x:c r="F12" s="91" t="str">
        <x:v>independent review</x:v>
      </x:c>
      <x:c r="G12" s="91" t="str">
        <x:v>OPEN</x:v>
      </x:c>
    </x:row>
    <x:row r="13">
      <x:c r="A13" s="87" t="str">
        <x:v>terminal position</x:v>
      </x:c>
      <x:c r="B13" s="87" t="str">
        <x:v>source location before recovery</x:v>
      </x:c>
      <x:c r="C13" s="87" t="str">
        <x:v>survey and custody</x:v>
      </x:c>
      <x:c r="D13" s="87" t="str">
        <x:v>required</x:v>
      </x:c>
      <x:c r="E13" s="95" t="str"/>
      <x:c r="F13" s="95" t="str">
        <x:v>return board</x:v>
      </x:c>
      <x:c r="G13" s="95" t="str">
        <x:v>OPEN</x:v>
      </x:c>
    </x:row>
  </x:sheetData>
  <x:mergeCells>
    <x:mergeCell ref="A2:G2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0" hidden="0" customWidth="1"/>
    <x:col min="8" max="8" width="16" hidden="0" customWidth="1"/>
    <x:col min="9" max="9" width="14" hidden="0" customWidth="1"/>
    <x:col min="10" max="10" width="14" hidden="0" customWidth="1"/>
    <x:col min="11" max="11" width="44" hidden="0" customWidth="1"/>
    <x:col min="12" max="12" width="12" hidden="0" customWidth="1"/>
    <x:col min="13" max="13" width="16" hidden="0" customWidth="1"/>
    <x:col min="14" max="14" width="14" hidden="0" customWidth="1"/>
  </x:cols>
  <x:sheetData>
    <x:row r="2" ht="24" customHeight="1">
      <x:c r="A2" s="82" t="str">
        <x:v>Twelve exact ER-08 cells</x:v>
      </x:c>
      <x:c r="B2" s="83"/>
      <x:c r="C2" s="83"/>
      <x:c r="D2" s="83"/>
      <x:c r="E2" s="83"/>
      <x:c r="F2" s="83"/>
      <x:c r="G2" s="83"/>
      <x:c r="H2" s="83"/>
      <x:c r="I2" s="83"/>
      <x:c r="J2" s="83"/>
      <x:c r="K2" s="83"/>
      <x:c r="L2" s="83"/>
      <x:c r="M2" s="83"/>
      <x:c r="N2" s="83"/>
    </x:row>
    <x:row r="3">
      <x:c r="A3" s="84"/>
      <x:c r="B3" s="84"/>
      <x:c r="C3" s="84"/>
      <x:c r="D3" s="84"/>
      <x:c r="E3" s="84"/>
      <x:c r="F3" s="84"/>
      <x:c r="G3" s="84"/>
      <x:c r="H3" s="84"/>
      <x:c r="I3" s="84"/>
      <x:c r="J3" s="84"/>
      <x:c r="K3" s="84"/>
      <x:c r="L3" s="84"/>
      <x:c r="M3" s="84"/>
      <x:c r="N3" s="84"/>
    </x:row>
    <x:row r="4">
      <x:c r="A4" s="83"/>
      <x:c r="B4" s="83"/>
      <x:c r="C4" s="83"/>
      <x:c r="D4" s="83"/>
      <x:c r="E4" s="83"/>
      <x:c r="F4" s="83"/>
      <x:c r="G4" s="83"/>
      <x:c r="H4" s="83"/>
      <x:c r="I4" s="83"/>
      <x:c r="J4" s="83"/>
      <x:c r="K4" s="83"/>
      <x:c r="L4" s="83"/>
      <x:c r="M4" s="83"/>
      <x:c r="N4" s="83"/>
    </x:row>
    <x:row r="5" ht="22" customHeight="1">
      <x:c r="A5" s="7" t="str">
        <x:v>Cell</x:v>
      </x:c>
      <x:c r="B5" s="8" t="str">
        <x:v>Campus</x:v>
      </x:c>
      <x:c r="C5" s="8" t="str">
        <x:v>Source lineage</x:v>
      </x:c>
      <x:c r="D5" s="8" t="str">
        <x:v>Module lineage</x:v>
      </x:c>
      <x:c r="E5" s="8" t="str">
        <x:v>Module</x:v>
      </x:c>
      <x:c r="F5" s="8" t="str">
        <x:v>Igniter lineage</x:v>
      </x:c>
      <x:c r="G5" s="8" t="str">
        <x:v>Architecture</x:v>
      </x:c>
      <x:c r="H5" s="8" t="str">
        <x:v>Source (kg)</x:v>
      </x:c>
      <x:c r="I5" s="8" t="str">
        <x:v>Area (m²)</x:v>
      </x:c>
      <x:c r="J5" s="8" t="str">
        <x:v>Water (m³)</x:v>
      </x:c>
      <x:c r="K5" s="8" t="str">
        <x:v>Disposition</x:v>
      </x:c>
      <x:c r="L5" s="8" t="str">
        <x:v>Credit</x:v>
      </x:c>
      <x:c r="M5" s="8" t="str">
        <x:v>Return</x:v>
      </x:c>
      <x:c r="N5" s="9" t="str">
        <x:v>State</x:v>
      </x:c>
    </x:row>
    <x:row r="6">
      <x:c r="A6" s="85" t="str">
        <x:v>ER08-01</x:v>
      </x:c>
      <x:c r="B6" s="85" t="str">
        <x:v>C1</x:v>
      </x:c>
      <x:c r="C6" s="85" t="str">
        <x:v>S-A</x:v>
      </x:c>
      <x:c r="D6" s="85" t="str">
        <x:v>A</x:v>
      </x:c>
      <x:c r="E6" s="85" t="str">
        <x:v>FRC500-01</x:v>
      </x:c>
      <x:c r="F6" s="85" t="str">
        <x:v>I-A</x:v>
      </x:c>
      <x:c r="G6" s="100" t="str"/>
      <x:c r="H6" s="120" t="n">
        <x:f>'Assumptions'!B8</x:f>
        <x:v>500</x:v>
      </x:c>
      <x:c r="I6" s="120" t="n">
        <x:f>'Assumptions'!B11</x:f>
        <x:v>6.25</x:v>
      </x:c>
      <x:c r="J6" s="120" t="n">
        <x:f>0</x:f>
        <x:v>0</x:v>
      </x:c>
      <x:c r="K6" s="100" t="str"/>
      <x:c r="L6" s="100" t="str">
        <x:f>IF(K6="VALID-ER08-BOUNDED",1,IF(K6="","",0))</x:f>
      </x:c>
      <x:c r="M6" s="100" t="str"/>
      <x:c r="N6" s="100" t="str">
        <x:v>OPEN</x:v>
      </x:c>
    </x:row>
    <x:row r="7">
      <x:c r="A7" s="86" t="str">
        <x:v>ER08-02</x:v>
      </x:c>
      <x:c r="B7" s="86" t="str">
        <x:v>C1</x:v>
      </x:c>
      <x:c r="C7" s="86" t="str">
        <x:v>S-A</x:v>
      </x:c>
      <x:c r="D7" s="86" t="str">
        <x:v>B</x:v>
      </x:c>
      <x:c r="E7" s="86" t="str">
        <x:v>FRC500-02</x:v>
      </x:c>
      <x:c r="F7" s="86" t="str">
        <x:v>I-B</x:v>
      </x:c>
      <x:c r="G7" s="91" t="str"/>
      <x:c r="H7" s="121" t="n">
        <x:f>'Assumptions'!B8</x:f>
        <x:v>500</x:v>
      </x:c>
      <x:c r="I7" s="121" t="n">
        <x:f>'Assumptions'!B11</x:f>
        <x:v>6.25</x:v>
      </x:c>
      <x:c r="J7" s="121" t="n">
        <x:f>0</x:f>
        <x:v>0</x:v>
      </x:c>
      <x:c r="K7" s="91" t="str"/>
      <x:c r="L7" s="91" t="str">
        <x:f>IF(K7="VALID-ER08-BOUNDED",1,IF(K7="","",0))</x:f>
      </x:c>
      <x:c r="M7" s="91" t="str"/>
      <x:c r="N7" s="91" t="str">
        <x:v>OPEN</x:v>
      </x:c>
    </x:row>
    <x:row r="8">
      <x:c r="A8" s="86" t="str">
        <x:v>ER08-03</x:v>
      </x:c>
      <x:c r="B8" s="86" t="str">
        <x:v>C1</x:v>
      </x:c>
      <x:c r="C8" s="86" t="str">
        <x:v>S-B</x:v>
      </x:c>
      <x:c r="D8" s="86" t="str">
        <x:v>A</x:v>
      </x:c>
      <x:c r="E8" s="86" t="str">
        <x:v>FRC500-03</x:v>
      </x:c>
      <x:c r="F8" s="86" t="str">
        <x:v>I-A</x:v>
      </x:c>
      <x:c r="G8" s="91" t="str"/>
      <x:c r="H8" s="121" t="n">
        <x:f>'Assumptions'!B8</x:f>
        <x:v>500</x:v>
      </x:c>
      <x:c r="I8" s="121" t="n">
        <x:f>'Assumptions'!B11</x:f>
        <x:v>6.25</x:v>
      </x:c>
      <x:c r="J8" s="121" t="n">
        <x:f>0</x:f>
        <x:v>0</x:v>
      </x:c>
      <x:c r="K8" s="91" t="str"/>
      <x:c r="L8" s="91" t="str">
        <x:f>IF(K8="VALID-ER08-BOUNDED",1,IF(K8="","",0))</x:f>
      </x:c>
      <x:c r="M8" s="91" t="str"/>
      <x:c r="N8" s="91" t="str">
        <x:v>OPEN</x:v>
      </x:c>
    </x:row>
    <x:row r="9">
      <x:c r="A9" s="86" t="str">
        <x:v>ER08-04</x:v>
      </x:c>
      <x:c r="B9" s="86" t="str">
        <x:v>C1</x:v>
      </x:c>
      <x:c r="C9" s="86" t="str">
        <x:v>S-B</x:v>
      </x:c>
      <x:c r="D9" s="86" t="str">
        <x:v>B</x:v>
      </x:c>
      <x:c r="E9" s="86" t="str">
        <x:v>FRC500-04</x:v>
      </x:c>
      <x:c r="F9" s="86" t="str">
        <x:v>I-B</x:v>
      </x:c>
      <x:c r="G9" s="91" t="str"/>
      <x:c r="H9" s="121" t="n">
        <x:f>'Assumptions'!B8</x:f>
        <x:v>500</x:v>
      </x:c>
      <x:c r="I9" s="121" t="n">
        <x:f>'Assumptions'!B11</x:f>
        <x:v>6.25</x:v>
      </x:c>
      <x:c r="J9" s="121" t="n">
        <x:f>0</x:f>
        <x:v>0</x:v>
      </x:c>
      <x:c r="K9" s="91" t="str"/>
      <x:c r="L9" s="91" t="str">
        <x:f>IF(K9="VALID-ER08-BOUNDED",1,IF(K9="","",0))</x:f>
      </x:c>
      <x:c r="M9" s="91" t="str"/>
      <x:c r="N9" s="91" t="str">
        <x:v>OPEN</x:v>
      </x:c>
    </x:row>
    <x:row r="10">
      <x:c r="A10" s="86" t="str">
        <x:v>ER08-05</x:v>
      </x:c>
      <x:c r="B10" s="86" t="str">
        <x:v>C2</x:v>
      </x:c>
      <x:c r="C10" s="86" t="str">
        <x:v>S-A</x:v>
      </x:c>
      <x:c r="D10" s="86" t="str">
        <x:v>A</x:v>
      </x:c>
      <x:c r="E10" s="86" t="str">
        <x:v>FRC500-05</x:v>
      </x:c>
      <x:c r="F10" s="86" t="str">
        <x:v>I-A</x:v>
      </x:c>
      <x:c r="G10" s="91" t="str"/>
      <x:c r="H10" s="121" t="n">
        <x:f>'Assumptions'!B8</x:f>
        <x:v>500</x:v>
      </x:c>
      <x:c r="I10" s="121" t="n">
        <x:f>'Assumptions'!B11</x:f>
        <x:v>6.25</x:v>
      </x:c>
      <x:c r="J10" s="121" t="n">
        <x:f>0</x:f>
        <x:v>0</x:v>
      </x:c>
      <x:c r="K10" s="91" t="str"/>
      <x:c r="L10" s="91" t="str">
        <x:f>IF(K10="VALID-ER08-BOUNDED",1,IF(K10="","",0))</x:f>
      </x:c>
      <x:c r="M10" s="91" t="str"/>
      <x:c r="N10" s="91" t="str">
        <x:v>OPEN</x:v>
      </x:c>
    </x:row>
    <x:row r="11">
      <x:c r="A11" s="86" t="str">
        <x:v>ER08-06</x:v>
      </x:c>
      <x:c r="B11" s="86" t="str">
        <x:v>C2</x:v>
      </x:c>
      <x:c r="C11" s="86" t="str">
        <x:v>S-A</x:v>
      </x:c>
      <x:c r="D11" s="86" t="str">
        <x:v>B</x:v>
      </x:c>
      <x:c r="E11" s="86" t="str">
        <x:v>FRC500-06</x:v>
      </x:c>
      <x:c r="F11" s="86" t="str">
        <x:v>I-B</x:v>
      </x:c>
      <x:c r="G11" s="91" t="str"/>
      <x:c r="H11" s="121" t="n">
        <x:f>'Assumptions'!B8</x:f>
        <x:v>500</x:v>
      </x:c>
      <x:c r="I11" s="121" t="n">
        <x:f>'Assumptions'!B11</x:f>
        <x:v>6.25</x:v>
      </x:c>
      <x:c r="J11" s="121" t="n">
        <x:f>0</x:f>
        <x:v>0</x:v>
      </x:c>
      <x:c r="K11" s="91" t="str"/>
      <x:c r="L11" s="91" t="str">
        <x:f>IF(K11="VALID-ER08-BOUNDED",1,IF(K11="","",0))</x:f>
      </x:c>
      <x:c r="M11" s="91" t="str"/>
      <x:c r="N11" s="91" t="str">
        <x:v>OPEN</x:v>
      </x:c>
    </x:row>
    <x:row r="12">
      <x:c r="A12" s="86" t="str">
        <x:v>ER08-07</x:v>
      </x:c>
      <x:c r="B12" s="86" t="str">
        <x:v>C2</x:v>
      </x:c>
      <x:c r="C12" s="86" t="str">
        <x:v>S-B</x:v>
      </x:c>
      <x:c r="D12" s="86" t="str">
        <x:v>A</x:v>
      </x:c>
      <x:c r="E12" s="86" t="str">
        <x:v>FRC500-07</x:v>
      </x:c>
      <x:c r="F12" s="86" t="str">
        <x:v>I-A</x:v>
      </x:c>
      <x:c r="G12" s="91" t="str"/>
      <x:c r="H12" s="121" t="n">
        <x:f>'Assumptions'!B8</x:f>
        <x:v>500</x:v>
      </x:c>
      <x:c r="I12" s="121" t="n">
        <x:f>'Assumptions'!B11</x:f>
        <x:v>6.25</x:v>
      </x:c>
      <x:c r="J12" s="121" t="n">
        <x:f>0</x:f>
        <x:v>0</x:v>
      </x:c>
      <x:c r="K12" s="91" t="str"/>
      <x:c r="L12" s="91" t="str">
        <x:f>IF(K12="VALID-ER08-BOUNDED",1,IF(K12="","",0))</x:f>
      </x:c>
      <x:c r="M12" s="91" t="str"/>
      <x:c r="N12" s="91" t="str">
        <x:v>OPEN</x:v>
      </x:c>
    </x:row>
    <x:row r="13">
      <x:c r="A13" s="86" t="str">
        <x:v>ER08-08</x:v>
      </x:c>
      <x:c r="B13" s="86" t="str">
        <x:v>C2</x:v>
      </x:c>
      <x:c r="C13" s="86" t="str">
        <x:v>S-B</x:v>
      </x:c>
      <x:c r="D13" s="86" t="str">
        <x:v>B</x:v>
      </x:c>
      <x:c r="E13" s="86" t="str">
        <x:v>FRC500-08</x:v>
      </x:c>
      <x:c r="F13" s="86" t="str">
        <x:v>I-B</x:v>
      </x:c>
      <x:c r="G13" s="91" t="str"/>
      <x:c r="H13" s="121" t="n">
        <x:f>'Assumptions'!B8</x:f>
        <x:v>500</x:v>
      </x:c>
      <x:c r="I13" s="121" t="n">
        <x:f>'Assumptions'!B11</x:f>
        <x:v>6.25</x:v>
      </x:c>
      <x:c r="J13" s="121" t="n">
        <x:f>0</x:f>
        <x:v>0</x:v>
      </x:c>
      <x:c r="K13" s="91" t="str"/>
      <x:c r="L13" s="91" t="str">
        <x:f>IF(K13="VALID-ER08-BOUNDED",1,IF(K13="","",0))</x:f>
      </x:c>
      <x:c r="M13" s="91" t="str"/>
      <x:c r="N13" s="91" t="str">
        <x:v>OPEN</x:v>
      </x:c>
    </x:row>
    <x:row r="14">
      <x:c r="A14" s="86" t="str">
        <x:v>ER08-09</x:v>
      </x:c>
      <x:c r="B14" s="86" t="str">
        <x:v>C3</x:v>
      </x:c>
      <x:c r="C14" s="86" t="str">
        <x:v>S-A</x:v>
      </x:c>
      <x:c r="D14" s="86" t="str">
        <x:v>A</x:v>
      </x:c>
      <x:c r="E14" s="86" t="str">
        <x:v>FRC500-09</x:v>
      </x:c>
      <x:c r="F14" s="86" t="str">
        <x:v>I-A</x:v>
      </x:c>
      <x:c r="G14" s="91" t="str"/>
      <x:c r="H14" s="121" t="n">
        <x:f>'Assumptions'!B8</x:f>
        <x:v>500</x:v>
      </x:c>
      <x:c r="I14" s="121" t="n">
        <x:f>'Assumptions'!B11</x:f>
        <x:v>6.25</x:v>
      </x:c>
      <x:c r="J14" s="121" t="n">
        <x:f>0</x:f>
        <x:v>0</x:v>
      </x:c>
      <x:c r="K14" s="91" t="str"/>
      <x:c r="L14" s="91" t="str">
        <x:f>IF(K14="VALID-ER08-BOUNDED",1,IF(K14="","",0))</x:f>
      </x:c>
      <x:c r="M14" s="91" t="str"/>
      <x:c r="N14" s="91" t="str">
        <x:v>OPEN</x:v>
      </x:c>
    </x:row>
    <x:row r="15">
      <x:c r="A15" s="86" t="str">
        <x:v>ER08-10</x:v>
      </x:c>
      <x:c r="B15" s="86" t="str">
        <x:v>C3</x:v>
      </x:c>
      <x:c r="C15" s="86" t="str">
        <x:v>S-A</x:v>
      </x:c>
      <x:c r="D15" s="86" t="str">
        <x:v>B</x:v>
      </x:c>
      <x:c r="E15" s="86" t="str">
        <x:v>FRC500-10</x:v>
      </x:c>
      <x:c r="F15" s="86" t="str">
        <x:v>I-B</x:v>
      </x:c>
      <x:c r="G15" s="91" t="str"/>
      <x:c r="H15" s="121" t="n">
        <x:f>'Assumptions'!B8</x:f>
        <x:v>500</x:v>
      </x:c>
      <x:c r="I15" s="121" t="n">
        <x:f>'Assumptions'!B11</x:f>
        <x:v>6.25</x:v>
      </x:c>
      <x:c r="J15" s="121" t="n">
        <x:f>0</x:f>
        <x:v>0</x:v>
      </x:c>
      <x:c r="K15" s="91" t="str"/>
      <x:c r="L15" s="91" t="str">
        <x:f>IF(K15="VALID-ER08-BOUNDED",1,IF(K15="","",0))</x:f>
      </x:c>
      <x:c r="M15" s="91" t="str"/>
      <x:c r="N15" s="91" t="str">
        <x:v>OPEN</x:v>
      </x:c>
    </x:row>
    <x:row r="16">
      <x:c r="A16" s="86" t="str">
        <x:v>ER08-11</x:v>
      </x:c>
      <x:c r="B16" s="86" t="str">
        <x:v>C3</x:v>
      </x:c>
      <x:c r="C16" s="86" t="str">
        <x:v>S-B</x:v>
      </x:c>
      <x:c r="D16" s="86" t="str">
        <x:v>A</x:v>
      </x:c>
      <x:c r="E16" s="86" t="str">
        <x:v>FRC500-11</x:v>
      </x:c>
      <x:c r="F16" s="86" t="str">
        <x:v>I-A</x:v>
      </x:c>
      <x:c r="G16" s="91" t="str"/>
      <x:c r="H16" s="121" t="n">
        <x:f>'Assumptions'!B8</x:f>
        <x:v>500</x:v>
      </x:c>
      <x:c r="I16" s="121" t="n">
        <x:f>'Assumptions'!B11</x:f>
        <x:v>6.25</x:v>
      </x:c>
      <x:c r="J16" s="121" t="n">
        <x:f>0</x:f>
        <x:v>0</x:v>
      </x:c>
      <x:c r="K16" s="91" t="str"/>
      <x:c r="L16" s="91" t="str">
        <x:f>IF(K16="VALID-ER08-BOUNDED",1,IF(K16="","",0))</x:f>
      </x:c>
      <x:c r="M16" s="91" t="str"/>
      <x:c r="N16" s="91" t="str">
        <x:v>OPEN</x:v>
      </x:c>
    </x:row>
    <x:row r="17">
      <x:c r="A17" s="87" t="str">
        <x:v>ER08-12</x:v>
      </x:c>
      <x:c r="B17" s="87" t="str">
        <x:v>C3</x:v>
      </x:c>
      <x:c r="C17" s="87" t="str">
        <x:v>S-B</x:v>
      </x:c>
      <x:c r="D17" s="87" t="str">
        <x:v>B</x:v>
      </x:c>
      <x:c r="E17" s="87" t="str">
        <x:v>FRC500-12</x:v>
      </x:c>
      <x:c r="F17" s="87" t="str">
        <x:v>I-B</x:v>
      </x:c>
      <x:c r="G17" s="95" t="str"/>
      <x:c r="H17" s="122" t="n">
        <x:f>'Assumptions'!B8</x:f>
        <x:v>500</x:v>
      </x:c>
      <x:c r="I17" s="122" t="n">
        <x:f>'Assumptions'!B11</x:f>
        <x:v>6.25</x:v>
      </x:c>
      <x:c r="J17" s="122" t="n">
        <x:f>0</x:f>
        <x:v>0</x:v>
      </x:c>
      <x:c r="K17" s="95" t="str"/>
      <x:c r="L17" s="95" t="str">
        <x:f>IF(K17="VALID-ER08-BOUNDED",1,IF(K17="","",0))</x:f>
      </x:c>
      <x:c r="M17" s="95" t="str"/>
      <x:c r="N17" s="95" t="str">
        <x:v>OPEN</x:v>
      </x:c>
    </x:row>
    <x:row r="18">
      <x:c r="A18" s="83"/>
      <x:c r="B18" s="83"/>
      <x:c r="C18" s="83"/>
      <x:c r="D18" s="83"/>
      <x:c r="E18" s="83"/>
      <x:c r="F18" s="83"/>
      <x:c r="G18" s="83"/>
      <x:c r="H18" s="83"/>
      <x:c r="I18" s="83"/>
      <x:c r="J18" s="83"/>
      <x:c r="K18" s="83"/>
      <x:c r="L18" s="83"/>
      <x:c r="M18" s="83"/>
      <x:c r="N18" s="83"/>
    </x:row>
    <x:row r="19">
      <x:c r="A19" s="83"/>
      <x:c r="B19" s="83"/>
      <x:c r="C19" s="83"/>
      <x:c r="D19" s="83"/>
      <x:c r="E19" s="83"/>
      <x:c r="F19" s="83"/>
      <x:c r="G19" s="83"/>
      <x:c r="H19" s="83"/>
      <x:c r="I19" s="83"/>
      <x:c r="J19" s="83"/>
      <x:c r="K19" s="83"/>
      <x:c r="L19" s="83"/>
      <x:c r="M19" s="83"/>
      <x:c r="N19" s="83"/>
    </x:row>
    <x:row r="20" ht="22" customHeight="1">
      <x:c r="A20" s="40" t="str">
        <x:v>Program account</x:v>
      </x:c>
      <x:c r="B20" s="42" t="str">
        <x:v>Result</x:v>
      </x:c>
      <x:c r="C20" s="83"/>
      <x:c r="D20" s="83"/>
      <x:c r="E20" s="83"/>
      <x:c r="F20" s="83"/>
      <x:c r="G20" s="83"/>
      <x:c r="H20" s="83"/>
      <x:c r="I20" s="83"/>
      <x:c r="J20" s="83"/>
      <x:c r="K20" s="83"/>
      <x:c r="L20" s="83"/>
      <x:c r="M20" s="83"/>
      <x:c r="N20" s="83"/>
    </x:row>
    <x:row r="21">
      <x:c r="A21" s="85" t="str">
        <x:v>required class source (kg)</x:v>
      </x:c>
      <x:c r="B21" s="123" t="n">
        <x:f>SUM(H6:H17)</x:f>
        <x:v>6000</x:v>
      </x:c>
      <x:c r="C21" s="83"/>
      <x:c r="D21" s="83"/>
      <x:c r="E21" s="83"/>
      <x:c r="F21" s="83"/>
      <x:c r="G21" s="83"/>
      <x:c r="H21" s="83"/>
      <x:c r="I21" s="83"/>
      <x:c r="J21" s="83"/>
      <x:c r="K21" s="83"/>
      <x:c r="L21" s="83"/>
      <x:c r="M21" s="83"/>
      <x:c r="N21" s="83"/>
    </x:row>
    <x:row r="22">
      <x:c r="A22" s="86" t="str">
        <x:v>maximum class source (kg)</x:v>
      </x:c>
      <x:c r="B22" s="124" t="n">
        <x:f>B21+'Assumptions'!B42*'Assumptions'!B8</x:f>
        <x:v>8000</x:v>
      </x:c>
      <x:c r="C22" s="83"/>
      <x:c r="D22" s="83"/>
      <x:c r="E22" s="83"/>
      <x:c r="F22" s="83"/>
      <x:c r="G22" s="83"/>
      <x:c r="H22" s="83"/>
      <x:c r="I22" s="83"/>
      <x:c r="J22" s="83"/>
      <x:c r="K22" s="83"/>
      <x:c r="L22" s="83"/>
      <x:c r="M22" s="83"/>
      <x:c r="N22" s="83"/>
    </x:row>
    <x:row r="23">
      <x:c r="A23" s="86" t="str">
        <x:v>qualification source (kg)</x:v>
      </x:c>
      <x:c r="B23" s="124" t="n">
        <x:f>SUM('Qualification'!E6:E133)</x:f>
        <x:v>48000</x:v>
      </x:c>
      <x:c r="C23" s="83"/>
      <x:c r="D23" s="83"/>
      <x:c r="E23" s="83"/>
      <x:c r="F23" s="83"/>
      <x:c r="G23" s="83"/>
      <x:c r="H23" s="83"/>
      <x:c r="I23" s="83"/>
      <x:c r="J23" s="83"/>
      <x:c r="K23" s="83"/>
      <x:c r="L23" s="83"/>
      <x:c r="M23" s="83"/>
      <x:c r="N23" s="83"/>
    </x:row>
    <x:row r="24">
      <x:c r="A24" s="86" t="str">
        <x:v>maximum integrated source (kg)</x:v>
      </x:c>
      <x:c r="B24" s="124" t="n">
        <x:f>B22+B23</x:f>
        <x:v>56000</x:v>
      </x:c>
      <x:c r="C24" s="83"/>
      <x:c r="D24" s="83"/>
      <x:c r="E24" s="83"/>
      <x:c r="F24" s="83"/>
      <x:c r="G24" s="83"/>
      <x:c r="H24" s="83"/>
      <x:c r="I24" s="83"/>
      <x:c r="J24" s="83"/>
      <x:c r="K24" s="83"/>
      <x:c r="L24" s="83"/>
      <x:c r="M24" s="83"/>
      <x:c r="N24" s="83"/>
    </x:row>
    <x:row r="25">
      <x:c r="A25" s="86" t="str">
        <x:v>required credits</x:v>
      </x:c>
      <x:c r="B25" s="124" t="n">
        <x:f>'Assumptions'!B41</x:f>
        <x:v>12</x:v>
      </x:c>
      <x:c r="C25" s="83"/>
      <x:c r="D25" s="83"/>
      <x:c r="E25" s="83"/>
      <x:c r="F25" s="83"/>
      <x:c r="G25" s="83"/>
      <x:c r="H25" s="83"/>
      <x:c r="I25" s="83"/>
      <x:c r="J25" s="83"/>
      <x:c r="K25" s="83"/>
      <x:c r="L25" s="83"/>
      <x:c r="M25" s="83"/>
      <x:c r="N25" s="83"/>
    </x:row>
    <x:row r="26">
      <x:c r="A26" s="87" t="str">
        <x:v>maximum attempts</x:v>
      </x:c>
      <x:c r="B26" s="125" t="n">
        <x:f>'Assumptions'!B41+'Assumptions'!B42</x:f>
        <x:v>16</x:v>
      </x:c>
      <x:c r="C26" s="83"/>
      <x:c r="D26" s="83"/>
      <x:c r="E26" s="83"/>
      <x:c r="F26" s="83"/>
      <x:c r="G26" s="83"/>
      <x:c r="H26" s="83"/>
      <x:c r="I26" s="83"/>
      <x:c r="J26" s="83"/>
      <x:c r="K26" s="83"/>
      <x:c r="L26" s="83"/>
      <x:c r="M26" s="83"/>
      <x:c r="N26" s="83"/>
    </x:row>
  </x:sheetData>
  <x:mergeCells>
    <x:mergeCell ref="A2:N2"/>
  </x:mergeCells>
  <x:dataValidations count="1">
    <x:dataValidation type="list" sqref="K6:K17">
      <x:formula1>",INVALID,VALID-NO-FLAME,VALID-FLAME-TRANSFORMATION-INDETERMINATE,VALID-TOPOLOGY-INDETERMINATE,VALID-ATMOSPHERE-INDETERMINATE,VALID-THERMAL-ADVERSE,VALID-SAFEING-ADVERSE,VALID-PUBLIC-INTERVENTION,VALID-RETURN-ADVERSE,VALID-ER08-BOUNDED"</x:formula1>
    </x:dataValidation>
  </x:dataValidation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24" hidden="0" customWidth="1"/>
    <x:col min="9" max="9" width="20" hidden="0" customWidth="1"/>
  </x:cols>
  <x:sheetData>
    <x:row r="2" ht="24" customHeight="1">
      <x:c r="A2" s="82" t="str">
        <x:v>Four exact-cell invalidity reserves</x:v>
      </x:c>
      <x:c r="B2" s="83"/>
      <x:c r="C2" s="83"/>
      <x:c r="D2" s="83"/>
      <x:c r="E2" s="83"/>
      <x:c r="F2" s="83"/>
      <x:c r="G2" s="83"/>
      <x:c r="H2" s="83"/>
      <x:c r="I2" s="83"/>
    </x:row>
    <x:row r="3">
      <x:c r="A3" s="84"/>
      <x:c r="B3" s="84"/>
      <x:c r="C3" s="84"/>
      <x:c r="D3" s="84"/>
      <x:c r="E3" s="84"/>
      <x:c r="F3" s="84"/>
      <x:c r="G3" s="84"/>
      <x:c r="H3" s="84"/>
      <x:c r="I3" s="84"/>
    </x:row>
    <x:row r="4">
      <x:c r="A4" s="83"/>
      <x:c r="B4" s="83"/>
      <x:c r="C4" s="83"/>
      <x:c r="D4" s="83"/>
      <x:c r="E4" s="83"/>
      <x:c r="F4" s="83"/>
      <x:c r="G4" s="83"/>
      <x:c r="H4" s="83"/>
      <x:c r="I4" s="83"/>
    </x:row>
    <x:row r="5" ht="22" customHeight="1">
      <x:c r="A5" s="7" t="str">
        <x:v>Reserve</x:v>
      </x:c>
      <x:c r="B5" s="8" t="str">
        <x:v>State</x:v>
      </x:c>
      <x:c r="C5" s="8" t="str">
        <x:v>Inherited cell</x:v>
      </x:c>
      <x:c r="D5" s="8" t="str">
        <x:v>Campus</x:v>
      </x:c>
      <x:c r="E5" s="8" t="str">
        <x:v>Source lineage</x:v>
      </x:c>
      <x:c r="F5" s="8" t="str">
        <x:v>Module lineage</x:v>
      </x:c>
      <x:c r="G5" s="8" t="str">
        <x:v>Module</x:v>
      </x:c>
      <x:c r="H5" s="8" t="str">
        <x:v>Activation decision</x:v>
      </x:c>
      <x:c r="I5" s="9" t="str">
        <x:v>Credit effect</x:v>
      </x:c>
    </x:row>
    <x:row r="6">
      <x:c r="A6" s="85" t="str">
        <x:v>R-01</x:v>
      </x:c>
      <x:c r="B6" s="85" t="str">
        <x:v>DORMANT</x:v>
      </x:c>
      <x:c r="C6" s="100" t="str"/>
      <x:c r="D6" s="100" t="str"/>
      <x:c r="E6" s="100" t="str"/>
      <x:c r="F6" s="100" t="str"/>
      <x:c r="G6" s="100" t="str"/>
      <x:c r="H6" s="100" t="str"/>
      <x:c r="I6" s="85" t="str">
        <x:v>invalid event only</x:v>
      </x:c>
    </x:row>
    <x:row r="7">
      <x:c r="A7" s="86" t="str">
        <x:v>R-02</x:v>
      </x:c>
      <x:c r="B7" s="86" t="str">
        <x:v>DORMANT</x:v>
      </x:c>
      <x:c r="C7" s="91" t="str"/>
      <x:c r="D7" s="91" t="str"/>
      <x:c r="E7" s="91" t="str"/>
      <x:c r="F7" s="91" t="str"/>
      <x:c r="G7" s="91" t="str"/>
      <x:c r="H7" s="91" t="str"/>
      <x:c r="I7" s="86" t="str">
        <x:v>invalid event only</x:v>
      </x:c>
    </x:row>
    <x:row r="8">
      <x:c r="A8" s="86" t="str">
        <x:v>R-03</x:v>
      </x:c>
      <x:c r="B8" s="86" t="str">
        <x:v>DORMANT</x:v>
      </x:c>
      <x:c r="C8" s="91" t="str"/>
      <x:c r="D8" s="91" t="str"/>
      <x:c r="E8" s="91" t="str"/>
      <x:c r="F8" s="91" t="str"/>
      <x:c r="G8" s="91" t="str"/>
      <x:c r="H8" s="91" t="str"/>
      <x:c r="I8" s="86" t="str">
        <x:v>invalid event only</x:v>
      </x:c>
    </x:row>
    <x:row r="9">
      <x:c r="A9" s="87" t="str">
        <x:v>R-04</x:v>
      </x:c>
      <x:c r="B9" s="87" t="str">
        <x:v>DORMANT</x:v>
      </x:c>
      <x:c r="C9" s="95" t="str"/>
      <x:c r="D9" s="95" t="str"/>
      <x:c r="E9" s="95" t="str"/>
      <x:c r="F9" s="95" t="str"/>
      <x:c r="G9" s="95" t="str"/>
      <x:c r="H9" s="95" t="str"/>
      <x:c r="I9" s="87" t="str">
        <x:v>invalid event only</x:v>
      </x:c>
    </x:row>
  </x:sheetData>
  <x:mergeCells>
    <x:mergeCell ref="A2:I2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2" hidden="0" customWidth="1"/>
    <x:col min="3" max="3" width="58" hidden="0" customWidth="1"/>
    <x:col min="4" max="4" width="26" hidden="0" customWidth="1"/>
    <x:col min="5" max="5" width="20" hidden="0" customWidth="1"/>
    <x:col min="6" max="6" width="20" hidden="0" customWidth="1"/>
  </x:cols>
  <x:sheetData>
    <x:row r="2" ht="24" customHeight="1">
      <x:c r="A2" s="82" t="str">
        <x:v>Sixteen-proposition ER-08 event contract</x:v>
      </x:c>
      <x:c r="B2" s="83"/>
      <x:c r="C2" s="83"/>
      <x:c r="D2" s="83"/>
      <x:c r="E2" s="83"/>
      <x:c r="F2" s="83"/>
    </x:row>
    <x:row r="3">
      <x:c r="A3" s="84"/>
      <x:c r="B3" s="84"/>
      <x:c r="C3" s="84"/>
      <x:c r="D3" s="84"/>
      <x:c r="E3" s="84"/>
      <x:c r="F3" s="84"/>
    </x:row>
    <x:row r="4">
      <x:c r="A4" s="83"/>
      <x:c r="B4" s="83"/>
      <x:c r="C4" s="83"/>
      <x:c r="D4" s="83"/>
      <x:c r="E4" s="83"/>
      <x:c r="F4" s="83"/>
    </x:row>
    <x:row r="5" ht="22" customHeight="1">
      <x:c r="A5" s="7" t="str">
        <x:v>No.</x:v>
      </x:c>
      <x:c r="B5" s="8" t="str">
        <x:v>Proposition</x:v>
      </x:c>
      <x:c r="C5" s="8" t="str">
        <x:v>Decisive evidence</x:v>
      </x:c>
      <x:c r="D5" s="8" t="str">
        <x:v>Authority</x:v>
      </x:c>
      <x:c r="E5" s="8" t="str">
        <x:v>Physical result</x:v>
      </x:c>
      <x:c r="F5" s="9" t="str">
        <x:v>Credit effect</x:v>
      </x:c>
    </x:row>
    <x:row r="6">
      <x:c r="A6" s="106" t="n">
        <x:v>1</x:v>
      </x:c>
      <x:c r="B6" s="85" t="str">
        <x:v>source identity and entry</x:v>
      </x:c>
      <x:c r="C6" s="85" t="str">
        <x:v>lot, route, rate, mass and custody</x:v>
      </x:c>
      <x:c r="D6" s="85" t="str">
        <x:v>source custody</x:v>
      </x:c>
      <x:c r="E6" s="100" t="str"/>
      <x:c r="F6" s="85" t="str">
        <x:v>hard condition</x:v>
      </x:c>
    </x:row>
    <x:row r="7">
      <x:c r="A7" s="108" t="n">
        <x:v>2</x:v>
      </x:c>
      <x:c r="B7" s="86" t="str">
        <x:v>initial field geometry</x:v>
      </x:c>
      <x:c r="C7" s="86" t="str">
        <x:v>area, depth, boundary and zones</x:v>
      </x:c>
      <x:c r="D7" s="86" t="str">
        <x:v>geometry authority</x:v>
      </x:c>
      <x:c r="E7" s="91" t="str"/>
      <x:c r="F7" s="86" t="str">
        <x:v>hard condition</x:v>
      </x:c>
    </x:row>
    <x:row r="8">
      <x:c r="A8" s="108" t="n">
        <x:v>3</x:v>
      </x:c>
      <x:c r="B8" s="86" t="str">
        <x:v>inventory topology</x:v>
      </x:c>
      <x:c r="C8" s="86" t="str">
        <x:v>occupied volume, void, position and blind volume</x:v>
      </x:c>
      <x:c r="D8" s="86" t="str">
        <x:v>topology board</x:v>
      </x:c>
      <x:c r="E8" s="91" t="str"/>
      <x:c r="F8" s="86" t="str">
        <x:v>hard condition</x:v>
      </x:c>
    </x:row>
    <x:row r="9">
      <x:c r="A9" s="108" t="n">
        <x:v>4</x:v>
      </x:c>
      <x:c r="B9" s="86" t="str">
        <x:v>ignition opportunity</x:v>
      </x:c>
      <x:c r="C9" s="86" t="str">
        <x:v>energy, location, time and removal</x:v>
      </x:c>
      <x:c r="D9" s="86" t="str">
        <x:v>igniter authority</x:v>
      </x:c>
      <x:c r="E9" s="91" t="str"/>
      <x:c r="F9" s="86" t="str">
        <x:v>hard condition</x:v>
      </x:c>
    </x:row>
    <x:row r="10">
      <x:c r="A10" s="108" t="n">
        <x:v>5</x:v>
      </x:c>
      <x:c r="B10" s="86" t="str">
        <x:v>pre-flame state</x:v>
      </x:c>
      <x:c r="C10" s="86" t="str">
        <x:v>sealed source, field, atmosphere and root baselines</x:v>
      </x:c>
      <x:c r="D10" s="86" t="str">
        <x:v>test authority</x:v>
      </x:c>
      <x:c r="E10" s="91" t="str"/>
      <x:c r="F10" s="86" t="str">
        <x:v>hard condition</x:v>
      </x:c>
    </x:row>
    <x:row r="11">
      <x:c r="A11" s="108" t="n">
        <x:v>6</x:v>
      </x:c>
      <x:c r="B11" s="86" t="str">
        <x:v>flame state</x:v>
      </x:c>
      <x:c r="C11" s="86" t="str">
        <x:v>independent PHO and ION decisions</x:v>
      </x:c>
      <x:c r="D11" s="86" t="str">
        <x:v>two flame boards</x:v>
      </x:c>
      <x:c r="E11" s="91" t="str"/>
      <x:c r="F11" s="86" t="str">
        <x:v>hard condition</x:v>
      </x:c>
    </x:row>
    <x:row r="12">
      <x:c r="A12" s="108" t="n">
        <x:v>7</x:v>
      </x:c>
      <x:c r="B12" s="86" t="str">
        <x:v>temporal continuity</x:v>
      </x:c>
      <x:c r="C12" s="86" t="str">
        <x:v>onset, persistence, extinction and recurrence</x:v>
      </x:c>
      <x:c r="D12" s="86" t="str">
        <x:v>causal-time board</x:v>
      </x:c>
      <x:c r="E12" s="91" t="str"/>
      <x:c r="F12" s="86" t="str">
        <x:v>hard condition</x:v>
      </x:c>
    </x:row>
    <x:row r="13">
      <x:c r="A13" s="108" t="n">
        <x:v>8</x:v>
      </x:c>
      <x:c r="B13" s="86" t="str">
        <x:v>inventory evolution</x:v>
      </x:c>
      <x:c r="C13" s="86" t="str">
        <x:v>collapse, redistribution, ejection and terminal position</x:v>
      </x:c>
      <x:c r="D13" s="86" t="str">
        <x:v>topology board</x:v>
      </x:c>
      <x:c r="E13" s="91" t="str"/>
      <x:c r="F13" s="86" t="str">
        <x:v>hard condition</x:v>
      </x:c>
    </x:row>
    <x:row r="14">
      <x:c r="A14" s="108" t="n">
        <x:v>9</x:v>
      </x:c>
      <x:c r="B14" s="86" t="str">
        <x:v>transformation</x:v>
      </x:c>
      <x:c r="C14" s="86" t="str">
        <x:v>gas, particulate, condensate, deposits and residue</x:v>
      </x:c>
      <x:c r="D14" s="86" t="str">
        <x:v>product custody</x:v>
      </x:c>
      <x:c r="E14" s="91" t="str"/>
      <x:c r="F14" s="86" t="str">
        <x:v>hard condition</x:v>
      </x:c>
    </x:row>
    <x:row r="15">
      <x:c r="A15" s="108" t="n">
        <x:v>10</x:v>
      </x:c>
      <x:c r="B15" s="86" t="str">
        <x:v>field energy</x:v>
      </x:c>
      <x:c r="C15" s="86" t="str">
        <x:v>release, surface storage and residual energy</x:v>
      </x:c>
      <x:c r="D15" s="86" t="str">
        <x:v>thermal authority</x:v>
      </x:c>
      <x:c r="E15" s="91" t="str"/>
      <x:c r="F15" s="86" t="str">
        <x:v>hard condition</x:v>
      </x:c>
    </x:row>
    <x:row r="16">
      <x:c r="A16" s="108" t="n">
        <x:v>11</x:v>
      </x:c>
      <x:c r="B16" s="86" t="str">
        <x:v>boundary consequence</x:v>
      </x:c>
      <x:c r="C16" s="86" t="str">
        <x:v>perimeter, radiant and structure exposure</x:v>
      </x:c>
      <x:c r="D16" s="86" t="str">
        <x:v>consequence board</x:v>
      </x:c>
      <x:c r="E16" s="91" t="str"/>
      <x:c r="F16" s="86" t="str">
        <x:v>hard condition</x:v>
      </x:c>
    </x:row>
    <x:row r="17">
      <x:c r="A17" s="108" t="n">
        <x:v>12</x:v>
      </x:c>
      <x:c r="B17" s="86" t="str">
        <x:v>atmosphere supply</x:v>
      </x:c>
      <x:c r="C17" s="86" t="str">
        <x:v>composition, mass, flow and field entry</x:v>
      </x:c>
      <x:c r="D17" s="86" t="str">
        <x:v>atmosphere authority</x:v>
      </x:c>
      <x:c r="E17" s="91" t="str"/>
      <x:c r="F17" s="86" t="str">
        <x:v>hard condition</x:v>
      </x:c>
    </x:row>
    <x:row r="18">
      <x:c r="A18" s="108" t="n">
        <x:v>13</x:v>
      </x:c>
      <x:c r="B18" s="86" t="str">
        <x:v>exhaust closure</x:v>
      </x:c>
      <x:c r="C18" s="86" t="str">
        <x:v>capture, transit, products, heat and bypass</x:v>
      </x:c>
      <x:c r="D18" s="86" t="str">
        <x:v>exhaust authority</x:v>
      </x:c>
      <x:c r="E18" s="91" t="str"/>
      <x:c r="F18" s="86" t="str">
        <x:v>hard condition</x:v>
      </x:c>
    </x:row>
    <x:row r="19">
      <x:c r="A19" s="108" t="n">
        <x:v>14</x:v>
      </x:c>
      <x:c r="B19" s="86" t="str">
        <x:v>safe end and public action</x:v>
      </x:c>
      <x:c r="C19" s="86" t="str">
        <x:v>final elements and intervention clock</x:v>
      </x:c>
      <x:c r="D19" s="86" t="str">
        <x:v>safeing boards</x:v>
      </x:c>
      <x:c r="E19" s="91" t="str"/>
      <x:c r="F19" s="86" t="str">
        <x:v>hard condition</x:v>
      </x:c>
    </x:row>
    <x:row r="20">
      <x:c r="A20" s="108" t="n">
        <x:v>15</x:v>
      </x:c>
      <x:c r="B20" s="86" t="str">
        <x:v>evidence and replay</x:v>
      </x:c>
      <x:c r="C20" s="86" t="str">
        <x:v>native packets, local time and two reconstructions</x:v>
      </x:c>
      <x:c r="D20" s="86" t="str">
        <x:v>evidence custody</x:v>
      </x:c>
      <x:c r="E20" s="91" t="str"/>
      <x:c r="F20" s="86" t="str">
        <x:v>hard condition</x:v>
      </x:c>
    </x:row>
    <x:row r="21">
      <x:c r="A21" s="110" t="n">
        <x:v>16</x:v>
      </x:c>
      <x:c r="B21" s="87" t="str">
        <x:v>return</x:v>
      </x:c>
      <x:c r="C21" s="87" t="str">
        <x:v>1,008-hour module, host and calibration baseline</x:v>
      </x:c>
      <x:c r="D21" s="87" t="str">
        <x:v>return board</x:v>
      </x:c>
      <x:c r="E21" s="95" t="str"/>
      <x:c r="F21" s="87" t="str">
        <x:v>hard condition</x:v>
      </x:c>
    </x:row>
  </x:sheetData>
  <x:mergeCells>
    <x:mergeCell ref="A2:F2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14" hidden="0" customWidth="1"/>
    <x:col min="3" max="3" width="12" hidden="0" customWidth="1"/>
    <x:col min="4" max="4" width="54" hidden="0" customWidth="1"/>
    <x:col min="5" max="5" width="28" hidden="0" customWidth="1"/>
  </x:cols>
  <x:sheetData>
    <x:row r="2" ht="24" customHeight="1">
      <x:c r="A2" s="82" t="str">
        <x:v>Valid event outcomes and exact-cell credit</x:v>
      </x:c>
      <x:c r="B2" s="83"/>
      <x:c r="C2" s="83"/>
      <x:c r="D2" s="83"/>
      <x:c r="E2" s="83"/>
    </x:row>
    <x:row r="3">
      <x:c r="A3" s="84"/>
      <x:c r="B3" s="84"/>
      <x:c r="C3" s="84"/>
      <x:c r="D3" s="84"/>
      <x:c r="E3" s="84"/>
    </x:row>
    <x:row r="4">
      <x:c r="A4" s="83"/>
      <x:c r="B4" s="83"/>
      <x:c r="C4" s="83"/>
      <x:c r="D4" s="83"/>
      <x:c r="E4" s="83"/>
    </x:row>
    <x:row r="5" ht="22" customHeight="1">
      <x:c r="A5" s="7" t="str">
        <x:v>Disposition</x:v>
      </x:c>
      <x:c r="B5" s="8" t="str">
        <x:v>Validity</x:v>
      </x:c>
      <x:c r="C5" s="8" t="str">
        <x:v>Credit</x:v>
      </x:c>
      <x:c r="D5" s="8" t="str">
        <x:v>Meaning</x:v>
      </x:c>
      <x:c r="E5" s="9" t="str">
        <x:v>Reserve allowed</x:v>
      </x:c>
    </x:row>
    <x:row r="6">
      <x:c r="A6" s="85" t="str">
        <x:v>INVALID</x:v>
      </x:c>
      <x:c r="B6" s="85" t="str">
        <x:v>failed</x:v>
      </x:c>
      <x:c r="C6" s="106" t="n">
        <x:v>0</x:v>
      </x:c>
      <x:c r="D6" s="85" t="str">
        <x:v>one or more propositions undecidable</x:v>
      </x:c>
      <x:c r="E6" s="85" t="str">
        <x:v>after independent adjudication</x:v>
      </x:c>
    </x:row>
    <x:row r="7">
      <x:c r="A7" s="86" t="str">
        <x:v>VALID-NO-FLAME</x:v>
      </x:c>
      <x:c r="B7" s="86" t="str">
        <x:v>passed</x:v>
      </x:c>
      <x:c r="C7" s="108" t="n">
        <x:v>0</x:v>
      </x:c>
      <x:c r="D7" s="86" t="str">
        <x:v>valid opportunity; flame absent</x:v>
      </x:c>
      <x:c r="E7" s="86" t="str">
        <x:v>NO</x:v>
      </x:c>
    </x:row>
    <x:row r="8">
      <x:c r="A8" s="86" t="str">
        <x:v>VALID-FLAME-TRANSFORMATION-INDETERMINATE</x:v>
      </x:c>
      <x:c r="B8" s="86" t="str">
        <x:v>passed</x:v>
      </x:c>
      <x:c r="C8" s="108" t="n">
        <x:v>0</x:v>
      </x:c>
      <x:c r="D8" s="86" t="str">
        <x:v>flame present; transformation undecidable</x:v>
      </x:c>
      <x:c r="E8" s="86" t="str">
        <x:v>NO</x:v>
      </x:c>
    </x:row>
    <x:row r="9">
      <x:c r="A9" s="86" t="str">
        <x:v>VALID-TOPOLOGY-INDETERMINATE</x:v>
      </x:c>
      <x:c r="B9" s="86" t="str">
        <x:v>passed</x:v>
      </x:c>
      <x:c r="C9" s="108" t="n">
        <x:v>0</x:v>
      </x:c>
      <x:c r="D9" s="86" t="str">
        <x:v>inventory topology undecidable</x:v>
      </x:c>
      <x:c r="E9" s="86" t="str">
        <x:v>NO</x:v>
      </x:c>
    </x:row>
    <x:row r="10">
      <x:c r="A10" s="86" t="str">
        <x:v>VALID-ATMOSPHERE-INDETERMINATE</x:v>
      </x:c>
      <x:c r="B10" s="86" t="str">
        <x:v>passed</x:v>
      </x:c>
      <x:c r="C10" s="108" t="n">
        <x:v>0</x:v>
      </x:c>
      <x:c r="D10" s="86" t="str">
        <x:v>supply, exhaust or bypass undecidable</x:v>
      </x:c>
      <x:c r="E10" s="86" t="str">
        <x:v>NO</x:v>
      </x:c>
    </x:row>
    <x:row r="11">
      <x:c r="A11" s="86" t="str">
        <x:v>VALID-THERMAL-ADVERSE</x:v>
      </x:c>
      <x:c r="B11" s="86" t="str">
        <x:v>passed</x:v>
      </x:c>
      <x:c r="C11" s="108" t="n">
        <x:v>0</x:v>
      </x:c>
      <x:c r="D11" s="86" t="str">
        <x:v>energy or boundary limit failed</x:v>
      </x:c>
      <x:c r="E11" s="86" t="str">
        <x:v>NO</x:v>
      </x:c>
    </x:row>
    <x:row r="12">
      <x:c r="A12" s="86" t="str">
        <x:v>VALID-SAFEING-ADVERSE</x:v>
      </x:c>
      <x:c r="B12" s="86" t="str">
        <x:v>passed</x:v>
      </x:c>
      <x:c r="C12" s="108" t="n">
        <x:v>0</x:v>
      </x:c>
      <x:c r="D12" s="86" t="str">
        <x:v>final state or isolation failed</x:v>
      </x:c>
      <x:c r="E12" s="86" t="str">
        <x:v>NO</x:v>
      </x:c>
    </x:row>
    <x:row r="13">
      <x:c r="A13" s="86" t="str">
        <x:v>VALID-PUBLIC-INTERVENTION</x:v>
      </x:c>
      <x:c r="B13" s="86" t="str">
        <x:v>passed</x:v>
      </x:c>
      <x:c r="C13" s="108" t="n">
        <x:v>0</x:v>
      </x:c>
      <x:c r="D13" s="86" t="str">
        <x:v>public action bounded consequence</x:v>
      </x:c>
      <x:c r="E13" s="86" t="str">
        <x:v>NO</x:v>
      </x:c>
    </x:row>
    <x:row r="14">
      <x:c r="A14" s="86" t="str">
        <x:v>VALID-RETURN-ADVERSE</x:v>
      </x:c>
      <x:c r="B14" s="86" t="str">
        <x:v>passed</x:v>
      </x:c>
      <x:c r="C14" s="108" t="n">
        <x:v>0</x:v>
      </x:c>
      <x:c r="D14" s="86" t="str">
        <x:v>event closed; article did not return</x:v>
      </x:c>
      <x:c r="E14" s="86" t="str">
        <x:v>NO</x:v>
      </x:c>
    </x:row>
    <x:row r="15">
      <x:c r="A15" s="87" t="str">
        <x:v>VALID-ER08-BOUNDED</x:v>
      </x:c>
      <x:c r="B15" s="87" t="str">
        <x:v>passed</x:v>
      </x:c>
      <x:c r="C15" s="110" t="n">
        <x:v>1</x:v>
      </x:c>
      <x:c r="D15" s="87" t="str">
        <x:v>all sixteen propositions and fixed limits pass</x:v>
      </x:c>
      <x:c r="E15" s="87" t="str">
        <x:v>NO</x:v>
      </x:c>
    </x:row>
  </x:sheetData>
  <x:mergeCells>
    <x:mergeCell ref="A2:E2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4" hidden="0" customWidth="1"/>
    <x:col min="3" max="3" width="72" hidden="0" customWidth="1"/>
    <x:col min="4" max="4" width="28" hidden="0" customWidth="1"/>
    <x:col min="5" max="5" width="14" hidden="0" customWidth="1"/>
  </x:cols>
  <x:sheetData>
    <x:row r="2" ht="24" customHeight="1">
      <x:c r="A2" s="82" t="str">
        <x:v>Registered field-time causal clock</x:v>
      </x:c>
      <x:c r="B2" s="83"/>
      <x:c r="C2" s="83"/>
      <x:c r="D2" s="83"/>
      <x:c r="E2" s="83"/>
    </x:row>
    <x:row r="3">
      <x:c r="A3" s="84"/>
      <x:c r="B3" s="84"/>
      <x:c r="C3" s="84"/>
      <x:c r="D3" s="84"/>
      <x:c r="E3" s="84"/>
    </x:row>
    <x:row r="4">
      <x:c r="A4" s="83"/>
      <x:c r="B4" s="83"/>
      <x:c r="C4" s="83"/>
      <x:c r="D4" s="83"/>
      <x:c r="E4" s="83"/>
    </x:row>
    <x:row r="5" ht="22" customHeight="1">
      <x:c r="A5" s="7" t="str">
        <x:v>Order</x:v>
      </x:c>
      <x:c r="B5" s="8" t="str">
        <x:v>Time</x:v>
      </x:c>
      <x:c r="C5" s="8" t="str">
        <x:v>Required state or action</x:v>
      </x:c>
      <x:c r="D5" s="8" t="str">
        <x:v>Decisive owner</x:v>
      </x:c>
      <x:c r="E5" s="9" t="str">
        <x:v>State</x:v>
      </x:c>
    </x:row>
    <x:row r="6">
      <x:c r="A6" s="106" t="n">
        <x:v>1</x:v>
      </x:c>
      <x:c r="B6" s="85" t="str">
        <x:v>T-120 h</x:v>
      </x:c>
      <x:c r="C6" s="85" t="str">
        <x:v>field, module, source, opportunity, roots, boundaries and cell frozen</x:v>
      </x:c>
      <x:c r="D6" s="85" t="str">
        <x:v>configuration authority</x:v>
      </x:c>
      <x:c r="E6" s="100" t="str">
        <x:v>OPEN</x:v>
      </x:c>
    </x:row>
    <x:row r="7">
      <x:c r="A7" s="108" t="n">
        <x:v>2</x:v>
      </x:c>
      <x:c r="B7" s="86" t="str">
        <x:v>T-60 min</x:v>
      </x:c>
      <x:c r="C7" s="86" t="str">
        <x:v>native trunks, atmosphere, exhaust, safeing and receivers armed</x:v>
      </x:c>
      <x:c r="D7" s="86" t="str">
        <x:v>test authority</x:v>
      </x:c>
      <x:c r="E7" s="91" t="str">
        <x:v>OPEN</x:v>
      </x:c>
    </x:row>
    <x:row r="8">
      <x:c r="A8" s="108" t="n">
        <x:v>3</x:v>
      </x:c>
      <x:c r="B8" s="86" t="str">
        <x:v>T-180 s</x:v>
      </x:c>
      <x:c r="C8" s="86" t="str">
        <x:v>full-rate acquisition and dry baselines begin</x:v>
      </x:c>
      <x:c r="D8" s="86" t="str">
        <x:v>evidence custody</x:v>
      </x:c>
      <x:c r="E8" s="91" t="str">
        <x:v>OPEN</x:v>
      </x:c>
    </x:row>
    <x:row r="9">
      <x:c r="A9" s="108" t="n">
        <x:v>4</x:v>
      </x:c>
      <x:c r="B9" s="86" t="str">
        <x:v>T0</x:v>
      </x:c>
      <x:c r="C9" s="86" t="str">
        <x:v>complete registered source issue begins</x:v>
      </x:c>
      <x:c r="D9" s="86" t="str">
        <x:v>source authority</x:v>
      </x:c>
      <x:c r="E9" s="91" t="str">
        <x:v>OPEN</x:v>
      </x:c>
    </x:row>
    <x:row r="10">
      <x:c r="A10" s="108" t="n">
        <x:v>5</x:v>
      </x:c>
      <x:c r="B10" s="86" t="str">
        <x:v>source issue complete</x:v>
      </x:c>
      <x:c r="C10" s="86" t="str">
        <x:v>500 kg terminal field custody sealed</x:v>
      </x:c>
      <x:c r="D10" s="86" t="str">
        <x:v>source custody</x:v>
      </x:c>
      <x:c r="E10" s="91" t="str">
        <x:v>OPEN</x:v>
      </x:c>
    </x:row>
    <x:row r="11">
      <x:c r="A11" s="108" t="n">
        <x:v>6</x:v>
      </x:c>
      <x:c r="B11" s="86" t="str">
        <x:v>registered opportunity</x:v>
      </x:c>
      <x:c r="C11" s="86" t="str">
        <x:v>one accepted igniter opportunity</x:v>
      </x:c>
      <x:c r="D11" s="86" t="str">
        <x:v>igniter authority</x:v>
      </x:c>
      <x:c r="E11" s="91" t="str">
        <x:v>OPEN</x:v>
      </x:c>
    </x:row>
    <x:row r="12">
      <x:c r="A12" s="108" t="n">
        <x:v>7</x:v>
      </x:c>
      <x:c r="B12" s="86" t="str">
        <x:v>flame onset interval</x:v>
      </x:c>
      <x:c r="C12" s="86" t="str">
        <x:v>independent PHO and ION decisions</x:v>
      </x:c>
      <x:c r="D12" s="86" t="str">
        <x:v>flame boards</x:v>
      </x:c>
      <x:c r="E12" s="91" t="str">
        <x:v>OPEN</x:v>
      </x:c>
    </x:row>
    <x:row r="13">
      <x:c r="A13" s="108" t="n">
        <x:v>8</x:v>
      </x:c>
      <x:c r="B13" s="86" t="str">
        <x:v>developed-field interval</x:v>
      </x:c>
      <x:c r="C13" s="86" t="str">
        <x:v>TOP, MOL, CAL, atmosphere and exhaust active</x:v>
      </x:c>
      <x:c r="D13" s="86" t="str">
        <x:v>root boards</x:v>
      </x:c>
      <x:c r="E13" s="91" t="str">
        <x:v>OPEN</x:v>
      </x:c>
    </x:row>
    <x:row r="14">
      <x:c r="A14" s="108" t="n">
        <x:v>9</x:v>
      </x:c>
      <x:c r="B14" s="86" t="str">
        <x:v>source-energy termination</x:v>
      </x:c>
      <x:c r="C14" s="86" t="str">
        <x:v>source and igniter safeing available independently</x:v>
      </x:c>
      <x:c r="D14" s="86" t="str">
        <x:v>safeing boards</x:v>
      </x:c>
      <x:c r="E14" s="91" t="str">
        <x:v>OPEN</x:v>
      </x:c>
    </x:row>
    <x:row r="15">
      <x:c r="A15" s="108" t="n">
        <x:v>10</x:v>
      </x:c>
      <x:c r="B15" s="86" t="str">
        <x:v>T+45 min</x:v>
      </x:c>
      <x:c r="C15" s="86" t="str">
        <x:v>reference event interval closes if safe</x:v>
      </x:c>
      <x:c r="D15" s="86" t="str">
        <x:v>test authority</x:v>
      </x:c>
      <x:c r="E15" s="91" t="str">
        <x:v>OPEN</x:v>
      </x:c>
    </x:row>
    <x:row r="16">
      <x:c r="A16" s="108" t="n">
        <x:v>11</x:v>
      </x:c>
      <x:c r="B16" s="86" t="str">
        <x:v>T+90 min</x:v>
      </x:c>
      <x:c r="C16" s="86" t="str">
        <x:v>remote-entry class may be assigned</x:v>
      </x:c>
      <x:c r="D16" s="86" t="str">
        <x:v>entry authority</x:v>
      </x:c>
      <x:c r="E16" s="91" t="str">
        <x:v>OPEN</x:v>
      </x:c>
    </x:row>
    <x:row r="17">
      <x:c r="A17" s="108" t="n">
        <x:v>12</x:v>
      </x:c>
      <x:c r="B17" s="86" t="str">
        <x:v>T+8 h</x:v>
      </x:c>
      <x:c r="C17" s="86" t="str">
        <x:v>atmosphere, exhaust, product and cooldown tier closes if safe</x:v>
      </x:c>
      <x:c r="D17" s="86" t="str">
        <x:v>evidence custody</x:v>
      </x:c>
      <x:c r="E17" s="91" t="str">
        <x:v>OPEN</x:v>
      </x:c>
    </x:row>
    <x:row r="18">
      <x:c r="A18" s="108" t="n">
        <x:v>13</x:v>
      </x:c>
      <x:c r="B18" s="86" t="str">
        <x:v>T+24 h</x:v>
      </x:c>
      <x:c r="C18" s="86" t="str">
        <x:v>four accounts and exposure ledger due</x:v>
      </x:c>
      <x:c r="D18" s="86" t="str">
        <x:v>account boards</x:v>
      </x:c>
      <x:c r="E18" s="91" t="str">
        <x:v>OPEN</x:v>
      </x:c>
    </x:row>
    <x:row r="19">
      <x:c r="A19" s="108" t="n">
        <x:v>14</x:v>
      </x:c>
      <x:c r="B19" s="86" t="str">
        <x:v>T+72 h</x:v>
      </x:c>
      <x:c r="C19" s="86" t="str">
        <x:v>first return observation and native packet freeze</x:v>
      </x:c>
      <x:c r="D19" s="86" t="str">
        <x:v>return board</x:v>
      </x:c>
      <x:c r="E19" s="91" t="str">
        <x:v>OPEN</x:v>
      </x:c>
    </x:row>
    <x:row r="20">
      <x:c r="A20" s="108" t="n">
        <x:v>15</x:v>
      </x:c>
      <x:c r="B20" s="86" t="str">
        <x:v>T+336 h</x:v>
      </x:c>
      <x:c r="C20" s="86" t="str">
        <x:v>field, roots, liners, deposits and calibration observed</x:v>
      </x:c>
      <x:c r="D20" s="86" t="str">
        <x:v>return board</x:v>
      </x:c>
      <x:c r="E20" s="91" t="str">
        <x:v>OPEN</x:v>
      </x:c>
    </x:row>
    <x:row r="21">
      <x:c r="A21" s="108" t="n">
        <x:v>16</x:v>
      </x:c>
      <x:c r="B21" s="86" t="str">
        <x:v>T+672 h</x:v>
      </x:c>
      <x:c r="C21" s="86" t="str">
        <x:v>host-exchange eligibility observation</x:v>
      </x:c>
      <x:c r="D21" s="86" t="str">
        <x:v>exchange board</x:v>
      </x:c>
      <x:c r="E21" s="91" t="str">
        <x:v>OPEN</x:v>
      </x:c>
    </x:row>
    <x:row r="22">
      <x:c r="A22" s="110" t="n">
        <x:v>17</x:v>
      </x:c>
      <x:c r="B22" s="87" t="str">
        <x:v>T+1,008 h</x:v>
      </x:c>
      <x:c r="C22" s="87" t="str">
        <x:v>fixed module, host and calibration return decision</x:v>
      </x:c>
      <x:c r="D22" s="87" t="str">
        <x:v>return board</x:v>
      </x:c>
      <x:c r="E22" s="95" t="str">
        <x:v>OPEN</x:v>
      </x:c>
    </x:row>
  </x:sheetData>
  <x:mergeCells>
    <x:mergeCell ref="A2:E2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4" hidden="0" customWidth="1"/>
    <x:col min="2" max="2" width="24" hidden="0" customWidth="1"/>
    <x:col min="3" max="3" width="20" hidden="0" customWidth="1"/>
    <x:col min="4" max="4" width="42" hidden="0" customWidth="1"/>
    <x:col min="5" max="5" width="20" hidden="0" customWidth="1"/>
    <x:col min="6" max="6" width="22" hidden="0" customWidth="1"/>
    <x:col min="7" max="7" width="14" hidden="0" customWidth="1"/>
    <x:col min="8" max="8" width="20" hidden="0" customWidth="1"/>
  </x:cols>
  <x:sheetData>
    <x:row r="2" ht="24" customHeight="1">
      <x:c r="A2" s="82" t="str">
        <x:v>128 hard event gates</x:v>
      </x:c>
      <x:c r="B2" s="83"/>
      <x:c r="C2" s="83"/>
      <x:c r="D2" s="83"/>
      <x:c r="E2" s="83"/>
      <x:c r="F2" s="83"/>
      <x:c r="G2" s="83"/>
      <x:c r="H2" s="83"/>
    </x:row>
    <x:row r="3">
      <x:c r="A3" s="84"/>
      <x:c r="B3" s="84"/>
      <x:c r="C3" s="84"/>
      <x:c r="D3" s="84"/>
      <x:c r="E3" s="84"/>
      <x:c r="F3" s="84"/>
      <x:c r="G3" s="84"/>
      <x:c r="H3" s="84"/>
    </x:row>
    <x:row r="4">
      <x:c r="A4" s="83"/>
      <x:c r="B4" s="83"/>
      <x:c r="C4" s="83"/>
      <x:c r="D4" s="83"/>
      <x:c r="E4" s="83"/>
      <x:c r="F4" s="83"/>
      <x:c r="G4" s="83"/>
      <x:c r="H4" s="83"/>
    </x:row>
    <x:row r="5" ht="22" customHeight="1">
      <x:c r="A5" s="7" t="str">
        <x:v>Gate</x:v>
      </x:c>
      <x:c r="B5" s="8" t="str">
        <x:v>Phase</x:v>
      </x:c>
      <x:c r="C5" s="8" t="str">
        <x:v>Domain</x:v>
      </x:c>
      <x:c r="D5" s="8" t="str">
        <x:v>Required object</x:v>
      </x:c>
      <x:c r="E5" s="8" t="str">
        <x:v>Physical result</x:v>
      </x:c>
      <x:c r="F5" s="8" t="str">
        <x:v>Authority decision</x:v>
      </x:c>
      <x:c r="G5" s="8" t="str">
        <x:v>State</x:v>
      </x:c>
      <x:c r="H5" s="9" t="str">
        <x:v>Credit effect</x:v>
      </x:c>
    </x:row>
    <x:row r="6">
      <x:c r="A6" s="85" t="str">
        <x:v>G-001</x:v>
      </x:c>
      <x:c r="B6" s="85" t="str">
        <x:v>freeze</x:v>
      </x:c>
      <x:c r="C6" s="85" t="str">
        <x:v>identity</x:v>
      </x:c>
      <x:c r="D6" s="85" t="str">
        <x:v>freeze identity record</x:v>
      </x:c>
      <x:c r="E6" s="100" t="str"/>
      <x:c r="F6" s="100" t="str"/>
      <x:c r="G6" s="100" t="str">
        <x:v>OPEN</x:v>
      </x:c>
      <x:c r="H6" s="85" t="str">
        <x:v>hard condition</x:v>
      </x:c>
    </x:row>
    <x:row r="7">
      <x:c r="A7" s="86" t="str">
        <x:v>G-002</x:v>
      </x:c>
      <x:c r="B7" s="86" t="str">
        <x:v>freeze</x:v>
      </x:c>
      <x:c r="C7" s="86" t="str">
        <x:v>capacity</x:v>
      </x:c>
      <x:c r="D7" s="86" t="str">
        <x:v>freeze capacity record</x:v>
      </x:c>
      <x:c r="E7" s="91" t="str"/>
      <x:c r="F7" s="91" t="str"/>
      <x:c r="G7" s="91" t="str">
        <x:v>OPEN</x:v>
      </x:c>
      <x:c r="H7" s="86" t="str">
        <x:v>hard condition</x:v>
      </x:c>
    </x:row>
    <x:row r="8">
      <x:c r="A8" s="86" t="str">
        <x:v>G-003</x:v>
      </x:c>
      <x:c r="B8" s="86" t="str">
        <x:v>freeze</x:v>
      </x:c>
      <x:c r="C8" s="86" t="str">
        <x:v>state</x:v>
      </x:c>
      <x:c r="D8" s="86" t="str">
        <x:v>freeze state record</x:v>
      </x:c>
      <x:c r="E8" s="91" t="str"/>
      <x:c r="F8" s="91" t="str"/>
      <x:c r="G8" s="91" t="str">
        <x:v>OPEN</x:v>
      </x:c>
      <x:c r="H8" s="86" t="str">
        <x:v>hard condition</x:v>
      </x:c>
    </x:row>
    <x:row r="9">
      <x:c r="A9" s="86" t="str">
        <x:v>G-004</x:v>
      </x:c>
      <x:c r="B9" s="86" t="str">
        <x:v>freeze</x:v>
      </x:c>
      <x:c r="C9" s="86" t="str">
        <x:v>authority</x:v>
      </x:c>
      <x:c r="D9" s="86" t="str">
        <x:v>freeze authority record</x:v>
      </x:c>
      <x:c r="E9" s="91" t="str"/>
      <x:c r="F9" s="91" t="str"/>
      <x:c r="G9" s="91" t="str">
        <x:v>OPEN</x:v>
      </x:c>
      <x:c r="H9" s="86" t="str">
        <x:v>hard condition</x:v>
      </x:c>
    </x:row>
    <x:row r="10">
      <x:c r="A10" s="86" t="str">
        <x:v>G-005</x:v>
      </x:c>
      <x:c r="B10" s="86" t="str">
        <x:v>freeze</x:v>
      </x:c>
      <x:c r="C10" s="86" t="str">
        <x:v>calibration</x:v>
      </x:c>
      <x:c r="D10" s="86" t="str">
        <x:v>freeze calibration record</x:v>
      </x:c>
      <x:c r="E10" s="91" t="str"/>
      <x:c r="F10" s="91" t="str"/>
      <x:c r="G10" s="91" t="str">
        <x:v>OPEN</x:v>
      </x:c>
      <x:c r="H10" s="86" t="str">
        <x:v>hard condition</x:v>
      </x:c>
    </x:row>
    <x:row r="11">
      <x:c r="A11" s="86" t="str">
        <x:v>G-006</x:v>
      </x:c>
      <x:c r="B11" s="86" t="str">
        <x:v>freeze</x:v>
      </x:c>
      <x:c r="C11" s="86" t="str">
        <x:v>causal time</x:v>
      </x:c>
      <x:c r="D11" s="86" t="str">
        <x:v>freeze causal time record</x:v>
      </x:c>
      <x:c r="E11" s="91" t="str"/>
      <x:c r="F11" s="91" t="str"/>
      <x:c r="G11" s="91" t="str">
        <x:v>OPEN</x:v>
      </x:c>
      <x:c r="H11" s="86" t="str">
        <x:v>hard condition</x:v>
      </x:c>
    </x:row>
    <x:row r="12">
      <x:c r="A12" s="86" t="str">
        <x:v>G-007</x:v>
      </x:c>
      <x:c r="B12" s="86" t="str">
        <x:v>freeze</x:v>
      </x:c>
      <x:c r="C12" s="86" t="str">
        <x:v>custody</x:v>
      </x:c>
      <x:c r="D12" s="86" t="str">
        <x:v>freeze custody record</x:v>
      </x:c>
      <x:c r="E12" s="91" t="str"/>
      <x:c r="F12" s="91" t="str"/>
      <x:c r="G12" s="91" t="str">
        <x:v>OPEN</x:v>
      </x:c>
      <x:c r="H12" s="86" t="str">
        <x:v>hard condition</x:v>
      </x:c>
    </x:row>
    <x:row r="13">
      <x:c r="A13" s="86" t="str">
        <x:v>G-008</x:v>
      </x:c>
      <x:c r="B13" s="86" t="str">
        <x:v>freeze</x:v>
      </x:c>
      <x:c r="C13" s="86" t="str">
        <x:v>reconstruction</x:v>
      </x:c>
      <x:c r="D13" s="86" t="str">
        <x:v>freeze reconstruction record</x:v>
      </x:c>
      <x:c r="E13" s="91" t="str"/>
      <x:c r="F13" s="91" t="str"/>
      <x:c r="G13" s="91" t="str">
        <x:v>OPEN</x:v>
      </x:c>
      <x:c r="H13" s="86" t="str">
        <x:v>hard condition</x:v>
      </x:c>
    </x:row>
    <x:row r="14">
      <x:c r="A14" s="86" t="str">
        <x:v>G-009</x:v>
      </x:c>
      <x:c r="B14" s="86" t="str">
        <x:v>arm</x:v>
      </x:c>
      <x:c r="C14" s="86" t="str">
        <x:v>identity</x:v>
      </x:c>
      <x:c r="D14" s="86" t="str">
        <x:v>arm identity record</x:v>
      </x:c>
      <x:c r="E14" s="91" t="str"/>
      <x:c r="F14" s="91" t="str"/>
      <x:c r="G14" s="91" t="str">
        <x:v>OPEN</x:v>
      </x:c>
      <x:c r="H14" s="86" t="str">
        <x:v>hard condition</x:v>
      </x:c>
    </x:row>
    <x:row r="15">
      <x:c r="A15" s="86" t="str">
        <x:v>G-010</x:v>
      </x:c>
      <x:c r="B15" s="86" t="str">
        <x:v>arm</x:v>
      </x:c>
      <x:c r="C15" s="86" t="str">
        <x:v>capacity</x:v>
      </x:c>
      <x:c r="D15" s="86" t="str">
        <x:v>arm capacity record</x:v>
      </x:c>
      <x:c r="E15" s="91" t="str"/>
      <x:c r="F15" s="91" t="str"/>
      <x:c r="G15" s="91" t="str">
        <x:v>OPEN</x:v>
      </x:c>
      <x:c r="H15" s="86" t="str">
        <x:v>hard condition</x:v>
      </x:c>
    </x:row>
    <x:row r="16">
      <x:c r="A16" s="86" t="str">
        <x:v>G-011</x:v>
      </x:c>
      <x:c r="B16" s="86" t="str">
        <x:v>arm</x:v>
      </x:c>
      <x:c r="C16" s="86" t="str">
        <x:v>state</x:v>
      </x:c>
      <x:c r="D16" s="86" t="str">
        <x:v>arm state record</x:v>
      </x:c>
      <x:c r="E16" s="91" t="str"/>
      <x:c r="F16" s="91" t="str"/>
      <x:c r="G16" s="91" t="str">
        <x:v>OPEN</x:v>
      </x:c>
      <x:c r="H16" s="86" t="str">
        <x:v>hard condition</x:v>
      </x:c>
    </x:row>
    <x:row r="17">
      <x:c r="A17" s="86" t="str">
        <x:v>G-012</x:v>
      </x:c>
      <x:c r="B17" s="86" t="str">
        <x:v>arm</x:v>
      </x:c>
      <x:c r="C17" s="86" t="str">
        <x:v>authority</x:v>
      </x:c>
      <x:c r="D17" s="86" t="str">
        <x:v>arm authority record</x:v>
      </x:c>
      <x:c r="E17" s="91" t="str"/>
      <x:c r="F17" s="91" t="str"/>
      <x:c r="G17" s="91" t="str">
        <x:v>OPEN</x:v>
      </x:c>
      <x:c r="H17" s="86" t="str">
        <x:v>hard condition</x:v>
      </x:c>
    </x:row>
    <x:row r="18">
      <x:c r="A18" s="86" t="str">
        <x:v>G-013</x:v>
      </x:c>
      <x:c r="B18" s="86" t="str">
        <x:v>arm</x:v>
      </x:c>
      <x:c r="C18" s="86" t="str">
        <x:v>calibration</x:v>
      </x:c>
      <x:c r="D18" s="86" t="str">
        <x:v>arm calibration record</x:v>
      </x:c>
      <x:c r="E18" s="91" t="str"/>
      <x:c r="F18" s="91" t="str"/>
      <x:c r="G18" s="91" t="str">
        <x:v>OPEN</x:v>
      </x:c>
      <x:c r="H18" s="86" t="str">
        <x:v>hard condition</x:v>
      </x:c>
    </x:row>
    <x:row r="19">
      <x:c r="A19" s="86" t="str">
        <x:v>G-014</x:v>
      </x:c>
      <x:c r="B19" s="86" t="str">
        <x:v>arm</x:v>
      </x:c>
      <x:c r="C19" s="86" t="str">
        <x:v>causal time</x:v>
      </x:c>
      <x:c r="D19" s="86" t="str">
        <x:v>arm causal time record</x:v>
      </x:c>
      <x:c r="E19" s="91" t="str"/>
      <x:c r="F19" s="91" t="str"/>
      <x:c r="G19" s="91" t="str">
        <x:v>OPEN</x:v>
      </x:c>
      <x:c r="H19" s="86" t="str">
        <x:v>hard condition</x:v>
      </x:c>
    </x:row>
    <x:row r="20">
      <x:c r="A20" s="86" t="str">
        <x:v>G-015</x:v>
      </x:c>
      <x:c r="B20" s="86" t="str">
        <x:v>arm</x:v>
      </x:c>
      <x:c r="C20" s="86" t="str">
        <x:v>custody</x:v>
      </x:c>
      <x:c r="D20" s="86" t="str">
        <x:v>arm custody record</x:v>
      </x:c>
      <x:c r="E20" s="91" t="str"/>
      <x:c r="F20" s="91" t="str"/>
      <x:c r="G20" s="91" t="str">
        <x:v>OPEN</x:v>
      </x:c>
      <x:c r="H20" s="86" t="str">
        <x:v>hard condition</x:v>
      </x:c>
    </x:row>
    <x:row r="21">
      <x:c r="A21" s="86" t="str">
        <x:v>G-016</x:v>
      </x:c>
      <x:c r="B21" s="86" t="str">
        <x:v>arm</x:v>
      </x:c>
      <x:c r="C21" s="86" t="str">
        <x:v>reconstruction</x:v>
      </x:c>
      <x:c r="D21" s="86" t="str">
        <x:v>arm reconstruction record</x:v>
      </x:c>
      <x:c r="E21" s="91" t="str"/>
      <x:c r="F21" s="91" t="str"/>
      <x:c r="G21" s="91" t="str">
        <x:v>OPEN</x:v>
      </x:c>
      <x:c r="H21" s="86" t="str">
        <x:v>hard condition</x:v>
      </x:c>
    </x:row>
    <x:row r="22">
      <x:c r="A22" s="86" t="str">
        <x:v>G-017</x:v>
      </x:c>
      <x:c r="B22" s="86" t="str">
        <x:v>baseline</x:v>
      </x:c>
      <x:c r="C22" s="86" t="str">
        <x:v>identity</x:v>
      </x:c>
      <x:c r="D22" s="86" t="str">
        <x:v>baseline identity record</x:v>
      </x:c>
      <x:c r="E22" s="91" t="str"/>
      <x:c r="F22" s="91" t="str"/>
      <x:c r="G22" s="91" t="str">
        <x:v>OPEN</x:v>
      </x:c>
      <x:c r="H22" s="86" t="str">
        <x:v>hard condition</x:v>
      </x:c>
    </x:row>
    <x:row r="23">
      <x:c r="A23" s="86" t="str">
        <x:v>G-018</x:v>
      </x:c>
      <x:c r="B23" s="86" t="str">
        <x:v>baseline</x:v>
      </x:c>
      <x:c r="C23" s="86" t="str">
        <x:v>capacity</x:v>
      </x:c>
      <x:c r="D23" s="86" t="str">
        <x:v>baseline capacity record</x:v>
      </x:c>
      <x:c r="E23" s="91" t="str"/>
      <x:c r="F23" s="91" t="str"/>
      <x:c r="G23" s="91" t="str">
        <x:v>OPEN</x:v>
      </x:c>
      <x:c r="H23" s="86" t="str">
        <x:v>hard condition</x:v>
      </x:c>
    </x:row>
    <x:row r="24">
      <x:c r="A24" s="86" t="str">
        <x:v>G-019</x:v>
      </x:c>
      <x:c r="B24" s="86" t="str">
        <x:v>baseline</x:v>
      </x:c>
      <x:c r="C24" s="86" t="str">
        <x:v>state</x:v>
      </x:c>
      <x:c r="D24" s="86" t="str">
        <x:v>baseline state record</x:v>
      </x:c>
      <x:c r="E24" s="91" t="str"/>
      <x:c r="F24" s="91" t="str"/>
      <x:c r="G24" s="91" t="str">
        <x:v>OPEN</x:v>
      </x:c>
      <x:c r="H24" s="86" t="str">
        <x:v>hard condition</x:v>
      </x:c>
    </x:row>
    <x:row r="25">
      <x:c r="A25" s="86" t="str">
        <x:v>G-020</x:v>
      </x:c>
      <x:c r="B25" s="86" t="str">
        <x:v>baseline</x:v>
      </x:c>
      <x:c r="C25" s="86" t="str">
        <x:v>authority</x:v>
      </x:c>
      <x:c r="D25" s="86" t="str">
        <x:v>baseline authority record</x:v>
      </x:c>
      <x:c r="E25" s="91" t="str"/>
      <x:c r="F25" s="91" t="str"/>
      <x:c r="G25" s="91" t="str">
        <x:v>OPEN</x:v>
      </x:c>
      <x:c r="H25" s="86" t="str">
        <x:v>hard condition</x:v>
      </x:c>
    </x:row>
    <x:row r="26">
      <x:c r="A26" s="86" t="str">
        <x:v>G-021</x:v>
      </x:c>
      <x:c r="B26" s="86" t="str">
        <x:v>baseline</x:v>
      </x:c>
      <x:c r="C26" s="86" t="str">
        <x:v>calibration</x:v>
      </x:c>
      <x:c r="D26" s="86" t="str">
        <x:v>baseline calibration record</x:v>
      </x:c>
      <x:c r="E26" s="91" t="str"/>
      <x:c r="F26" s="91" t="str"/>
      <x:c r="G26" s="91" t="str">
        <x:v>OPEN</x:v>
      </x:c>
      <x:c r="H26" s="86" t="str">
        <x:v>hard condition</x:v>
      </x:c>
    </x:row>
    <x:row r="27">
      <x:c r="A27" s="86" t="str">
        <x:v>G-022</x:v>
      </x:c>
      <x:c r="B27" s="86" t="str">
        <x:v>baseline</x:v>
      </x:c>
      <x:c r="C27" s="86" t="str">
        <x:v>causal time</x:v>
      </x:c>
      <x:c r="D27" s="86" t="str">
        <x:v>baseline causal time record</x:v>
      </x:c>
      <x:c r="E27" s="91" t="str"/>
      <x:c r="F27" s="91" t="str"/>
      <x:c r="G27" s="91" t="str">
        <x:v>OPEN</x:v>
      </x:c>
      <x:c r="H27" s="86" t="str">
        <x:v>hard condition</x:v>
      </x:c>
    </x:row>
    <x:row r="28">
      <x:c r="A28" s="86" t="str">
        <x:v>G-023</x:v>
      </x:c>
      <x:c r="B28" s="86" t="str">
        <x:v>baseline</x:v>
      </x:c>
      <x:c r="C28" s="86" t="str">
        <x:v>custody</x:v>
      </x:c>
      <x:c r="D28" s="86" t="str">
        <x:v>baseline custody record</x:v>
      </x:c>
      <x:c r="E28" s="91" t="str"/>
      <x:c r="F28" s="91" t="str"/>
      <x:c r="G28" s="91" t="str">
        <x:v>OPEN</x:v>
      </x:c>
      <x:c r="H28" s="86" t="str">
        <x:v>hard condition</x:v>
      </x:c>
    </x:row>
    <x:row r="29">
      <x:c r="A29" s="86" t="str">
        <x:v>G-024</x:v>
      </x:c>
      <x:c r="B29" s="86" t="str">
        <x:v>baseline</x:v>
      </x:c>
      <x:c r="C29" s="86" t="str">
        <x:v>reconstruction</x:v>
      </x:c>
      <x:c r="D29" s="86" t="str">
        <x:v>baseline reconstruction record</x:v>
      </x:c>
      <x:c r="E29" s="91" t="str"/>
      <x:c r="F29" s="91" t="str"/>
      <x:c r="G29" s="91" t="str">
        <x:v>OPEN</x:v>
      </x:c>
      <x:c r="H29" s="86" t="str">
        <x:v>hard condition</x:v>
      </x:c>
    </x:row>
    <x:row r="30">
      <x:c r="A30" s="86" t="str">
        <x:v>G-025</x:v>
      </x:c>
      <x:c r="B30" s="86" t="str">
        <x:v>source issue</x:v>
      </x:c>
      <x:c r="C30" s="86" t="str">
        <x:v>identity</x:v>
      </x:c>
      <x:c r="D30" s="86" t="str">
        <x:v>source issue identity record</x:v>
      </x:c>
      <x:c r="E30" s="91" t="str"/>
      <x:c r="F30" s="91" t="str"/>
      <x:c r="G30" s="91" t="str">
        <x:v>OPEN</x:v>
      </x:c>
      <x:c r="H30" s="86" t="str">
        <x:v>hard condition</x:v>
      </x:c>
    </x:row>
    <x:row r="31">
      <x:c r="A31" s="86" t="str">
        <x:v>G-026</x:v>
      </x:c>
      <x:c r="B31" s="86" t="str">
        <x:v>source issue</x:v>
      </x:c>
      <x:c r="C31" s="86" t="str">
        <x:v>capacity</x:v>
      </x:c>
      <x:c r="D31" s="86" t="str">
        <x:v>source issue capacity record</x:v>
      </x:c>
      <x:c r="E31" s="91" t="str"/>
      <x:c r="F31" s="91" t="str"/>
      <x:c r="G31" s="91" t="str">
        <x:v>OPEN</x:v>
      </x:c>
      <x:c r="H31" s="86" t="str">
        <x:v>hard condition</x:v>
      </x:c>
    </x:row>
    <x:row r="32">
      <x:c r="A32" s="86" t="str">
        <x:v>G-027</x:v>
      </x:c>
      <x:c r="B32" s="86" t="str">
        <x:v>source issue</x:v>
      </x:c>
      <x:c r="C32" s="86" t="str">
        <x:v>state</x:v>
      </x:c>
      <x:c r="D32" s="86" t="str">
        <x:v>source issue state record</x:v>
      </x:c>
      <x:c r="E32" s="91" t="str"/>
      <x:c r="F32" s="91" t="str"/>
      <x:c r="G32" s="91" t="str">
        <x:v>OPEN</x:v>
      </x:c>
      <x:c r="H32" s="86" t="str">
        <x:v>hard condition</x:v>
      </x:c>
    </x:row>
    <x:row r="33">
      <x:c r="A33" s="86" t="str">
        <x:v>G-028</x:v>
      </x:c>
      <x:c r="B33" s="86" t="str">
        <x:v>source issue</x:v>
      </x:c>
      <x:c r="C33" s="86" t="str">
        <x:v>authority</x:v>
      </x:c>
      <x:c r="D33" s="86" t="str">
        <x:v>source issue authority record</x:v>
      </x:c>
      <x:c r="E33" s="91" t="str"/>
      <x:c r="F33" s="91" t="str"/>
      <x:c r="G33" s="91" t="str">
        <x:v>OPEN</x:v>
      </x:c>
      <x:c r="H33" s="86" t="str">
        <x:v>hard condition</x:v>
      </x:c>
    </x:row>
    <x:row r="34">
      <x:c r="A34" s="86" t="str">
        <x:v>G-029</x:v>
      </x:c>
      <x:c r="B34" s="86" t="str">
        <x:v>source issue</x:v>
      </x:c>
      <x:c r="C34" s="86" t="str">
        <x:v>calibration</x:v>
      </x:c>
      <x:c r="D34" s="86" t="str">
        <x:v>source issue calibration record</x:v>
      </x:c>
      <x:c r="E34" s="91" t="str"/>
      <x:c r="F34" s="91" t="str"/>
      <x:c r="G34" s="91" t="str">
        <x:v>OPEN</x:v>
      </x:c>
      <x:c r="H34" s="86" t="str">
        <x:v>hard condition</x:v>
      </x:c>
    </x:row>
    <x:row r="35">
      <x:c r="A35" s="86" t="str">
        <x:v>G-030</x:v>
      </x:c>
      <x:c r="B35" s="86" t="str">
        <x:v>source issue</x:v>
      </x:c>
      <x:c r="C35" s="86" t="str">
        <x:v>causal time</x:v>
      </x:c>
      <x:c r="D35" s="86" t="str">
        <x:v>source issue causal time record</x:v>
      </x:c>
      <x:c r="E35" s="91" t="str"/>
      <x:c r="F35" s="91" t="str"/>
      <x:c r="G35" s="91" t="str">
        <x:v>OPEN</x:v>
      </x:c>
      <x:c r="H35" s="86" t="str">
        <x:v>hard condition</x:v>
      </x:c>
    </x:row>
    <x:row r="36">
      <x:c r="A36" s="86" t="str">
        <x:v>G-031</x:v>
      </x:c>
      <x:c r="B36" s="86" t="str">
        <x:v>source issue</x:v>
      </x:c>
      <x:c r="C36" s="86" t="str">
        <x:v>custody</x:v>
      </x:c>
      <x:c r="D36" s="86" t="str">
        <x:v>source issue custody record</x:v>
      </x:c>
      <x:c r="E36" s="91" t="str"/>
      <x:c r="F36" s="91" t="str"/>
      <x:c r="G36" s="91" t="str">
        <x:v>OPEN</x:v>
      </x:c>
      <x:c r="H36" s="86" t="str">
        <x:v>hard condition</x:v>
      </x:c>
    </x:row>
    <x:row r="37">
      <x:c r="A37" s="86" t="str">
        <x:v>G-032</x:v>
      </x:c>
      <x:c r="B37" s="86" t="str">
        <x:v>source issue</x:v>
      </x:c>
      <x:c r="C37" s="86" t="str">
        <x:v>reconstruction</x:v>
      </x:c>
      <x:c r="D37" s="86" t="str">
        <x:v>source issue reconstruction record</x:v>
      </x:c>
      <x:c r="E37" s="91" t="str"/>
      <x:c r="F37" s="91" t="str"/>
      <x:c r="G37" s="91" t="str">
        <x:v>OPEN</x:v>
      </x:c>
      <x:c r="H37" s="86" t="str">
        <x:v>hard condition</x:v>
      </x:c>
    </x:row>
    <x:row r="38">
      <x:c r="A38" s="86" t="str">
        <x:v>G-033</x:v>
      </x:c>
      <x:c r="B38" s="86" t="str">
        <x:v>opportunity</x:v>
      </x:c>
      <x:c r="C38" s="86" t="str">
        <x:v>identity</x:v>
      </x:c>
      <x:c r="D38" s="86" t="str">
        <x:v>opportunity identity record</x:v>
      </x:c>
      <x:c r="E38" s="91" t="str"/>
      <x:c r="F38" s="91" t="str"/>
      <x:c r="G38" s="91" t="str">
        <x:v>OPEN</x:v>
      </x:c>
      <x:c r="H38" s="86" t="str">
        <x:v>hard condition</x:v>
      </x:c>
    </x:row>
    <x:row r="39">
      <x:c r="A39" s="86" t="str">
        <x:v>G-034</x:v>
      </x:c>
      <x:c r="B39" s="86" t="str">
        <x:v>opportunity</x:v>
      </x:c>
      <x:c r="C39" s="86" t="str">
        <x:v>capacity</x:v>
      </x:c>
      <x:c r="D39" s="86" t="str">
        <x:v>opportunity capacity record</x:v>
      </x:c>
      <x:c r="E39" s="91" t="str"/>
      <x:c r="F39" s="91" t="str"/>
      <x:c r="G39" s="91" t="str">
        <x:v>OPEN</x:v>
      </x:c>
      <x:c r="H39" s="86" t="str">
        <x:v>hard condition</x:v>
      </x:c>
    </x:row>
    <x:row r="40">
      <x:c r="A40" s="86" t="str">
        <x:v>G-035</x:v>
      </x:c>
      <x:c r="B40" s="86" t="str">
        <x:v>opportunity</x:v>
      </x:c>
      <x:c r="C40" s="86" t="str">
        <x:v>state</x:v>
      </x:c>
      <x:c r="D40" s="86" t="str">
        <x:v>opportunity state record</x:v>
      </x:c>
      <x:c r="E40" s="91" t="str"/>
      <x:c r="F40" s="91" t="str"/>
      <x:c r="G40" s="91" t="str">
        <x:v>OPEN</x:v>
      </x:c>
      <x:c r="H40" s="86" t="str">
        <x:v>hard condition</x:v>
      </x:c>
    </x:row>
    <x:row r="41">
      <x:c r="A41" s="86" t="str">
        <x:v>G-036</x:v>
      </x:c>
      <x:c r="B41" s="86" t="str">
        <x:v>opportunity</x:v>
      </x:c>
      <x:c r="C41" s="86" t="str">
        <x:v>authority</x:v>
      </x:c>
      <x:c r="D41" s="86" t="str">
        <x:v>opportunity authority record</x:v>
      </x:c>
      <x:c r="E41" s="91" t="str"/>
      <x:c r="F41" s="91" t="str"/>
      <x:c r="G41" s="91" t="str">
        <x:v>OPEN</x:v>
      </x:c>
      <x:c r="H41" s="86" t="str">
        <x:v>hard condition</x:v>
      </x:c>
    </x:row>
    <x:row r="42">
      <x:c r="A42" s="86" t="str">
        <x:v>G-037</x:v>
      </x:c>
      <x:c r="B42" s="86" t="str">
        <x:v>opportunity</x:v>
      </x:c>
      <x:c r="C42" s="86" t="str">
        <x:v>calibration</x:v>
      </x:c>
      <x:c r="D42" s="86" t="str">
        <x:v>opportunity calibration record</x:v>
      </x:c>
      <x:c r="E42" s="91" t="str"/>
      <x:c r="F42" s="91" t="str"/>
      <x:c r="G42" s="91" t="str">
        <x:v>OPEN</x:v>
      </x:c>
      <x:c r="H42" s="86" t="str">
        <x:v>hard condition</x:v>
      </x:c>
    </x:row>
    <x:row r="43">
      <x:c r="A43" s="86" t="str">
        <x:v>G-038</x:v>
      </x:c>
      <x:c r="B43" s="86" t="str">
        <x:v>opportunity</x:v>
      </x:c>
      <x:c r="C43" s="86" t="str">
        <x:v>causal time</x:v>
      </x:c>
      <x:c r="D43" s="86" t="str">
        <x:v>opportunity causal time record</x:v>
      </x:c>
      <x:c r="E43" s="91" t="str"/>
      <x:c r="F43" s="91" t="str"/>
      <x:c r="G43" s="91" t="str">
        <x:v>OPEN</x:v>
      </x:c>
      <x:c r="H43" s="86" t="str">
        <x:v>hard condition</x:v>
      </x:c>
    </x:row>
    <x:row r="44">
      <x:c r="A44" s="86" t="str">
        <x:v>G-039</x:v>
      </x:c>
      <x:c r="B44" s="86" t="str">
        <x:v>opportunity</x:v>
      </x:c>
      <x:c r="C44" s="86" t="str">
        <x:v>custody</x:v>
      </x:c>
      <x:c r="D44" s="86" t="str">
        <x:v>opportunity custody record</x:v>
      </x:c>
      <x:c r="E44" s="91" t="str"/>
      <x:c r="F44" s="91" t="str"/>
      <x:c r="G44" s="91" t="str">
        <x:v>OPEN</x:v>
      </x:c>
      <x:c r="H44" s="86" t="str">
        <x:v>hard condition</x:v>
      </x:c>
    </x:row>
    <x:row r="45">
      <x:c r="A45" s="86" t="str">
        <x:v>G-040</x:v>
      </x:c>
      <x:c r="B45" s="86" t="str">
        <x:v>opportunity</x:v>
      </x:c>
      <x:c r="C45" s="86" t="str">
        <x:v>reconstruction</x:v>
      </x:c>
      <x:c r="D45" s="86" t="str">
        <x:v>opportunity reconstruction record</x:v>
      </x:c>
      <x:c r="E45" s="91" t="str"/>
      <x:c r="F45" s="91" t="str"/>
      <x:c r="G45" s="91" t="str">
        <x:v>OPEN</x:v>
      </x:c>
      <x:c r="H45" s="86" t="str">
        <x:v>hard condition</x:v>
      </x:c>
    </x:row>
    <x:row r="46">
      <x:c r="A46" s="86" t="str">
        <x:v>G-041</x:v>
      </x:c>
      <x:c r="B46" s="86" t="str">
        <x:v>flame onset</x:v>
      </x:c>
      <x:c r="C46" s="86" t="str">
        <x:v>identity</x:v>
      </x:c>
      <x:c r="D46" s="86" t="str">
        <x:v>flame onset identity record</x:v>
      </x:c>
      <x:c r="E46" s="91" t="str"/>
      <x:c r="F46" s="91" t="str"/>
      <x:c r="G46" s="91" t="str">
        <x:v>OPEN</x:v>
      </x:c>
      <x:c r="H46" s="86" t="str">
        <x:v>hard condition</x:v>
      </x:c>
    </x:row>
    <x:row r="47">
      <x:c r="A47" s="86" t="str">
        <x:v>G-042</x:v>
      </x:c>
      <x:c r="B47" s="86" t="str">
        <x:v>flame onset</x:v>
      </x:c>
      <x:c r="C47" s="86" t="str">
        <x:v>capacity</x:v>
      </x:c>
      <x:c r="D47" s="86" t="str">
        <x:v>flame onset capacity record</x:v>
      </x:c>
      <x:c r="E47" s="91" t="str"/>
      <x:c r="F47" s="91" t="str"/>
      <x:c r="G47" s="91" t="str">
        <x:v>OPEN</x:v>
      </x:c>
      <x:c r="H47" s="86" t="str">
        <x:v>hard condition</x:v>
      </x:c>
    </x:row>
    <x:row r="48">
      <x:c r="A48" s="86" t="str">
        <x:v>G-043</x:v>
      </x:c>
      <x:c r="B48" s="86" t="str">
        <x:v>flame onset</x:v>
      </x:c>
      <x:c r="C48" s="86" t="str">
        <x:v>state</x:v>
      </x:c>
      <x:c r="D48" s="86" t="str">
        <x:v>flame onset state record</x:v>
      </x:c>
      <x:c r="E48" s="91" t="str"/>
      <x:c r="F48" s="91" t="str"/>
      <x:c r="G48" s="91" t="str">
        <x:v>OPEN</x:v>
      </x:c>
      <x:c r="H48" s="86" t="str">
        <x:v>hard condition</x:v>
      </x:c>
    </x:row>
    <x:row r="49">
      <x:c r="A49" s="86" t="str">
        <x:v>G-044</x:v>
      </x:c>
      <x:c r="B49" s="86" t="str">
        <x:v>flame onset</x:v>
      </x:c>
      <x:c r="C49" s="86" t="str">
        <x:v>authority</x:v>
      </x:c>
      <x:c r="D49" s="86" t="str">
        <x:v>flame onset authority record</x:v>
      </x:c>
      <x:c r="E49" s="91" t="str"/>
      <x:c r="F49" s="91" t="str"/>
      <x:c r="G49" s="91" t="str">
        <x:v>OPEN</x:v>
      </x:c>
      <x:c r="H49" s="86" t="str">
        <x:v>hard condition</x:v>
      </x:c>
    </x:row>
    <x:row r="50">
      <x:c r="A50" s="86" t="str">
        <x:v>G-045</x:v>
      </x:c>
      <x:c r="B50" s="86" t="str">
        <x:v>flame onset</x:v>
      </x:c>
      <x:c r="C50" s="86" t="str">
        <x:v>calibration</x:v>
      </x:c>
      <x:c r="D50" s="86" t="str">
        <x:v>flame onset calibration record</x:v>
      </x:c>
      <x:c r="E50" s="91" t="str"/>
      <x:c r="F50" s="91" t="str"/>
      <x:c r="G50" s="91" t="str">
        <x:v>OPEN</x:v>
      </x:c>
      <x:c r="H50" s="86" t="str">
        <x:v>hard condition</x:v>
      </x:c>
    </x:row>
    <x:row r="51">
      <x:c r="A51" s="86" t="str">
        <x:v>G-046</x:v>
      </x:c>
      <x:c r="B51" s="86" t="str">
        <x:v>flame onset</x:v>
      </x:c>
      <x:c r="C51" s="86" t="str">
        <x:v>causal time</x:v>
      </x:c>
      <x:c r="D51" s="86" t="str">
        <x:v>flame onset causal time record</x:v>
      </x:c>
      <x:c r="E51" s="91" t="str"/>
      <x:c r="F51" s="91" t="str"/>
      <x:c r="G51" s="91" t="str">
        <x:v>OPEN</x:v>
      </x:c>
      <x:c r="H51" s="86" t="str">
        <x:v>hard condition</x:v>
      </x:c>
    </x:row>
    <x:row r="52">
      <x:c r="A52" s="86" t="str">
        <x:v>G-047</x:v>
      </x:c>
      <x:c r="B52" s="86" t="str">
        <x:v>flame onset</x:v>
      </x:c>
      <x:c r="C52" s="86" t="str">
        <x:v>custody</x:v>
      </x:c>
      <x:c r="D52" s="86" t="str">
        <x:v>flame onset custody record</x:v>
      </x:c>
      <x:c r="E52" s="91" t="str"/>
      <x:c r="F52" s="91" t="str"/>
      <x:c r="G52" s="91" t="str">
        <x:v>OPEN</x:v>
      </x:c>
      <x:c r="H52" s="86" t="str">
        <x:v>hard condition</x:v>
      </x:c>
    </x:row>
    <x:row r="53">
      <x:c r="A53" s="86" t="str">
        <x:v>G-048</x:v>
      </x:c>
      <x:c r="B53" s="86" t="str">
        <x:v>flame onset</x:v>
      </x:c>
      <x:c r="C53" s="86" t="str">
        <x:v>reconstruction</x:v>
      </x:c>
      <x:c r="D53" s="86" t="str">
        <x:v>flame onset reconstruction record</x:v>
      </x:c>
      <x:c r="E53" s="91" t="str"/>
      <x:c r="F53" s="91" t="str"/>
      <x:c r="G53" s="91" t="str">
        <x:v>OPEN</x:v>
      </x:c>
      <x:c r="H53" s="86" t="str">
        <x:v>hard condition</x:v>
      </x:c>
    </x:row>
    <x:row r="54">
      <x:c r="A54" s="86" t="str">
        <x:v>G-049</x:v>
      </x:c>
      <x:c r="B54" s="86" t="str">
        <x:v>developed field</x:v>
      </x:c>
      <x:c r="C54" s="86" t="str">
        <x:v>identity</x:v>
      </x:c>
      <x:c r="D54" s="86" t="str">
        <x:v>developed field identity record</x:v>
      </x:c>
      <x:c r="E54" s="91" t="str"/>
      <x:c r="F54" s="91" t="str"/>
      <x:c r="G54" s="91" t="str">
        <x:v>OPEN</x:v>
      </x:c>
      <x:c r="H54" s="86" t="str">
        <x:v>hard condition</x:v>
      </x:c>
    </x:row>
    <x:row r="55">
      <x:c r="A55" s="86" t="str">
        <x:v>G-050</x:v>
      </x:c>
      <x:c r="B55" s="86" t="str">
        <x:v>developed field</x:v>
      </x:c>
      <x:c r="C55" s="86" t="str">
        <x:v>capacity</x:v>
      </x:c>
      <x:c r="D55" s="86" t="str">
        <x:v>developed field capacity record</x:v>
      </x:c>
      <x:c r="E55" s="91" t="str"/>
      <x:c r="F55" s="91" t="str"/>
      <x:c r="G55" s="91" t="str">
        <x:v>OPEN</x:v>
      </x:c>
      <x:c r="H55" s="86" t="str">
        <x:v>hard condition</x:v>
      </x:c>
    </x:row>
    <x:row r="56">
      <x:c r="A56" s="86" t="str">
        <x:v>G-051</x:v>
      </x:c>
      <x:c r="B56" s="86" t="str">
        <x:v>developed field</x:v>
      </x:c>
      <x:c r="C56" s="86" t="str">
        <x:v>state</x:v>
      </x:c>
      <x:c r="D56" s="86" t="str">
        <x:v>developed field state record</x:v>
      </x:c>
      <x:c r="E56" s="91" t="str"/>
      <x:c r="F56" s="91" t="str"/>
      <x:c r="G56" s="91" t="str">
        <x:v>OPEN</x:v>
      </x:c>
      <x:c r="H56" s="86" t="str">
        <x:v>hard condition</x:v>
      </x:c>
    </x:row>
    <x:row r="57">
      <x:c r="A57" s="86" t="str">
        <x:v>G-052</x:v>
      </x:c>
      <x:c r="B57" s="86" t="str">
        <x:v>developed field</x:v>
      </x:c>
      <x:c r="C57" s="86" t="str">
        <x:v>authority</x:v>
      </x:c>
      <x:c r="D57" s="86" t="str">
        <x:v>developed field authority record</x:v>
      </x:c>
      <x:c r="E57" s="91" t="str"/>
      <x:c r="F57" s="91" t="str"/>
      <x:c r="G57" s="91" t="str">
        <x:v>OPEN</x:v>
      </x:c>
      <x:c r="H57" s="86" t="str">
        <x:v>hard condition</x:v>
      </x:c>
    </x:row>
    <x:row r="58">
      <x:c r="A58" s="86" t="str">
        <x:v>G-053</x:v>
      </x:c>
      <x:c r="B58" s="86" t="str">
        <x:v>developed field</x:v>
      </x:c>
      <x:c r="C58" s="86" t="str">
        <x:v>calibration</x:v>
      </x:c>
      <x:c r="D58" s="86" t="str">
        <x:v>developed field calibration record</x:v>
      </x:c>
      <x:c r="E58" s="91" t="str"/>
      <x:c r="F58" s="91" t="str"/>
      <x:c r="G58" s="91" t="str">
        <x:v>OPEN</x:v>
      </x:c>
      <x:c r="H58" s="86" t="str">
        <x:v>hard condition</x:v>
      </x:c>
    </x:row>
    <x:row r="59">
      <x:c r="A59" s="86" t="str">
        <x:v>G-054</x:v>
      </x:c>
      <x:c r="B59" s="86" t="str">
        <x:v>developed field</x:v>
      </x:c>
      <x:c r="C59" s="86" t="str">
        <x:v>causal time</x:v>
      </x:c>
      <x:c r="D59" s="86" t="str">
        <x:v>developed field causal time record</x:v>
      </x:c>
      <x:c r="E59" s="91" t="str"/>
      <x:c r="F59" s="91" t="str"/>
      <x:c r="G59" s="91" t="str">
        <x:v>OPEN</x:v>
      </x:c>
      <x:c r="H59" s="86" t="str">
        <x:v>hard condition</x:v>
      </x:c>
    </x:row>
    <x:row r="60">
      <x:c r="A60" s="86" t="str">
        <x:v>G-055</x:v>
      </x:c>
      <x:c r="B60" s="86" t="str">
        <x:v>developed field</x:v>
      </x:c>
      <x:c r="C60" s="86" t="str">
        <x:v>custody</x:v>
      </x:c>
      <x:c r="D60" s="86" t="str">
        <x:v>developed field custody record</x:v>
      </x:c>
      <x:c r="E60" s="91" t="str"/>
      <x:c r="F60" s="91" t="str"/>
      <x:c r="G60" s="91" t="str">
        <x:v>OPEN</x:v>
      </x:c>
      <x:c r="H60" s="86" t="str">
        <x:v>hard condition</x:v>
      </x:c>
    </x:row>
    <x:row r="61">
      <x:c r="A61" s="86" t="str">
        <x:v>G-056</x:v>
      </x:c>
      <x:c r="B61" s="86" t="str">
        <x:v>developed field</x:v>
      </x:c>
      <x:c r="C61" s="86" t="str">
        <x:v>reconstruction</x:v>
      </x:c>
      <x:c r="D61" s="86" t="str">
        <x:v>developed field reconstruction record</x:v>
      </x:c>
      <x:c r="E61" s="91" t="str"/>
      <x:c r="F61" s="91" t="str"/>
      <x:c r="G61" s="91" t="str">
        <x:v>OPEN</x:v>
      </x:c>
      <x:c r="H61" s="86" t="str">
        <x:v>hard condition</x:v>
      </x:c>
    </x:row>
    <x:row r="62">
      <x:c r="A62" s="86" t="str">
        <x:v>G-057</x:v>
      </x:c>
      <x:c r="B62" s="86" t="str">
        <x:v>topology evolution</x:v>
      </x:c>
      <x:c r="C62" s="86" t="str">
        <x:v>identity</x:v>
      </x:c>
      <x:c r="D62" s="86" t="str">
        <x:v>topology evolution identity record</x:v>
      </x:c>
      <x:c r="E62" s="91" t="str"/>
      <x:c r="F62" s="91" t="str"/>
      <x:c r="G62" s="91" t="str">
        <x:v>OPEN</x:v>
      </x:c>
      <x:c r="H62" s="86" t="str">
        <x:v>hard condition</x:v>
      </x:c>
    </x:row>
    <x:row r="63">
      <x:c r="A63" s="86" t="str">
        <x:v>G-058</x:v>
      </x:c>
      <x:c r="B63" s="86" t="str">
        <x:v>topology evolution</x:v>
      </x:c>
      <x:c r="C63" s="86" t="str">
        <x:v>capacity</x:v>
      </x:c>
      <x:c r="D63" s="86" t="str">
        <x:v>topology evolution capacity record</x:v>
      </x:c>
      <x:c r="E63" s="91" t="str"/>
      <x:c r="F63" s="91" t="str"/>
      <x:c r="G63" s="91" t="str">
        <x:v>OPEN</x:v>
      </x:c>
      <x:c r="H63" s="86" t="str">
        <x:v>hard condition</x:v>
      </x:c>
    </x:row>
    <x:row r="64">
      <x:c r="A64" s="86" t="str">
        <x:v>G-059</x:v>
      </x:c>
      <x:c r="B64" s="86" t="str">
        <x:v>topology evolution</x:v>
      </x:c>
      <x:c r="C64" s="86" t="str">
        <x:v>state</x:v>
      </x:c>
      <x:c r="D64" s="86" t="str">
        <x:v>topology evolution state record</x:v>
      </x:c>
      <x:c r="E64" s="91" t="str"/>
      <x:c r="F64" s="91" t="str"/>
      <x:c r="G64" s="91" t="str">
        <x:v>OPEN</x:v>
      </x:c>
      <x:c r="H64" s="86" t="str">
        <x:v>hard condition</x:v>
      </x:c>
    </x:row>
    <x:row r="65">
      <x:c r="A65" s="86" t="str">
        <x:v>G-060</x:v>
      </x:c>
      <x:c r="B65" s="86" t="str">
        <x:v>topology evolution</x:v>
      </x:c>
      <x:c r="C65" s="86" t="str">
        <x:v>authority</x:v>
      </x:c>
      <x:c r="D65" s="86" t="str">
        <x:v>topology evolution authority record</x:v>
      </x:c>
      <x:c r="E65" s="91" t="str"/>
      <x:c r="F65" s="91" t="str"/>
      <x:c r="G65" s="91" t="str">
        <x:v>OPEN</x:v>
      </x:c>
      <x:c r="H65" s="86" t="str">
        <x:v>hard condition</x:v>
      </x:c>
    </x:row>
    <x:row r="66">
      <x:c r="A66" s="86" t="str">
        <x:v>G-061</x:v>
      </x:c>
      <x:c r="B66" s="86" t="str">
        <x:v>topology evolution</x:v>
      </x:c>
      <x:c r="C66" s="86" t="str">
        <x:v>calibration</x:v>
      </x:c>
      <x:c r="D66" s="86" t="str">
        <x:v>topology evolution calibration record</x:v>
      </x:c>
      <x:c r="E66" s="91" t="str"/>
      <x:c r="F66" s="91" t="str"/>
      <x:c r="G66" s="91" t="str">
        <x:v>OPEN</x:v>
      </x:c>
      <x:c r="H66" s="86" t="str">
        <x:v>hard condition</x:v>
      </x:c>
    </x:row>
    <x:row r="67">
      <x:c r="A67" s="86" t="str">
        <x:v>G-062</x:v>
      </x:c>
      <x:c r="B67" s="86" t="str">
        <x:v>topology evolution</x:v>
      </x:c>
      <x:c r="C67" s="86" t="str">
        <x:v>causal time</x:v>
      </x:c>
      <x:c r="D67" s="86" t="str">
        <x:v>topology evolution causal time record</x:v>
      </x:c>
      <x:c r="E67" s="91" t="str"/>
      <x:c r="F67" s="91" t="str"/>
      <x:c r="G67" s="91" t="str">
        <x:v>OPEN</x:v>
      </x:c>
      <x:c r="H67" s="86" t="str">
        <x:v>hard condition</x:v>
      </x:c>
    </x:row>
    <x:row r="68">
      <x:c r="A68" s="86" t="str">
        <x:v>G-063</x:v>
      </x:c>
      <x:c r="B68" s="86" t="str">
        <x:v>topology evolution</x:v>
      </x:c>
      <x:c r="C68" s="86" t="str">
        <x:v>custody</x:v>
      </x:c>
      <x:c r="D68" s="86" t="str">
        <x:v>topology evolution custody record</x:v>
      </x:c>
      <x:c r="E68" s="91" t="str"/>
      <x:c r="F68" s="91" t="str"/>
      <x:c r="G68" s="91" t="str">
        <x:v>OPEN</x:v>
      </x:c>
      <x:c r="H68" s="86" t="str">
        <x:v>hard condition</x:v>
      </x:c>
    </x:row>
    <x:row r="69">
      <x:c r="A69" s="86" t="str">
        <x:v>G-064</x:v>
      </x:c>
      <x:c r="B69" s="86" t="str">
        <x:v>topology evolution</x:v>
      </x:c>
      <x:c r="C69" s="86" t="str">
        <x:v>reconstruction</x:v>
      </x:c>
      <x:c r="D69" s="86" t="str">
        <x:v>topology evolution reconstruction record</x:v>
      </x:c>
      <x:c r="E69" s="91" t="str"/>
      <x:c r="F69" s="91" t="str"/>
      <x:c r="G69" s="91" t="str">
        <x:v>OPEN</x:v>
      </x:c>
      <x:c r="H69" s="86" t="str">
        <x:v>hard condition</x:v>
      </x:c>
    </x:row>
    <x:row r="70">
      <x:c r="A70" s="86" t="str">
        <x:v>G-065</x:v>
      </x:c>
      <x:c r="B70" s="86" t="str">
        <x:v>transformation</x:v>
      </x:c>
      <x:c r="C70" s="86" t="str">
        <x:v>identity</x:v>
      </x:c>
      <x:c r="D70" s="86" t="str">
        <x:v>transformation identity record</x:v>
      </x:c>
      <x:c r="E70" s="91" t="str"/>
      <x:c r="F70" s="91" t="str"/>
      <x:c r="G70" s="91" t="str">
        <x:v>OPEN</x:v>
      </x:c>
      <x:c r="H70" s="86" t="str">
        <x:v>hard condition</x:v>
      </x:c>
    </x:row>
    <x:row r="71">
      <x:c r="A71" s="86" t="str">
        <x:v>G-066</x:v>
      </x:c>
      <x:c r="B71" s="86" t="str">
        <x:v>transformation</x:v>
      </x:c>
      <x:c r="C71" s="86" t="str">
        <x:v>capacity</x:v>
      </x:c>
      <x:c r="D71" s="86" t="str">
        <x:v>transformation capacity record</x:v>
      </x:c>
      <x:c r="E71" s="91" t="str"/>
      <x:c r="F71" s="91" t="str"/>
      <x:c r="G71" s="91" t="str">
        <x:v>OPEN</x:v>
      </x:c>
      <x:c r="H71" s="86" t="str">
        <x:v>hard condition</x:v>
      </x:c>
    </x:row>
    <x:row r="72">
      <x:c r="A72" s="86" t="str">
        <x:v>G-067</x:v>
      </x:c>
      <x:c r="B72" s="86" t="str">
        <x:v>transformation</x:v>
      </x:c>
      <x:c r="C72" s="86" t="str">
        <x:v>state</x:v>
      </x:c>
      <x:c r="D72" s="86" t="str">
        <x:v>transformation state record</x:v>
      </x:c>
      <x:c r="E72" s="91" t="str"/>
      <x:c r="F72" s="91" t="str"/>
      <x:c r="G72" s="91" t="str">
        <x:v>OPEN</x:v>
      </x:c>
      <x:c r="H72" s="86" t="str">
        <x:v>hard condition</x:v>
      </x:c>
    </x:row>
    <x:row r="73">
      <x:c r="A73" s="86" t="str">
        <x:v>G-068</x:v>
      </x:c>
      <x:c r="B73" s="86" t="str">
        <x:v>transformation</x:v>
      </x:c>
      <x:c r="C73" s="86" t="str">
        <x:v>authority</x:v>
      </x:c>
      <x:c r="D73" s="86" t="str">
        <x:v>transformation authority record</x:v>
      </x:c>
      <x:c r="E73" s="91" t="str"/>
      <x:c r="F73" s="91" t="str"/>
      <x:c r="G73" s="91" t="str">
        <x:v>OPEN</x:v>
      </x:c>
      <x:c r="H73" s="86" t="str">
        <x:v>hard condition</x:v>
      </x:c>
    </x:row>
    <x:row r="74">
      <x:c r="A74" s="86" t="str">
        <x:v>G-069</x:v>
      </x:c>
      <x:c r="B74" s="86" t="str">
        <x:v>transformation</x:v>
      </x:c>
      <x:c r="C74" s="86" t="str">
        <x:v>calibration</x:v>
      </x:c>
      <x:c r="D74" s="86" t="str">
        <x:v>transformation calibration record</x:v>
      </x:c>
      <x:c r="E74" s="91" t="str"/>
      <x:c r="F74" s="91" t="str"/>
      <x:c r="G74" s="91" t="str">
        <x:v>OPEN</x:v>
      </x:c>
      <x:c r="H74" s="86" t="str">
        <x:v>hard condition</x:v>
      </x:c>
    </x:row>
    <x:row r="75">
      <x:c r="A75" s="86" t="str">
        <x:v>G-070</x:v>
      </x:c>
      <x:c r="B75" s="86" t="str">
        <x:v>transformation</x:v>
      </x:c>
      <x:c r="C75" s="86" t="str">
        <x:v>causal time</x:v>
      </x:c>
      <x:c r="D75" s="86" t="str">
        <x:v>transformation causal time record</x:v>
      </x:c>
      <x:c r="E75" s="91" t="str"/>
      <x:c r="F75" s="91" t="str"/>
      <x:c r="G75" s="91" t="str">
        <x:v>OPEN</x:v>
      </x:c>
      <x:c r="H75" s="86" t="str">
        <x:v>hard condition</x:v>
      </x:c>
    </x:row>
    <x:row r="76">
      <x:c r="A76" s="86" t="str">
        <x:v>G-071</x:v>
      </x:c>
      <x:c r="B76" s="86" t="str">
        <x:v>transformation</x:v>
      </x:c>
      <x:c r="C76" s="86" t="str">
        <x:v>custody</x:v>
      </x:c>
      <x:c r="D76" s="86" t="str">
        <x:v>transformation custody record</x:v>
      </x:c>
      <x:c r="E76" s="91" t="str"/>
      <x:c r="F76" s="91" t="str"/>
      <x:c r="G76" s="91" t="str">
        <x:v>OPEN</x:v>
      </x:c>
      <x:c r="H76" s="86" t="str">
        <x:v>hard condition</x:v>
      </x:c>
    </x:row>
    <x:row r="77">
      <x:c r="A77" s="86" t="str">
        <x:v>G-072</x:v>
      </x:c>
      <x:c r="B77" s="86" t="str">
        <x:v>transformation</x:v>
      </x:c>
      <x:c r="C77" s="86" t="str">
        <x:v>reconstruction</x:v>
      </x:c>
      <x:c r="D77" s="86" t="str">
        <x:v>transformation reconstruction record</x:v>
      </x:c>
      <x:c r="E77" s="91" t="str"/>
      <x:c r="F77" s="91" t="str"/>
      <x:c r="G77" s="91" t="str">
        <x:v>OPEN</x:v>
      </x:c>
      <x:c r="H77" s="86" t="str">
        <x:v>hard condition</x:v>
      </x:c>
    </x:row>
    <x:row r="78">
      <x:c r="A78" s="86" t="str">
        <x:v>G-073</x:v>
      </x:c>
      <x:c r="B78" s="86" t="str">
        <x:v>thermal boundary</x:v>
      </x:c>
      <x:c r="C78" s="86" t="str">
        <x:v>identity</x:v>
      </x:c>
      <x:c r="D78" s="86" t="str">
        <x:v>thermal boundary identity record</x:v>
      </x:c>
      <x:c r="E78" s="91" t="str"/>
      <x:c r="F78" s="91" t="str"/>
      <x:c r="G78" s="91" t="str">
        <x:v>OPEN</x:v>
      </x:c>
      <x:c r="H78" s="86" t="str">
        <x:v>hard condition</x:v>
      </x:c>
    </x:row>
    <x:row r="79">
      <x:c r="A79" s="86" t="str">
        <x:v>G-074</x:v>
      </x:c>
      <x:c r="B79" s="86" t="str">
        <x:v>thermal boundary</x:v>
      </x:c>
      <x:c r="C79" s="86" t="str">
        <x:v>capacity</x:v>
      </x:c>
      <x:c r="D79" s="86" t="str">
        <x:v>thermal boundary capacity record</x:v>
      </x:c>
      <x:c r="E79" s="91" t="str"/>
      <x:c r="F79" s="91" t="str"/>
      <x:c r="G79" s="91" t="str">
        <x:v>OPEN</x:v>
      </x:c>
      <x:c r="H79" s="86" t="str">
        <x:v>hard condition</x:v>
      </x:c>
    </x:row>
    <x:row r="80">
      <x:c r="A80" s="86" t="str">
        <x:v>G-075</x:v>
      </x:c>
      <x:c r="B80" s="86" t="str">
        <x:v>thermal boundary</x:v>
      </x:c>
      <x:c r="C80" s="86" t="str">
        <x:v>state</x:v>
      </x:c>
      <x:c r="D80" s="86" t="str">
        <x:v>thermal boundary state record</x:v>
      </x:c>
      <x:c r="E80" s="91" t="str"/>
      <x:c r="F80" s="91" t="str"/>
      <x:c r="G80" s="91" t="str">
        <x:v>OPEN</x:v>
      </x:c>
      <x:c r="H80" s="86" t="str">
        <x:v>hard condition</x:v>
      </x:c>
    </x:row>
    <x:row r="81">
      <x:c r="A81" s="86" t="str">
        <x:v>G-076</x:v>
      </x:c>
      <x:c r="B81" s="86" t="str">
        <x:v>thermal boundary</x:v>
      </x:c>
      <x:c r="C81" s="86" t="str">
        <x:v>authority</x:v>
      </x:c>
      <x:c r="D81" s="86" t="str">
        <x:v>thermal boundary authority record</x:v>
      </x:c>
      <x:c r="E81" s="91" t="str"/>
      <x:c r="F81" s="91" t="str"/>
      <x:c r="G81" s="91" t="str">
        <x:v>OPEN</x:v>
      </x:c>
      <x:c r="H81" s="86" t="str">
        <x:v>hard condition</x:v>
      </x:c>
    </x:row>
    <x:row r="82">
      <x:c r="A82" s="86" t="str">
        <x:v>G-077</x:v>
      </x:c>
      <x:c r="B82" s="86" t="str">
        <x:v>thermal boundary</x:v>
      </x:c>
      <x:c r="C82" s="86" t="str">
        <x:v>calibration</x:v>
      </x:c>
      <x:c r="D82" s="86" t="str">
        <x:v>thermal boundary calibration record</x:v>
      </x:c>
      <x:c r="E82" s="91" t="str"/>
      <x:c r="F82" s="91" t="str"/>
      <x:c r="G82" s="91" t="str">
        <x:v>OPEN</x:v>
      </x:c>
      <x:c r="H82" s="86" t="str">
        <x:v>hard condition</x:v>
      </x:c>
    </x:row>
    <x:row r="83">
      <x:c r="A83" s="86" t="str">
        <x:v>G-078</x:v>
      </x:c>
      <x:c r="B83" s="86" t="str">
        <x:v>thermal boundary</x:v>
      </x:c>
      <x:c r="C83" s="86" t="str">
        <x:v>causal time</x:v>
      </x:c>
      <x:c r="D83" s="86" t="str">
        <x:v>thermal boundary causal time record</x:v>
      </x:c>
      <x:c r="E83" s="91" t="str"/>
      <x:c r="F83" s="91" t="str"/>
      <x:c r="G83" s="91" t="str">
        <x:v>OPEN</x:v>
      </x:c>
      <x:c r="H83" s="86" t="str">
        <x:v>hard condition</x:v>
      </x:c>
    </x:row>
    <x:row r="84">
      <x:c r="A84" s="86" t="str">
        <x:v>G-079</x:v>
      </x:c>
      <x:c r="B84" s="86" t="str">
        <x:v>thermal boundary</x:v>
      </x:c>
      <x:c r="C84" s="86" t="str">
        <x:v>custody</x:v>
      </x:c>
      <x:c r="D84" s="86" t="str">
        <x:v>thermal boundary custody record</x:v>
      </x:c>
      <x:c r="E84" s="91" t="str"/>
      <x:c r="F84" s="91" t="str"/>
      <x:c r="G84" s="91" t="str">
        <x:v>OPEN</x:v>
      </x:c>
      <x:c r="H84" s="86" t="str">
        <x:v>hard condition</x:v>
      </x:c>
    </x:row>
    <x:row r="85">
      <x:c r="A85" s="86" t="str">
        <x:v>G-080</x:v>
      </x:c>
      <x:c r="B85" s="86" t="str">
        <x:v>thermal boundary</x:v>
      </x:c>
      <x:c r="C85" s="86" t="str">
        <x:v>reconstruction</x:v>
      </x:c>
      <x:c r="D85" s="86" t="str">
        <x:v>thermal boundary reconstruction record</x:v>
      </x:c>
      <x:c r="E85" s="91" t="str"/>
      <x:c r="F85" s="91" t="str"/>
      <x:c r="G85" s="91" t="str">
        <x:v>OPEN</x:v>
      </x:c>
      <x:c r="H85" s="86" t="str">
        <x:v>hard condition</x:v>
      </x:c>
    </x:row>
    <x:row r="86">
      <x:c r="A86" s="86" t="str">
        <x:v>G-081</x:v>
      </x:c>
      <x:c r="B86" s="86" t="str">
        <x:v>atmosphere</x:v>
      </x:c>
      <x:c r="C86" s="86" t="str">
        <x:v>identity</x:v>
      </x:c>
      <x:c r="D86" s="86" t="str">
        <x:v>atmosphere identity record</x:v>
      </x:c>
      <x:c r="E86" s="91" t="str"/>
      <x:c r="F86" s="91" t="str"/>
      <x:c r="G86" s="91" t="str">
        <x:v>OPEN</x:v>
      </x:c>
      <x:c r="H86" s="86" t="str">
        <x:v>hard condition</x:v>
      </x:c>
    </x:row>
    <x:row r="87">
      <x:c r="A87" s="86" t="str">
        <x:v>G-082</x:v>
      </x:c>
      <x:c r="B87" s="86" t="str">
        <x:v>atmosphere</x:v>
      </x:c>
      <x:c r="C87" s="86" t="str">
        <x:v>capacity</x:v>
      </x:c>
      <x:c r="D87" s="86" t="str">
        <x:v>atmosphere capacity record</x:v>
      </x:c>
      <x:c r="E87" s="91" t="str"/>
      <x:c r="F87" s="91" t="str"/>
      <x:c r="G87" s="91" t="str">
        <x:v>OPEN</x:v>
      </x:c>
      <x:c r="H87" s="86" t="str">
        <x:v>hard condition</x:v>
      </x:c>
    </x:row>
    <x:row r="88">
      <x:c r="A88" s="86" t="str">
        <x:v>G-083</x:v>
      </x:c>
      <x:c r="B88" s="86" t="str">
        <x:v>atmosphere</x:v>
      </x:c>
      <x:c r="C88" s="86" t="str">
        <x:v>state</x:v>
      </x:c>
      <x:c r="D88" s="86" t="str">
        <x:v>atmosphere state record</x:v>
      </x:c>
      <x:c r="E88" s="91" t="str"/>
      <x:c r="F88" s="91" t="str"/>
      <x:c r="G88" s="91" t="str">
        <x:v>OPEN</x:v>
      </x:c>
      <x:c r="H88" s="86" t="str">
        <x:v>hard condition</x:v>
      </x:c>
    </x:row>
    <x:row r="89">
      <x:c r="A89" s="86" t="str">
        <x:v>G-084</x:v>
      </x:c>
      <x:c r="B89" s="86" t="str">
        <x:v>atmosphere</x:v>
      </x:c>
      <x:c r="C89" s="86" t="str">
        <x:v>authority</x:v>
      </x:c>
      <x:c r="D89" s="86" t="str">
        <x:v>atmosphere authority record</x:v>
      </x:c>
      <x:c r="E89" s="91" t="str"/>
      <x:c r="F89" s="91" t="str"/>
      <x:c r="G89" s="91" t="str">
        <x:v>OPEN</x:v>
      </x:c>
      <x:c r="H89" s="86" t="str">
        <x:v>hard condition</x:v>
      </x:c>
    </x:row>
    <x:row r="90">
      <x:c r="A90" s="86" t="str">
        <x:v>G-085</x:v>
      </x:c>
      <x:c r="B90" s="86" t="str">
        <x:v>atmosphere</x:v>
      </x:c>
      <x:c r="C90" s="86" t="str">
        <x:v>calibration</x:v>
      </x:c>
      <x:c r="D90" s="86" t="str">
        <x:v>atmosphere calibration record</x:v>
      </x:c>
      <x:c r="E90" s="91" t="str"/>
      <x:c r="F90" s="91" t="str"/>
      <x:c r="G90" s="91" t="str">
        <x:v>OPEN</x:v>
      </x:c>
      <x:c r="H90" s="86" t="str">
        <x:v>hard condition</x:v>
      </x:c>
    </x:row>
    <x:row r="91">
      <x:c r="A91" s="86" t="str">
        <x:v>G-086</x:v>
      </x:c>
      <x:c r="B91" s="86" t="str">
        <x:v>atmosphere</x:v>
      </x:c>
      <x:c r="C91" s="86" t="str">
        <x:v>causal time</x:v>
      </x:c>
      <x:c r="D91" s="86" t="str">
        <x:v>atmosphere causal time record</x:v>
      </x:c>
      <x:c r="E91" s="91" t="str"/>
      <x:c r="F91" s="91" t="str"/>
      <x:c r="G91" s="91" t="str">
        <x:v>OPEN</x:v>
      </x:c>
      <x:c r="H91" s="86" t="str">
        <x:v>hard condition</x:v>
      </x:c>
    </x:row>
    <x:row r="92">
      <x:c r="A92" s="86" t="str">
        <x:v>G-087</x:v>
      </x:c>
      <x:c r="B92" s="86" t="str">
        <x:v>atmosphere</x:v>
      </x:c>
      <x:c r="C92" s="86" t="str">
        <x:v>custody</x:v>
      </x:c>
      <x:c r="D92" s="86" t="str">
        <x:v>atmosphere custody record</x:v>
      </x:c>
      <x:c r="E92" s="91" t="str"/>
      <x:c r="F92" s="91" t="str"/>
      <x:c r="G92" s="91" t="str">
        <x:v>OPEN</x:v>
      </x:c>
      <x:c r="H92" s="86" t="str">
        <x:v>hard condition</x:v>
      </x:c>
    </x:row>
    <x:row r="93">
      <x:c r="A93" s="86" t="str">
        <x:v>G-088</x:v>
      </x:c>
      <x:c r="B93" s="86" t="str">
        <x:v>atmosphere</x:v>
      </x:c>
      <x:c r="C93" s="86" t="str">
        <x:v>reconstruction</x:v>
      </x:c>
      <x:c r="D93" s="86" t="str">
        <x:v>atmosphere reconstruction record</x:v>
      </x:c>
      <x:c r="E93" s="91" t="str"/>
      <x:c r="F93" s="91" t="str"/>
      <x:c r="G93" s="91" t="str">
        <x:v>OPEN</x:v>
      </x:c>
      <x:c r="H93" s="86" t="str">
        <x:v>hard condition</x:v>
      </x:c>
    </x:row>
    <x:row r="94">
      <x:c r="A94" s="86" t="str">
        <x:v>G-089</x:v>
      </x:c>
      <x:c r="B94" s="86" t="str">
        <x:v>exhaust</x:v>
      </x:c>
      <x:c r="C94" s="86" t="str">
        <x:v>identity</x:v>
      </x:c>
      <x:c r="D94" s="86" t="str">
        <x:v>exhaust identity record</x:v>
      </x:c>
      <x:c r="E94" s="91" t="str"/>
      <x:c r="F94" s="91" t="str"/>
      <x:c r="G94" s="91" t="str">
        <x:v>OPEN</x:v>
      </x:c>
      <x:c r="H94" s="86" t="str">
        <x:v>hard condition</x:v>
      </x:c>
    </x:row>
    <x:row r="95">
      <x:c r="A95" s="86" t="str">
        <x:v>G-090</x:v>
      </x:c>
      <x:c r="B95" s="86" t="str">
        <x:v>exhaust</x:v>
      </x:c>
      <x:c r="C95" s="86" t="str">
        <x:v>capacity</x:v>
      </x:c>
      <x:c r="D95" s="86" t="str">
        <x:v>exhaust capacity record</x:v>
      </x:c>
      <x:c r="E95" s="91" t="str"/>
      <x:c r="F95" s="91" t="str"/>
      <x:c r="G95" s="91" t="str">
        <x:v>OPEN</x:v>
      </x:c>
      <x:c r="H95" s="86" t="str">
        <x:v>hard condition</x:v>
      </x:c>
    </x:row>
    <x:row r="96">
      <x:c r="A96" s="86" t="str">
        <x:v>G-091</x:v>
      </x:c>
      <x:c r="B96" s="86" t="str">
        <x:v>exhaust</x:v>
      </x:c>
      <x:c r="C96" s="86" t="str">
        <x:v>state</x:v>
      </x:c>
      <x:c r="D96" s="86" t="str">
        <x:v>exhaust state record</x:v>
      </x:c>
      <x:c r="E96" s="91" t="str"/>
      <x:c r="F96" s="91" t="str"/>
      <x:c r="G96" s="91" t="str">
        <x:v>OPEN</x:v>
      </x:c>
      <x:c r="H96" s="86" t="str">
        <x:v>hard condition</x:v>
      </x:c>
    </x:row>
    <x:row r="97">
      <x:c r="A97" s="86" t="str">
        <x:v>G-092</x:v>
      </x:c>
      <x:c r="B97" s="86" t="str">
        <x:v>exhaust</x:v>
      </x:c>
      <x:c r="C97" s="86" t="str">
        <x:v>authority</x:v>
      </x:c>
      <x:c r="D97" s="86" t="str">
        <x:v>exhaust authority record</x:v>
      </x:c>
      <x:c r="E97" s="91" t="str"/>
      <x:c r="F97" s="91" t="str"/>
      <x:c r="G97" s="91" t="str">
        <x:v>OPEN</x:v>
      </x:c>
      <x:c r="H97" s="86" t="str">
        <x:v>hard condition</x:v>
      </x:c>
    </x:row>
    <x:row r="98">
      <x:c r="A98" s="86" t="str">
        <x:v>G-093</x:v>
      </x:c>
      <x:c r="B98" s="86" t="str">
        <x:v>exhaust</x:v>
      </x:c>
      <x:c r="C98" s="86" t="str">
        <x:v>calibration</x:v>
      </x:c>
      <x:c r="D98" s="86" t="str">
        <x:v>exhaust calibration record</x:v>
      </x:c>
      <x:c r="E98" s="91" t="str"/>
      <x:c r="F98" s="91" t="str"/>
      <x:c r="G98" s="91" t="str">
        <x:v>OPEN</x:v>
      </x:c>
      <x:c r="H98" s="86" t="str">
        <x:v>hard condition</x:v>
      </x:c>
    </x:row>
    <x:row r="99">
      <x:c r="A99" s="86" t="str">
        <x:v>G-094</x:v>
      </x:c>
      <x:c r="B99" s="86" t="str">
        <x:v>exhaust</x:v>
      </x:c>
      <x:c r="C99" s="86" t="str">
        <x:v>causal time</x:v>
      </x:c>
      <x:c r="D99" s="86" t="str">
        <x:v>exhaust causal time record</x:v>
      </x:c>
      <x:c r="E99" s="91" t="str"/>
      <x:c r="F99" s="91" t="str"/>
      <x:c r="G99" s="91" t="str">
        <x:v>OPEN</x:v>
      </x:c>
      <x:c r="H99" s="86" t="str">
        <x:v>hard condition</x:v>
      </x:c>
    </x:row>
    <x:row r="100">
      <x:c r="A100" s="86" t="str">
        <x:v>G-095</x:v>
      </x:c>
      <x:c r="B100" s="86" t="str">
        <x:v>exhaust</x:v>
      </x:c>
      <x:c r="C100" s="86" t="str">
        <x:v>custody</x:v>
      </x:c>
      <x:c r="D100" s="86" t="str">
        <x:v>exhaust custody record</x:v>
      </x:c>
      <x:c r="E100" s="91" t="str"/>
      <x:c r="F100" s="91" t="str"/>
      <x:c r="G100" s="91" t="str">
        <x:v>OPEN</x:v>
      </x:c>
      <x:c r="H100" s="86" t="str">
        <x:v>hard condition</x:v>
      </x:c>
    </x:row>
    <x:row r="101">
      <x:c r="A101" s="86" t="str">
        <x:v>G-096</x:v>
      </x:c>
      <x:c r="B101" s="86" t="str">
        <x:v>exhaust</x:v>
      </x:c>
      <x:c r="C101" s="86" t="str">
        <x:v>reconstruction</x:v>
      </x:c>
      <x:c r="D101" s="86" t="str">
        <x:v>exhaust reconstruction record</x:v>
      </x:c>
      <x:c r="E101" s="91" t="str"/>
      <x:c r="F101" s="91" t="str"/>
      <x:c r="G101" s="91" t="str">
        <x:v>OPEN</x:v>
      </x:c>
      <x:c r="H101" s="86" t="str">
        <x:v>hard condition</x:v>
      </x:c>
    </x:row>
    <x:row r="102">
      <x:c r="A102" s="86" t="str">
        <x:v>G-097</x:v>
      </x:c>
      <x:c r="B102" s="86" t="str">
        <x:v>safe end</x:v>
      </x:c>
      <x:c r="C102" s="86" t="str">
        <x:v>identity</x:v>
      </x:c>
      <x:c r="D102" s="86" t="str">
        <x:v>safe end identity record</x:v>
      </x:c>
      <x:c r="E102" s="91" t="str"/>
      <x:c r="F102" s="91" t="str"/>
      <x:c r="G102" s="91" t="str">
        <x:v>OPEN</x:v>
      </x:c>
      <x:c r="H102" s="86" t="str">
        <x:v>hard condition</x:v>
      </x:c>
    </x:row>
    <x:row r="103">
      <x:c r="A103" s="86" t="str">
        <x:v>G-098</x:v>
      </x:c>
      <x:c r="B103" s="86" t="str">
        <x:v>safe end</x:v>
      </x:c>
      <x:c r="C103" s="86" t="str">
        <x:v>capacity</x:v>
      </x:c>
      <x:c r="D103" s="86" t="str">
        <x:v>safe end capacity record</x:v>
      </x:c>
      <x:c r="E103" s="91" t="str"/>
      <x:c r="F103" s="91" t="str"/>
      <x:c r="G103" s="91" t="str">
        <x:v>OPEN</x:v>
      </x:c>
      <x:c r="H103" s="86" t="str">
        <x:v>hard condition</x:v>
      </x:c>
    </x:row>
    <x:row r="104">
      <x:c r="A104" s="86" t="str">
        <x:v>G-099</x:v>
      </x:c>
      <x:c r="B104" s="86" t="str">
        <x:v>safe end</x:v>
      </x:c>
      <x:c r="C104" s="86" t="str">
        <x:v>state</x:v>
      </x:c>
      <x:c r="D104" s="86" t="str">
        <x:v>safe end state record</x:v>
      </x:c>
      <x:c r="E104" s="91" t="str"/>
      <x:c r="F104" s="91" t="str"/>
      <x:c r="G104" s="91" t="str">
        <x:v>OPEN</x:v>
      </x:c>
      <x:c r="H104" s="86" t="str">
        <x:v>hard condition</x:v>
      </x:c>
    </x:row>
    <x:row r="105">
      <x:c r="A105" s="86" t="str">
        <x:v>G-100</x:v>
      </x:c>
      <x:c r="B105" s="86" t="str">
        <x:v>safe end</x:v>
      </x:c>
      <x:c r="C105" s="86" t="str">
        <x:v>authority</x:v>
      </x:c>
      <x:c r="D105" s="86" t="str">
        <x:v>safe end authority record</x:v>
      </x:c>
      <x:c r="E105" s="91" t="str"/>
      <x:c r="F105" s="91" t="str"/>
      <x:c r="G105" s="91" t="str">
        <x:v>OPEN</x:v>
      </x:c>
      <x:c r="H105" s="86" t="str">
        <x:v>hard condition</x:v>
      </x:c>
    </x:row>
    <x:row r="106">
      <x:c r="A106" s="86" t="str">
        <x:v>G-101</x:v>
      </x:c>
      <x:c r="B106" s="86" t="str">
        <x:v>safe end</x:v>
      </x:c>
      <x:c r="C106" s="86" t="str">
        <x:v>calibration</x:v>
      </x:c>
      <x:c r="D106" s="86" t="str">
        <x:v>safe end calibration record</x:v>
      </x:c>
      <x:c r="E106" s="91" t="str"/>
      <x:c r="F106" s="91" t="str"/>
      <x:c r="G106" s="91" t="str">
        <x:v>OPEN</x:v>
      </x:c>
      <x:c r="H106" s="86" t="str">
        <x:v>hard condition</x:v>
      </x:c>
    </x:row>
    <x:row r="107">
      <x:c r="A107" s="86" t="str">
        <x:v>G-102</x:v>
      </x:c>
      <x:c r="B107" s="86" t="str">
        <x:v>safe end</x:v>
      </x:c>
      <x:c r="C107" s="86" t="str">
        <x:v>causal time</x:v>
      </x:c>
      <x:c r="D107" s="86" t="str">
        <x:v>safe end causal time record</x:v>
      </x:c>
      <x:c r="E107" s="91" t="str"/>
      <x:c r="F107" s="91" t="str"/>
      <x:c r="G107" s="91" t="str">
        <x:v>OPEN</x:v>
      </x:c>
      <x:c r="H107" s="86" t="str">
        <x:v>hard condition</x:v>
      </x:c>
    </x:row>
    <x:row r="108">
      <x:c r="A108" s="86" t="str">
        <x:v>G-103</x:v>
      </x:c>
      <x:c r="B108" s="86" t="str">
        <x:v>safe end</x:v>
      </x:c>
      <x:c r="C108" s="86" t="str">
        <x:v>custody</x:v>
      </x:c>
      <x:c r="D108" s="86" t="str">
        <x:v>safe end custody record</x:v>
      </x:c>
      <x:c r="E108" s="91" t="str"/>
      <x:c r="F108" s="91" t="str"/>
      <x:c r="G108" s="91" t="str">
        <x:v>OPEN</x:v>
      </x:c>
      <x:c r="H108" s="86" t="str">
        <x:v>hard condition</x:v>
      </x:c>
    </x:row>
    <x:row r="109">
      <x:c r="A109" s="86" t="str">
        <x:v>G-104</x:v>
      </x:c>
      <x:c r="B109" s="86" t="str">
        <x:v>safe end</x:v>
      </x:c>
      <x:c r="C109" s="86" t="str">
        <x:v>reconstruction</x:v>
      </x:c>
      <x:c r="D109" s="86" t="str">
        <x:v>safe end reconstruction record</x:v>
      </x:c>
      <x:c r="E109" s="91" t="str"/>
      <x:c r="F109" s="91" t="str"/>
      <x:c r="G109" s="91" t="str">
        <x:v>OPEN</x:v>
      </x:c>
      <x:c r="H109" s="86" t="str">
        <x:v>hard condition</x:v>
      </x:c>
    </x:row>
    <x:row r="110">
      <x:c r="A110" s="86" t="str">
        <x:v>G-105</x:v>
      </x:c>
      <x:c r="B110" s="86" t="str">
        <x:v>cooldown</x:v>
      </x:c>
      <x:c r="C110" s="86" t="str">
        <x:v>identity</x:v>
      </x:c>
      <x:c r="D110" s="86" t="str">
        <x:v>cooldown identity record</x:v>
      </x:c>
      <x:c r="E110" s="91" t="str"/>
      <x:c r="F110" s="91" t="str"/>
      <x:c r="G110" s="91" t="str">
        <x:v>OPEN</x:v>
      </x:c>
      <x:c r="H110" s="86" t="str">
        <x:v>hard condition</x:v>
      </x:c>
    </x:row>
    <x:row r="111">
      <x:c r="A111" s="86" t="str">
        <x:v>G-106</x:v>
      </x:c>
      <x:c r="B111" s="86" t="str">
        <x:v>cooldown</x:v>
      </x:c>
      <x:c r="C111" s="86" t="str">
        <x:v>capacity</x:v>
      </x:c>
      <x:c r="D111" s="86" t="str">
        <x:v>cooldown capacity record</x:v>
      </x:c>
      <x:c r="E111" s="91" t="str"/>
      <x:c r="F111" s="91" t="str"/>
      <x:c r="G111" s="91" t="str">
        <x:v>OPEN</x:v>
      </x:c>
      <x:c r="H111" s="86" t="str">
        <x:v>hard condition</x:v>
      </x:c>
    </x:row>
    <x:row r="112">
      <x:c r="A112" s="86" t="str">
        <x:v>G-107</x:v>
      </x:c>
      <x:c r="B112" s="86" t="str">
        <x:v>cooldown</x:v>
      </x:c>
      <x:c r="C112" s="86" t="str">
        <x:v>state</x:v>
      </x:c>
      <x:c r="D112" s="86" t="str">
        <x:v>cooldown state record</x:v>
      </x:c>
      <x:c r="E112" s="91" t="str"/>
      <x:c r="F112" s="91" t="str"/>
      <x:c r="G112" s="91" t="str">
        <x:v>OPEN</x:v>
      </x:c>
      <x:c r="H112" s="86" t="str">
        <x:v>hard condition</x:v>
      </x:c>
    </x:row>
    <x:row r="113">
      <x:c r="A113" s="86" t="str">
        <x:v>G-108</x:v>
      </x:c>
      <x:c r="B113" s="86" t="str">
        <x:v>cooldown</x:v>
      </x:c>
      <x:c r="C113" s="86" t="str">
        <x:v>authority</x:v>
      </x:c>
      <x:c r="D113" s="86" t="str">
        <x:v>cooldown authority record</x:v>
      </x:c>
      <x:c r="E113" s="91" t="str"/>
      <x:c r="F113" s="91" t="str"/>
      <x:c r="G113" s="91" t="str">
        <x:v>OPEN</x:v>
      </x:c>
      <x:c r="H113" s="86" t="str">
        <x:v>hard condition</x:v>
      </x:c>
    </x:row>
    <x:row r="114">
      <x:c r="A114" s="86" t="str">
        <x:v>G-109</x:v>
      </x:c>
      <x:c r="B114" s="86" t="str">
        <x:v>cooldown</x:v>
      </x:c>
      <x:c r="C114" s="86" t="str">
        <x:v>calibration</x:v>
      </x:c>
      <x:c r="D114" s="86" t="str">
        <x:v>cooldown calibration record</x:v>
      </x:c>
      <x:c r="E114" s="91" t="str"/>
      <x:c r="F114" s="91" t="str"/>
      <x:c r="G114" s="91" t="str">
        <x:v>OPEN</x:v>
      </x:c>
      <x:c r="H114" s="86" t="str">
        <x:v>hard condition</x:v>
      </x:c>
    </x:row>
    <x:row r="115">
      <x:c r="A115" s="86" t="str">
        <x:v>G-110</x:v>
      </x:c>
      <x:c r="B115" s="86" t="str">
        <x:v>cooldown</x:v>
      </x:c>
      <x:c r="C115" s="86" t="str">
        <x:v>causal time</x:v>
      </x:c>
      <x:c r="D115" s="86" t="str">
        <x:v>cooldown causal time record</x:v>
      </x:c>
      <x:c r="E115" s="91" t="str"/>
      <x:c r="F115" s="91" t="str"/>
      <x:c r="G115" s="91" t="str">
        <x:v>OPEN</x:v>
      </x:c>
      <x:c r="H115" s="86" t="str">
        <x:v>hard condition</x:v>
      </x:c>
    </x:row>
    <x:row r="116">
      <x:c r="A116" s="86" t="str">
        <x:v>G-111</x:v>
      </x:c>
      <x:c r="B116" s="86" t="str">
        <x:v>cooldown</x:v>
      </x:c>
      <x:c r="C116" s="86" t="str">
        <x:v>custody</x:v>
      </x:c>
      <x:c r="D116" s="86" t="str">
        <x:v>cooldown custody record</x:v>
      </x:c>
      <x:c r="E116" s="91" t="str"/>
      <x:c r="F116" s="91" t="str"/>
      <x:c r="G116" s="91" t="str">
        <x:v>OPEN</x:v>
      </x:c>
      <x:c r="H116" s="86" t="str">
        <x:v>hard condition</x:v>
      </x:c>
    </x:row>
    <x:row r="117">
      <x:c r="A117" s="86" t="str">
        <x:v>G-112</x:v>
      </x:c>
      <x:c r="B117" s="86" t="str">
        <x:v>cooldown</x:v>
      </x:c>
      <x:c r="C117" s="86" t="str">
        <x:v>reconstruction</x:v>
      </x:c>
      <x:c r="D117" s="86" t="str">
        <x:v>cooldown reconstruction record</x:v>
      </x:c>
      <x:c r="E117" s="91" t="str"/>
      <x:c r="F117" s="91" t="str"/>
      <x:c r="G117" s="91" t="str">
        <x:v>OPEN</x:v>
      </x:c>
      <x:c r="H117" s="86" t="str">
        <x:v>hard condition</x:v>
      </x:c>
    </x:row>
    <x:row r="118">
      <x:c r="A118" s="86" t="str">
        <x:v>G-113</x:v>
      </x:c>
      <x:c r="B118" s="86" t="str">
        <x:v>return</x:v>
      </x:c>
      <x:c r="C118" s="86" t="str">
        <x:v>identity</x:v>
      </x:c>
      <x:c r="D118" s="86" t="str">
        <x:v>return identity record</x:v>
      </x:c>
      <x:c r="E118" s="91" t="str"/>
      <x:c r="F118" s="91" t="str"/>
      <x:c r="G118" s="91" t="str">
        <x:v>OPEN</x:v>
      </x:c>
      <x:c r="H118" s="86" t="str">
        <x:v>hard condition</x:v>
      </x:c>
    </x:row>
    <x:row r="119">
      <x:c r="A119" s="86" t="str">
        <x:v>G-114</x:v>
      </x:c>
      <x:c r="B119" s="86" t="str">
        <x:v>return</x:v>
      </x:c>
      <x:c r="C119" s="86" t="str">
        <x:v>capacity</x:v>
      </x:c>
      <x:c r="D119" s="86" t="str">
        <x:v>return capacity record</x:v>
      </x:c>
      <x:c r="E119" s="91" t="str"/>
      <x:c r="F119" s="91" t="str"/>
      <x:c r="G119" s="91" t="str">
        <x:v>OPEN</x:v>
      </x:c>
      <x:c r="H119" s="86" t="str">
        <x:v>hard condition</x:v>
      </x:c>
    </x:row>
    <x:row r="120">
      <x:c r="A120" s="86" t="str">
        <x:v>G-115</x:v>
      </x:c>
      <x:c r="B120" s="86" t="str">
        <x:v>return</x:v>
      </x:c>
      <x:c r="C120" s="86" t="str">
        <x:v>state</x:v>
      </x:c>
      <x:c r="D120" s="86" t="str">
        <x:v>return state record</x:v>
      </x:c>
      <x:c r="E120" s="91" t="str"/>
      <x:c r="F120" s="91" t="str"/>
      <x:c r="G120" s="91" t="str">
        <x:v>OPEN</x:v>
      </x:c>
      <x:c r="H120" s="86" t="str">
        <x:v>hard condition</x:v>
      </x:c>
    </x:row>
    <x:row r="121">
      <x:c r="A121" s="86" t="str">
        <x:v>G-116</x:v>
      </x:c>
      <x:c r="B121" s="86" t="str">
        <x:v>return</x:v>
      </x:c>
      <x:c r="C121" s="86" t="str">
        <x:v>authority</x:v>
      </x:c>
      <x:c r="D121" s="86" t="str">
        <x:v>return authority record</x:v>
      </x:c>
      <x:c r="E121" s="91" t="str"/>
      <x:c r="F121" s="91" t="str"/>
      <x:c r="G121" s="91" t="str">
        <x:v>OPEN</x:v>
      </x:c>
      <x:c r="H121" s="86" t="str">
        <x:v>hard condition</x:v>
      </x:c>
    </x:row>
    <x:row r="122">
      <x:c r="A122" s="86" t="str">
        <x:v>G-117</x:v>
      </x:c>
      <x:c r="B122" s="86" t="str">
        <x:v>return</x:v>
      </x:c>
      <x:c r="C122" s="86" t="str">
        <x:v>calibration</x:v>
      </x:c>
      <x:c r="D122" s="86" t="str">
        <x:v>return calibration record</x:v>
      </x:c>
      <x:c r="E122" s="91" t="str"/>
      <x:c r="F122" s="91" t="str"/>
      <x:c r="G122" s="91" t="str">
        <x:v>OPEN</x:v>
      </x:c>
      <x:c r="H122" s="86" t="str">
        <x:v>hard condition</x:v>
      </x:c>
    </x:row>
    <x:row r="123">
      <x:c r="A123" s="86" t="str">
        <x:v>G-118</x:v>
      </x:c>
      <x:c r="B123" s="86" t="str">
        <x:v>return</x:v>
      </x:c>
      <x:c r="C123" s="86" t="str">
        <x:v>causal time</x:v>
      </x:c>
      <x:c r="D123" s="86" t="str">
        <x:v>return causal time record</x:v>
      </x:c>
      <x:c r="E123" s="91" t="str"/>
      <x:c r="F123" s="91" t="str"/>
      <x:c r="G123" s="91" t="str">
        <x:v>OPEN</x:v>
      </x:c>
      <x:c r="H123" s="86" t="str">
        <x:v>hard condition</x:v>
      </x:c>
    </x:row>
    <x:row r="124">
      <x:c r="A124" s="86" t="str">
        <x:v>G-119</x:v>
      </x:c>
      <x:c r="B124" s="86" t="str">
        <x:v>return</x:v>
      </x:c>
      <x:c r="C124" s="86" t="str">
        <x:v>custody</x:v>
      </x:c>
      <x:c r="D124" s="86" t="str">
        <x:v>return custody record</x:v>
      </x:c>
      <x:c r="E124" s="91" t="str"/>
      <x:c r="F124" s="91" t="str"/>
      <x:c r="G124" s="91" t="str">
        <x:v>OPEN</x:v>
      </x:c>
      <x:c r="H124" s="86" t="str">
        <x:v>hard condition</x:v>
      </x:c>
    </x:row>
    <x:row r="125">
      <x:c r="A125" s="86" t="str">
        <x:v>G-120</x:v>
      </x:c>
      <x:c r="B125" s="86" t="str">
        <x:v>return</x:v>
      </x:c>
      <x:c r="C125" s="86" t="str">
        <x:v>reconstruction</x:v>
      </x:c>
      <x:c r="D125" s="86" t="str">
        <x:v>return reconstruction record</x:v>
      </x:c>
      <x:c r="E125" s="91" t="str"/>
      <x:c r="F125" s="91" t="str"/>
      <x:c r="G125" s="91" t="str">
        <x:v>OPEN</x:v>
      </x:c>
      <x:c r="H125" s="86" t="str">
        <x:v>hard condition</x:v>
      </x:c>
    </x:row>
    <x:row r="126">
      <x:c r="A126" s="86" t="str">
        <x:v>G-121</x:v>
      </x:c>
      <x:c r="B126" s="86" t="str">
        <x:v>replay</x:v>
      </x:c>
      <x:c r="C126" s="86" t="str">
        <x:v>identity</x:v>
      </x:c>
      <x:c r="D126" s="86" t="str">
        <x:v>replay identity record</x:v>
      </x:c>
      <x:c r="E126" s="91" t="str"/>
      <x:c r="F126" s="91" t="str"/>
      <x:c r="G126" s="91" t="str">
        <x:v>OPEN</x:v>
      </x:c>
      <x:c r="H126" s="86" t="str">
        <x:v>hard condition</x:v>
      </x:c>
    </x:row>
    <x:row r="127">
      <x:c r="A127" s="86" t="str">
        <x:v>G-122</x:v>
      </x:c>
      <x:c r="B127" s="86" t="str">
        <x:v>replay</x:v>
      </x:c>
      <x:c r="C127" s="86" t="str">
        <x:v>capacity</x:v>
      </x:c>
      <x:c r="D127" s="86" t="str">
        <x:v>replay capacity record</x:v>
      </x:c>
      <x:c r="E127" s="91" t="str"/>
      <x:c r="F127" s="91" t="str"/>
      <x:c r="G127" s="91" t="str">
        <x:v>OPEN</x:v>
      </x:c>
      <x:c r="H127" s="86" t="str">
        <x:v>hard condition</x:v>
      </x:c>
    </x:row>
    <x:row r="128">
      <x:c r="A128" s="86" t="str">
        <x:v>G-123</x:v>
      </x:c>
      <x:c r="B128" s="86" t="str">
        <x:v>replay</x:v>
      </x:c>
      <x:c r="C128" s="86" t="str">
        <x:v>state</x:v>
      </x:c>
      <x:c r="D128" s="86" t="str">
        <x:v>replay state record</x:v>
      </x:c>
      <x:c r="E128" s="91" t="str"/>
      <x:c r="F128" s="91" t="str"/>
      <x:c r="G128" s="91" t="str">
        <x:v>OPEN</x:v>
      </x:c>
      <x:c r="H128" s="86" t="str">
        <x:v>hard condition</x:v>
      </x:c>
    </x:row>
    <x:row r="129">
      <x:c r="A129" s="86" t="str">
        <x:v>G-124</x:v>
      </x:c>
      <x:c r="B129" s="86" t="str">
        <x:v>replay</x:v>
      </x:c>
      <x:c r="C129" s="86" t="str">
        <x:v>authority</x:v>
      </x:c>
      <x:c r="D129" s="86" t="str">
        <x:v>replay authority record</x:v>
      </x:c>
      <x:c r="E129" s="91" t="str"/>
      <x:c r="F129" s="91" t="str"/>
      <x:c r="G129" s="91" t="str">
        <x:v>OPEN</x:v>
      </x:c>
      <x:c r="H129" s="86" t="str">
        <x:v>hard condition</x:v>
      </x:c>
    </x:row>
    <x:row r="130">
      <x:c r="A130" s="86" t="str">
        <x:v>G-125</x:v>
      </x:c>
      <x:c r="B130" s="86" t="str">
        <x:v>replay</x:v>
      </x:c>
      <x:c r="C130" s="86" t="str">
        <x:v>calibration</x:v>
      </x:c>
      <x:c r="D130" s="86" t="str">
        <x:v>replay calibration record</x:v>
      </x:c>
      <x:c r="E130" s="91" t="str"/>
      <x:c r="F130" s="91" t="str"/>
      <x:c r="G130" s="91" t="str">
        <x:v>OPEN</x:v>
      </x:c>
      <x:c r="H130" s="86" t="str">
        <x:v>hard condition</x:v>
      </x:c>
    </x:row>
    <x:row r="131">
      <x:c r="A131" s="86" t="str">
        <x:v>G-126</x:v>
      </x:c>
      <x:c r="B131" s="86" t="str">
        <x:v>replay</x:v>
      </x:c>
      <x:c r="C131" s="86" t="str">
        <x:v>causal time</x:v>
      </x:c>
      <x:c r="D131" s="86" t="str">
        <x:v>replay causal time record</x:v>
      </x:c>
      <x:c r="E131" s="91" t="str"/>
      <x:c r="F131" s="91" t="str"/>
      <x:c r="G131" s="91" t="str">
        <x:v>OPEN</x:v>
      </x:c>
      <x:c r="H131" s="86" t="str">
        <x:v>hard condition</x:v>
      </x:c>
    </x:row>
    <x:row r="132">
      <x:c r="A132" s="86" t="str">
        <x:v>G-127</x:v>
      </x:c>
      <x:c r="B132" s="86" t="str">
        <x:v>replay</x:v>
      </x:c>
      <x:c r="C132" s="86" t="str">
        <x:v>custody</x:v>
      </x:c>
      <x:c r="D132" s="86" t="str">
        <x:v>replay custody record</x:v>
      </x:c>
      <x:c r="E132" s="91" t="str"/>
      <x:c r="F132" s="91" t="str"/>
      <x:c r="G132" s="91" t="str">
        <x:v>OPEN</x:v>
      </x:c>
      <x:c r="H132" s="86" t="str">
        <x:v>hard condition</x:v>
      </x:c>
    </x:row>
    <x:row r="133">
      <x:c r="A133" s="87" t="str">
        <x:v>G-128</x:v>
      </x:c>
      <x:c r="B133" s="87" t="str">
        <x:v>replay</x:v>
      </x:c>
      <x:c r="C133" s="87" t="str">
        <x:v>reconstruction</x:v>
      </x:c>
      <x:c r="D133" s="87" t="str">
        <x:v>replay reconstruction record</x:v>
      </x:c>
      <x:c r="E133" s="95" t="str"/>
      <x:c r="F133" s="95" t="str"/>
      <x:c r="G133" s="95" t="str">
        <x:v>OPEN</x:v>
      </x:c>
      <x:c r="H133" s="87" t="str">
        <x:v>hard condition</x:v>
      </x:c>
    </x:row>
  </x:sheetData>
  <x:mergeCells>
    <x:mergeCell ref="A2:H2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4" hidden="0" customWidth="1"/>
    <x:col min="2" max="2" width="24" hidden="0" customWidth="1"/>
    <x:col min="3" max="3" width="20" hidden="0" customWidth="1"/>
    <x:col min="4" max="4" width="12" hidden="0" customWidth="1"/>
    <x:col min="5" max="5" width="16" hidden="0" customWidth="1"/>
    <x:col min="6" max="6" width="18" hidden="0" customWidth="1"/>
    <x:col min="7" max="7" width="24" hidden="0" customWidth="1"/>
    <x:col min="8" max="8" width="16" hidden="0" customWidth="1"/>
    <x:col min="9" max="9" width="24" hidden="0" customWidth="1"/>
  </x:cols>
  <x:sheetData>
    <x:row r="2" ht="24" customHeight="1">
      <x:c r="A2" s="82" t="str">
        <x:v>512 native evidence records</x:v>
      </x:c>
      <x:c r="B2" s="83"/>
      <x:c r="C2" s="83"/>
      <x:c r="D2" s="83"/>
      <x:c r="E2" s="83"/>
      <x:c r="F2" s="83"/>
      <x:c r="G2" s="83"/>
      <x:c r="H2" s="83"/>
      <x:c r="I2" s="83"/>
    </x:row>
    <x:row r="3">
      <x:c r="A3" s="84"/>
      <x:c r="B3" s="84"/>
      <x:c r="C3" s="84"/>
      <x:c r="D3" s="84"/>
      <x:c r="E3" s="84"/>
      <x:c r="F3" s="84"/>
      <x:c r="G3" s="84"/>
      <x:c r="H3" s="84"/>
      <x:c r="I3" s="84"/>
    </x:row>
    <x:row r="4">
      <x:c r="A4" s="83"/>
      <x:c r="B4" s="83"/>
      <x:c r="C4" s="83"/>
      <x:c r="D4" s="83"/>
      <x:c r="E4" s="83"/>
      <x:c r="F4" s="83"/>
      <x:c r="G4" s="83"/>
      <x:c r="H4" s="83"/>
      <x:c r="I4" s="83"/>
    </x:row>
    <x:row r="5" ht="22" customHeight="1">
      <x:c r="A5" s="7" t="str">
        <x:v>Record</x:v>
      </x:c>
      <x:c r="B5" s="8" t="str">
        <x:v>Phase</x:v>
      </x:c>
      <x:c r="C5" s="8" t="str">
        <x:v>Domain</x:v>
      </x:c>
      <x:c r="D5" s="8" t="str">
        <x:v>Replica</x:v>
      </x:c>
      <x:c r="E5" s="8" t="str">
        <x:v>Native trunk</x:v>
      </x:c>
      <x:c r="F5" s="8" t="str">
        <x:v>Local time root</x:v>
      </x:c>
      <x:c r="G5" s="8" t="str">
        <x:v>Calibration family</x:v>
      </x:c>
      <x:c r="H5" s="8" t="str">
        <x:v>Record state</x:v>
      </x:c>
      <x:c r="I5" s="9" t="str">
        <x:v>Board use</x:v>
      </x:c>
    </x:row>
    <x:row r="6">
      <x:c r="A6" s="85" t="str">
        <x:v>ER-001</x:v>
      </x:c>
      <x:c r="B6" s="85" t="str">
        <x:v>freeze</x:v>
      </x:c>
      <x:c r="C6" s="85" t="str">
        <x:v>identity</x:v>
      </x:c>
      <x:c r="D6" s="106" t="n">
        <x:v>1</x:v>
      </x:c>
      <x:c r="E6" s="85" t="str">
        <x:v>T1</x:v>
      </x:c>
      <x:c r="F6" s="85" t="str">
        <x:v>L1</x:v>
      </x:c>
      <x:c r="G6" s="85" t="str">
        <x:v>identity-CAL</x:v>
      </x:c>
      <x:c r="H6" s="100" t="str">
        <x:v>OPEN</x:v>
      </x:c>
      <x:c r="I6" s="85" t="str">
        <x:v>freeze</x:v>
      </x:c>
    </x:row>
    <x:row r="7">
      <x:c r="A7" s="86" t="str">
        <x:v>ER-002</x:v>
      </x:c>
      <x:c r="B7" s="86" t="str">
        <x:v>freeze</x:v>
      </x:c>
      <x:c r="C7" s="86" t="str">
        <x:v>identity</x:v>
      </x:c>
      <x:c r="D7" s="108" t="n">
        <x:v>2</x:v>
      </x:c>
      <x:c r="E7" s="86" t="str">
        <x:v>T2</x:v>
      </x:c>
      <x:c r="F7" s="86" t="str">
        <x:v>L2</x:v>
      </x:c>
      <x:c r="G7" s="86" t="str">
        <x:v>identity-CAL</x:v>
      </x:c>
      <x:c r="H7" s="91" t="str">
        <x:v>OPEN</x:v>
      </x:c>
      <x:c r="I7" s="86" t="str">
        <x:v>freeze</x:v>
      </x:c>
    </x:row>
    <x:row r="8">
      <x:c r="A8" s="86" t="str">
        <x:v>ER-003</x:v>
      </x:c>
      <x:c r="B8" s="86" t="str">
        <x:v>freeze</x:v>
      </x:c>
      <x:c r="C8" s="86" t="str">
        <x:v>identity</x:v>
      </x:c>
      <x:c r="D8" s="108" t="n">
        <x:v>3</x:v>
      </x:c>
      <x:c r="E8" s="86" t="str">
        <x:v>T3</x:v>
      </x:c>
      <x:c r="F8" s="86" t="str">
        <x:v>L3</x:v>
      </x:c>
      <x:c r="G8" s="86" t="str">
        <x:v>identity-CAL</x:v>
      </x:c>
      <x:c r="H8" s="91" t="str">
        <x:v>OPEN</x:v>
      </x:c>
      <x:c r="I8" s="86" t="str">
        <x:v>freeze</x:v>
      </x:c>
    </x:row>
    <x:row r="9">
      <x:c r="A9" s="86" t="str">
        <x:v>ER-004</x:v>
      </x:c>
      <x:c r="B9" s="86" t="str">
        <x:v>freeze</x:v>
      </x:c>
      <x:c r="C9" s="86" t="str">
        <x:v>identity</x:v>
      </x:c>
      <x:c r="D9" s="108" t="n">
        <x:v>4</x:v>
      </x:c>
      <x:c r="E9" s="86" t="str">
        <x:v>T4</x:v>
      </x:c>
      <x:c r="F9" s="86" t="str">
        <x:v>L4</x:v>
      </x:c>
      <x:c r="G9" s="86" t="str">
        <x:v>identity-CAL</x:v>
      </x:c>
      <x:c r="H9" s="91" t="str">
        <x:v>OPEN</x:v>
      </x:c>
      <x:c r="I9" s="86" t="str">
        <x:v>freeze</x:v>
      </x:c>
    </x:row>
    <x:row r="10">
      <x:c r="A10" s="86" t="str">
        <x:v>ER-005</x:v>
      </x:c>
      <x:c r="B10" s="86" t="str">
        <x:v>freeze</x:v>
      </x:c>
      <x:c r="C10" s="86" t="str">
        <x:v>capacity</x:v>
      </x:c>
      <x:c r="D10" s="108" t="n">
        <x:v>1</x:v>
      </x:c>
      <x:c r="E10" s="86" t="str">
        <x:v>T1</x:v>
      </x:c>
      <x:c r="F10" s="86" t="str">
        <x:v>L1</x:v>
      </x:c>
      <x:c r="G10" s="86" t="str">
        <x:v>capacity-CAL</x:v>
      </x:c>
      <x:c r="H10" s="91" t="str">
        <x:v>OPEN</x:v>
      </x:c>
      <x:c r="I10" s="86" t="str">
        <x:v>freeze</x:v>
      </x:c>
    </x:row>
    <x:row r="11">
      <x:c r="A11" s="86" t="str">
        <x:v>ER-006</x:v>
      </x:c>
      <x:c r="B11" s="86" t="str">
        <x:v>freeze</x:v>
      </x:c>
      <x:c r="C11" s="86" t="str">
        <x:v>capacity</x:v>
      </x:c>
      <x:c r="D11" s="108" t="n">
        <x:v>2</x:v>
      </x:c>
      <x:c r="E11" s="86" t="str">
        <x:v>T2</x:v>
      </x:c>
      <x:c r="F11" s="86" t="str">
        <x:v>L2</x:v>
      </x:c>
      <x:c r="G11" s="86" t="str">
        <x:v>capacity-CAL</x:v>
      </x:c>
      <x:c r="H11" s="91" t="str">
        <x:v>OPEN</x:v>
      </x:c>
      <x:c r="I11" s="86" t="str">
        <x:v>freeze</x:v>
      </x:c>
    </x:row>
    <x:row r="12">
      <x:c r="A12" s="86" t="str">
        <x:v>ER-007</x:v>
      </x:c>
      <x:c r="B12" s="86" t="str">
        <x:v>freeze</x:v>
      </x:c>
      <x:c r="C12" s="86" t="str">
        <x:v>capacity</x:v>
      </x:c>
      <x:c r="D12" s="108" t="n">
        <x:v>3</x:v>
      </x:c>
      <x:c r="E12" s="86" t="str">
        <x:v>T3</x:v>
      </x:c>
      <x:c r="F12" s="86" t="str">
        <x:v>L3</x:v>
      </x:c>
      <x:c r="G12" s="86" t="str">
        <x:v>capacity-CAL</x:v>
      </x:c>
      <x:c r="H12" s="91" t="str">
        <x:v>OPEN</x:v>
      </x:c>
      <x:c r="I12" s="86" t="str">
        <x:v>freeze</x:v>
      </x:c>
    </x:row>
    <x:row r="13">
      <x:c r="A13" s="86" t="str">
        <x:v>ER-008</x:v>
      </x:c>
      <x:c r="B13" s="86" t="str">
        <x:v>freeze</x:v>
      </x:c>
      <x:c r="C13" s="86" t="str">
        <x:v>capacity</x:v>
      </x:c>
      <x:c r="D13" s="108" t="n">
        <x:v>4</x:v>
      </x:c>
      <x:c r="E13" s="86" t="str">
        <x:v>T4</x:v>
      </x:c>
      <x:c r="F13" s="86" t="str">
        <x:v>L4</x:v>
      </x:c>
      <x:c r="G13" s="86" t="str">
        <x:v>capacity-CAL</x:v>
      </x:c>
      <x:c r="H13" s="91" t="str">
        <x:v>OPEN</x:v>
      </x:c>
      <x:c r="I13" s="86" t="str">
        <x:v>freeze</x:v>
      </x:c>
    </x:row>
    <x:row r="14">
      <x:c r="A14" s="86" t="str">
        <x:v>ER-009</x:v>
      </x:c>
      <x:c r="B14" s="86" t="str">
        <x:v>freeze</x:v>
      </x:c>
      <x:c r="C14" s="86" t="str">
        <x:v>state</x:v>
      </x:c>
      <x:c r="D14" s="108" t="n">
        <x:v>1</x:v>
      </x:c>
      <x:c r="E14" s="86" t="str">
        <x:v>T1</x:v>
      </x:c>
      <x:c r="F14" s="86" t="str">
        <x:v>L1</x:v>
      </x:c>
      <x:c r="G14" s="86" t="str">
        <x:v>state-CAL</x:v>
      </x:c>
      <x:c r="H14" s="91" t="str">
        <x:v>OPEN</x:v>
      </x:c>
      <x:c r="I14" s="86" t="str">
        <x:v>freeze</x:v>
      </x:c>
    </x:row>
    <x:row r="15">
      <x:c r="A15" s="86" t="str">
        <x:v>ER-010</x:v>
      </x:c>
      <x:c r="B15" s="86" t="str">
        <x:v>freeze</x:v>
      </x:c>
      <x:c r="C15" s="86" t="str">
        <x:v>state</x:v>
      </x:c>
      <x:c r="D15" s="108" t="n">
        <x:v>2</x:v>
      </x:c>
      <x:c r="E15" s="86" t="str">
        <x:v>T2</x:v>
      </x:c>
      <x:c r="F15" s="86" t="str">
        <x:v>L2</x:v>
      </x:c>
      <x:c r="G15" s="86" t="str">
        <x:v>state-CAL</x:v>
      </x:c>
      <x:c r="H15" s="91" t="str">
        <x:v>OPEN</x:v>
      </x:c>
      <x:c r="I15" s="86" t="str">
        <x:v>freeze</x:v>
      </x:c>
    </x:row>
    <x:row r="16">
      <x:c r="A16" s="86" t="str">
        <x:v>ER-011</x:v>
      </x:c>
      <x:c r="B16" s="86" t="str">
        <x:v>freeze</x:v>
      </x:c>
      <x:c r="C16" s="86" t="str">
        <x:v>state</x:v>
      </x:c>
      <x:c r="D16" s="108" t="n">
        <x:v>3</x:v>
      </x:c>
      <x:c r="E16" s="86" t="str">
        <x:v>T3</x:v>
      </x:c>
      <x:c r="F16" s="86" t="str">
        <x:v>L3</x:v>
      </x:c>
      <x:c r="G16" s="86" t="str">
        <x:v>state-CAL</x:v>
      </x:c>
      <x:c r="H16" s="91" t="str">
        <x:v>OPEN</x:v>
      </x:c>
      <x:c r="I16" s="86" t="str">
        <x:v>freeze</x:v>
      </x:c>
    </x:row>
    <x:row r="17">
      <x:c r="A17" s="86" t="str">
        <x:v>ER-012</x:v>
      </x:c>
      <x:c r="B17" s="86" t="str">
        <x:v>freeze</x:v>
      </x:c>
      <x:c r="C17" s="86" t="str">
        <x:v>state</x:v>
      </x:c>
      <x:c r="D17" s="108" t="n">
        <x:v>4</x:v>
      </x:c>
      <x:c r="E17" s="86" t="str">
        <x:v>T4</x:v>
      </x:c>
      <x:c r="F17" s="86" t="str">
        <x:v>L4</x:v>
      </x:c>
      <x:c r="G17" s="86" t="str">
        <x:v>state-CAL</x:v>
      </x:c>
      <x:c r="H17" s="91" t="str">
        <x:v>OPEN</x:v>
      </x:c>
      <x:c r="I17" s="86" t="str">
        <x:v>freeze</x:v>
      </x:c>
    </x:row>
    <x:row r="18">
      <x:c r="A18" s="86" t="str">
        <x:v>ER-013</x:v>
      </x:c>
      <x:c r="B18" s="86" t="str">
        <x:v>freeze</x:v>
      </x:c>
      <x:c r="C18" s="86" t="str">
        <x:v>authority</x:v>
      </x:c>
      <x:c r="D18" s="108" t="n">
        <x:v>1</x:v>
      </x:c>
      <x:c r="E18" s="86" t="str">
        <x:v>T1</x:v>
      </x:c>
      <x:c r="F18" s="86" t="str">
        <x:v>L1</x:v>
      </x:c>
      <x:c r="G18" s="86" t="str">
        <x:v>authority-CAL</x:v>
      </x:c>
      <x:c r="H18" s="91" t="str">
        <x:v>OPEN</x:v>
      </x:c>
      <x:c r="I18" s="86" t="str">
        <x:v>freeze</x:v>
      </x:c>
    </x:row>
    <x:row r="19">
      <x:c r="A19" s="86" t="str">
        <x:v>ER-014</x:v>
      </x:c>
      <x:c r="B19" s="86" t="str">
        <x:v>freeze</x:v>
      </x:c>
      <x:c r="C19" s="86" t="str">
        <x:v>authority</x:v>
      </x:c>
      <x:c r="D19" s="108" t="n">
        <x:v>2</x:v>
      </x:c>
      <x:c r="E19" s="86" t="str">
        <x:v>T2</x:v>
      </x:c>
      <x:c r="F19" s="86" t="str">
        <x:v>L2</x:v>
      </x:c>
      <x:c r="G19" s="86" t="str">
        <x:v>authority-CAL</x:v>
      </x:c>
      <x:c r="H19" s="91" t="str">
        <x:v>OPEN</x:v>
      </x:c>
      <x:c r="I19" s="86" t="str">
        <x:v>freeze</x:v>
      </x:c>
    </x:row>
    <x:row r="20">
      <x:c r="A20" s="86" t="str">
        <x:v>ER-015</x:v>
      </x:c>
      <x:c r="B20" s="86" t="str">
        <x:v>freeze</x:v>
      </x:c>
      <x:c r="C20" s="86" t="str">
        <x:v>authority</x:v>
      </x:c>
      <x:c r="D20" s="108" t="n">
        <x:v>3</x:v>
      </x:c>
      <x:c r="E20" s="86" t="str">
        <x:v>T3</x:v>
      </x:c>
      <x:c r="F20" s="86" t="str">
        <x:v>L3</x:v>
      </x:c>
      <x:c r="G20" s="86" t="str">
        <x:v>authority-CAL</x:v>
      </x:c>
      <x:c r="H20" s="91" t="str">
        <x:v>OPEN</x:v>
      </x:c>
      <x:c r="I20" s="86" t="str">
        <x:v>freeze</x:v>
      </x:c>
    </x:row>
    <x:row r="21">
      <x:c r="A21" s="86" t="str">
        <x:v>ER-016</x:v>
      </x:c>
      <x:c r="B21" s="86" t="str">
        <x:v>freeze</x:v>
      </x:c>
      <x:c r="C21" s="86" t="str">
        <x:v>authority</x:v>
      </x:c>
      <x:c r="D21" s="108" t="n">
        <x:v>4</x:v>
      </x:c>
      <x:c r="E21" s="86" t="str">
        <x:v>T4</x:v>
      </x:c>
      <x:c r="F21" s="86" t="str">
        <x:v>L4</x:v>
      </x:c>
      <x:c r="G21" s="86" t="str">
        <x:v>authority-CAL</x:v>
      </x:c>
      <x:c r="H21" s="91" t="str">
        <x:v>OPEN</x:v>
      </x:c>
      <x:c r="I21" s="86" t="str">
        <x:v>freeze</x:v>
      </x:c>
    </x:row>
    <x:row r="22">
      <x:c r="A22" s="86" t="str">
        <x:v>ER-017</x:v>
      </x:c>
      <x:c r="B22" s="86" t="str">
        <x:v>freeze</x:v>
      </x:c>
      <x:c r="C22" s="86" t="str">
        <x:v>calibration</x:v>
      </x:c>
      <x:c r="D22" s="108" t="n">
        <x:v>1</x:v>
      </x:c>
      <x:c r="E22" s="86" t="str">
        <x:v>T1</x:v>
      </x:c>
      <x:c r="F22" s="86" t="str">
        <x:v>L1</x:v>
      </x:c>
      <x:c r="G22" s="86" t="str">
        <x:v>calibration-CAL</x:v>
      </x:c>
      <x:c r="H22" s="91" t="str">
        <x:v>OPEN</x:v>
      </x:c>
      <x:c r="I22" s="86" t="str">
        <x:v>freeze</x:v>
      </x:c>
    </x:row>
    <x:row r="23">
      <x:c r="A23" s="86" t="str">
        <x:v>ER-018</x:v>
      </x:c>
      <x:c r="B23" s="86" t="str">
        <x:v>freeze</x:v>
      </x:c>
      <x:c r="C23" s="86" t="str">
        <x:v>calibration</x:v>
      </x:c>
      <x:c r="D23" s="108" t="n">
        <x:v>2</x:v>
      </x:c>
      <x:c r="E23" s="86" t="str">
        <x:v>T2</x:v>
      </x:c>
      <x:c r="F23" s="86" t="str">
        <x:v>L2</x:v>
      </x:c>
      <x:c r="G23" s="86" t="str">
        <x:v>calibration-CAL</x:v>
      </x:c>
      <x:c r="H23" s="91" t="str">
        <x:v>OPEN</x:v>
      </x:c>
      <x:c r="I23" s="86" t="str">
        <x:v>freeze</x:v>
      </x:c>
    </x:row>
    <x:row r="24">
      <x:c r="A24" s="86" t="str">
        <x:v>ER-019</x:v>
      </x:c>
      <x:c r="B24" s="86" t="str">
        <x:v>freeze</x:v>
      </x:c>
      <x:c r="C24" s="86" t="str">
        <x:v>calibration</x:v>
      </x:c>
      <x:c r="D24" s="108" t="n">
        <x:v>3</x:v>
      </x:c>
      <x:c r="E24" s="86" t="str">
        <x:v>T3</x:v>
      </x:c>
      <x:c r="F24" s="86" t="str">
        <x:v>L3</x:v>
      </x:c>
      <x:c r="G24" s="86" t="str">
        <x:v>calibration-CAL</x:v>
      </x:c>
      <x:c r="H24" s="91" t="str">
        <x:v>OPEN</x:v>
      </x:c>
      <x:c r="I24" s="86" t="str">
        <x:v>freeze</x:v>
      </x:c>
    </x:row>
    <x:row r="25">
      <x:c r="A25" s="86" t="str">
        <x:v>ER-020</x:v>
      </x:c>
      <x:c r="B25" s="86" t="str">
        <x:v>freeze</x:v>
      </x:c>
      <x:c r="C25" s="86" t="str">
        <x:v>calibration</x:v>
      </x:c>
      <x:c r="D25" s="108" t="n">
        <x:v>4</x:v>
      </x:c>
      <x:c r="E25" s="86" t="str">
        <x:v>T4</x:v>
      </x:c>
      <x:c r="F25" s="86" t="str">
        <x:v>L4</x:v>
      </x:c>
      <x:c r="G25" s="86" t="str">
        <x:v>calibration-CAL</x:v>
      </x:c>
      <x:c r="H25" s="91" t="str">
        <x:v>OPEN</x:v>
      </x:c>
      <x:c r="I25" s="86" t="str">
        <x:v>freeze</x:v>
      </x:c>
    </x:row>
    <x:row r="26">
      <x:c r="A26" s="86" t="str">
        <x:v>ER-021</x:v>
      </x:c>
      <x:c r="B26" s="86" t="str">
        <x:v>freeze</x:v>
      </x:c>
      <x:c r="C26" s="86" t="str">
        <x:v>causal time</x:v>
      </x:c>
      <x:c r="D26" s="108" t="n">
        <x:v>1</x:v>
      </x:c>
      <x:c r="E26" s="86" t="str">
        <x:v>T1</x:v>
      </x:c>
      <x:c r="F26" s="86" t="str">
        <x:v>L1</x:v>
      </x:c>
      <x:c r="G26" s="86" t="str">
        <x:v>causal time-CAL</x:v>
      </x:c>
      <x:c r="H26" s="91" t="str">
        <x:v>OPEN</x:v>
      </x:c>
      <x:c r="I26" s="86" t="str">
        <x:v>freeze</x:v>
      </x:c>
    </x:row>
    <x:row r="27">
      <x:c r="A27" s="86" t="str">
        <x:v>ER-022</x:v>
      </x:c>
      <x:c r="B27" s="86" t="str">
        <x:v>freeze</x:v>
      </x:c>
      <x:c r="C27" s="86" t="str">
        <x:v>causal time</x:v>
      </x:c>
      <x:c r="D27" s="108" t="n">
        <x:v>2</x:v>
      </x:c>
      <x:c r="E27" s="86" t="str">
        <x:v>T2</x:v>
      </x:c>
      <x:c r="F27" s="86" t="str">
        <x:v>L2</x:v>
      </x:c>
      <x:c r="G27" s="86" t="str">
        <x:v>causal time-CAL</x:v>
      </x:c>
      <x:c r="H27" s="91" t="str">
        <x:v>OPEN</x:v>
      </x:c>
      <x:c r="I27" s="86" t="str">
        <x:v>freeze</x:v>
      </x:c>
    </x:row>
    <x:row r="28">
      <x:c r="A28" s="86" t="str">
        <x:v>ER-023</x:v>
      </x:c>
      <x:c r="B28" s="86" t="str">
        <x:v>freeze</x:v>
      </x:c>
      <x:c r="C28" s="86" t="str">
        <x:v>causal time</x:v>
      </x:c>
      <x:c r="D28" s="108" t="n">
        <x:v>3</x:v>
      </x:c>
      <x:c r="E28" s="86" t="str">
        <x:v>T3</x:v>
      </x:c>
      <x:c r="F28" s="86" t="str">
        <x:v>L3</x:v>
      </x:c>
      <x:c r="G28" s="86" t="str">
        <x:v>causal time-CAL</x:v>
      </x:c>
      <x:c r="H28" s="91" t="str">
        <x:v>OPEN</x:v>
      </x:c>
      <x:c r="I28" s="86" t="str">
        <x:v>freeze</x:v>
      </x:c>
    </x:row>
    <x:row r="29">
      <x:c r="A29" s="86" t="str">
        <x:v>ER-024</x:v>
      </x:c>
      <x:c r="B29" s="86" t="str">
        <x:v>freeze</x:v>
      </x:c>
      <x:c r="C29" s="86" t="str">
        <x:v>causal time</x:v>
      </x:c>
      <x:c r="D29" s="108" t="n">
        <x:v>4</x:v>
      </x:c>
      <x:c r="E29" s="86" t="str">
        <x:v>T4</x:v>
      </x:c>
      <x:c r="F29" s="86" t="str">
        <x:v>L4</x:v>
      </x:c>
      <x:c r="G29" s="86" t="str">
        <x:v>causal time-CAL</x:v>
      </x:c>
      <x:c r="H29" s="91" t="str">
        <x:v>OPEN</x:v>
      </x:c>
      <x:c r="I29" s="86" t="str">
        <x:v>freeze</x:v>
      </x:c>
    </x:row>
    <x:row r="30">
      <x:c r="A30" s="86" t="str">
        <x:v>ER-025</x:v>
      </x:c>
      <x:c r="B30" s="86" t="str">
        <x:v>freeze</x:v>
      </x:c>
      <x:c r="C30" s="86" t="str">
        <x:v>custody</x:v>
      </x:c>
      <x:c r="D30" s="108" t="n">
        <x:v>1</x:v>
      </x:c>
      <x:c r="E30" s="86" t="str">
        <x:v>T1</x:v>
      </x:c>
      <x:c r="F30" s="86" t="str">
        <x:v>L1</x:v>
      </x:c>
      <x:c r="G30" s="86" t="str">
        <x:v>custody-CAL</x:v>
      </x:c>
      <x:c r="H30" s="91" t="str">
        <x:v>OPEN</x:v>
      </x:c>
      <x:c r="I30" s="86" t="str">
        <x:v>freeze</x:v>
      </x:c>
    </x:row>
    <x:row r="31">
      <x:c r="A31" s="86" t="str">
        <x:v>ER-026</x:v>
      </x:c>
      <x:c r="B31" s="86" t="str">
        <x:v>freeze</x:v>
      </x:c>
      <x:c r="C31" s="86" t="str">
        <x:v>custody</x:v>
      </x:c>
      <x:c r="D31" s="108" t="n">
        <x:v>2</x:v>
      </x:c>
      <x:c r="E31" s="86" t="str">
        <x:v>T2</x:v>
      </x:c>
      <x:c r="F31" s="86" t="str">
        <x:v>L2</x:v>
      </x:c>
      <x:c r="G31" s="86" t="str">
        <x:v>custody-CAL</x:v>
      </x:c>
      <x:c r="H31" s="91" t="str">
        <x:v>OPEN</x:v>
      </x:c>
      <x:c r="I31" s="86" t="str">
        <x:v>freeze</x:v>
      </x:c>
    </x:row>
    <x:row r="32">
      <x:c r="A32" s="86" t="str">
        <x:v>ER-027</x:v>
      </x:c>
      <x:c r="B32" s="86" t="str">
        <x:v>freeze</x:v>
      </x:c>
      <x:c r="C32" s="86" t="str">
        <x:v>custody</x:v>
      </x:c>
      <x:c r="D32" s="108" t="n">
        <x:v>3</x:v>
      </x:c>
      <x:c r="E32" s="86" t="str">
        <x:v>T3</x:v>
      </x:c>
      <x:c r="F32" s="86" t="str">
        <x:v>L3</x:v>
      </x:c>
      <x:c r="G32" s="86" t="str">
        <x:v>custody-CAL</x:v>
      </x:c>
      <x:c r="H32" s="91" t="str">
        <x:v>OPEN</x:v>
      </x:c>
      <x:c r="I32" s="86" t="str">
        <x:v>freeze</x:v>
      </x:c>
    </x:row>
    <x:row r="33">
      <x:c r="A33" s="86" t="str">
        <x:v>ER-028</x:v>
      </x:c>
      <x:c r="B33" s="86" t="str">
        <x:v>freeze</x:v>
      </x:c>
      <x:c r="C33" s="86" t="str">
        <x:v>custody</x:v>
      </x:c>
      <x:c r="D33" s="108" t="n">
        <x:v>4</x:v>
      </x:c>
      <x:c r="E33" s="86" t="str">
        <x:v>T4</x:v>
      </x:c>
      <x:c r="F33" s="86" t="str">
        <x:v>L4</x:v>
      </x:c>
      <x:c r="G33" s="86" t="str">
        <x:v>custody-CAL</x:v>
      </x:c>
      <x:c r="H33" s="91" t="str">
        <x:v>OPEN</x:v>
      </x:c>
      <x:c r="I33" s="86" t="str">
        <x:v>freeze</x:v>
      </x:c>
    </x:row>
    <x:row r="34">
      <x:c r="A34" s="86" t="str">
        <x:v>ER-029</x:v>
      </x:c>
      <x:c r="B34" s="86" t="str">
        <x:v>freeze</x:v>
      </x:c>
      <x:c r="C34" s="86" t="str">
        <x:v>reconstruction</x:v>
      </x:c>
      <x:c r="D34" s="108" t="n">
        <x:v>1</x:v>
      </x:c>
      <x:c r="E34" s="86" t="str">
        <x:v>T1</x:v>
      </x:c>
      <x:c r="F34" s="86" t="str">
        <x:v>L1</x:v>
      </x:c>
      <x:c r="G34" s="86" t="str">
        <x:v>reconstruction-CAL</x:v>
      </x:c>
      <x:c r="H34" s="91" t="str">
        <x:v>OPEN</x:v>
      </x:c>
      <x:c r="I34" s="86" t="str">
        <x:v>freeze</x:v>
      </x:c>
    </x:row>
    <x:row r="35">
      <x:c r="A35" s="86" t="str">
        <x:v>ER-030</x:v>
      </x:c>
      <x:c r="B35" s="86" t="str">
        <x:v>freeze</x:v>
      </x:c>
      <x:c r="C35" s="86" t="str">
        <x:v>reconstruction</x:v>
      </x:c>
      <x:c r="D35" s="108" t="n">
        <x:v>2</x:v>
      </x:c>
      <x:c r="E35" s="86" t="str">
        <x:v>T2</x:v>
      </x:c>
      <x:c r="F35" s="86" t="str">
        <x:v>L2</x:v>
      </x:c>
      <x:c r="G35" s="86" t="str">
        <x:v>reconstruction-CAL</x:v>
      </x:c>
      <x:c r="H35" s="91" t="str">
        <x:v>OPEN</x:v>
      </x:c>
      <x:c r="I35" s="86" t="str">
        <x:v>freeze</x:v>
      </x:c>
    </x:row>
    <x:row r="36">
      <x:c r="A36" s="86" t="str">
        <x:v>ER-031</x:v>
      </x:c>
      <x:c r="B36" s="86" t="str">
        <x:v>freeze</x:v>
      </x:c>
      <x:c r="C36" s="86" t="str">
        <x:v>reconstruction</x:v>
      </x:c>
      <x:c r="D36" s="108" t="n">
        <x:v>3</x:v>
      </x:c>
      <x:c r="E36" s="86" t="str">
        <x:v>T3</x:v>
      </x:c>
      <x:c r="F36" s="86" t="str">
        <x:v>L3</x:v>
      </x:c>
      <x:c r="G36" s="86" t="str">
        <x:v>reconstruction-CAL</x:v>
      </x:c>
      <x:c r="H36" s="91" t="str">
        <x:v>OPEN</x:v>
      </x:c>
      <x:c r="I36" s="86" t="str">
        <x:v>freeze</x:v>
      </x:c>
    </x:row>
    <x:row r="37">
      <x:c r="A37" s="86" t="str">
        <x:v>ER-032</x:v>
      </x:c>
      <x:c r="B37" s="86" t="str">
        <x:v>freeze</x:v>
      </x:c>
      <x:c r="C37" s="86" t="str">
        <x:v>reconstruction</x:v>
      </x:c>
      <x:c r="D37" s="108" t="n">
        <x:v>4</x:v>
      </x:c>
      <x:c r="E37" s="86" t="str">
        <x:v>T4</x:v>
      </x:c>
      <x:c r="F37" s="86" t="str">
        <x:v>L4</x:v>
      </x:c>
      <x:c r="G37" s="86" t="str">
        <x:v>reconstruction-CAL</x:v>
      </x:c>
      <x:c r="H37" s="91" t="str">
        <x:v>OPEN</x:v>
      </x:c>
      <x:c r="I37" s="86" t="str">
        <x:v>freeze</x:v>
      </x:c>
    </x:row>
    <x:row r="38">
      <x:c r="A38" s="86" t="str">
        <x:v>ER-033</x:v>
      </x:c>
      <x:c r="B38" s="86" t="str">
        <x:v>arm</x:v>
      </x:c>
      <x:c r="C38" s="86" t="str">
        <x:v>identity</x:v>
      </x:c>
      <x:c r="D38" s="108" t="n">
        <x:v>1</x:v>
      </x:c>
      <x:c r="E38" s="86" t="str">
        <x:v>T1</x:v>
      </x:c>
      <x:c r="F38" s="86" t="str">
        <x:v>L1</x:v>
      </x:c>
      <x:c r="G38" s="86" t="str">
        <x:v>identity-CAL</x:v>
      </x:c>
      <x:c r="H38" s="91" t="str">
        <x:v>OPEN</x:v>
      </x:c>
      <x:c r="I38" s="86" t="str">
        <x:v>arm</x:v>
      </x:c>
    </x:row>
    <x:row r="39">
      <x:c r="A39" s="86" t="str">
        <x:v>ER-034</x:v>
      </x:c>
      <x:c r="B39" s="86" t="str">
        <x:v>arm</x:v>
      </x:c>
      <x:c r="C39" s="86" t="str">
        <x:v>identity</x:v>
      </x:c>
      <x:c r="D39" s="108" t="n">
        <x:v>2</x:v>
      </x:c>
      <x:c r="E39" s="86" t="str">
        <x:v>T2</x:v>
      </x:c>
      <x:c r="F39" s="86" t="str">
        <x:v>L2</x:v>
      </x:c>
      <x:c r="G39" s="86" t="str">
        <x:v>identity-CAL</x:v>
      </x:c>
      <x:c r="H39" s="91" t="str">
        <x:v>OPEN</x:v>
      </x:c>
      <x:c r="I39" s="86" t="str">
        <x:v>arm</x:v>
      </x:c>
    </x:row>
    <x:row r="40">
      <x:c r="A40" s="86" t="str">
        <x:v>ER-035</x:v>
      </x:c>
      <x:c r="B40" s="86" t="str">
        <x:v>arm</x:v>
      </x:c>
      <x:c r="C40" s="86" t="str">
        <x:v>identity</x:v>
      </x:c>
      <x:c r="D40" s="108" t="n">
        <x:v>3</x:v>
      </x:c>
      <x:c r="E40" s="86" t="str">
        <x:v>T3</x:v>
      </x:c>
      <x:c r="F40" s="86" t="str">
        <x:v>L3</x:v>
      </x:c>
      <x:c r="G40" s="86" t="str">
        <x:v>identity-CAL</x:v>
      </x:c>
      <x:c r="H40" s="91" t="str">
        <x:v>OPEN</x:v>
      </x:c>
      <x:c r="I40" s="86" t="str">
        <x:v>arm</x:v>
      </x:c>
    </x:row>
    <x:row r="41">
      <x:c r="A41" s="86" t="str">
        <x:v>ER-036</x:v>
      </x:c>
      <x:c r="B41" s="86" t="str">
        <x:v>arm</x:v>
      </x:c>
      <x:c r="C41" s="86" t="str">
        <x:v>identity</x:v>
      </x:c>
      <x:c r="D41" s="108" t="n">
        <x:v>4</x:v>
      </x:c>
      <x:c r="E41" s="86" t="str">
        <x:v>T4</x:v>
      </x:c>
      <x:c r="F41" s="86" t="str">
        <x:v>L4</x:v>
      </x:c>
      <x:c r="G41" s="86" t="str">
        <x:v>identity-CAL</x:v>
      </x:c>
      <x:c r="H41" s="91" t="str">
        <x:v>OPEN</x:v>
      </x:c>
      <x:c r="I41" s="86" t="str">
        <x:v>arm</x:v>
      </x:c>
    </x:row>
    <x:row r="42">
      <x:c r="A42" s="86" t="str">
        <x:v>ER-037</x:v>
      </x:c>
      <x:c r="B42" s="86" t="str">
        <x:v>arm</x:v>
      </x:c>
      <x:c r="C42" s="86" t="str">
        <x:v>capacity</x:v>
      </x:c>
      <x:c r="D42" s="108" t="n">
        <x:v>1</x:v>
      </x:c>
      <x:c r="E42" s="86" t="str">
        <x:v>T1</x:v>
      </x:c>
      <x:c r="F42" s="86" t="str">
        <x:v>L1</x:v>
      </x:c>
      <x:c r="G42" s="86" t="str">
        <x:v>capacity-CAL</x:v>
      </x:c>
      <x:c r="H42" s="91" t="str">
        <x:v>OPEN</x:v>
      </x:c>
      <x:c r="I42" s="86" t="str">
        <x:v>arm</x:v>
      </x:c>
    </x:row>
    <x:row r="43">
      <x:c r="A43" s="86" t="str">
        <x:v>ER-038</x:v>
      </x:c>
      <x:c r="B43" s="86" t="str">
        <x:v>arm</x:v>
      </x:c>
      <x:c r="C43" s="86" t="str">
        <x:v>capacity</x:v>
      </x:c>
      <x:c r="D43" s="108" t="n">
        <x:v>2</x:v>
      </x:c>
      <x:c r="E43" s="86" t="str">
        <x:v>T2</x:v>
      </x:c>
      <x:c r="F43" s="86" t="str">
        <x:v>L2</x:v>
      </x:c>
      <x:c r="G43" s="86" t="str">
        <x:v>capacity-CAL</x:v>
      </x:c>
      <x:c r="H43" s="91" t="str">
        <x:v>OPEN</x:v>
      </x:c>
      <x:c r="I43" s="86" t="str">
        <x:v>arm</x:v>
      </x:c>
    </x:row>
    <x:row r="44">
      <x:c r="A44" s="86" t="str">
        <x:v>ER-039</x:v>
      </x:c>
      <x:c r="B44" s="86" t="str">
        <x:v>arm</x:v>
      </x:c>
      <x:c r="C44" s="86" t="str">
        <x:v>capacity</x:v>
      </x:c>
      <x:c r="D44" s="108" t="n">
        <x:v>3</x:v>
      </x:c>
      <x:c r="E44" s="86" t="str">
        <x:v>T3</x:v>
      </x:c>
      <x:c r="F44" s="86" t="str">
        <x:v>L3</x:v>
      </x:c>
      <x:c r="G44" s="86" t="str">
        <x:v>capacity-CAL</x:v>
      </x:c>
      <x:c r="H44" s="91" t="str">
        <x:v>OPEN</x:v>
      </x:c>
      <x:c r="I44" s="86" t="str">
        <x:v>arm</x:v>
      </x:c>
    </x:row>
    <x:row r="45">
      <x:c r="A45" s="86" t="str">
        <x:v>ER-040</x:v>
      </x:c>
      <x:c r="B45" s="86" t="str">
        <x:v>arm</x:v>
      </x:c>
      <x:c r="C45" s="86" t="str">
        <x:v>capacity</x:v>
      </x:c>
      <x:c r="D45" s="108" t="n">
        <x:v>4</x:v>
      </x:c>
      <x:c r="E45" s="86" t="str">
        <x:v>T4</x:v>
      </x:c>
      <x:c r="F45" s="86" t="str">
        <x:v>L4</x:v>
      </x:c>
      <x:c r="G45" s="86" t="str">
        <x:v>capacity-CAL</x:v>
      </x:c>
      <x:c r="H45" s="91" t="str">
        <x:v>OPEN</x:v>
      </x:c>
      <x:c r="I45" s="86" t="str">
        <x:v>arm</x:v>
      </x:c>
    </x:row>
    <x:row r="46">
      <x:c r="A46" s="86" t="str">
        <x:v>ER-041</x:v>
      </x:c>
      <x:c r="B46" s="86" t="str">
        <x:v>arm</x:v>
      </x:c>
      <x:c r="C46" s="86" t="str">
        <x:v>state</x:v>
      </x:c>
      <x:c r="D46" s="108" t="n">
        <x:v>1</x:v>
      </x:c>
      <x:c r="E46" s="86" t="str">
        <x:v>T1</x:v>
      </x:c>
      <x:c r="F46" s="86" t="str">
        <x:v>L1</x:v>
      </x:c>
      <x:c r="G46" s="86" t="str">
        <x:v>state-CAL</x:v>
      </x:c>
      <x:c r="H46" s="91" t="str">
        <x:v>OPEN</x:v>
      </x:c>
      <x:c r="I46" s="86" t="str">
        <x:v>arm</x:v>
      </x:c>
    </x:row>
    <x:row r="47">
      <x:c r="A47" s="86" t="str">
        <x:v>ER-042</x:v>
      </x:c>
      <x:c r="B47" s="86" t="str">
        <x:v>arm</x:v>
      </x:c>
      <x:c r="C47" s="86" t="str">
        <x:v>state</x:v>
      </x:c>
      <x:c r="D47" s="108" t="n">
        <x:v>2</x:v>
      </x:c>
      <x:c r="E47" s="86" t="str">
        <x:v>T2</x:v>
      </x:c>
      <x:c r="F47" s="86" t="str">
        <x:v>L2</x:v>
      </x:c>
      <x:c r="G47" s="86" t="str">
        <x:v>state-CAL</x:v>
      </x:c>
      <x:c r="H47" s="91" t="str">
        <x:v>OPEN</x:v>
      </x:c>
      <x:c r="I47" s="86" t="str">
        <x:v>arm</x:v>
      </x:c>
    </x:row>
    <x:row r="48">
      <x:c r="A48" s="86" t="str">
        <x:v>ER-043</x:v>
      </x:c>
      <x:c r="B48" s="86" t="str">
        <x:v>arm</x:v>
      </x:c>
      <x:c r="C48" s="86" t="str">
        <x:v>state</x:v>
      </x:c>
      <x:c r="D48" s="108" t="n">
        <x:v>3</x:v>
      </x:c>
      <x:c r="E48" s="86" t="str">
        <x:v>T3</x:v>
      </x:c>
      <x:c r="F48" s="86" t="str">
        <x:v>L3</x:v>
      </x:c>
      <x:c r="G48" s="86" t="str">
        <x:v>state-CAL</x:v>
      </x:c>
      <x:c r="H48" s="91" t="str">
        <x:v>OPEN</x:v>
      </x:c>
      <x:c r="I48" s="86" t="str">
        <x:v>arm</x:v>
      </x:c>
    </x:row>
    <x:row r="49">
      <x:c r="A49" s="86" t="str">
        <x:v>ER-044</x:v>
      </x:c>
      <x:c r="B49" s="86" t="str">
        <x:v>arm</x:v>
      </x:c>
      <x:c r="C49" s="86" t="str">
        <x:v>state</x:v>
      </x:c>
      <x:c r="D49" s="108" t="n">
        <x:v>4</x:v>
      </x:c>
      <x:c r="E49" s="86" t="str">
        <x:v>T4</x:v>
      </x:c>
      <x:c r="F49" s="86" t="str">
        <x:v>L4</x:v>
      </x:c>
      <x:c r="G49" s="86" t="str">
        <x:v>state-CAL</x:v>
      </x:c>
      <x:c r="H49" s="91" t="str">
        <x:v>OPEN</x:v>
      </x:c>
      <x:c r="I49" s="86" t="str">
        <x:v>arm</x:v>
      </x:c>
    </x:row>
    <x:row r="50">
      <x:c r="A50" s="86" t="str">
        <x:v>ER-045</x:v>
      </x:c>
      <x:c r="B50" s="86" t="str">
        <x:v>arm</x:v>
      </x:c>
      <x:c r="C50" s="86" t="str">
        <x:v>authority</x:v>
      </x:c>
      <x:c r="D50" s="108" t="n">
        <x:v>1</x:v>
      </x:c>
      <x:c r="E50" s="86" t="str">
        <x:v>T1</x:v>
      </x:c>
      <x:c r="F50" s="86" t="str">
        <x:v>L1</x:v>
      </x:c>
      <x:c r="G50" s="86" t="str">
        <x:v>authority-CAL</x:v>
      </x:c>
      <x:c r="H50" s="91" t="str">
        <x:v>OPEN</x:v>
      </x:c>
      <x:c r="I50" s="86" t="str">
        <x:v>arm</x:v>
      </x:c>
    </x:row>
    <x:row r="51">
      <x:c r="A51" s="86" t="str">
        <x:v>ER-046</x:v>
      </x:c>
      <x:c r="B51" s="86" t="str">
        <x:v>arm</x:v>
      </x:c>
      <x:c r="C51" s="86" t="str">
        <x:v>authority</x:v>
      </x:c>
      <x:c r="D51" s="108" t="n">
        <x:v>2</x:v>
      </x:c>
      <x:c r="E51" s="86" t="str">
        <x:v>T2</x:v>
      </x:c>
      <x:c r="F51" s="86" t="str">
        <x:v>L2</x:v>
      </x:c>
      <x:c r="G51" s="86" t="str">
        <x:v>authority-CAL</x:v>
      </x:c>
      <x:c r="H51" s="91" t="str">
        <x:v>OPEN</x:v>
      </x:c>
      <x:c r="I51" s="86" t="str">
        <x:v>arm</x:v>
      </x:c>
    </x:row>
    <x:row r="52">
      <x:c r="A52" s="86" t="str">
        <x:v>ER-047</x:v>
      </x:c>
      <x:c r="B52" s="86" t="str">
        <x:v>arm</x:v>
      </x:c>
      <x:c r="C52" s="86" t="str">
        <x:v>authority</x:v>
      </x:c>
      <x:c r="D52" s="108" t="n">
        <x:v>3</x:v>
      </x:c>
      <x:c r="E52" s="86" t="str">
        <x:v>T3</x:v>
      </x:c>
      <x:c r="F52" s="86" t="str">
        <x:v>L3</x:v>
      </x:c>
      <x:c r="G52" s="86" t="str">
        <x:v>authority-CAL</x:v>
      </x:c>
      <x:c r="H52" s="91" t="str">
        <x:v>OPEN</x:v>
      </x:c>
      <x:c r="I52" s="86" t="str">
        <x:v>arm</x:v>
      </x:c>
    </x:row>
    <x:row r="53">
      <x:c r="A53" s="86" t="str">
        <x:v>ER-048</x:v>
      </x:c>
      <x:c r="B53" s="86" t="str">
        <x:v>arm</x:v>
      </x:c>
      <x:c r="C53" s="86" t="str">
        <x:v>authority</x:v>
      </x:c>
      <x:c r="D53" s="108" t="n">
        <x:v>4</x:v>
      </x:c>
      <x:c r="E53" s="86" t="str">
        <x:v>T4</x:v>
      </x:c>
      <x:c r="F53" s="86" t="str">
        <x:v>L4</x:v>
      </x:c>
      <x:c r="G53" s="86" t="str">
        <x:v>authority-CAL</x:v>
      </x:c>
      <x:c r="H53" s="91" t="str">
        <x:v>OPEN</x:v>
      </x:c>
      <x:c r="I53" s="86" t="str">
        <x:v>arm</x:v>
      </x:c>
    </x:row>
    <x:row r="54">
      <x:c r="A54" s="86" t="str">
        <x:v>ER-049</x:v>
      </x:c>
      <x:c r="B54" s="86" t="str">
        <x:v>arm</x:v>
      </x:c>
      <x:c r="C54" s="86" t="str">
        <x:v>calibration</x:v>
      </x:c>
      <x:c r="D54" s="108" t="n">
        <x:v>1</x:v>
      </x:c>
      <x:c r="E54" s="86" t="str">
        <x:v>T1</x:v>
      </x:c>
      <x:c r="F54" s="86" t="str">
        <x:v>L1</x:v>
      </x:c>
      <x:c r="G54" s="86" t="str">
        <x:v>calibration-CAL</x:v>
      </x:c>
      <x:c r="H54" s="91" t="str">
        <x:v>OPEN</x:v>
      </x:c>
      <x:c r="I54" s="86" t="str">
        <x:v>arm</x:v>
      </x:c>
    </x:row>
    <x:row r="55">
      <x:c r="A55" s="86" t="str">
        <x:v>ER-050</x:v>
      </x:c>
      <x:c r="B55" s="86" t="str">
        <x:v>arm</x:v>
      </x:c>
      <x:c r="C55" s="86" t="str">
        <x:v>calibration</x:v>
      </x:c>
      <x:c r="D55" s="108" t="n">
        <x:v>2</x:v>
      </x:c>
      <x:c r="E55" s="86" t="str">
        <x:v>T2</x:v>
      </x:c>
      <x:c r="F55" s="86" t="str">
        <x:v>L2</x:v>
      </x:c>
      <x:c r="G55" s="86" t="str">
        <x:v>calibration-CAL</x:v>
      </x:c>
      <x:c r="H55" s="91" t="str">
        <x:v>OPEN</x:v>
      </x:c>
      <x:c r="I55" s="86" t="str">
        <x:v>arm</x:v>
      </x:c>
    </x:row>
    <x:row r="56">
      <x:c r="A56" s="86" t="str">
        <x:v>ER-051</x:v>
      </x:c>
      <x:c r="B56" s="86" t="str">
        <x:v>arm</x:v>
      </x:c>
      <x:c r="C56" s="86" t="str">
        <x:v>calibration</x:v>
      </x:c>
      <x:c r="D56" s="108" t="n">
        <x:v>3</x:v>
      </x:c>
      <x:c r="E56" s="86" t="str">
        <x:v>T3</x:v>
      </x:c>
      <x:c r="F56" s="86" t="str">
        <x:v>L3</x:v>
      </x:c>
      <x:c r="G56" s="86" t="str">
        <x:v>calibration-CAL</x:v>
      </x:c>
      <x:c r="H56" s="91" t="str">
        <x:v>OPEN</x:v>
      </x:c>
      <x:c r="I56" s="86" t="str">
        <x:v>arm</x:v>
      </x:c>
    </x:row>
    <x:row r="57">
      <x:c r="A57" s="86" t="str">
        <x:v>ER-052</x:v>
      </x:c>
      <x:c r="B57" s="86" t="str">
        <x:v>arm</x:v>
      </x:c>
      <x:c r="C57" s="86" t="str">
        <x:v>calibration</x:v>
      </x:c>
      <x:c r="D57" s="108" t="n">
        <x:v>4</x:v>
      </x:c>
      <x:c r="E57" s="86" t="str">
        <x:v>T4</x:v>
      </x:c>
      <x:c r="F57" s="86" t="str">
        <x:v>L4</x:v>
      </x:c>
      <x:c r="G57" s="86" t="str">
        <x:v>calibration-CAL</x:v>
      </x:c>
      <x:c r="H57" s="91" t="str">
        <x:v>OPEN</x:v>
      </x:c>
      <x:c r="I57" s="86" t="str">
        <x:v>arm</x:v>
      </x:c>
    </x:row>
    <x:row r="58">
      <x:c r="A58" s="86" t="str">
        <x:v>ER-053</x:v>
      </x:c>
      <x:c r="B58" s="86" t="str">
        <x:v>arm</x:v>
      </x:c>
      <x:c r="C58" s="86" t="str">
        <x:v>causal time</x:v>
      </x:c>
      <x:c r="D58" s="108" t="n">
        <x:v>1</x:v>
      </x:c>
      <x:c r="E58" s="86" t="str">
        <x:v>T1</x:v>
      </x:c>
      <x:c r="F58" s="86" t="str">
        <x:v>L1</x:v>
      </x:c>
      <x:c r="G58" s="86" t="str">
        <x:v>causal time-CAL</x:v>
      </x:c>
      <x:c r="H58" s="91" t="str">
        <x:v>OPEN</x:v>
      </x:c>
      <x:c r="I58" s="86" t="str">
        <x:v>arm</x:v>
      </x:c>
    </x:row>
    <x:row r="59">
      <x:c r="A59" s="86" t="str">
        <x:v>ER-054</x:v>
      </x:c>
      <x:c r="B59" s="86" t="str">
        <x:v>arm</x:v>
      </x:c>
      <x:c r="C59" s="86" t="str">
        <x:v>causal time</x:v>
      </x:c>
      <x:c r="D59" s="108" t="n">
        <x:v>2</x:v>
      </x:c>
      <x:c r="E59" s="86" t="str">
        <x:v>T2</x:v>
      </x:c>
      <x:c r="F59" s="86" t="str">
        <x:v>L2</x:v>
      </x:c>
      <x:c r="G59" s="86" t="str">
        <x:v>causal time-CAL</x:v>
      </x:c>
      <x:c r="H59" s="91" t="str">
        <x:v>OPEN</x:v>
      </x:c>
      <x:c r="I59" s="86" t="str">
        <x:v>arm</x:v>
      </x:c>
    </x:row>
    <x:row r="60">
      <x:c r="A60" s="86" t="str">
        <x:v>ER-055</x:v>
      </x:c>
      <x:c r="B60" s="86" t="str">
        <x:v>arm</x:v>
      </x:c>
      <x:c r="C60" s="86" t="str">
        <x:v>causal time</x:v>
      </x:c>
      <x:c r="D60" s="108" t="n">
        <x:v>3</x:v>
      </x:c>
      <x:c r="E60" s="86" t="str">
        <x:v>T3</x:v>
      </x:c>
      <x:c r="F60" s="86" t="str">
        <x:v>L3</x:v>
      </x:c>
      <x:c r="G60" s="86" t="str">
        <x:v>causal time-CAL</x:v>
      </x:c>
      <x:c r="H60" s="91" t="str">
        <x:v>OPEN</x:v>
      </x:c>
      <x:c r="I60" s="86" t="str">
        <x:v>arm</x:v>
      </x:c>
    </x:row>
    <x:row r="61">
      <x:c r="A61" s="86" t="str">
        <x:v>ER-056</x:v>
      </x:c>
      <x:c r="B61" s="86" t="str">
        <x:v>arm</x:v>
      </x:c>
      <x:c r="C61" s="86" t="str">
        <x:v>causal time</x:v>
      </x:c>
      <x:c r="D61" s="108" t="n">
        <x:v>4</x:v>
      </x:c>
      <x:c r="E61" s="86" t="str">
        <x:v>T4</x:v>
      </x:c>
      <x:c r="F61" s="86" t="str">
        <x:v>L4</x:v>
      </x:c>
      <x:c r="G61" s="86" t="str">
        <x:v>causal time-CAL</x:v>
      </x:c>
      <x:c r="H61" s="91" t="str">
        <x:v>OPEN</x:v>
      </x:c>
      <x:c r="I61" s="86" t="str">
        <x:v>arm</x:v>
      </x:c>
    </x:row>
    <x:row r="62">
      <x:c r="A62" s="86" t="str">
        <x:v>ER-057</x:v>
      </x:c>
      <x:c r="B62" s="86" t="str">
        <x:v>arm</x:v>
      </x:c>
      <x:c r="C62" s="86" t="str">
        <x:v>custody</x:v>
      </x:c>
      <x:c r="D62" s="108" t="n">
        <x:v>1</x:v>
      </x:c>
      <x:c r="E62" s="86" t="str">
        <x:v>T1</x:v>
      </x:c>
      <x:c r="F62" s="86" t="str">
        <x:v>L1</x:v>
      </x:c>
      <x:c r="G62" s="86" t="str">
        <x:v>custody-CAL</x:v>
      </x:c>
      <x:c r="H62" s="91" t="str">
        <x:v>OPEN</x:v>
      </x:c>
      <x:c r="I62" s="86" t="str">
        <x:v>arm</x:v>
      </x:c>
    </x:row>
    <x:row r="63">
      <x:c r="A63" s="86" t="str">
        <x:v>ER-058</x:v>
      </x:c>
      <x:c r="B63" s="86" t="str">
        <x:v>arm</x:v>
      </x:c>
      <x:c r="C63" s="86" t="str">
        <x:v>custody</x:v>
      </x:c>
      <x:c r="D63" s="108" t="n">
        <x:v>2</x:v>
      </x:c>
      <x:c r="E63" s="86" t="str">
        <x:v>T2</x:v>
      </x:c>
      <x:c r="F63" s="86" t="str">
        <x:v>L2</x:v>
      </x:c>
      <x:c r="G63" s="86" t="str">
        <x:v>custody-CAL</x:v>
      </x:c>
      <x:c r="H63" s="91" t="str">
        <x:v>OPEN</x:v>
      </x:c>
      <x:c r="I63" s="86" t="str">
        <x:v>arm</x:v>
      </x:c>
    </x:row>
    <x:row r="64">
      <x:c r="A64" s="86" t="str">
        <x:v>ER-059</x:v>
      </x:c>
      <x:c r="B64" s="86" t="str">
        <x:v>arm</x:v>
      </x:c>
      <x:c r="C64" s="86" t="str">
        <x:v>custody</x:v>
      </x:c>
      <x:c r="D64" s="108" t="n">
        <x:v>3</x:v>
      </x:c>
      <x:c r="E64" s="86" t="str">
        <x:v>T3</x:v>
      </x:c>
      <x:c r="F64" s="86" t="str">
        <x:v>L3</x:v>
      </x:c>
      <x:c r="G64" s="86" t="str">
        <x:v>custody-CAL</x:v>
      </x:c>
      <x:c r="H64" s="91" t="str">
        <x:v>OPEN</x:v>
      </x:c>
      <x:c r="I64" s="86" t="str">
        <x:v>arm</x:v>
      </x:c>
    </x:row>
    <x:row r="65">
      <x:c r="A65" s="86" t="str">
        <x:v>ER-060</x:v>
      </x:c>
      <x:c r="B65" s="86" t="str">
        <x:v>arm</x:v>
      </x:c>
      <x:c r="C65" s="86" t="str">
        <x:v>custody</x:v>
      </x:c>
      <x:c r="D65" s="108" t="n">
        <x:v>4</x:v>
      </x:c>
      <x:c r="E65" s="86" t="str">
        <x:v>T4</x:v>
      </x:c>
      <x:c r="F65" s="86" t="str">
        <x:v>L4</x:v>
      </x:c>
      <x:c r="G65" s="86" t="str">
        <x:v>custody-CAL</x:v>
      </x:c>
      <x:c r="H65" s="91" t="str">
        <x:v>OPEN</x:v>
      </x:c>
      <x:c r="I65" s="86" t="str">
        <x:v>arm</x:v>
      </x:c>
    </x:row>
    <x:row r="66">
      <x:c r="A66" s="86" t="str">
        <x:v>ER-061</x:v>
      </x:c>
      <x:c r="B66" s="86" t="str">
        <x:v>arm</x:v>
      </x:c>
      <x:c r="C66" s="86" t="str">
        <x:v>reconstruction</x:v>
      </x:c>
      <x:c r="D66" s="108" t="n">
        <x:v>1</x:v>
      </x:c>
      <x:c r="E66" s="86" t="str">
        <x:v>T1</x:v>
      </x:c>
      <x:c r="F66" s="86" t="str">
        <x:v>L1</x:v>
      </x:c>
      <x:c r="G66" s="86" t="str">
        <x:v>reconstruction-CAL</x:v>
      </x:c>
      <x:c r="H66" s="91" t="str">
        <x:v>OPEN</x:v>
      </x:c>
      <x:c r="I66" s="86" t="str">
        <x:v>arm</x:v>
      </x:c>
    </x:row>
    <x:row r="67">
      <x:c r="A67" s="86" t="str">
        <x:v>ER-062</x:v>
      </x:c>
      <x:c r="B67" s="86" t="str">
        <x:v>arm</x:v>
      </x:c>
      <x:c r="C67" s="86" t="str">
        <x:v>reconstruction</x:v>
      </x:c>
      <x:c r="D67" s="108" t="n">
        <x:v>2</x:v>
      </x:c>
      <x:c r="E67" s="86" t="str">
        <x:v>T2</x:v>
      </x:c>
      <x:c r="F67" s="86" t="str">
        <x:v>L2</x:v>
      </x:c>
      <x:c r="G67" s="86" t="str">
        <x:v>reconstruction-CAL</x:v>
      </x:c>
      <x:c r="H67" s="91" t="str">
        <x:v>OPEN</x:v>
      </x:c>
      <x:c r="I67" s="86" t="str">
        <x:v>arm</x:v>
      </x:c>
    </x:row>
    <x:row r="68">
      <x:c r="A68" s="86" t="str">
        <x:v>ER-063</x:v>
      </x:c>
      <x:c r="B68" s="86" t="str">
        <x:v>arm</x:v>
      </x:c>
      <x:c r="C68" s="86" t="str">
        <x:v>reconstruction</x:v>
      </x:c>
      <x:c r="D68" s="108" t="n">
        <x:v>3</x:v>
      </x:c>
      <x:c r="E68" s="86" t="str">
        <x:v>T3</x:v>
      </x:c>
      <x:c r="F68" s="86" t="str">
        <x:v>L3</x:v>
      </x:c>
      <x:c r="G68" s="86" t="str">
        <x:v>reconstruction-CAL</x:v>
      </x:c>
      <x:c r="H68" s="91" t="str">
        <x:v>OPEN</x:v>
      </x:c>
      <x:c r="I68" s="86" t="str">
        <x:v>arm</x:v>
      </x:c>
    </x:row>
    <x:row r="69">
      <x:c r="A69" s="86" t="str">
        <x:v>ER-064</x:v>
      </x:c>
      <x:c r="B69" s="86" t="str">
        <x:v>arm</x:v>
      </x:c>
      <x:c r="C69" s="86" t="str">
        <x:v>reconstruction</x:v>
      </x:c>
      <x:c r="D69" s="108" t="n">
        <x:v>4</x:v>
      </x:c>
      <x:c r="E69" s="86" t="str">
        <x:v>T4</x:v>
      </x:c>
      <x:c r="F69" s="86" t="str">
        <x:v>L4</x:v>
      </x:c>
      <x:c r="G69" s="86" t="str">
        <x:v>reconstruction-CAL</x:v>
      </x:c>
      <x:c r="H69" s="91" t="str">
        <x:v>OPEN</x:v>
      </x:c>
      <x:c r="I69" s="86" t="str">
        <x:v>arm</x:v>
      </x:c>
    </x:row>
    <x:row r="70">
      <x:c r="A70" s="86" t="str">
        <x:v>ER-065</x:v>
      </x:c>
      <x:c r="B70" s="86" t="str">
        <x:v>baseline</x:v>
      </x:c>
      <x:c r="C70" s="86" t="str">
        <x:v>identity</x:v>
      </x:c>
      <x:c r="D70" s="108" t="n">
        <x:v>1</x:v>
      </x:c>
      <x:c r="E70" s="86" t="str">
        <x:v>T1</x:v>
      </x:c>
      <x:c r="F70" s="86" t="str">
        <x:v>L1</x:v>
      </x:c>
      <x:c r="G70" s="86" t="str">
        <x:v>identity-CAL</x:v>
      </x:c>
      <x:c r="H70" s="91" t="str">
        <x:v>OPEN</x:v>
      </x:c>
      <x:c r="I70" s="86" t="str">
        <x:v>baseline</x:v>
      </x:c>
    </x:row>
    <x:row r="71">
      <x:c r="A71" s="86" t="str">
        <x:v>ER-066</x:v>
      </x:c>
      <x:c r="B71" s="86" t="str">
        <x:v>baseline</x:v>
      </x:c>
      <x:c r="C71" s="86" t="str">
        <x:v>identity</x:v>
      </x:c>
      <x:c r="D71" s="108" t="n">
        <x:v>2</x:v>
      </x:c>
      <x:c r="E71" s="86" t="str">
        <x:v>T2</x:v>
      </x:c>
      <x:c r="F71" s="86" t="str">
        <x:v>L2</x:v>
      </x:c>
      <x:c r="G71" s="86" t="str">
        <x:v>identity-CAL</x:v>
      </x:c>
      <x:c r="H71" s="91" t="str">
        <x:v>OPEN</x:v>
      </x:c>
      <x:c r="I71" s="86" t="str">
        <x:v>baseline</x:v>
      </x:c>
    </x:row>
    <x:row r="72">
      <x:c r="A72" s="86" t="str">
        <x:v>ER-067</x:v>
      </x:c>
      <x:c r="B72" s="86" t="str">
        <x:v>baseline</x:v>
      </x:c>
      <x:c r="C72" s="86" t="str">
        <x:v>identity</x:v>
      </x:c>
      <x:c r="D72" s="108" t="n">
        <x:v>3</x:v>
      </x:c>
      <x:c r="E72" s="86" t="str">
        <x:v>T3</x:v>
      </x:c>
      <x:c r="F72" s="86" t="str">
        <x:v>L3</x:v>
      </x:c>
      <x:c r="G72" s="86" t="str">
        <x:v>identity-CAL</x:v>
      </x:c>
      <x:c r="H72" s="91" t="str">
        <x:v>OPEN</x:v>
      </x:c>
      <x:c r="I72" s="86" t="str">
        <x:v>baseline</x:v>
      </x:c>
    </x:row>
    <x:row r="73">
      <x:c r="A73" s="86" t="str">
        <x:v>ER-068</x:v>
      </x:c>
      <x:c r="B73" s="86" t="str">
        <x:v>baseline</x:v>
      </x:c>
      <x:c r="C73" s="86" t="str">
        <x:v>identity</x:v>
      </x:c>
      <x:c r="D73" s="108" t="n">
        <x:v>4</x:v>
      </x:c>
      <x:c r="E73" s="86" t="str">
        <x:v>T4</x:v>
      </x:c>
      <x:c r="F73" s="86" t="str">
        <x:v>L4</x:v>
      </x:c>
      <x:c r="G73" s="86" t="str">
        <x:v>identity-CAL</x:v>
      </x:c>
      <x:c r="H73" s="91" t="str">
        <x:v>OPEN</x:v>
      </x:c>
      <x:c r="I73" s="86" t="str">
        <x:v>baseline</x:v>
      </x:c>
    </x:row>
    <x:row r="74">
      <x:c r="A74" s="86" t="str">
        <x:v>ER-069</x:v>
      </x:c>
      <x:c r="B74" s="86" t="str">
        <x:v>baseline</x:v>
      </x:c>
      <x:c r="C74" s="86" t="str">
        <x:v>capacity</x:v>
      </x:c>
      <x:c r="D74" s="108" t="n">
        <x:v>1</x:v>
      </x:c>
      <x:c r="E74" s="86" t="str">
        <x:v>T1</x:v>
      </x:c>
      <x:c r="F74" s="86" t="str">
        <x:v>L1</x:v>
      </x:c>
      <x:c r="G74" s="86" t="str">
        <x:v>capacity-CAL</x:v>
      </x:c>
      <x:c r="H74" s="91" t="str">
        <x:v>OPEN</x:v>
      </x:c>
      <x:c r="I74" s="86" t="str">
        <x:v>baseline</x:v>
      </x:c>
    </x:row>
    <x:row r="75">
      <x:c r="A75" s="86" t="str">
        <x:v>ER-070</x:v>
      </x:c>
      <x:c r="B75" s="86" t="str">
        <x:v>baseline</x:v>
      </x:c>
      <x:c r="C75" s="86" t="str">
        <x:v>capacity</x:v>
      </x:c>
      <x:c r="D75" s="108" t="n">
        <x:v>2</x:v>
      </x:c>
      <x:c r="E75" s="86" t="str">
        <x:v>T2</x:v>
      </x:c>
      <x:c r="F75" s="86" t="str">
        <x:v>L2</x:v>
      </x:c>
      <x:c r="G75" s="86" t="str">
        <x:v>capacity-CAL</x:v>
      </x:c>
      <x:c r="H75" s="91" t="str">
        <x:v>OPEN</x:v>
      </x:c>
      <x:c r="I75" s="86" t="str">
        <x:v>baseline</x:v>
      </x:c>
    </x:row>
    <x:row r="76">
      <x:c r="A76" s="86" t="str">
        <x:v>ER-071</x:v>
      </x:c>
      <x:c r="B76" s="86" t="str">
        <x:v>baseline</x:v>
      </x:c>
      <x:c r="C76" s="86" t="str">
        <x:v>capacity</x:v>
      </x:c>
      <x:c r="D76" s="108" t="n">
        <x:v>3</x:v>
      </x:c>
      <x:c r="E76" s="86" t="str">
        <x:v>T3</x:v>
      </x:c>
      <x:c r="F76" s="86" t="str">
        <x:v>L3</x:v>
      </x:c>
      <x:c r="G76" s="86" t="str">
        <x:v>capacity-CAL</x:v>
      </x:c>
      <x:c r="H76" s="91" t="str">
        <x:v>OPEN</x:v>
      </x:c>
      <x:c r="I76" s="86" t="str">
        <x:v>baseline</x:v>
      </x:c>
    </x:row>
    <x:row r="77">
      <x:c r="A77" s="86" t="str">
        <x:v>ER-072</x:v>
      </x:c>
      <x:c r="B77" s="86" t="str">
        <x:v>baseline</x:v>
      </x:c>
      <x:c r="C77" s="86" t="str">
        <x:v>capacity</x:v>
      </x:c>
      <x:c r="D77" s="108" t="n">
        <x:v>4</x:v>
      </x:c>
      <x:c r="E77" s="86" t="str">
        <x:v>T4</x:v>
      </x:c>
      <x:c r="F77" s="86" t="str">
        <x:v>L4</x:v>
      </x:c>
      <x:c r="G77" s="86" t="str">
        <x:v>capacity-CAL</x:v>
      </x:c>
      <x:c r="H77" s="91" t="str">
        <x:v>OPEN</x:v>
      </x:c>
      <x:c r="I77" s="86" t="str">
        <x:v>baseline</x:v>
      </x:c>
    </x:row>
    <x:row r="78">
      <x:c r="A78" s="86" t="str">
        <x:v>ER-073</x:v>
      </x:c>
      <x:c r="B78" s="86" t="str">
        <x:v>baseline</x:v>
      </x:c>
      <x:c r="C78" s="86" t="str">
        <x:v>state</x:v>
      </x:c>
      <x:c r="D78" s="108" t="n">
        <x:v>1</x:v>
      </x:c>
      <x:c r="E78" s="86" t="str">
        <x:v>T1</x:v>
      </x:c>
      <x:c r="F78" s="86" t="str">
        <x:v>L1</x:v>
      </x:c>
      <x:c r="G78" s="86" t="str">
        <x:v>state-CAL</x:v>
      </x:c>
      <x:c r="H78" s="91" t="str">
        <x:v>OPEN</x:v>
      </x:c>
      <x:c r="I78" s="86" t="str">
        <x:v>baseline</x:v>
      </x:c>
    </x:row>
    <x:row r="79">
      <x:c r="A79" s="86" t="str">
        <x:v>ER-074</x:v>
      </x:c>
      <x:c r="B79" s="86" t="str">
        <x:v>baseline</x:v>
      </x:c>
      <x:c r="C79" s="86" t="str">
        <x:v>state</x:v>
      </x:c>
      <x:c r="D79" s="108" t="n">
        <x:v>2</x:v>
      </x:c>
      <x:c r="E79" s="86" t="str">
        <x:v>T2</x:v>
      </x:c>
      <x:c r="F79" s="86" t="str">
        <x:v>L2</x:v>
      </x:c>
      <x:c r="G79" s="86" t="str">
        <x:v>state-CAL</x:v>
      </x:c>
      <x:c r="H79" s="91" t="str">
        <x:v>OPEN</x:v>
      </x:c>
      <x:c r="I79" s="86" t="str">
        <x:v>baseline</x:v>
      </x:c>
    </x:row>
    <x:row r="80">
      <x:c r="A80" s="86" t="str">
        <x:v>ER-075</x:v>
      </x:c>
      <x:c r="B80" s="86" t="str">
        <x:v>baseline</x:v>
      </x:c>
      <x:c r="C80" s="86" t="str">
        <x:v>state</x:v>
      </x:c>
      <x:c r="D80" s="108" t="n">
        <x:v>3</x:v>
      </x:c>
      <x:c r="E80" s="86" t="str">
        <x:v>T3</x:v>
      </x:c>
      <x:c r="F80" s="86" t="str">
        <x:v>L3</x:v>
      </x:c>
      <x:c r="G80" s="86" t="str">
        <x:v>state-CAL</x:v>
      </x:c>
      <x:c r="H80" s="91" t="str">
        <x:v>OPEN</x:v>
      </x:c>
      <x:c r="I80" s="86" t="str">
        <x:v>baseline</x:v>
      </x:c>
    </x:row>
    <x:row r="81">
      <x:c r="A81" s="86" t="str">
        <x:v>ER-076</x:v>
      </x:c>
      <x:c r="B81" s="86" t="str">
        <x:v>baseline</x:v>
      </x:c>
      <x:c r="C81" s="86" t="str">
        <x:v>state</x:v>
      </x:c>
      <x:c r="D81" s="108" t="n">
        <x:v>4</x:v>
      </x:c>
      <x:c r="E81" s="86" t="str">
        <x:v>T4</x:v>
      </x:c>
      <x:c r="F81" s="86" t="str">
        <x:v>L4</x:v>
      </x:c>
      <x:c r="G81" s="86" t="str">
        <x:v>state-CAL</x:v>
      </x:c>
      <x:c r="H81" s="91" t="str">
        <x:v>OPEN</x:v>
      </x:c>
      <x:c r="I81" s="86" t="str">
        <x:v>baseline</x:v>
      </x:c>
    </x:row>
    <x:row r="82">
      <x:c r="A82" s="86" t="str">
        <x:v>ER-077</x:v>
      </x:c>
      <x:c r="B82" s="86" t="str">
        <x:v>baseline</x:v>
      </x:c>
      <x:c r="C82" s="86" t="str">
        <x:v>authority</x:v>
      </x:c>
      <x:c r="D82" s="108" t="n">
        <x:v>1</x:v>
      </x:c>
      <x:c r="E82" s="86" t="str">
        <x:v>T1</x:v>
      </x:c>
      <x:c r="F82" s="86" t="str">
        <x:v>L1</x:v>
      </x:c>
      <x:c r="G82" s="86" t="str">
        <x:v>authority-CAL</x:v>
      </x:c>
      <x:c r="H82" s="91" t="str">
        <x:v>OPEN</x:v>
      </x:c>
      <x:c r="I82" s="86" t="str">
        <x:v>baseline</x:v>
      </x:c>
    </x:row>
    <x:row r="83">
      <x:c r="A83" s="86" t="str">
        <x:v>ER-078</x:v>
      </x:c>
      <x:c r="B83" s="86" t="str">
        <x:v>baseline</x:v>
      </x:c>
      <x:c r="C83" s="86" t="str">
        <x:v>authority</x:v>
      </x:c>
      <x:c r="D83" s="108" t="n">
        <x:v>2</x:v>
      </x:c>
      <x:c r="E83" s="86" t="str">
        <x:v>T2</x:v>
      </x:c>
      <x:c r="F83" s="86" t="str">
        <x:v>L2</x:v>
      </x:c>
      <x:c r="G83" s="86" t="str">
        <x:v>authority-CAL</x:v>
      </x:c>
      <x:c r="H83" s="91" t="str">
        <x:v>OPEN</x:v>
      </x:c>
      <x:c r="I83" s="86" t="str">
        <x:v>baseline</x:v>
      </x:c>
    </x:row>
    <x:row r="84">
      <x:c r="A84" s="86" t="str">
        <x:v>ER-079</x:v>
      </x:c>
      <x:c r="B84" s="86" t="str">
        <x:v>baseline</x:v>
      </x:c>
      <x:c r="C84" s="86" t="str">
        <x:v>authority</x:v>
      </x:c>
      <x:c r="D84" s="108" t="n">
        <x:v>3</x:v>
      </x:c>
      <x:c r="E84" s="86" t="str">
        <x:v>T3</x:v>
      </x:c>
      <x:c r="F84" s="86" t="str">
        <x:v>L3</x:v>
      </x:c>
      <x:c r="G84" s="86" t="str">
        <x:v>authority-CAL</x:v>
      </x:c>
      <x:c r="H84" s="91" t="str">
        <x:v>OPEN</x:v>
      </x:c>
      <x:c r="I84" s="86" t="str">
        <x:v>baseline</x:v>
      </x:c>
    </x:row>
    <x:row r="85">
      <x:c r="A85" s="86" t="str">
        <x:v>ER-080</x:v>
      </x:c>
      <x:c r="B85" s="86" t="str">
        <x:v>baseline</x:v>
      </x:c>
      <x:c r="C85" s="86" t="str">
        <x:v>authority</x:v>
      </x:c>
      <x:c r="D85" s="108" t="n">
        <x:v>4</x:v>
      </x:c>
      <x:c r="E85" s="86" t="str">
        <x:v>T4</x:v>
      </x:c>
      <x:c r="F85" s="86" t="str">
        <x:v>L4</x:v>
      </x:c>
      <x:c r="G85" s="86" t="str">
        <x:v>authority-CAL</x:v>
      </x:c>
      <x:c r="H85" s="91" t="str">
        <x:v>OPEN</x:v>
      </x:c>
      <x:c r="I85" s="86" t="str">
        <x:v>baseline</x:v>
      </x:c>
    </x:row>
    <x:row r="86">
      <x:c r="A86" s="86" t="str">
        <x:v>ER-081</x:v>
      </x:c>
      <x:c r="B86" s="86" t="str">
        <x:v>baseline</x:v>
      </x:c>
      <x:c r="C86" s="86" t="str">
        <x:v>calibration</x:v>
      </x:c>
      <x:c r="D86" s="108" t="n">
        <x:v>1</x:v>
      </x:c>
      <x:c r="E86" s="86" t="str">
        <x:v>T1</x:v>
      </x:c>
      <x:c r="F86" s="86" t="str">
        <x:v>L1</x:v>
      </x:c>
      <x:c r="G86" s="86" t="str">
        <x:v>calibration-CAL</x:v>
      </x:c>
      <x:c r="H86" s="91" t="str">
        <x:v>OPEN</x:v>
      </x:c>
      <x:c r="I86" s="86" t="str">
        <x:v>baseline</x:v>
      </x:c>
    </x:row>
    <x:row r="87">
      <x:c r="A87" s="86" t="str">
        <x:v>ER-082</x:v>
      </x:c>
      <x:c r="B87" s="86" t="str">
        <x:v>baseline</x:v>
      </x:c>
      <x:c r="C87" s="86" t="str">
        <x:v>calibration</x:v>
      </x:c>
      <x:c r="D87" s="108" t="n">
        <x:v>2</x:v>
      </x:c>
      <x:c r="E87" s="86" t="str">
        <x:v>T2</x:v>
      </x:c>
      <x:c r="F87" s="86" t="str">
        <x:v>L2</x:v>
      </x:c>
      <x:c r="G87" s="86" t="str">
        <x:v>calibration-CAL</x:v>
      </x:c>
      <x:c r="H87" s="91" t="str">
        <x:v>OPEN</x:v>
      </x:c>
      <x:c r="I87" s="86" t="str">
        <x:v>baseline</x:v>
      </x:c>
    </x:row>
    <x:row r="88">
      <x:c r="A88" s="86" t="str">
        <x:v>ER-083</x:v>
      </x:c>
      <x:c r="B88" s="86" t="str">
        <x:v>baseline</x:v>
      </x:c>
      <x:c r="C88" s="86" t="str">
        <x:v>calibration</x:v>
      </x:c>
      <x:c r="D88" s="108" t="n">
        <x:v>3</x:v>
      </x:c>
      <x:c r="E88" s="86" t="str">
        <x:v>T3</x:v>
      </x:c>
      <x:c r="F88" s="86" t="str">
        <x:v>L3</x:v>
      </x:c>
      <x:c r="G88" s="86" t="str">
        <x:v>calibration-CAL</x:v>
      </x:c>
      <x:c r="H88" s="91" t="str">
        <x:v>OPEN</x:v>
      </x:c>
      <x:c r="I88" s="86" t="str">
        <x:v>baseline</x:v>
      </x:c>
    </x:row>
    <x:row r="89">
      <x:c r="A89" s="86" t="str">
        <x:v>ER-084</x:v>
      </x:c>
      <x:c r="B89" s="86" t="str">
        <x:v>baseline</x:v>
      </x:c>
      <x:c r="C89" s="86" t="str">
        <x:v>calibration</x:v>
      </x:c>
      <x:c r="D89" s="108" t="n">
        <x:v>4</x:v>
      </x:c>
      <x:c r="E89" s="86" t="str">
        <x:v>T4</x:v>
      </x:c>
      <x:c r="F89" s="86" t="str">
        <x:v>L4</x:v>
      </x:c>
      <x:c r="G89" s="86" t="str">
        <x:v>calibration-CAL</x:v>
      </x:c>
      <x:c r="H89" s="91" t="str">
        <x:v>OPEN</x:v>
      </x:c>
      <x:c r="I89" s="86" t="str">
        <x:v>baseline</x:v>
      </x:c>
    </x:row>
    <x:row r="90">
      <x:c r="A90" s="86" t="str">
        <x:v>ER-085</x:v>
      </x:c>
      <x:c r="B90" s="86" t="str">
        <x:v>baseline</x:v>
      </x:c>
      <x:c r="C90" s="86" t="str">
        <x:v>causal time</x:v>
      </x:c>
      <x:c r="D90" s="108" t="n">
        <x:v>1</x:v>
      </x:c>
      <x:c r="E90" s="86" t="str">
        <x:v>T1</x:v>
      </x:c>
      <x:c r="F90" s="86" t="str">
        <x:v>L1</x:v>
      </x:c>
      <x:c r="G90" s="86" t="str">
        <x:v>causal time-CAL</x:v>
      </x:c>
      <x:c r="H90" s="91" t="str">
        <x:v>OPEN</x:v>
      </x:c>
      <x:c r="I90" s="86" t="str">
        <x:v>baseline</x:v>
      </x:c>
    </x:row>
    <x:row r="91">
      <x:c r="A91" s="86" t="str">
        <x:v>ER-086</x:v>
      </x:c>
      <x:c r="B91" s="86" t="str">
        <x:v>baseline</x:v>
      </x:c>
      <x:c r="C91" s="86" t="str">
        <x:v>causal time</x:v>
      </x:c>
      <x:c r="D91" s="108" t="n">
        <x:v>2</x:v>
      </x:c>
      <x:c r="E91" s="86" t="str">
        <x:v>T2</x:v>
      </x:c>
      <x:c r="F91" s="86" t="str">
        <x:v>L2</x:v>
      </x:c>
      <x:c r="G91" s="86" t="str">
        <x:v>causal time-CAL</x:v>
      </x:c>
      <x:c r="H91" s="91" t="str">
        <x:v>OPEN</x:v>
      </x:c>
      <x:c r="I91" s="86" t="str">
        <x:v>baseline</x:v>
      </x:c>
    </x:row>
    <x:row r="92">
      <x:c r="A92" s="86" t="str">
        <x:v>ER-087</x:v>
      </x:c>
      <x:c r="B92" s="86" t="str">
        <x:v>baseline</x:v>
      </x:c>
      <x:c r="C92" s="86" t="str">
        <x:v>causal time</x:v>
      </x:c>
      <x:c r="D92" s="108" t="n">
        <x:v>3</x:v>
      </x:c>
      <x:c r="E92" s="86" t="str">
        <x:v>T3</x:v>
      </x:c>
      <x:c r="F92" s="86" t="str">
        <x:v>L3</x:v>
      </x:c>
      <x:c r="G92" s="86" t="str">
        <x:v>causal time-CAL</x:v>
      </x:c>
      <x:c r="H92" s="91" t="str">
        <x:v>OPEN</x:v>
      </x:c>
      <x:c r="I92" s="86" t="str">
        <x:v>baseline</x:v>
      </x:c>
    </x:row>
    <x:row r="93">
      <x:c r="A93" s="86" t="str">
        <x:v>ER-088</x:v>
      </x:c>
      <x:c r="B93" s="86" t="str">
        <x:v>baseline</x:v>
      </x:c>
      <x:c r="C93" s="86" t="str">
        <x:v>causal time</x:v>
      </x:c>
      <x:c r="D93" s="108" t="n">
        <x:v>4</x:v>
      </x:c>
      <x:c r="E93" s="86" t="str">
        <x:v>T4</x:v>
      </x:c>
      <x:c r="F93" s="86" t="str">
        <x:v>L4</x:v>
      </x:c>
      <x:c r="G93" s="86" t="str">
        <x:v>causal time-CAL</x:v>
      </x:c>
      <x:c r="H93" s="91" t="str">
        <x:v>OPEN</x:v>
      </x:c>
      <x:c r="I93" s="86" t="str">
        <x:v>baseline</x:v>
      </x:c>
    </x:row>
    <x:row r="94">
      <x:c r="A94" s="86" t="str">
        <x:v>ER-089</x:v>
      </x:c>
      <x:c r="B94" s="86" t="str">
        <x:v>baseline</x:v>
      </x:c>
      <x:c r="C94" s="86" t="str">
        <x:v>custody</x:v>
      </x:c>
      <x:c r="D94" s="108" t="n">
        <x:v>1</x:v>
      </x:c>
      <x:c r="E94" s="86" t="str">
        <x:v>T1</x:v>
      </x:c>
      <x:c r="F94" s="86" t="str">
        <x:v>L1</x:v>
      </x:c>
      <x:c r="G94" s="86" t="str">
        <x:v>custody-CAL</x:v>
      </x:c>
      <x:c r="H94" s="91" t="str">
        <x:v>OPEN</x:v>
      </x:c>
      <x:c r="I94" s="86" t="str">
        <x:v>baseline</x:v>
      </x:c>
    </x:row>
    <x:row r="95">
      <x:c r="A95" s="86" t="str">
        <x:v>ER-090</x:v>
      </x:c>
      <x:c r="B95" s="86" t="str">
        <x:v>baseline</x:v>
      </x:c>
      <x:c r="C95" s="86" t="str">
        <x:v>custody</x:v>
      </x:c>
      <x:c r="D95" s="108" t="n">
        <x:v>2</x:v>
      </x:c>
      <x:c r="E95" s="86" t="str">
        <x:v>T2</x:v>
      </x:c>
      <x:c r="F95" s="86" t="str">
        <x:v>L2</x:v>
      </x:c>
      <x:c r="G95" s="86" t="str">
        <x:v>custody-CAL</x:v>
      </x:c>
      <x:c r="H95" s="91" t="str">
        <x:v>OPEN</x:v>
      </x:c>
      <x:c r="I95" s="86" t="str">
        <x:v>baseline</x:v>
      </x:c>
    </x:row>
    <x:row r="96">
      <x:c r="A96" s="86" t="str">
        <x:v>ER-091</x:v>
      </x:c>
      <x:c r="B96" s="86" t="str">
        <x:v>baseline</x:v>
      </x:c>
      <x:c r="C96" s="86" t="str">
        <x:v>custody</x:v>
      </x:c>
      <x:c r="D96" s="108" t="n">
        <x:v>3</x:v>
      </x:c>
      <x:c r="E96" s="86" t="str">
        <x:v>T3</x:v>
      </x:c>
      <x:c r="F96" s="86" t="str">
        <x:v>L3</x:v>
      </x:c>
      <x:c r="G96" s="86" t="str">
        <x:v>custody-CAL</x:v>
      </x:c>
      <x:c r="H96" s="91" t="str">
        <x:v>OPEN</x:v>
      </x:c>
      <x:c r="I96" s="86" t="str">
        <x:v>baseline</x:v>
      </x:c>
    </x:row>
    <x:row r="97">
      <x:c r="A97" s="86" t="str">
        <x:v>ER-092</x:v>
      </x:c>
      <x:c r="B97" s="86" t="str">
        <x:v>baseline</x:v>
      </x:c>
      <x:c r="C97" s="86" t="str">
        <x:v>custody</x:v>
      </x:c>
      <x:c r="D97" s="108" t="n">
        <x:v>4</x:v>
      </x:c>
      <x:c r="E97" s="86" t="str">
        <x:v>T4</x:v>
      </x:c>
      <x:c r="F97" s="86" t="str">
        <x:v>L4</x:v>
      </x:c>
      <x:c r="G97" s="86" t="str">
        <x:v>custody-CAL</x:v>
      </x:c>
      <x:c r="H97" s="91" t="str">
        <x:v>OPEN</x:v>
      </x:c>
      <x:c r="I97" s="86" t="str">
        <x:v>baseline</x:v>
      </x:c>
    </x:row>
    <x:row r="98">
      <x:c r="A98" s="86" t="str">
        <x:v>ER-093</x:v>
      </x:c>
      <x:c r="B98" s="86" t="str">
        <x:v>baseline</x:v>
      </x:c>
      <x:c r="C98" s="86" t="str">
        <x:v>reconstruction</x:v>
      </x:c>
      <x:c r="D98" s="108" t="n">
        <x:v>1</x:v>
      </x:c>
      <x:c r="E98" s="86" t="str">
        <x:v>T1</x:v>
      </x:c>
      <x:c r="F98" s="86" t="str">
        <x:v>L1</x:v>
      </x:c>
      <x:c r="G98" s="86" t="str">
        <x:v>reconstruction-CAL</x:v>
      </x:c>
      <x:c r="H98" s="91" t="str">
        <x:v>OPEN</x:v>
      </x:c>
      <x:c r="I98" s="86" t="str">
        <x:v>baseline</x:v>
      </x:c>
    </x:row>
    <x:row r="99">
      <x:c r="A99" s="86" t="str">
        <x:v>ER-094</x:v>
      </x:c>
      <x:c r="B99" s="86" t="str">
        <x:v>baseline</x:v>
      </x:c>
      <x:c r="C99" s="86" t="str">
        <x:v>reconstruction</x:v>
      </x:c>
      <x:c r="D99" s="108" t="n">
        <x:v>2</x:v>
      </x:c>
      <x:c r="E99" s="86" t="str">
        <x:v>T2</x:v>
      </x:c>
      <x:c r="F99" s="86" t="str">
        <x:v>L2</x:v>
      </x:c>
      <x:c r="G99" s="86" t="str">
        <x:v>reconstruction-CAL</x:v>
      </x:c>
      <x:c r="H99" s="91" t="str">
        <x:v>OPEN</x:v>
      </x:c>
      <x:c r="I99" s="86" t="str">
        <x:v>baseline</x:v>
      </x:c>
    </x:row>
    <x:row r="100">
      <x:c r="A100" s="86" t="str">
        <x:v>ER-095</x:v>
      </x:c>
      <x:c r="B100" s="86" t="str">
        <x:v>baseline</x:v>
      </x:c>
      <x:c r="C100" s="86" t="str">
        <x:v>reconstruction</x:v>
      </x:c>
      <x:c r="D100" s="108" t="n">
        <x:v>3</x:v>
      </x:c>
      <x:c r="E100" s="86" t="str">
        <x:v>T3</x:v>
      </x:c>
      <x:c r="F100" s="86" t="str">
        <x:v>L3</x:v>
      </x:c>
      <x:c r="G100" s="86" t="str">
        <x:v>reconstruction-CAL</x:v>
      </x:c>
      <x:c r="H100" s="91" t="str">
        <x:v>OPEN</x:v>
      </x:c>
      <x:c r="I100" s="86" t="str">
        <x:v>baseline</x:v>
      </x:c>
    </x:row>
    <x:row r="101">
      <x:c r="A101" s="86" t="str">
        <x:v>ER-096</x:v>
      </x:c>
      <x:c r="B101" s="86" t="str">
        <x:v>baseline</x:v>
      </x:c>
      <x:c r="C101" s="86" t="str">
        <x:v>reconstruction</x:v>
      </x:c>
      <x:c r="D101" s="108" t="n">
        <x:v>4</x:v>
      </x:c>
      <x:c r="E101" s="86" t="str">
        <x:v>T4</x:v>
      </x:c>
      <x:c r="F101" s="86" t="str">
        <x:v>L4</x:v>
      </x:c>
      <x:c r="G101" s="86" t="str">
        <x:v>reconstruction-CAL</x:v>
      </x:c>
      <x:c r="H101" s="91" t="str">
        <x:v>OPEN</x:v>
      </x:c>
      <x:c r="I101" s="86" t="str">
        <x:v>baseline</x:v>
      </x:c>
    </x:row>
    <x:row r="102">
      <x:c r="A102" s="86" t="str">
        <x:v>ER-097</x:v>
      </x:c>
      <x:c r="B102" s="86" t="str">
        <x:v>source issue</x:v>
      </x:c>
      <x:c r="C102" s="86" t="str">
        <x:v>identity</x:v>
      </x:c>
      <x:c r="D102" s="108" t="n">
        <x:v>1</x:v>
      </x:c>
      <x:c r="E102" s="86" t="str">
        <x:v>T1</x:v>
      </x:c>
      <x:c r="F102" s="86" t="str">
        <x:v>L1</x:v>
      </x:c>
      <x:c r="G102" s="86" t="str">
        <x:v>identity-CAL</x:v>
      </x:c>
      <x:c r="H102" s="91" t="str">
        <x:v>OPEN</x:v>
      </x:c>
      <x:c r="I102" s="86" t="str">
        <x:v>source issue</x:v>
      </x:c>
    </x:row>
    <x:row r="103">
      <x:c r="A103" s="86" t="str">
        <x:v>ER-098</x:v>
      </x:c>
      <x:c r="B103" s="86" t="str">
        <x:v>source issue</x:v>
      </x:c>
      <x:c r="C103" s="86" t="str">
        <x:v>identity</x:v>
      </x:c>
      <x:c r="D103" s="108" t="n">
        <x:v>2</x:v>
      </x:c>
      <x:c r="E103" s="86" t="str">
        <x:v>T2</x:v>
      </x:c>
      <x:c r="F103" s="86" t="str">
        <x:v>L2</x:v>
      </x:c>
      <x:c r="G103" s="86" t="str">
        <x:v>identity-CAL</x:v>
      </x:c>
      <x:c r="H103" s="91" t="str">
        <x:v>OPEN</x:v>
      </x:c>
      <x:c r="I103" s="86" t="str">
        <x:v>source issue</x:v>
      </x:c>
    </x:row>
    <x:row r="104">
      <x:c r="A104" s="86" t="str">
        <x:v>ER-099</x:v>
      </x:c>
      <x:c r="B104" s="86" t="str">
        <x:v>source issue</x:v>
      </x:c>
      <x:c r="C104" s="86" t="str">
        <x:v>identity</x:v>
      </x:c>
      <x:c r="D104" s="108" t="n">
        <x:v>3</x:v>
      </x:c>
      <x:c r="E104" s="86" t="str">
        <x:v>T3</x:v>
      </x:c>
      <x:c r="F104" s="86" t="str">
        <x:v>L3</x:v>
      </x:c>
      <x:c r="G104" s="86" t="str">
        <x:v>identity-CAL</x:v>
      </x:c>
      <x:c r="H104" s="91" t="str">
        <x:v>OPEN</x:v>
      </x:c>
      <x:c r="I104" s="86" t="str">
        <x:v>source issue</x:v>
      </x:c>
    </x:row>
    <x:row r="105">
      <x:c r="A105" s="86" t="str">
        <x:v>ER-100</x:v>
      </x:c>
      <x:c r="B105" s="86" t="str">
        <x:v>source issue</x:v>
      </x:c>
      <x:c r="C105" s="86" t="str">
        <x:v>identity</x:v>
      </x:c>
      <x:c r="D105" s="108" t="n">
        <x:v>4</x:v>
      </x:c>
      <x:c r="E105" s="86" t="str">
        <x:v>T4</x:v>
      </x:c>
      <x:c r="F105" s="86" t="str">
        <x:v>L4</x:v>
      </x:c>
      <x:c r="G105" s="86" t="str">
        <x:v>identity-CAL</x:v>
      </x:c>
      <x:c r="H105" s="91" t="str">
        <x:v>OPEN</x:v>
      </x:c>
      <x:c r="I105" s="86" t="str">
        <x:v>source issue</x:v>
      </x:c>
    </x:row>
    <x:row r="106">
      <x:c r="A106" s="86" t="str">
        <x:v>ER-101</x:v>
      </x:c>
      <x:c r="B106" s="86" t="str">
        <x:v>source issue</x:v>
      </x:c>
      <x:c r="C106" s="86" t="str">
        <x:v>capacity</x:v>
      </x:c>
      <x:c r="D106" s="108" t="n">
        <x:v>1</x:v>
      </x:c>
      <x:c r="E106" s="86" t="str">
        <x:v>T1</x:v>
      </x:c>
      <x:c r="F106" s="86" t="str">
        <x:v>L1</x:v>
      </x:c>
      <x:c r="G106" s="86" t="str">
        <x:v>capacity-CAL</x:v>
      </x:c>
      <x:c r="H106" s="91" t="str">
        <x:v>OPEN</x:v>
      </x:c>
      <x:c r="I106" s="86" t="str">
        <x:v>source issue</x:v>
      </x:c>
    </x:row>
    <x:row r="107">
      <x:c r="A107" s="86" t="str">
        <x:v>ER-102</x:v>
      </x:c>
      <x:c r="B107" s="86" t="str">
        <x:v>source issue</x:v>
      </x:c>
      <x:c r="C107" s="86" t="str">
        <x:v>capacity</x:v>
      </x:c>
      <x:c r="D107" s="108" t="n">
        <x:v>2</x:v>
      </x:c>
      <x:c r="E107" s="86" t="str">
        <x:v>T2</x:v>
      </x:c>
      <x:c r="F107" s="86" t="str">
        <x:v>L2</x:v>
      </x:c>
      <x:c r="G107" s="86" t="str">
        <x:v>capacity-CAL</x:v>
      </x:c>
      <x:c r="H107" s="91" t="str">
        <x:v>OPEN</x:v>
      </x:c>
      <x:c r="I107" s="86" t="str">
        <x:v>source issue</x:v>
      </x:c>
    </x:row>
    <x:row r="108">
      <x:c r="A108" s="86" t="str">
        <x:v>ER-103</x:v>
      </x:c>
      <x:c r="B108" s="86" t="str">
        <x:v>source issue</x:v>
      </x:c>
      <x:c r="C108" s="86" t="str">
        <x:v>capacity</x:v>
      </x:c>
      <x:c r="D108" s="108" t="n">
        <x:v>3</x:v>
      </x:c>
      <x:c r="E108" s="86" t="str">
        <x:v>T3</x:v>
      </x:c>
      <x:c r="F108" s="86" t="str">
        <x:v>L3</x:v>
      </x:c>
      <x:c r="G108" s="86" t="str">
        <x:v>capacity-CAL</x:v>
      </x:c>
      <x:c r="H108" s="91" t="str">
        <x:v>OPEN</x:v>
      </x:c>
      <x:c r="I108" s="86" t="str">
        <x:v>source issue</x:v>
      </x:c>
    </x:row>
    <x:row r="109">
      <x:c r="A109" s="86" t="str">
        <x:v>ER-104</x:v>
      </x:c>
      <x:c r="B109" s="86" t="str">
        <x:v>source issue</x:v>
      </x:c>
      <x:c r="C109" s="86" t="str">
        <x:v>capacity</x:v>
      </x:c>
      <x:c r="D109" s="108" t="n">
        <x:v>4</x:v>
      </x:c>
      <x:c r="E109" s="86" t="str">
        <x:v>T4</x:v>
      </x:c>
      <x:c r="F109" s="86" t="str">
        <x:v>L4</x:v>
      </x:c>
      <x:c r="G109" s="86" t="str">
        <x:v>capacity-CAL</x:v>
      </x:c>
      <x:c r="H109" s="91" t="str">
        <x:v>OPEN</x:v>
      </x:c>
      <x:c r="I109" s="86" t="str">
        <x:v>source issue</x:v>
      </x:c>
    </x:row>
    <x:row r="110">
      <x:c r="A110" s="86" t="str">
        <x:v>ER-105</x:v>
      </x:c>
      <x:c r="B110" s="86" t="str">
        <x:v>source issue</x:v>
      </x:c>
      <x:c r="C110" s="86" t="str">
        <x:v>state</x:v>
      </x:c>
      <x:c r="D110" s="108" t="n">
        <x:v>1</x:v>
      </x:c>
      <x:c r="E110" s="86" t="str">
        <x:v>T1</x:v>
      </x:c>
      <x:c r="F110" s="86" t="str">
        <x:v>L1</x:v>
      </x:c>
      <x:c r="G110" s="86" t="str">
        <x:v>state-CAL</x:v>
      </x:c>
      <x:c r="H110" s="91" t="str">
        <x:v>OPEN</x:v>
      </x:c>
      <x:c r="I110" s="86" t="str">
        <x:v>source issue</x:v>
      </x:c>
    </x:row>
    <x:row r="111">
      <x:c r="A111" s="86" t="str">
        <x:v>ER-106</x:v>
      </x:c>
      <x:c r="B111" s="86" t="str">
        <x:v>source issue</x:v>
      </x:c>
      <x:c r="C111" s="86" t="str">
        <x:v>state</x:v>
      </x:c>
      <x:c r="D111" s="108" t="n">
        <x:v>2</x:v>
      </x:c>
      <x:c r="E111" s="86" t="str">
        <x:v>T2</x:v>
      </x:c>
      <x:c r="F111" s="86" t="str">
        <x:v>L2</x:v>
      </x:c>
      <x:c r="G111" s="86" t="str">
        <x:v>state-CAL</x:v>
      </x:c>
      <x:c r="H111" s="91" t="str">
        <x:v>OPEN</x:v>
      </x:c>
      <x:c r="I111" s="86" t="str">
        <x:v>source issue</x:v>
      </x:c>
    </x:row>
    <x:row r="112">
      <x:c r="A112" s="86" t="str">
        <x:v>ER-107</x:v>
      </x:c>
      <x:c r="B112" s="86" t="str">
        <x:v>source issue</x:v>
      </x:c>
      <x:c r="C112" s="86" t="str">
        <x:v>state</x:v>
      </x:c>
      <x:c r="D112" s="108" t="n">
        <x:v>3</x:v>
      </x:c>
      <x:c r="E112" s="86" t="str">
        <x:v>T3</x:v>
      </x:c>
      <x:c r="F112" s="86" t="str">
        <x:v>L3</x:v>
      </x:c>
      <x:c r="G112" s="86" t="str">
        <x:v>state-CAL</x:v>
      </x:c>
      <x:c r="H112" s="91" t="str">
        <x:v>OPEN</x:v>
      </x:c>
      <x:c r="I112" s="86" t="str">
        <x:v>source issue</x:v>
      </x:c>
    </x:row>
    <x:row r="113">
      <x:c r="A113" s="86" t="str">
        <x:v>ER-108</x:v>
      </x:c>
      <x:c r="B113" s="86" t="str">
        <x:v>source issue</x:v>
      </x:c>
      <x:c r="C113" s="86" t="str">
        <x:v>state</x:v>
      </x:c>
      <x:c r="D113" s="108" t="n">
        <x:v>4</x:v>
      </x:c>
      <x:c r="E113" s="86" t="str">
        <x:v>T4</x:v>
      </x:c>
      <x:c r="F113" s="86" t="str">
        <x:v>L4</x:v>
      </x:c>
      <x:c r="G113" s="86" t="str">
        <x:v>state-CAL</x:v>
      </x:c>
      <x:c r="H113" s="91" t="str">
        <x:v>OPEN</x:v>
      </x:c>
      <x:c r="I113" s="86" t="str">
        <x:v>source issue</x:v>
      </x:c>
    </x:row>
    <x:row r="114">
      <x:c r="A114" s="86" t="str">
        <x:v>ER-109</x:v>
      </x:c>
      <x:c r="B114" s="86" t="str">
        <x:v>source issue</x:v>
      </x:c>
      <x:c r="C114" s="86" t="str">
        <x:v>authority</x:v>
      </x:c>
      <x:c r="D114" s="108" t="n">
        <x:v>1</x:v>
      </x:c>
      <x:c r="E114" s="86" t="str">
        <x:v>T1</x:v>
      </x:c>
      <x:c r="F114" s="86" t="str">
        <x:v>L1</x:v>
      </x:c>
      <x:c r="G114" s="86" t="str">
        <x:v>authority-CAL</x:v>
      </x:c>
      <x:c r="H114" s="91" t="str">
        <x:v>OPEN</x:v>
      </x:c>
      <x:c r="I114" s="86" t="str">
        <x:v>source issue</x:v>
      </x:c>
    </x:row>
    <x:row r="115">
      <x:c r="A115" s="86" t="str">
        <x:v>ER-110</x:v>
      </x:c>
      <x:c r="B115" s="86" t="str">
        <x:v>source issue</x:v>
      </x:c>
      <x:c r="C115" s="86" t="str">
        <x:v>authority</x:v>
      </x:c>
      <x:c r="D115" s="108" t="n">
        <x:v>2</x:v>
      </x:c>
      <x:c r="E115" s="86" t="str">
        <x:v>T2</x:v>
      </x:c>
      <x:c r="F115" s="86" t="str">
        <x:v>L2</x:v>
      </x:c>
      <x:c r="G115" s="86" t="str">
        <x:v>authority-CAL</x:v>
      </x:c>
      <x:c r="H115" s="91" t="str">
        <x:v>OPEN</x:v>
      </x:c>
      <x:c r="I115" s="86" t="str">
        <x:v>source issue</x:v>
      </x:c>
    </x:row>
    <x:row r="116">
      <x:c r="A116" s="86" t="str">
        <x:v>ER-111</x:v>
      </x:c>
      <x:c r="B116" s="86" t="str">
        <x:v>source issue</x:v>
      </x:c>
      <x:c r="C116" s="86" t="str">
        <x:v>authority</x:v>
      </x:c>
      <x:c r="D116" s="108" t="n">
        <x:v>3</x:v>
      </x:c>
      <x:c r="E116" s="86" t="str">
        <x:v>T3</x:v>
      </x:c>
      <x:c r="F116" s="86" t="str">
        <x:v>L3</x:v>
      </x:c>
      <x:c r="G116" s="86" t="str">
        <x:v>authority-CAL</x:v>
      </x:c>
      <x:c r="H116" s="91" t="str">
        <x:v>OPEN</x:v>
      </x:c>
      <x:c r="I116" s="86" t="str">
        <x:v>source issue</x:v>
      </x:c>
    </x:row>
    <x:row r="117">
      <x:c r="A117" s="86" t="str">
        <x:v>ER-112</x:v>
      </x:c>
      <x:c r="B117" s="86" t="str">
        <x:v>source issue</x:v>
      </x:c>
      <x:c r="C117" s="86" t="str">
        <x:v>authority</x:v>
      </x:c>
      <x:c r="D117" s="108" t="n">
        <x:v>4</x:v>
      </x:c>
      <x:c r="E117" s="86" t="str">
        <x:v>T4</x:v>
      </x:c>
      <x:c r="F117" s="86" t="str">
        <x:v>L4</x:v>
      </x:c>
      <x:c r="G117" s="86" t="str">
        <x:v>authority-CAL</x:v>
      </x:c>
      <x:c r="H117" s="91" t="str">
        <x:v>OPEN</x:v>
      </x:c>
      <x:c r="I117" s="86" t="str">
        <x:v>source issue</x:v>
      </x:c>
    </x:row>
    <x:row r="118">
      <x:c r="A118" s="86" t="str">
        <x:v>ER-113</x:v>
      </x:c>
      <x:c r="B118" s="86" t="str">
        <x:v>source issue</x:v>
      </x:c>
      <x:c r="C118" s="86" t="str">
        <x:v>calibration</x:v>
      </x:c>
      <x:c r="D118" s="108" t="n">
        <x:v>1</x:v>
      </x:c>
      <x:c r="E118" s="86" t="str">
        <x:v>T1</x:v>
      </x:c>
      <x:c r="F118" s="86" t="str">
        <x:v>L1</x:v>
      </x:c>
      <x:c r="G118" s="86" t="str">
        <x:v>calibration-CAL</x:v>
      </x:c>
      <x:c r="H118" s="91" t="str">
        <x:v>OPEN</x:v>
      </x:c>
      <x:c r="I118" s="86" t="str">
        <x:v>source issue</x:v>
      </x:c>
    </x:row>
    <x:row r="119">
      <x:c r="A119" s="86" t="str">
        <x:v>ER-114</x:v>
      </x:c>
      <x:c r="B119" s="86" t="str">
        <x:v>source issue</x:v>
      </x:c>
      <x:c r="C119" s="86" t="str">
        <x:v>calibration</x:v>
      </x:c>
      <x:c r="D119" s="108" t="n">
        <x:v>2</x:v>
      </x:c>
      <x:c r="E119" s="86" t="str">
        <x:v>T2</x:v>
      </x:c>
      <x:c r="F119" s="86" t="str">
        <x:v>L2</x:v>
      </x:c>
      <x:c r="G119" s="86" t="str">
        <x:v>calibration-CAL</x:v>
      </x:c>
      <x:c r="H119" s="91" t="str">
        <x:v>OPEN</x:v>
      </x:c>
      <x:c r="I119" s="86" t="str">
        <x:v>source issue</x:v>
      </x:c>
    </x:row>
    <x:row r="120">
      <x:c r="A120" s="86" t="str">
        <x:v>ER-115</x:v>
      </x:c>
      <x:c r="B120" s="86" t="str">
        <x:v>source issue</x:v>
      </x:c>
      <x:c r="C120" s="86" t="str">
        <x:v>calibration</x:v>
      </x:c>
      <x:c r="D120" s="108" t="n">
        <x:v>3</x:v>
      </x:c>
      <x:c r="E120" s="86" t="str">
        <x:v>T3</x:v>
      </x:c>
      <x:c r="F120" s="86" t="str">
        <x:v>L3</x:v>
      </x:c>
      <x:c r="G120" s="86" t="str">
        <x:v>calibration-CAL</x:v>
      </x:c>
      <x:c r="H120" s="91" t="str">
        <x:v>OPEN</x:v>
      </x:c>
      <x:c r="I120" s="86" t="str">
        <x:v>source issue</x:v>
      </x:c>
    </x:row>
    <x:row r="121">
      <x:c r="A121" s="86" t="str">
        <x:v>ER-116</x:v>
      </x:c>
      <x:c r="B121" s="86" t="str">
        <x:v>source issue</x:v>
      </x:c>
      <x:c r="C121" s="86" t="str">
        <x:v>calibration</x:v>
      </x:c>
      <x:c r="D121" s="108" t="n">
        <x:v>4</x:v>
      </x:c>
      <x:c r="E121" s="86" t="str">
        <x:v>T4</x:v>
      </x:c>
      <x:c r="F121" s="86" t="str">
        <x:v>L4</x:v>
      </x:c>
      <x:c r="G121" s="86" t="str">
        <x:v>calibration-CAL</x:v>
      </x:c>
      <x:c r="H121" s="91" t="str">
        <x:v>OPEN</x:v>
      </x:c>
      <x:c r="I121" s="86" t="str">
        <x:v>source issue</x:v>
      </x:c>
    </x:row>
    <x:row r="122">
      <x:c r="A122" s="86" t="str">
        <x:v>ER-117</x:v>
      </x:c>
      <x:c r="B122" s="86" t="str">
        <x:v>source issue</x:v>
      </x:c>
      <x:c r="C122" s="86" t="str">
        <x:v>causal time</x:v>
      </x:c>
      <x:c r="D122" s="108" t="n">
        <x:v>1</x:v>
      </x:c>
      <x:c r="E122" s="86" t="str">
        <x:v>T1</x:v>
      </x:c>
      <x:c r="F122" s="86" t="str">
        <x:v>L1</x:v>
      </x:c>
      <x:c r="G122" s="86" t="str">
        <x:v>causal time-CAL</x:v>
      </x:c>
      <x:c r="H122" s="91" t="str">
        <x:v>OPEN</x:v>
      </x:c>
      <x:c r="I122" s="86" t="str">
        <x:v>source issue</x:v>
      </x:c>
    </x:row>
    <x:row r="123">
      <x:c r="A123" s="86" t="str">
        <x:v>ER-118</x:v>
      </x:c>
      <x:c r="B123" s="86" t="str">
        <x:v>source issue</x:v>
      </x:c>
      <x:c r="C123" s="86" t="str">
        <x:v>causal time</x:v>
      </x:c>
      <x:c r="D123" s="108" t="n">
        <x:v>2</x:v>
      </x:c>
      <x:c r="E123" s="86" t="str">
        <x:v>T2</x:v>
      </x:c>
      <x:c r="F123" s="86" t="str">
        <x:v>L2</x:v>
      </x:c>
      <x:c r="G123" s="86" t="str">
        <x:v>causal time-CAL</x:v>
      </x:c>
      <x:c r="H123" s="91" t="str">
        <x:v>OPEN</x:v>
      </x:c>
      <x:c r="I123" s="86" t="str">
        <x:v>source issue</x:v>
      </x:c>
    </x:row>
    <x:row r="124">
      <x:c r="A124" s="86" t="str">
        <x:v>ER-119</x:v>
      </x:c>
      <x:c r="B124" s="86" t="str">
        <x:v>source issue</x:v>
      </x:c>
      <x:c r="C124" s="86" t="str">
        <x:v>causal time</x:v>
      </x:c>
      <x:c r="D124" s="108" t="n">
        <x:v>3</x:v>
      </x:c>
      <x:c r="E124" s="86" t="str">
        <x:v>T3</x:v>
      </x:c>
      <x:c r="F124" s="86" t="str">
        <x:v>L3</x:v>
      </x:c>
      <x:c r="G124" s="86" t="str">
        <x:v>causal time-CAL</x:v>
      </x:c>
      <x:c r="H124" s="91" t="str">
        <x:v>OPEN</x:v>
      </x:c>
      <x:c r="I124" s="86" t="str">
        <x:v>source issue</x:v>
      </x:c>
    </x:row>
    <x:row r="125">
      <x:c r="A125" s="86" t="str">
        <x:v>ER-120</x:v>
      </x:c>
      <x:c r="B125" s="86" t="str">
        <x:v>source issue</x:v>
      </x:c>
      <x:c r="C125" s="86" t="str">
        <x:v>causal time</x:v>
      </x:c>
      <x:c r="D125" s="108" t="n">
        <x:v>4</x:v>
      </x:c>
      <x:c r="E125" s="86" t="str">
        <x:v>T4</x:v>
      </x:c>
      <x:c r="F125" s="86" t="str">
        <x:v>L4</x:v>
      </x:c>
      <x:c r="G125" s="86" t="str">
        <x:v>causal time-CAL</x:v>
      </x:c>
      <x:c r="H125" s="91" t="str">
        <x:v>OPEN</x:v>
      </x:c>
      <x:c r="I125" s="86" t="str">
        <x:v>source issue</x:v>
      </x:c>
    </x:row>
    <x:row r="126">
      <x:c r="A126" s="86" t="str">
        <x:v>ER-121</x:v>
      </x:c>
      <x:c r="B126" s="86" t="str">
        <x:v>source issue</x:v>
      </x:c>
      <x:c r="C126" s="86" t="str">
        <x:v>custody</x:v>
      </x:c>
      <x:c r="D126" s="108" t="n">
        <x:v>1</x:v>
      </x:c>
      <x:c r="E126" s="86" t="str">
        <x:v>T1</x:v>
      </x:c>
      <x:c r="F126" s="86" t="str">
        <x:v>L1</x:v>
      </x:c>
      <x:c r="G126" s="86" t="str">
        <x:v>custody-CAL</x:v>
      </x:c>
      <x:c r="H126" s="91" t="str">
        <x:v>OPEN</x:v>
      </x:c>
      <x:c r="I126" s="86" t="str">
        <x:v>source issue</x:v>
      </x:c>
    </x:row>
    <x:row r="127">
      <x:c r="A127" s="86" t="str">
        <x:v>ER-122</x:v>
      </x:c>
      <x:c r="B127" s="86" t="str">
        <x:v>source issue</x:v>
      </x:c>
      <x:c r="C127" s="86" t="str">
        <x:v>custody</x:v>
      </x:c>
      <x:c r="D127" s="108" t="n">
        <x:v>2</x:v>
      </x:c>
      <x:c r="E127" s="86" t="str">
        <x:v>T2</x:v>
      </x:c>
      <x:c r="F127" s="86" t="str">
        <x:v>L2</x:v>
      </x:c>
      <x:c r="G127" s="86" t="str">
        <x:v>custody-CAL</x:v>
      </x:c>
      <x:c r="H127" s="91" t="str">
        <x:v>OPEN</x:v>
      </x:c>
      <x:c r="I127" s="86" t="str">
        <x:v>source issue</x:v>
      </x:c>
    </x:row>
    <x:row r="128">
      <x:c r="A128" s="86" t="str">
        <x:v>ER-123</x:v>
      </x:c>
      <x:c r="B128" s="86" t="str">
        <x:v>source issue</x:v>
      </x:c>
      <x:c r="C128" s="86" t="str">
        <x:v>custody</x:v>
      </x:c>
      <x:c r="D128" s="108" t="n">
        <x:v>3</x:v>
      </x:c>
      <x:c r="E128" s="86" t="str">
        <x:v>T3</x:v>
      </x:c>
      <x:c r="F128" s="86" t="str">
        <x:v>L3</x:v>
      </x:c>
      <x:c r="G128" s="86" t="str">
        <x:v>custody-CAL</x:v>
      </x:c>
      <x:c r="H128" s="91" t="str">
        <x:v>OPEN</x:v>
      </x:c>
      <x:c r="I128" s="86" t="str">
        <x:v>source issue</x:v>
      </x:c>
    </x:row>
    <x:row r="129">
      <x:c r="A129" s="86" t="str">
        <x:v>ER-124</x:v>
      </x:c>
      <x:c r="B129" s="86" t="str">
        <x:v>source issue</x:v>
      </x:c>
      <x:c r="C129" s="86" t="str">
        <x:v>custody</x:v>
      </x:c>
      <x:c r="D129" s="108" t="n">
        <x:v>4</x:v>
      </x:c>
      <x:c r="E129" s="86" t="str">
        <x:v>T4</x:v>
      </x:c>
      <x:c r="F129" s="86" t="str">
        <x:v>L4</x:v>
      </x:c>
      <x:c r="G129" s="86" t="str">
        <x:v>custody-CAL</x:v>
      </x:c>
      <x:c r="H129" s="91" t="str">
        <x:v>OPEN</x:v>
      </x:c>
      <x:c r="I129" s="86" t="str">
        <x:v>source issue</x:v>
      </x:c>
    </x:row>
    <x:row r="130">
      <x:c r="A130" s="86" t="str">
        <x:v>ER-125</x:v>
      </x:c>
      <x:c r="B130" s="86" t="str">
        <x:v>source issue</x:v>
      </x:c>
      <x:c r="C130" s="86" t="str">
        <x:v>reconstruction</x:v>
      </x:c>
      <x:c r="D130" s="108" t="n">
        <x:v>1</x:v>
      </x:c>
      <x:c r="E130" s="86" t="str">
        <x:v>T1</x:v>
      </x:c>
      <x:c r="F130" s="86" t="str">
        <x:v>L1</x:v>
      </x:c>
      <x:c r="G130" s="86" t="str">
        <x:v>reconstruction-CAL</x:v>
      </x:c>
      <x:c r="H130" s="91" t="str">
        <x:v>OPEN</x:v>
      </x:c>
      <x:c r="I130" s="86" t="str">
        <x:v>source issue</x:v>
      </x:c>
    </x:row>
    <x:row r="131">
      <x:c r="A131" s="86" t="str">
        <x:v>ER-126</x:v>
      </x:c>
      <x:c r="B131" s="86" t="str">
        <x:v>source issue</x:v>
      </x:c>
      <x:c r="C131" s="86" t="str">
        <x:v>reconstruction</x:v>
      </x:c>
      <x:c r="D131" s="108" t="n">
        <x:v>2</x:v>
      </x:c>
      <x:c r="E131" s="86" t="str">
        <x:v>T2</x:v>
      </x:c>
      <x:c r="F131" s="86" t="str">
        <x:v>L2</x:v>
      </x:c>
      <x:c r="G131" s="86" t="str">
        <x:v>reconstruction-CAL</x:v>
      </x:c>
      <x:c r="H131" s="91" t="str">
        <x:v>OPEN</x:v>
      </x:c>
      <x:c r="I131" s="86" t="str">
        <x:v>source issue</x:v>
      </x:c>
    </x:row>
    <x:row r="132">
      <x:c r="A132" s="86" t="str">
        <x:v>ER-127</x:v>
      </x:c>
      <x:c r="B132" s="86" t="str">
        <x:v>source issue</x:v>
      </x:c>
      <x:c r="C132" s="86" t="str">
        <x:v>reconstruction</x:v>
      </x:c>
      <x:c r="D132" s="108" t="n">
        <x:v>3</x:v>
      </x:c>
      <x:c r="E132" s="86" t="str">
        <x:v>T3</x:v>
      </x:c>
      <x:c r="F132" s="86" t="str">
        <x:v>L3</x:v>
      </x:c>
      <x:c r="G132" s="86" t="str">
        <x:v>reconstruction-CAL</x:v>
      </x:c>
      <x:c r="H132" s="91" t="str">
        <x:v>OPEN</x:v>
      </x:c>
      <x:c r="I132" s="86" t="str">
        <x:v>source issue</x:v>
      </x:c>
    </x:row>
    <x:row r="133">
      <x:c r="A133" s="86" t="str">
        <x:v>ER-128</x:v>
      </x:c>
      <x:c r="B133" s="86" t="str">
        <x:v>source issue</x:v>
      </x:c>
      <x:c r="C133" s="86" t="str">
        <x:v>reconstruction</x:v>
      </x:c>
      <x:c r="D133" s="108" t="n">
        <x:v>4</x:v>
      </x:c>
      <x:c r="E133" s="86" t="str">
        <x:v>T4</x:v>
      </x:c>
      <x:c r="F133" s="86" t="str">
        <x:v>L4</x:v>
      </x:c>
      <x:c r="G133" s="86" t="str">
        <x:v>reconstruction-CAL</x:v>
      </x:c>
      <x:c r="H133" s="91" t="str">
        <x:v>OPEN</x:v>
      </x:c>
      <x:c r="I133" s="86" t="str">
        <x:v>source issue</x:v>
      </x:c>
    </x:row>
    <x:row r="134">
      <x:c r="A134" s="86" t="str">
        <x:v>ER-129</x:v>
      </x:c>
      <x:c r="B134" s="86" t="str">
        <x:v>opportunity</x:v>
      </x:c>
      <x:c r="C134" s="86" t="str">
        <x:v>identity</x:v>
      </x:c>
      <x:c r="D134" s="108" t="n">
        <x:v>1</x:v>
      </x:c>
      <x:c r="E134" s="86" t="str">
        <x:v>T1</x:v>
      </x:c>
      <x:c r="F134" s="86" t="str">
        <x:v>L1</x:v>
      </x:c>
      <x:c r="G134" s="86" t="str">
        <x:v>identity-CAL</x:v>
      </x:c>
      <x:c r="H134" s="91" t="str">
        <x:v>OPEN</x:v>
      </x:c>
      <x:c r="I134" s="86" t="str">
        <x:v>opportunity</x:v>
      </x:c>
    </x:row>
    <x:row r="135">
      <x:c r="A135" s="86" t="str">
        <x:v>ER-130</x:v>
      </x:c>
      <x:c r="B135" s="86" t="str">
        <x:v>opportunity</x:v>
      </x:c>
      <x:c r="C135" s="86" t="str">
        <x:v>identity</x:v>
      </x:c>
      <x:c r="D135" s="108" t="n">
        <x:v>2</x:v>
      </x:c>
      <x:c r="E135" s="86" t="str">
        <x:v>T2</x:v>
      </x:c>
      <x:c r="F135" s="86" t="str">
        <x:v>L2</x:v>
      </x:c>
      <x:c r="G135" s="86" t="str">
        <x:v>identity-CAL</x:v>
      </x:c>
      <x:c r="H135" s="91" t="str">
        <x:v>OPEN</x:v>
      </x:c>
      <x:c r="I135" s="86" t="str">
        <x:v>opportunity</x:v>
      </x:c>
    </x:row>
    <x:row r="136">
      <x:c r="A136" s="86" t="str">
        <x:v>ER-131</x:v>
      </x:c>
      <x:c r="B136" s="86" t="str">
        <x:v>opportunity</x:v>
      </x:c>
      <x:c r="C136" s="86" t="str">
        <x:v>identity</x:v>
      </x:c>
      <x:c r="D136" s="108" t="n">
        <x:v>3</x:v>
      </x:c>
      <x:c r="E136" s="86" t="str">
        <x:v>T3</x:v>
      </x:c>
      <x:c r="F136" s="86" t="str">
        <x:v>L3</x:v>
      </x:c>
      <x:c r="G136" s="86" t="str">
        <x:v>identity-CAL</x:v>
      </x:c>
      <x:c r="H136" s="91" t="str">
        <x:v>OPEN</x:v>
      </x:c>
      <x:c r="I136" s="86" t="str">
        <x:v>opportunity</x:v>
      </x:c>
    </x:row>
    <x:row r="137">
      <x:c r="A137" s="86" t="str">
        <x:v>ER-132</x:v>
      </x:c>
      <x:c r="B137" s="86" t="str">
        <x:v>opportunity</x:v>
      </x:c>
      <x:c r="C137" s="86" t="str">
        <x:v>identity</x:v>
      </x:c>
      <x:c r="D137" s="108" t="n">
        <x:v>4</x:v>
      </x:c>
      <x:c r="E137" s="86" t="str">
        <x:v>T4</x:v>
      </x:c>
      <x:c r="F137" s="86" t="str">
        <x:v>L4</x:v>
      </x:c>
      <x:c r="G137" s="86" t="str">
        <x:v>identity-CAL</x:v>
      </x:c>
      <x:c r="H137" s="91" t="str">
        <x:v>OPEN</x:v>
      </x:c>
      <x:c r="I137" s="86" t="str">
        <x:v>opportunity</x:v>
      </x:c>
    </x:row>
    <x:row r="138">
      <x:c r="A138" s="86" t="str">
        <x:v>ER-133</x:v>
      </x:c>
      <x:c r="B138" s="86" t="str">
        <x:v>opportunity</x:v>
      </x:c>
      <x:c r="C138" s="86" t="str">
        <x:v>capacity</x:v>
      </x:c>
      <x:c r="D138" s="108" t="n">
        <x:v>1</x:v>
      </x:c>
      <x:c r="E138" s="86" t="str">
        <x:v>T1</x:v>
      </x:c>
      <x:c r="F138" s="86" t="str">
        <x:v>L1</x:v>
      </x:c>
      <x:c r="G138" s="86" t="str">
        <x:v>capacity-CAL</x:v>
      </x:c>
      <x:c r="H138" s="91" t="str">
        <x:v>OPEN</x:v>
      </x:c>
      <x:c r="I138" s="86" t="str">
        <x:v>opportunity</x:v>
      </x:c>
    </x:row>
    <x:row r="139">
      <x:c r="A139" s="86" t="str">
        <x:v>ER-134</x:v>
      </x:c>
      <x:c r="B139" s="86" t="str">
        <x:v>opportunity</x:v>
      </x:c>
      <x:c r="C139" s="86" t="str">
        <x:v>capacity</x:v>
      </x:c>
      <x:c r="D139" s="108" t="n">
        <x:v>2</x:v>
      </x:c>
      <x:c r="E139" s="86" t="str">
        <x:v>T2</x:v>
      </x:c>
      <x:c r="F139" s="86" t="str">
        <x:v>L2</x:v>
      </x:c>
      <x:c r="G139" s="86" t="str">
        <x:v>capacity-CAL</x:v>
      </x:c>
      <x:c r="H139" s="91" t="str">
        <x:v>OPEN</x:v>
      </x:c>
      <x:c r="I139" s="86" t="str">
        <x:v>opportunity</x:v>
      </x:c>
    </x:row>
    <x:row r="140">
      <x:c r="A140" s="86" t="str">
        <x:v>ER-135</x:v>
      </x:c>
      <x:c r="B140" s="86" t="str">
        <x:v>opportunity</x:v>
      </x:c>
      <x:c r="C140" s="86" t="str">
        <x:v>capacity</x:v>
      </x:c>
      <x:c r="D140" s="108" t="n">
        <x:v>3</x:v>
      </x:c>
      <x:c r="E140" s="86" t="str">
        <x:v>T3</x:v>
      </x:c>
      <x:c r="F140" s="86" t="str">
        <x:v>L3</x:v>
      </x:c>
      <x:c r="G140" s="86" t="str">
        <x:v>capacity-CAL</x:v>
      </x:c>
      <x:c r="H140" s="91" t="str">
        <x:v>OPEN</x:v>
      </x:c>
      <x:c r="I140" s="86" t="str">
        <x:v>opportunity</x:v>
      </x:c>
    </x:row>
    <x:row r="141">
      <x:c r="A141" s="86" t="str">
        <x:v>ER-136</x:v>
      </x:c>
      <x:c r="B141" s="86" t="str">
        <x:v>opportunity</x:v>
      </x:c>
      <x:c r="C141" s="86" t="str">
        <x:v>capacity</x:v>
      </x:c>
      <x:c r="D141" s="108" t="n">
        <x:v>4</x:v>
      </x:c>
      <x:c r="E141" s="86" t="str">
        <x:v>T4</x:v>
      </x:c>
      <x:c r="F141" s="86" t="str">
        <x:v>L4</x:v>
      </x:c>
      <x:c r="G141" s="86" t="str">
        <x:v>capacity-CAL</x:v>
      </x:c>
      <x:c r="H141" s="91" t="str">
        <x:v>OPEN</x:v>
      </x:c>
      <x:c r="I141" s="86" t="str">
        <x:v>opportunity</x:v>
      </x:c>
    </x:row>
    <x:row r="142">
      <x:c r="A142" s="86" t="str">
        <x:v>ER-137</x:v>
      </x:c>
      <x:c r="B142" s="86" t="str">
        <x:v>opportunity</x:v>
      </x:c>
      <x:c r="C142" s="86" t="str">
        <x:v>state</x:v>
      </x:c>
      <x:c r="D142" s="108" t="n">
        <x:v>1</x:v>
      </x:c>
      <x:c r="E142" s="86" t="str">
        <x:v>T1</x:v>
      </x:c>
      <x:c r="F142" s="86" t="str">
        <x:v>L1</x:v>
      </x:c>
      <x:c r="G142" s="86" t="str">
        <x:v>state-CAL</x:v>
      </x:c>
      <x:c r="H142" s="91" t="str">
        <x:v>OPEN</x:v>
      </x:c>
      <x:c r="I142" s="86" t="str">
        <x:v>opportunity</x:v>
      </x:c>
    </x:row>
    <x:row r="143">
      <x:c r="A143" s="86" t="str">
        <x:v>ER-138</x:v>
      </x:c>
      <x:c r="B143" s="86" t="str">
        <x:v>opportunity</x:v>
      </x:c>
      <x:c r="C143" s="86" t="str">
        <x:v>state</x:v>
      </x:c>
      <x:c r="D143" s="108" t="n">
        <x:v>2</x:v>
      </x:c>
      <x:c r="E143" s="86" t="str">
        <x:v>T2</x:v>
      </x:c>
      <x:c r="F143" s="86" t="str">
        <x:v>L2</x:v>
      </x:c>
      <x:c r="G143" s="86" t="str">
        <x:v>state-CAL</x:v>
      </x:c>
      <x:c r="H143" s="91" t="str">
        <x:v>OPEN</x:v>
      </x:c>
      <x:c r="I143" s="86" t="str">
        <x:v>opportunity</x:v>
      </x:c>
    </x:row>
    <x:row r="144">
      <x:c r="A144" s="86" t="str">
        <x:v>ER-139</x:v>
      </x:c>
      <x:c r="B144" s="86" t="str">
        <x:v>opportunity</x:v>
      </x:c>
      <x:c r="C144" s="86" t="str">
        <x:v>state</x:v>
      </x:c>
      <x:c r="D144" s="108" t="n">
        <x:v>3</x:v>
      </x:c>
      <x:c r="E144" s="86" t="str">
        <x:v>T3</x:v>
      </x:c>
      <x:c r="F144" s="86" t="str">
        <x:v>L3</x:v>
      </x:c>
      <x:c r="G144" s="86" t="str">
        <x:v>state-CAL</x:v>
      </x:c>
      <x:c r="H144" s="91" t="str">
        <x:v>OPEN</x:v>
      </x:c>
      <x:c r="I144" s="86" t="str">
        <x:v>opportunity</x:v>
      </x:c>
    </x:row>
    <x:row r="145">
      <x:c r="A145" s="86" t="str">
        <x:v>ER-140</x:v>
      </x:c>
      <x:c r="B145" s="86" t="str">
        <x:v>opportunity</x:v>
      </x:c>
      <x:c r="C145" s="86" t="str">
        <x:v>state</x:v>
      </x:c>
      <x:c r="D145" s="108" t="n">
        <x:v>4</x:v>
      </x:c>
      <x:c r="E145" s="86" t="str">
        <x:v>T4</x:v>
      </x:c>
      <x:c r="F145" s="86" t="str">
        <x:v>L4</x:v>
      </x:c>
      <x:c r="G145" s="86" t="str">
        <x:v>state-CAL</x:v>
      </x:c>
      <x:c r="H145" s="91" t="str">
        <x:v>OPEN</x:v>
      </x:c>
      <x:c r="I145" s="86" t="str">
        <x:v>opportunity</x:v>
      </x:c>
    </x:row>
    <x:row r="146">
      <x:c r="A146" s="86" t="str">
        <x:v>ER-141</x:v>
      </x:c>
      <x:c r="B146" s="86" t="str">
        <x:v>opportunity</x:v>
      </x:c>
      <x:c r="C146" s="86" t="str">
        <x:v>authority</x:v>
      </x:c>
      <x:c r="D146" s="108" t="n">
        <x:v>1</x:v>
      </x:c>
      <x:c r="E146" s="86" t="str">
        <x:v>T1</x:v>
      </x:c>
      <x:c r="F146" s="86" t="str">
        <x:v>L1</x:v>
      </x:c>
      <x:c r="G146" s="86" t="str">
        <x:v>authority-CAL</x:v>
      </x:c>
      <x:c r="H146" s="91" t="str">
        <x:v>OPEN</x:v>
      </x:c>
      <x:c r="I146" s="86" t="str">
        <x:v>opportunity</x:v>
      </x:c>
    </x:row>
    <x:row r="147">
      <x:c r="A147" s="86" t="str">
        <x:v>ER-142</x:v>
      </x:c>
      <x:c r="B147" s="86" t="str">
        <x:v>opportunity</x:v>
      </x:c>
      <x:c r="C147" s="86" t="str">
        <x:v>authority</x:v>
      </x:c>
      <x:c r="D147" s="108" t="n">
        <x:v>2</x:v>
      </x:c>
      <x:c r="E147" s="86" t="str">
        <x:v>T2</x:v>
      </x:c>
      <x:c r="F147" s="86" t="str">
        <x:v>L2</x:v>
      </x:c>
      <x:c r="G147" s="86" t="str">
        <x:v>authority-CAL</x:v>
      </x:c>
      <x:c r="H147" s="91" t="str">
        <x:v>OPEN</x:v>
      </x:c>
      <x:c r="I147" s="86" t="str">
        <x:v>opportunity</x:v>
      </x:c>
    </x:row>
    <x:row r="148">
      <x:c r="A148" s="86" t="str">
        <x:v>ER-143</x:v>
      </x:c>
      <x:c r="B148" s="86" t="str">
        <x:v>opportunity</x:v>
      </x:c>
      <x:c r="C148" s="86" t="str">
        <x:v>authority</x:v>
      </x:c>
      <x:c r="D148" s="108" t="n">
        <x:v>3</x:v>
      </x:c>
      <x:c r="E148" s="86" t="str">
        <x:v>T3</x:v>
      </x:c>
      <x:c r="F148" s="86" t="str">
        <x:v>L3</x:v>
      </x:c>
      <x:c r="G148" s="86" t="str">
        <x:v>authority-CAL</x:v>
      </x:c>
      <x:c r="H148" s="91" t="str">
        <x:v>OPEN</x:v>
      </x:c>
      <x:c r="I148" s="86" t="str">
        <x:v>opportunity</x:v>
      </x:c>
    </x:row>
    <x:row r="149">
      <x:c r="A149" s="86" t="str">
        <x:v>ER-144</x:v>
      </x:c>
      <x:c r="B149" s="86" t="str">
        <x:v>opportunity</x:v>
      </x:c>
      <x:c r="C149" s="86" t="str">
        <x:v>authority</x:v>
      </x:c>
      <x:c r="D149" s="108" t="n">
        <x:v>4</x:v>
      </x:c>
      <x:c r="E149" s="86" t="str">
        <x:v>T4</x:v>
      </x:c>
      <x:c r="F149" s="86" t="str">
        <x:v>L4</x:v>
      </x:c>
      <x:c r="G149" s="86" t="str">
        <x:v>authority-CAL</x:v>
      </x:c>
      <x:c r="H149" s="91" t="str">
        <x:v>OPEN</x:v>
      </x:c>
      <x:c r="I149" s="86" t="str">
        <x:v>opportunity</x:v>
      </x:c>
    </x:row>
    <x:row r="150">
      <x:c r="A150" s="86" t="str">
        <x:v>ER-145</x:v>
      </x:c>
      <x:c r="B150" s="86" t="str">
        <x:v>opportunity</x:v>
      </x:c>
      <x:c r="C150" s="86" t="str">
        <x:v>calibration</x:v>
      </x:c>
      <x:c r="D150" s="108" t="n">
        <x:v>1</x:v>
      </x:c>
      <x:c r="E150" s="86" t="str">
        <x:v>T1</x:v>
      </x:c>
      <x:c r="F150" s="86" t="str">
        <x:v>L1</x:v>
      </x:c>
      <x:c r="G150" s="86" t="str">
        <x:v>calibration-CAL</x:v>
      </x:c>
      <x:c r="H150" s="91" t="str">
        <x:v>OPEN</x:v>
      </x:c>
      <x:c r="I150" s="86" t="str">
        <x:v>opportunity</x:v>
      </x:c>
    </x:row>
    <x:row r="151">
      <x:c r="A151" s="86" t="str">
        <x:v>ER-146</x:v>
      </x:c>
      <x:c r="B151" s="86" t="str">
        <x:v>opportunity</x:v>
      </x:c>
      <x:c r="C151" s="86" t="str">
        <x:v>calibration</x:v>
      </x:c>
      <x:c r="D151" s="108" t="n">
        <x:v>2</x:v>
      </x:c>
      <x:c r="E151" s="86" t="str">
        <x:v>T2</x:v>
      </x:c>
      <x:c r="F151" s="86" t="str">
        <x:v>L2</x:v>
      </x:c>
      <x:c r="G151" s="86" t="str">
        <x:v>calibration-CAL</x:v>
      </x:c>
      <x:c r="H151" s="91" t="str">
        <x:v>OPEN</x:v>
      </x:c>
      <x:c r="I151" s="86" t="str">
        <x:v>opportunity</x:v>
      </x:c>
    </x:row>
    <x:row r="152">
      <x:c r="A152" s="86" t="str">
        <x:v>ER-147</x:v>
      </x:c>
      <x:c r="B152" s="86" t="str">
        <x:v>opportunity</x:v>
      </x:c>
      <x:c r="C152" s="86" t="str">
        <x:v>calibration</x:v>
      </x:c>
      <x:c r="D152" s="108" t="n">
        <x:v>3</x:v>
      </x:c>
      <x:c r="E152" s="86" t="str">
        <x:v>T3</x:v>
      </x:c>
      <x:c r="F152" s="86" t="str">
        <x:v>L3</x:v>
      </x:c>
      <x:c r="G152" s="86" t="str">
        <x:v>calibration-CAL</x:v>
      </x:c>
      <x:c r="H152" s="91" t="str">
        <x:v>OPEN</x:v>
      </x:c>
      <x:c r="I152" s="86" t="str">
        <x:v>opportunity</x:v>
      </x:c>
    </x:row>
    <x:row r="153">
      <x:c r="A153" s="86" t="str">
        <x:v>ER-148</x:v>
      </x:c>
      <x:c r="B153" s="86" t="str">
        <x:v>opportunity</x:v>
      </x:c>
      <x:c r="C153" s="86" t="str">
        <x:v>calibration</x:v>
      </x:c>
      <x:c r="D153" s="108" t="n">
        <x:v>4</x:v>
      </x:c>
      <x:c r="E153" s="86" t="str">
        <x:v>T4</x:v>
      </x:c>
      <x:c r="F153" s="86" t="str">
        <x:v>L4</x:v>
      </x:c>
      <x:c r="G153" s="86" t="str">
        <x:v>calibration-CAL</x:v>
      </x:c>
      <x:c r="H153" s="91" t="str">
        <x:v>OPEN</x:v>
      </x:c>
      <x:c r="I153" s="86" t="str">
        <x:v>opportunity</x:v>
      </x:c>
    </x:row>
    <x:row r="154">
      <x:c r="A154" s="86" t="str">
        <x:v>ER-149</x:v>
      </x:c>
      <x:c r="B154" s="86" t="str">
        <x:v>opportunity</x:v>
      </x:c>
      <x:c r="C154" s="86" t="str">
        <x:v>causal time</x:v>
      </x:c>
      <x:c r="D154" s="108" t="n">
        <x:v>1</x:v>
      </x:c>
      <x:c r="E154" s="86" t="str">
        <x:v>T1</x:v>
      </x:c>
      <x:c r="F154" s="86" t="str">
        <x:v>L1</x:v>
      </x:c>
      <x:c r="G154" s="86" t="str">
        <x:v>causal time-CAL</x:v>
      </x:c>
      <x:c r="H154" s="91" t="str">
        <x:v>OPEN</x:v>
      </x:c>
      <x:c r="I154" s="86" t="str">
        <x:v>opportunity</x:v>
      </x:c>
    </x:row>
    <x:row r="155">
      <x:c r="A155" s="86" t="str">
        <x:v>ER-150</x:v>
      </x:c>
      <x:c r="B155" s="86" t="str">
        <x:v>opportunity</x:v>
      </x:c>
      <x:c r="C155" s="86" t="str">
        <x:v>causal time</x:v>
      </x:c>
      <x:c r="D155" s="108" t="n">
        <x:v>2</x:v>
      </x:c>
      <x:c r="E155" s="86" t="str">
        <x:v>T2</x:v>
      </x:c>
      <x:c r="F155" s="86" t="str">
        <x:v>L2</x:v>
      </x:c>
      <x:c r="G155" s="86" t="str">
        <x:v>causal time-CAL</x:v>
      </x:c>
      <x:c r="H155" s="91" t="str">
        <x:v>OPEN</x:v>
      </x:c>
      <x:c r="I155" s="86" t="str">
        <x:v>opportunity</x:v>
      </x:c>
    </x:row>
    <x:row r="156">
      <x:c r="A156" s="86" t="str">
        <x:v>ER-151</x:v>
      </x:c>
      <x:c r="B156" s="86" t="str">
        <x:v>opportunity</x:v>
      </x:c>
      <x:c r="C156" s="86" t="str">
        <x:v>causal time</x:v>
      </x:c>
      <x:c r="D156" s="108" t="n">
        <x:v>3</x:v>
      </x:c>
      <x:c r="E156" s="86" t="str">
        <x:v>T3</x:v>
      </x:c>
      <x:c r="F156" s="86" t="str">
        <x:v>L3</x:v>
      </x:c>
      <x:c r="G156" s="86" t="str">
        <x:v>causal time-CAL</x:v>
      </x:c>
      <x:c r="H156" s="91" t="str">
        <x:v>OPEN</x:v>
      </x:c>
      <x:c r="I156" s="86" t="str">
        <x:v>opportunity</x:v>
      </x:c>
    </x:row>
    <x:row r="157">
      <x:c r="A157" s="86" t="str">
        <x:v>ER-152</x:v>
      </x:c>
      <x:c r="B157" s="86" t="str">
        <x:v>opportunity</x:v>
      </x:c>
      <x:c r="C157" s="86" t="str">
        <x:v>causal time</x:v>
      </x:c>
      <x:c r="D157" s="108" t="n">
        <x:v>4</x:v>
      </x:c>
      <x:c r="E157" s="86" t="str">
        <x:v>T4</x:v>
      </x:c>
      <x:c r="F157" s="86" t="str">
        <x:v>L4</x:v>
      </x:c>
      <x:c r="G157" s="86" t="str">
        <x:v>causal time-CAL</x:v>
      </x:c>
      <x:c r="H157" s="91" t="str">
        <x:v>OPEN</x:v>
      </x:c>
      <x:c r="I157" s="86" t="str">
        <x:v>opportunity</x:v>
      </x:c>
    </x:row>
    <x:row r="158">
      <x:c r="A158" s="86" t="str">
        <x:v>ER-153</x:v>
      </x:c>
      <x:c r="B158" s="86" t="str">
        <x:v>opportunity</x:v>
      </x:c>
      <x:c r="C158" s="86" t="str">
        <x:v>custody</x:v>
      </x:c>
      <x:c r="D158" s="108" t="n">
        <x:v>1</x:v>
      </x:c>
      <x:c r="E158" s="86" t="str">
        <x:v>T1</x:v>
      </x:c>
      <x:c r="F158" s="86" t="str">
        <x:v>L1</x:v>
      </x:c>
      <x:c r="G158" s="86" t="str">
        <x:v>custody-CAL</x:v>
      </x:c>
      <x:c r="H158" s="91" t="str">
        <x:v>OPEN</x:v>
      </x:c>
      <x:c r="I158" s="86" t="str">
        <x:v>opportunity</x:v>
      </x:c>
    </x:row>
    <x:row r="159">
      <x:c r="A159" s="86" t="str">
        <x:v>ER-154</x:v>
      </x:c>
      <x:c r="B159" s="86" t="str">
        <x:v>opportunity</x:v>
      </x:c>
      <x:c r="C159" s="86" t="str">
        <x:v>custody</x:v>
      </x:c>
      <x:c r="D159" s="108" t="n">
        <x:v>2</x:v>
      </x:c>
      <x:c r="E159" s="86" t="str">
        <x:v>T2</x:v>
      </x:c>
      <x:c r="F159" s="86" t="str">
        <x:v>L2</x:v>
      </x:c>
      <x:c r="G159" s="86" t="str">
        <x:v>custody-CAL</x:v>
      </x:c>
      <x:c r="H159" s="91" t="str">
        <x:v>OPEN</x:v>
      </x:c>
      <x:c r="I159" s="86" t="str">
        <x:v>opportunity</x:v>
      </x:c>
    </x:row>
    <x:row r="160">
      <x:c r="A160" s="86" t="str">
        <x:v>ER-155</x:v>
      </x:c>
      <x:c r="B160" s="86" t="str">
        <x:v>opportunity</x:v>
      </x:c>
      <x:c r="C160" s="86" t="str">
        <x:v>custody</x:v>
      </x:c>
      <x:c r="D160" s="108" t="n">
        <x:v>3</x:v>
      </x:c>
      <x:c r="E160" s="86" t="str">
        <x:v>T3</x:v>
      </x:c>
      <x:c r="F160" s="86" t="str">
        <x:v>L3</x:v>
      </x:c>
      <x:c r="G160" s="86" t="str">
        <x:v>custody-CAL</x:v>
      </x:c>
      <x:c r="H160" s="91" t="str">
        <x:v>OPEN</x:v>
      </x:c>
      <x:c r="I160" s="86" t="str">
        <x:v>opportunity</x:v>
      </x:c>
    </x:row>
    <x:row r="161">
      <x:c r="A161" s="86" t="str">
        <x:v>ER-156</x:v>
      </x:c>
      <x:c r="B161" s="86" t="str">
        <x:v>opportunity</x:v>
      </x:c>
      <x:c r="C161" s="86" t="str">
        <x:v>custody</x:v>
      </x:c>
      <x:c r="D161" s="108" t="n">
        <x:v>4</x:v>
      </x:c>
      <x:c r="E161" s="86" t="str">
        <x:v>T4</x:v>
      </x:c>
      <x:c r="F161" s="86" t="str">
        <x:v>L4</x:v>
      </x:c>
      <x:c r="G161" s="86" t="str">
        <x:v>custody-CAL</x:v>
      </x:c>
      <x:c r="H161" s="91" t="str">
        <x:v>OPEN</x:v>
      </x:c>
      <x:c r="I161" s="86" t="str">
        <x:v>opportunity</x:v>
      </x:c>
    </x:row>
    <x:row r="162">
      <x:c r="A162" s="86" t="str">
        <x:v>ER-157</x:v>
      </x:c>
      <x:c r="B162" s="86" t="str">
        <x:v>opportunity</x:v>
      </x:c>
      <x:c r="C162" s="86" t="str">
        <x:v>reconstruction</x:v>
      </x:c>
      <x:c r="D162" s="108" t="n">
        <x:v>1</x:v>
      </x:c>
      <x:c r="E162" s="86" t="str">
        <x:v>T1</x:v>
      </x:c>
      <x:c r="F162" s="86" t="str">
        <x:v>L1</x:v>
      </x:c>
      <x:c r="G162" s="86" t="str">
        <x:v>reconstruction-CAL</x:v>
      </x:c>
      <x:c r="H162" s="91" t="str">
        <x:v>OPEN</x:v>
      </x:c>
      <x:c r="I162" s="86" t="str">
        <x:v>opportunity</x:v>
      </x:c>
    </x:row>
    <x:row r="163">
      <x:c r="A163" s="86" t="str">
        <x:v>ER-158</x:v>
      </x:c>
      <x:c r="B163" s="86" t="str">
        <x:v>opportunity</x:v>
      </x:c>
      <x:c r="C163" s="86" t="str">
        <x:v>reconstruction</x:v>
      </x:c>
      <x:c r="D163" s="108" t="n">
        <x:v>2</x:v>
      </x:c>
      <x:c r="E163" s="86" t="str">
        <x:v>T2</x:v>
      </x:c>
      <x:c r="F163" s="86" t="str">
        <x:v>L2</x:v>
      </x:c>
      <x:c r="G163" s="86" t="str">
        <x:v>reconstruction-CAL</x:v>
      </x:c>
      <x:c r="H163" s="91" t="str">
        <x:v>OPEN</x:v>
      </x:c>
      <x:c r="I163" s="86" t="str">
        <x:v>opportunity</x:v>
      </x:c>
    </x:row>
    <x:row r="164">
      <x:c r="A164" s="86" t="str">
        <x:v>ER-159</x:v>
      </x:c>
      <x:c r="B164" s="86" t="str">
        <x:v>opportunity</x:v>
      </x:c>
      <x:c r="C164" s="86" t="str">
        <x:v>reconstruction</x:v>
      </x:c>
      <x:c r="D164" s="108" t="n">
        <x:v>3</x:v>
      </x:c>
      <x:c r="E164" s="86" t="str">
        <x:v>T3</x:v>
      </x:c>
      <x:c r="F164" s="86" t="str">
        <x:v>L3</x:v>
      </x:c>
      <x:c r="G164" s="86" t="str">
        <x:v>reconstruction-CAL</x:v>
      </x:c>
      <x:c r="H164" s="91" t="str">
        <x:v>OPEN</x:v>
      </x:c>
      <x:c r="I164" s="86" t="str">
        <x:v>opportunity</x:v>
      </x:c>
    </x:row>
    <x:row r="165">
      <x:c r="A165" s="86" t="str">
        <x:v>ER-160</x:v>
      </x:c>
      <x:c r="B165" s="86" t="str">
        <x:v>opportunity</x:v>
      </x:c>
      <x:c r="C165" s="86" t="str">
        <x:v>reconstruction</x:v>
      </x:c>
      <x:c r="D165" s="108" t="n">
        <x:v>4</x:v>
      </x:c>
      <x:c r="E165" s="86" t="str">
        <x:v>T4</x:v>
      </x:c>
      <x:c r="F165" s="86" t="str">
        <x:v>L4</x:v>
      </x:c>
      <x:c r="G165" s="86" t="str">
        <x:v>reconstruction-CAL</x:v>
      </x:c>
      <x:c r="H165" s="91" t="str">
        <x:v>OPEN</x:v>
      </x:c>
      <x:c r="I165" s="86" t="str">
        <x:v>opportunity</x:v>
      </x:c>
    </x:row>
    <x:row r="166">
      <x:c r="A166" s="86" t="str">
        <x:v>ER-161</x:v>
      </x:c>
      <x:c r="B166" s="86" t="str">
        <x:v>flame onset</x:v>
      </x:c>
      <x:c r="C166" s="86" t="str">
        <x:v>identity</x:v>
      </x:c>
      <x:c r="D166" s="108" t="n">
        <x:v>1</x:v>
      </x:c>
      <x:c r="E166" s="86" t="str">
        <x:v>T1</x:v>
      </x:c>
      <x:c r="F166" s="86" t="str">
        <x:v>L1</x:v>
      </x:c>
      <x:c r="G166" s="86" t="str">
        <x:v>identity-CAL</x:v>
      </x:c>
      <x:c r="H166" s="91" t="str">
        <x:v>OPEN</x:v>
      </x:c>
      <x:c r="I166" s="86" t="str">
        <x:v>flame onset</x:v>
      </x:c>
    </x:row>
    <x:row r="167">
      <x:c r="A167" s="86" t="str">
        <x:v>ER-162</x:v>
      </x:c>
      <x:c r="B167" s="86" t="str">
        <x:v>flame onset</x:v>
      </x:c>
      <x:c r="C167" s="86" t="str">
        <x:v>identity</x:v>
      </x:c>
      <x:c r="D167" s="108" t="n">
        <x:v>2</x:v>
      </x:c>
      <x:c r="E167" s="86" t="str">
        <x:v>T2</x:v>
      </x:c>
      <x:c r="F167" s="86" t="str">
        <x:v>L2</x:v>
      </x:c>
      <x:c r="G167" s="86" t="str">
        <x:v>identity-CAL</x:v>
      </x:c>
      <x:c r="H167" s="91" t="str">
        <x:v>OPEN</x:v>
      </x:c>
      <x:c r="I167" s="86" t="str">
        <x:v>flame onset</x:v>
      </x:c>
    </x:row>
    <x:row r="168">
      <x:c r="A168" s="86" t="str">
        <x:v>ER-163</x:v>
      </x:c>
      <x:c r="B168" s="86" t="str">
        <x:v>flame onset</x:v>
      </x:c>
      <x:c r="C168" s="86" t="str">
        <x:v>identity</x:v>
      </x:c>
      <x:c r="D168" s="108" t="n">
        <x:v>3</x:v>
      </x:c>
      <x:c r="E168" s="86" t="str">
        <x:v>T3</x:v>
      </x:c>
      <x:c r="F168" s="86" t="str">
        <x:v>L3</x:v>
      </x:c>
      <x:c r="G168" s="86" t="str">
        <x:v>identity-CAL</x:v>
      </x:c>
      <x:c r="H168" s="91" t="str">
        <x:v>OPEN</x:v>
      </x:c>
      <x:c r="I168" s="86" t="str">
        <x:v>flame onset</x:v>
      </x:c>
    </x:row>
    <x:row r="169">
      <x:c r="A169" s="86" t="str">
        <x:v>ER-164</x:v>
      </x:c>
      <x:c r="B169" s="86" t="str">
        <x:v>flame onset</x:v>
      </x:c>
      <x:c r="C169" s="86" t="str">
        <x:v>identity</x:v>
      </x:c>
      <x:c r="D169" s="108" t="n">
        <x:v>4</x:v>
      </x:c>
      <x:c r="E169" s="86" t="str">
        <x:v>T4</x:v>
      </x:c>
      <x:c r="F169" s="86" t="str">
        <x:v>L4</x:v>
      </x:c>
      <x:c r="G169" s="86" t="str">
        <x:v>identity-CAL</x:v>
      </x:c>
      <x:c r="H169" s="91" t="str">
        <x:v>OPEN</x:v>
      </x:c>
      <x:c r="I169" s="86" t="str">
        <x:v>flame onset</x:v>
      </x:c>
    </x:row>
    <x:row r="170">
      <x:c r="A170" s="86" t="str">
        <x:v>ER-165</x:v>
      </x:c>
      <x:c r="B170" s="86" t="str">
        <x:v>flame onset</x:v>
      </x:c>
      <x:c r="C170" s="86" t="str">
        <x:v>capacity</x:v>
      </x:c>
      <x:c r="D170" s="108" t="n">
        <x:v>1</x:v>
      </x:c>
      <x:c r="E170" s="86" t="str">
        <x:v>T1</x:v>
      </x:c>
      <x:c r="F170" s="86" t="str">
        <x:v>L1</x:v>
      </x:c>
      <x:c r="G170" s="86" t="str">
        <x:v>capacity-CAL</x:v>
      </x:c>
      <x:c r="H170" s="91" t="str">
        <x:v>OPEN</x:v>
      </x:c>
      <x:c r="I170" s="86" t="str">
        <x:v>flame onset</x:v>
      </x:c>
    </x:row>
    <x:row r="171">
      <x:c r="A171" s="86" t="str">
        <x:v>ER-166</x:v>
      </x:c>
      <x:c r="B171" s="86" t="str">
        <x:v>flame onset</x:v>
      </x:c>
      <x:c r="C171" s="86" t="str">
        <x:v>capacity</x:v>
      </x:c>
      <x:c r="D171" s="108" t="n">
        <x:v>2</x:v>
      </x:c>
      <x:c r="E171" s="86" t="str">
        <x:v>T2</x:v>
      </x:c>
      <x:c r="F171" s="86" t="str">
        <x:v>L2</x:v>
      </x:c>
      <x:c r="G171" s="86" t="str">
        <x:v>capacity-CAL</x:v>
      </x:c>
      <x:c r="H171" s="91" t="str">
        <x:v>OPEN</x:v>
      </x:c>
      <x:c r="I171" s="86" t="str">
        <x:v>flame onset</x:v>
      </x:c>
    </x:row>
    <x:row r="172">
      <x:c r="A172" s="86" t="str">
        <x:v>ER-167</x:v>
      </x:c>
      <x:c r="B172" s="86" t="str">
        <x:v>flame onset</x:v>
      </x:c>
      <x:c r="C172" s="86" t="str">
        <x:v>capacity</x:v>
      </x:c>
      <x:c r="D172" s="108" t="n">
        <x:v>3</x:v>
      </x:c>
      <x:c r="E172" s="86" t="str">
        <x:v>T3</x:v>
      </x:c>
      <x:c r="F172" s="86" t="str">
        <x:v>L3</x:v>
      </x:c>
      <x:c r="G172" s="86" t="str">
        <x:v>capacity-CAL</x:v>
      </x:c>
      <x:c r="H172" s="91" t="str">
        <x:v>OPEN</x:v>
      </x:c>
      <x:c r="I172" s="86" t="str">
        <x:v>flame onset</x:v>
      </x:c>
    </x:row>
    <x:row r="173">
      <x:c r="A173" s="86" t="str">
        <x:v>ER-168</x:v>
      </x:c>
      <x:c r="B173" s="86" t="str">
        <x:v>flame onset</x:v>
      </x:c>
      <x:c r="C173" s="86" t="str">
        <x:v>capacity</x:v>
      </x:c>
      <x:c r="D173" s="108" t="n">
        <x:v>4</x:v>
      </x:c>
      <x:c r="E173" s="86" t="str">
        <x:v>T4</x:v>
      </x:c>
      <x:c r="F173" s="86" t="str">
        <x:v>L4</x:v>
      </x:c>
      <x:c r="G173" s="86" t="str">
        <x:v>capacity-CAL</x:v>
      </x:c>
      <x:c r="H173" s="91" t="str">
        <x:v>OPEN</x:v>
      </x:c>
      <x:c r="I173" s="86" t="str">
        <x:v>flame onset</x:v>
      </x:c>
    </x:row>
    <x:row r="174">
      <x:c r="A174" s="86" t="str">
        <x:v>ER-169</x:v>
      </x:c>
      <x:c r="B174" s="86" t="str">
        <x:v>flame onset</x:v>
      </x:c>
      <x:c r="C174" s="86" t="str">
        <x:v>state</x:v>
      </x:c>
      <x:c r="D174" s="108" t="n">
        <x:v>1</x:v>
      </x:c>
      <x:c r="E174" s="86" t="str">
        <x:v>T1</x:v>
      </x:c>
      <x:c r="F174" s="86" t="str">
        <x:v>L1</x:v>
      </x:c>
      <x:c r="G174" s="86" t="str">
        <x:v>state-CAL</x:v>
      </x:c>
      <x:c r="H174" s="91" t="str">
        <x:v>OPEN</x:v>
      </x:c>
      <x:c r="I174" s="86" t="str">
        <x:v>flame onset</x:v>
      </x:c>
    </x:row>
    <x:row r="175">
      <x:c r="A175" s="86" t="str">
        <x:v>ER-170</x:v>
      </x:c>
      <x:c r="B175" s="86" t="str">
        <x:v>flame onset</x:v>
      </x:c>
      <x:c r="C175" s="86" t="str">
        <x:v>state</x:v>
      </x:c>
      <x:c r="D175" s="108" t="n">
        <x:v>2</x:v>
      </x:c>
      <x:c r="E175" s="86" t="str">
        <x:v>T2</x:v>
      </x:c>
      <x:c r="F175" s="86" t="str">
        <x:v>L2</x:v>
      </x:c>
      <x:c r="G175" s="86" t="str">
        <x:v>state-CAL</x:v>
      </x:c>
      <x:c r="H175" s="91" t="str">
        <x:v>OPEN</x:v>
      </x:c>
      <x:c r="I175" s="86" t="str">
        <x:v>flame onset</x:v>
      </x:c>
    </x:row>
    <x:row r="176">
      <x:c r="A176" s="86" t="str">
        <x:v>ER-171</x:v>
      </x:c>
      <x:c r="B176" s="86" t="str">
        <x:v>flame onset</x:v>
      </x:c>
      <x:c r="C176" s="86" t="str">
        <x:v>state</x:v>
      </x:c>
      <x:c r="D176" s="108" t="n">
        <x:v>3</x:v>
      </x:c>
      <x:c r="E176" s="86" t="str">
        <x:v>T3</x:v>
      </x:c>
      <x:c r="F176" s="86" t="str">
        <x:v>L3</x:v>
      </x:c>
      <x:c r="G176" s="86" t="str">
        <x:v>state-CAL</x:v>
      </x:c>
      <x:c r="H176" s="91" t="str">
        <x:v>OPEN</x:v>
      </x:c>
      <x:c r="I176" s="86" t="str">
        <x:v>flame onset</x:v>
      </x:c>
    </x:row>
    <x:row r="177">
      <x:c r="A177" s="86" t="str">
        <x:v>ER-172</x:v>
      </x:c>
      <x:c r="B177" s="86" t="str">
        <x:v>flame onset</x:v>
      </x:c>
      <x:c r="C177" s="86" t="str">
        <x:v>state</x:v>
      </x:c>
      <x:c r="D177" s="108" t="n">
        <x:v>4</x:v>
      </x:c>
      <x:c r="E177" s="86" t="str">
        <x:v>T4</x:v>
      </x:c>
      <x:c r="F177" s="86" t="str">
        <x:v>L4</x:v>
      </x:c>
      <x:c r="G177" s="86" t="str">
        <x:v>state-CAL</x:v>
      </x:c>
      <x:c r="H177" s="91" t="str">
        <x:v>OPEN</x:v>
      </x:c>
      <x:c r="I177" s="86" t="str">
        <x:v>flame onset</x:v>
      </x:c>
    </x:row>
    <x:row r="178">
      <x:c r="A178" s="86" t="str">
        <x:v>ER-173</x:v>
      </x:c>
      <x:c r="B178" s="86" t="str">
        <x:v>flame onset</x:v>
      </x:c>
      <x:c r="C178" s="86" t="str">
        <x:v>authority</x:v>
      </x:c>
      <x:c r="D178" s="108" t="n">
        <x:v>1</x:v>
      </x:c>
      <x:c r="E178" s="86" t="str">
        <x:v>T1</x:v>
      </x:c>
      <x:c r="F178" s="86" t="str">
        <x:v>L1</x:v>
      </x:c>
      <x:c r="G178" s="86" t="str">
        <x:v>authority-CAL</x:v>
      </x:c>
      <x:c r="H178" s="91" t="str">
        <x:v>OPEN</x:v>
      </x:c>
      <x:c r="I178" s="86" t="str">
        <x:v>flame onset</x:v>
      </x:c>
    </x:row>
    <x:row r="179">
      <x:c r="A179" s="86" t="str">
        <x:v>ER-174</x:v>
      </x:c>
      <x:c r="B179" s="86" t="str">
        <x:v>flame onset</x:v>
      </x:c>
      <x:c r="C179" s="86" t="str">
        <x:v>authority</x:v>
      </x:c>
      <x:c r="D179" s="108" t="n">
        <x:v>2</x:v>
      </x:c>
      <x:c r="E179" s="86" t="str">
        <x:v>T2</x:v>
      </x:c>
      <x:c r="F179" s="86" t="str">
        <x:v>L2</x:v>
      </x:c>
      <x:c r="G179" s="86" t="str">
        <x:v>authority-CAL</x:v>
      </x:c>
      <x:c r="H179" s="91" t="str">
        <x:v>OPEN</x:v>
      </x:c>
      <x:c r="I179" s="86" t="str">
        <x:v>flame onset</x:v>
      </x:c>
    </x:row>
    <x:row r="180">
      <x:c r="A180" s="86" t="str">
        <x:v>ER-175</x:v>
      </x:c>
      <x:c r="B180" s="86" t="str">
        <x:v>flame onset</x:v>
      </x:c>
      <x:c r="C180" s="86" t="str">
        <x:v>authority</x:v>
      </x:c>
      <x:c r="D180" s="108" t="n">
        <x:v>3</x:v>
      </x:c>
      <x:c r="E180" s="86" t="str">
        <x:v>T3</x:v>
      </x:c>
      <x:c r="F180" s="86" t="str">
        <x:v>L3</x:v>
      </x:c>
      <x:c r="G180" s="86" t="str">
        <x:v>authority-CAL</x:v>
      </x:c>
      <x:c r="H180" s="91" t="str">
        <x:v>OPEN</x:v>
      </x:c>
      <x:c r="I180" s="86" t="str">
        <x:v>flame onset</x:v>
      </x:c>
    </x:row>
    <x:row r="181">
      <x:c r="A181" s="86" t="str">
        <x:v>ER-176</x:v>
      </x:c>
      <x:c r="B181" s="86" t="str">
        <x:v>flame onset</x:v>
      </x:c>
      <x:c r="C181" s="86" t="str">
        <x:v>authority</x:v>
      </x:c>
      <x:c r="D181" s="108" t="n">
        <x:v>4</x:v>
      </x:c>
      <x:c r="E181" s="86" t="str">
        <x:v>T4</x:v>
      </x:c>
      <x:c r="F181" s="86" t="str">
        <x:v>L4</x:v>
      </x:c>
      <x:c r="G181" s="86" t="str">
        <x:v>authority-CAL</x:v>
      </x:c>
      <x:c r="H181" s="91" t="str">
        <x:v>OPEN</x:v>
      </x:c>
      <x:c r="I181" s="86" t="str">
        <x:v>flame onset</x:v>
      </x:c>
    </x:row>
    <x:row r="182">
      <x:c r="A182" s="86" t="str">
        <x:v>ER-177</x:v>
      </x:c>
      <x:c r="B182" s="86" t="str">
        <x:v>flame onset</x:v>
      </x:c>
      <x:c r="C182" s="86" t="str">
        <x:v>calibration</x:v>
      </x:c>
      <x:c r="D182" s="108" t="n">
        <x:v>1</x:v>
      </x:c>
      <x:c r="E182" s="86" t="str">
        <x:v>T1</x:v>
      </x:c>
      <x:c r="F182" s="86" t="str">
        <x:v>L1</x:v>
      </x:c>
      <x:c r="G182" s="86" t="str">
        <x:v>calibration-CAL</x:v>
      </x:c>
      <x:c r="H182" s="91" t="str">
        <x:v>OPEN</x:v>
      </x:c>
      <x:c r="I182" s="86" t="str">
        <x:v>flame onset</x:v>
      </x:c>
    </x:row>
    <x:row r="183">
      <x:c r="A183" s="86" t="str">
        <x:v>ER-178</x:v>
      </x:c>
      <x:c r="B183" s="86" t="str">
        <x:v>flame onset</x:v>
      </x:c>
      <x:c r="C183" s="86" t="str">
        <x:v>calibration</x:v>
      </x:c>
      <x:c r="D183" s="108" t="n">
        <x:v>2</x:v>
      </x:c>
      <x:c r="E183" s="86" t="str">
        <x:v>T2</x:v>
      </x:c>
      <x:c r="F183" s="86" t="str">
        <x:v>L2</x:v>
      </x:c>
      <x:c r="G183" s="86" t="str">
        <x:v>calibration-CAL</x:v>
      </x:c>
      <x:c r="H183" s="91" t="str">
        <x:v>OPEN</x:v>
      </x:c>
      <x:c r="I183" s="86" t="str">
        <x:v>flame onset</x:v>
      </x:c>
    </x:row>
    <x:row r="184">
      <x:c r="A184" s="86" t="str">
        <x:v>ER-179</x:v>
      </x:c>
      <x:c r="B184" s="86" t="str">
        <x:v>flame onset</x:v>
      </x:c>
      <x:c r="C184" s="86" t="str">
        <x:v>calibration</x:v>
      </x:c>
      <x:c r="D184" s="108" t="n">
        <x:v>3</x:v>
      </x:c>
      <x:c r="E184" s="86" t="str">
        <x:v>T3</x:v>
      </x:c>
      <x:c r="F184" s="86" t="str">
        <x:v>L3</x:v>
      </x:c>
      <x:c r="G184" s="86" t="str">
        <x:v>calibration-CAL</x:v>
      </x:c>
      <x:c r="H184" s="91" t="str">
        <x:v>OPEN</x:v>
      </x:c>
      <x:c r="I184" s="86" t="str">
        <x:v>flame onset</x:v>
      </x:c>
    </x:row>
    <x:row r="185">
      <x:c r="A185" s="86" t="str">
        <x:v>ER-180</x:v>
      </x:c>
      <x:c r="B185" s="86" t="str">
        <x:v>flame onset</x:v>
      </x:c>
      <x:c r="C185" s="86" t="str">
        <x:v>calibration</x:v>
      </x:c>
      <x:c r="D185" s="108" t="n">
        <x:v>4</x:v>
      </x:c>
      <x:c r="E185" s="86" t="str">
        <x:v>T4</x:v>
      </x:c>
      <x:c r="F185" s="86" t="str">
        <x:v>L4</x:v>
      </x:c>
      <x:c r="G185" s="86" t="str">
        <x:v>calibration-CAL</x:v>
      </x:c>
      <x:c r="H185" s="91" t="str">
        <x:v>OPEN</x:v>
      </x:c>
      <x:c r="I185" s="86" t="str">
        <x:v>flame onset</x:v>
      </x:c>
    </x:row>
    <x:row r="186">
      <x:c r="A186" s="86" t="str">
        <x:v>ER-181</x:v>
      </x:c>
      <x:c r="B186" s="86" t="str">
        <x:v>flame onset</x:v>
      </x:c>
      <x:c r="C186" s="86" t="str">
        <x:v>causal time</x:v>
      </x:c>
      <x:c r="D186" s="108" t="n">
        <x:v>1</x:v>
      </x:c>
      <x:c r="E186" s="86" t="str">
        <x:v>T1</x:v>
      </x:c>
      <x:c r="F186" s="86" t="str">
        <x:v>L1</x:v>
      </x:c>
      <x:c r="G186" s="86" t="str">
        <x:v>causal time-CAL</x:v>
      </x:c>
      <x:c r="H186" s="91" t="str">
        <x:v>OPEN</x:v>
      </x:c>
      <x:c r="I186" s="86" t="str">
        <x:v>flame onset</x:v>
      </x:c>
    </x:row>
    <x:row r="187">
      <x:c r="A187" s="86" t="str">
        <x:v>ER-182</x:v>
      </x:c>
      <x:c r="B187" s="86" t="str">
        <x:v>flame onset</x:v>
      </x:c>
      <x:c r="C187" s="86" t="str">
        <x:v>causal time</x:v>
      </x:c>
      <x:c r="D187" s="108" t="n">
        <x:v>2</x:v>
      </x:c>
      <x:c r="E187" s="86" t="str">
        <x:v>T2</x:v>
      </x:c>
      <x:c r="F187" s="86" t="str">
        <x:v>L2</x:v>
      </x:c>
      <x:c r="G187" s="86" t="str">
        <x:v>causal time-CAL</x:v>
      </x:c>
      <x:c r="H187" s="91" t="str">
        <x:v>OPEN</x:v>
      </x:c>
      <x:c r="I187" s="86" t="str">
        <x:v>flame onset</x:v>
      </x:c>
    </x:row>
    <x:row r="188">
      <x:c r="A188" s="86" t="str">
        <x:v>ER-183</x:v>
      </x:c>
      <x:c r="B188" s="86" t="str">
        <x:v>flame onset</x:v>
      </x:c>
      <x:c r="C188" s="86" t="str">
        <x:v>causal time</x:v>
      </x:c>
      <x:c r="D188" s="108" t="n">
        <x:v>3</x:v>
      </x:c>
      <x:c r="E188" s="86" t="str">
        <x:v>T3</x:v>
      </x:c>
      <x:c r="F188" s="86" t="str">
        <x:v>L3</x:v>
      </x:c>
      <x:c r="G188" s="86" t="str">
        <x:v>causal time-CAL</x:v>
      </x:c>
      <x:c r="H188" s="91" t="str">
        <x:v>OPEN</x:v>
      </x:c>
      <x:c r="I188" s="86" t="str">
        <x:v>flame onset</x:v>
      </x:c>
    </x:row>
    <x:row r="189">
      <x:c r="A189" s="86" t="str">
        <x:v>ER-184</x:v>
      </x:c>
      <x:c r="B189" s="86" t="str">
        <x:v>flame onset</x:v>
      </x:c>
      <x:c r="C189" s="86" t="str">
        <x:v>causal time</x:v>
      </x:c>
      <x:c r="D189" s="108" t="n">
        <x:v>4</x:v>
      </x:c>
      <x:c r="E189" s="86" t="str">
        <x:v>T4</x:v>
      </x:c>
      <x:c r="F189" s="86" t="str">
        <x:v>L4</x:v>
      </x:c>
      <x:c r="G189" s="86" t="str">
        <x:v>causal time-CAL</x:v>
      </x:c>
      <x:c r="H189" s="91" t="str">
        <x:v>OPEN</x:v>
      </x:c>
      <x:c r="I189" s="86" t="str">
        <x:v>flame onset</x:v>
      </x:c>
    </x:row>
    <x:row r="190">
      <x:c r="A190" s="86" t="str">
        <x:v>ER-185</x:v>
      </x:c>
      <x:c r="B190" s="86" t="str">
        <x:v>flame onset</x:v>
      </x:c>
      <x:c r="C190" s="86" t="str">
        <x:v>custody</x:v>
      </x:c>
      <x:c r="D190" s="108" t="n">
        <x:v>1</x:v>
      </x:c>
      <x:c r="E190" s="86" t="str">
        <x:v>T1</x:v>
      </x:c>
      <x:c r="F190" s="86" t="str">
        <x:v>L1</x:v>
      </x:c>
      <x:c r="G190" s="86" t="str">
        <x:v>custody-CAL</x:v>
      </x:c>
      <x:c r="H190" s="91" t="str">
        <x:v>OPEN</x:v>
      </x:c>
      <x:c r="I190" s="86" t="str">
        <x:v>flame onset</x:v>
      </x:c>
    </x:row>
    <x:row r="191">
      <x:c r="A191" s="86" t="str">
        <x:v>ER-186</x:v>
      </x:c>
      <x:c r="B191" s="86" t="str">
        <x:v>flame onset</x:v>
      </x:c>
      <x:c r="C191" s="86" t="str">
        <x:v>custody</x:v>
      </x:c>
      <x:c r="D191" s="108" t="n">
        <x:v>2</x:v>
      </x:c>
      <x:c r="E191" s="86" t="str">
        <x:v>T2</x:v>
      </x:c>
      <x:c r="F191" s="86" t="str">
        <x:v>L2</x:v>
      </x:c>
      <x:c r="G191" s="86" t="str">
        <x:v>custody-CAL</x:v>
      </x:c>
      <x:c r="H191" s="91" t="str">
        <x:v>OPEN</x:v>
      </x:c>
      <x:c r="I191" s="86" t="str">
        <x:v>flame onset</x:v>
      </x:c>
    </x:row>
    <x:row r="192">
      <x:c r="A192" s="86" t="str">
        <x:v>ER-187</x:v>
      </x:c>
      <x:c r="B192" s="86" t="str">
        <x:v>flame onset</x:v>
      </x:c>
      <x:c r="C192" s="86" t="str">
        <x:v>custody</x:v>
      </x:c>
      <x:c r="D192" s="108" t="n">
        <x:v>3</x:v>
      </x:c>
      <x:c r="E192" s="86" t="str">
        <x:v>T3</x:v>
      </x:c>
      <x:c r="F192" s="86" t="str">
        <x:v>L3</x:v>
      </x:c>
      <x:c r="G192" s="86" t="str">
        <x:v>custody-CAL</x:v>
      </x:c>
      <x:c r="H192" s="91" t="str">
        <x:v>OPEN</x:v>
      </x:c>
      <x:c r="I192" s="86" t="str">
        <x:v>flame onset</x:v>
      </x:c>
    </x:row>
    <x:row r="193">
      <x:c r="A193" s="86" t="str">
        <x:v>ER-188</x:v>
      </x:c>
      <x:c r="B193" s="86" t="str">
        <x:v>flame onset</x:v>
      </x:c>
      <x:c r="C193" s="86" t="str">
        <x:v>custody</x:v>
      </x:c>
      <x:c r="D193" s="108" t="n">
        <x:v>4</x:v>
      </x:c>
      <x:c r="E193" s="86" t="str">
        <x:v>T4</x:v>
      </x:c>
      <x:c r="F193" s="86" t="str">
        <x:v>L4</x:v>
      </x:c>
      <x:c r="G193" s="86" t="str">
        <x:v>custody-CAL</x:v>
      </x:c>
      <x:c r="H193" s="91" t="str">
        <x:v>OPEN</x:v>
      </x:c>
      <x:c r="I193" s="86" t="str">
        <x:v>flame onset</x:v>
      </x:c>
    </x:row>
    <x:row r="194">
      <x:c r="A194" s="86" t="str">
        <x:v>ER-189</x:v>
      </x:c>
      <x:c r="B194" s="86" t="str">
        <x:v>flame onset</x:v>
      </x:c>
      <x:c r="C194" s="86" t="str">
        <x:v>reconstruction</x:v>
      </x:c>
      <x:c r="D194" s="108" t="n">
        <x:v>1</x:v>
      </x:c>
      <x:c r="E194" s="86" t="str">
        <x:v>T1</x:v>
      </x:c>
      <x:c r="F194" s="86" t="str">
        <x:v>L1</x:v>
      </x:c>
      <x:c r="G194" s="86" t="str">
        <x:v>reconstruction-CAL</x:v>
      </x:c>
      <x:c r="H194" s="91" t="str">
        <x:v>OPEN</x:v>
      </x:c>
      <x:c r="I194" s="86" t="str">
        <x:v>flame onset</x:v>
      </x:c>
    </x:row>
    <x:row r="195">
      <x:c r="A195" s="86" t="str">
        <x:v>ER-190</x:v>
      </x:c>
      <x:c r="B195" s="86" t="str">
        <x:v>flame onset</x:v>
      </x:c>
      <x:c r="C195" s="86" t="str">
        <x:v>reconstruction</x:v>
      </x:c>
      <x:c r="D195" s="108" t="n">
        <x:v>2</x:v>
      </x:c>
      <x:c r="E195" s="86" t="str">
        <x:v>T2</x:v>
      </x:c>
      <x:c r="F195" s="86" t="str">
        <x:v>L2</x:v>
      </x:c>
      <x:c r="G195" s="86" t="str">
        <x:v>reconstruction-CAL</x:v>
      </x:c>
      <x:c r="H195" s="91" t="str">
        <x:v>OPEN</x:v>
      </x:c>
      <x:c r="I195" s="86" t="str">
        <x:v>flame onset</x:v>
      </x:c>
    </x:row>
    <x:row r="196">
      <x:c r="A196" s="86" t="str">
        <x:v>ER-191</x:v>
      </x:c>
      <x:c r="B196" s="86" t="str">
        <x:v>flame onset</x:v>
      </x:c>
      <x:c r="C196" s="86" t="str">
        <x:v>reconstruction</x:v>
      </x:c>
      <x:c r="D196" s="108" t="n">
        <x:v>3</x:v>
      </x:c>
      <x:c r="E196" s="86" t="str">
        <x:v>T3</x:v>
      </x:c>
      <x:c r="F196" s="86" t="str">
        <x:v>L3</x:v>
      </x:c>
      <x:c r="G196" s="86" t="str">
        <x:v>reconstruction-CAL</x:v>
      </x:c>
      <x:c r="H196" s="91" t="str">
        <x:v>OPEN</x:v>
      </x:c>
      <x:c r="I196" s="86" t="str">
        <x:v>flame onset</x:v>
      </x:c>
    </x:row>
    <x:row r="197">
      <x:c r="A197" s="86" t="str">
        <x:v>ER-192</x:v>
      </x:c>
      <x:c r="B197" s="86" t="str">
        <x:v>flame onset</x:v>
      </x:c>
      <x:c r="C197" s="86" t="str">
        <x:v>reconstruction</x:v>
      </x:c>
      <x:c r="D197" s="108" t="n">
        <x:v>4</x:v>
      </x:c>
      <x:c r="E197" s="86" t="str">
        <x:v>T4</x:v>
      </x:c>
      <x:c r="F197" s="86" t="str">
        <x:v>L4</x:v>
      </x:c>
      <x:c r="G197" s="86" t="str">
        <x:v>reconstruction-CAL</x:v>
      </x:c>
      <x:c r="H197" s="91" t="str">
        <x:v>OPEN</x:v>
      </x:c>
      <x:c r="I197" s="86" t="str">
        <x:v>flame onset</x:v>
      </x:c>
    </x:row>
    <x:row r="198">
      <x:c r="A198" s="86" t="str">
        <x:v>ER-193</x:v>
      </x:c>
      <x:c r="B198" s="86" t="str">
        <x:v>developed field</x:v>
      </x:c>
      <x:c r="C198" s="86" t="str">
        <x:v>identity</x:v>
      </x:c>
      <x:c r="D198" s="108" t="n">
        <x:v>1</x:v>
      </x:c>
      <x:c r="E198" s="86" t="str">
        <x:v>T1</x:v>
      </x:c>
      <x:c r="F198" s="86" t="str">
        <x:v>L1</x:v>
      </x:c>
      <x:c r="G198" s="86" t="str">
        <x:v>identity-CAL</x:v>
      </x:c>
      <x:c r="H198" s="91" t="str">
        <x:v>OPEN</x:v>
      </x:c>
      <x:c r="I198" s="86" t="str">
        <x:v>developed field</x:v>
      </x:c>
    </x:row>
    <x:row r="199">
      <x:c r="A199" s="86" t="str">
        <x:v>ER-194</x:v>
      </x:c>
      <x:c r="B199" s="86" t="str">
        <x:v>developed field</x:v>
      </x:c>
      <x:c r="C199" s="86" t="str">
        <x:v>identity</x:v>
      </x:c>
      <x:c r="D199" s="108" t="n">
        <x:v>2</x:v>
      </x:c>
      <x:c r="E199" s="86" t="str">
        <x:v>T2</x:v>
      </x:c>
      <x:c r="F199" s="86" t="str">
        <x:v>L2</x:v>
      </x:c>
      <x:c r="G199" s="86" t="str">
        <x:v>identity-CAL</x:v>
      </x:c>
      <x:c r="H199" s="91" t="str">
        <x:v>OPEN</x:v>
      </x:c>
      <x:c r="I199" s="86" t="str">
        <x:v>developed field</x:v>
      </x:c>
    </x:row>
    <x:row r="200">
      <x:c r="A200" s="86" t="str">
        <x:v>ER-195</x:v>
      </x:c>
      <x:c r="B200" s="86" t="str">
        <x:v>developed field</x:v>
      </x:c>
      <x:c r="C200" s="86" t="str">
        <x:v>identity</x:v>
      </x:c>
      <x:c r="D200" s="108" t="n">
        <x:v>3</x:v>
      </x:c>
      <x:c r="E200" s="86" t="str">
        <x:v>T3</x:v>
      </x:c>
      <x:c r="F200" s="86" t="str">
        <x:v>L3</x:v>
      </x:c>
      <x:c r="G200" s="86" t="str">
        <x:v>identity-CAL</x:v>
      </x:c>
      <x:c r="H200" s="91" t="str">
        <x:v>OPEN</x:v>
      </x:c>
      <x:c r="I200" s="86" t="str">
        <x:v>developed field</x:v>
      </x:c>
    </x:row>
    <x:row r="201">
      <x:c r="A201" s="86" t="str">
        <x:v>ER-196</x:v>
      </x:c>
      <x:c r="B201" s="86" t="str">
        <x:v>developed field</x:v>
      </x:c>
      <x:c r="C201" s="86" t="str">
        <x:v>identity</x:v>
      </x:c>
      <x:c r="D201" s="108" t="n">
        <x:v>4</x:v>
      </x:c>
      <x:c r="E201" s="86" t="str">
        <x:v>T4</x:v>
      </x:c>
      <x:c r="F201" s="86" t="str">
        <x:v>L4</x:v>
      </x:c>
      <x:c r="G201" s="86" t="str">
        <x:v>identity-CAL</x:v>
      </x:c>
      <x:c r="H201" s="91" t="str">
        <x:v>OPEN</x:v>
      </x:c>
      <x:c r="I201" s="86" t="str">
        <x:v>developed field</x:v>
      </x:c>
    </x:row>
    <x:row r="202">
      <x:c r="A202" s="86" t="str">
        <x:v>ER-197</x:v>
      </x:c>
      <x:c r="B202" s="86" t="str">
        <x:v>developed field</x:v>
      </x:c>
      <x:c r="C202" s="86" t="str">
        <x:v>capacity</x:v>
      </x:c>
      <x:c r="D202" s="108" t="n">
        <x:v>1</x:v>
      </x:c>
      <x:c r="E202" s="86" t="str">
        <x:v>T1</x:v>
      </x:c>
      <x:c r="F202" s="86" t="str">
        <x:v>L1</x:v>
      </x:c>
      <x:c r="G202" s="86" t="str">
        <x:v>capacity-CAL</x:v>
      </x:c>
      <x:c r="H202" s="91" t="str">
        <x:v>OPEN</x:v>
      </x:c>
      <x:c r="I202" s="86" t="str">
        <x:v>developed field</x:v>
      </x:c>
    </x:row>
    <x:row r="203">
      <x:c r="A203" s="86" t="str">
        <x:v>ER-198</x:v>
      </x:c>
      <x:c r="B203" s="86" t="str">
        <x:v>developed field</x:v>
      </x:c>
      <x:c r="C203" s="86" t="str">
        <x:v>capacity</x:v>
      </x:c>
      <x:c r="D203" s="108" t="n">
        <x:v>2</x:v>
      </x:c>
      <x:c r="E203" s="86" t="str">
        <x:v>T2</x:v>
      </x:c>
      <x:c r="F203" s="86" t="str">
        <x:v>L2</x:v>
      </x:c>
      <x:c r="G203" s="86" t="str">
        <x:v>capacity-CAL</x:v>
      </x:c>
      <x:c r="H203" s="91" t="str">
        <x:v>OPEN</x:v>
      </x:c>
      <x:c r="I203" s="86" t="str">
        <x:v>developed field</x:v>
      </x:c>
    </x:row>
    <x:row r="204">
      <x:c r="A204" s="86" t="str">
        <x:v>ER-199</x:v>
      </x:c>
      <x:c r="B204" s="86" t="str">
        <x:v>developed field</x:v>
      </x:c>
      <x:c r="C204" s="86" t="str">
        <x:v>capacity</x:v>
      </x:c>
      <x:c r="D204" s="108" t="n">
        <x:v>3</x:v>
      </x:c>
      <x:c r="E204" s="86" t="str">
        <x:v>T3</x:v>
      </x:c>
      <x:c r="F204" s="86" t="str">
        <x:v>L3</x:v>
      </x:c>
      <x:c r="G204" s="86" t="str">
        <x:v>capacity-CAL</x:v>
      </x:c>
      <x:c r="H204" s="91" t="str">
        <x:v>OPEN</x:v>
      </x:c>
      <x:c r="I204" s="86" t="str">
        <x:v>developed field</x:v>
      </x:c>
    </x:row>
    <x:row r="205">
      <x:c r="A205" s="86" t="str">
        <x:v>ER-200</x:v>
      </x:c>
      <x:c r="B205" s="86" t="str">
        <x:v>developed field</x:v>
      </x:c>
      <x:c r="C205" s="86" t="str">
        <x:v>capacity</x:v>
      </x:c>
      <x:c r="D205" s="108" t="n">
        <x:v>4</x:v>
      </x:c>
      <x:c r="E205" s="86" t="str">
        <x:v>T4</x:v>
      </x:c>
      <x:c r="F205" s="86" t="str">
        <x:v>L4</x:v>
      </x:c>
      <x:c r="G205" s="86" t="str">
        <x:v>capacity-CAL</x:v>
      </x:c>
      <x:c r="H205" s="91" t="str">
        <x:v>OPEN</x:v>
      </x:c>
      <x:c r="I205" s="86" t="str">
        <x:v>developed field</x:v>
      </x:c>
    </x:row>
    <x:row r="206">
      <x:c r="A206" s="86" t="str">
        <x:v>ER-201</x:v>
      </x:c>
      <x:c r="B206" s="86" t="str">
        <x:v>developed field</x:v>
      </x:c>
      <x:c r="C206" s="86" t="str">
        <x:v>state</x:v>
      </x:c>
      <x:c r="D206" s="108" t="n">
        <x:v>1</x:v>
      </x:c>
      <x:c r="E206" s="86" t="str">
        <x:v>T1</x:v>
      </x:c>
      <x:c r="F206" s="86" t="str">
        <x:v>L1</x:v>
      </x:c>
      <x:c r="G206" s="86" t="str">
        <x:v>state-CAL</x:v>
      </x:c>
      <x:c r="H206" s="91" t="str">
        <x:v>OPEN</x:v>
      </x:c>
      <x:c r="I206" s="86" t="str">
        <x:v>developed field</x:v>
      </x:c>
    </x:row>
    <x:row r="207">
      <x:c r="A207" s="86" t="str">
        <x:v>ER-202</x:v>
      </x:c>
      <x:c r="B207" s="86" t="str">
        <x:v>developed field</x:v>
      </x:c>
      <x:c r="C207" s="86" t="str">
        <x:v>state</x:v>
      </x:c>
      <x:c r="D207" s="108" t="n">
        <x:v>2</x:v>
      </x:c>
      <x:c r="E207" s="86" t="str">
        <x:v>T2</x:v>
      </x:c>
      <x:c r="F207" s="86" t="str">
        <x:v>L2</x:v>
      </x:c>
      <x:c r="G207" s="86" t="str">
        <x:v>state-CAL</x:v>
      </x:c>
      <x:c r="H207" s="91" t="str">
        <x:v>OPEN</x:v>
      </x:c>
      <x:c r="I207" s="86" t="str">
        <x:v>developed field</x:v>
      </x:c>
    </x:row>
    <x:row r="208">
      <x:c r="A208" s="86" t="str">
        <x:v>ER-203</x:v>
      </x:c>
      <x:c r="B208" s="86" t="str">
        <x:v>developed field</x:v>
      </x:c>
      <x:c r="C208" s="86" t="str">
        <x:v>state</x:v>
      </x:c>
      <x:c r="D208" s="108" t="n">
        <x:v>3</x:v>
      </x:c>
      <x:c r="E208" s="86" t="str">
        <x:v>T3</x:v>
      </x:c>
      <x:c r="F208" s="86" t="str">
        <x:v>L3</x:v>
      </x:c>
      <x:c r="G208" s="86" t="str">
        <x:v>state-CAL</x:v>
      </x:c>
      <x:c r="H208" s="91" t="str">
        <x:v>OPEN</x:v>
      </x:c>
      <x:c r="I208" s="86" t="str">
        <x:v>developed field</x:v>
      </x:c>
    </x:row>
    <x:row r="209">
      <x:c r="A209" s="86" t="str">
        <x:v>ER-204</x:v>
      </x:c>
      <x:c r="B209" s="86" t="str">
        <x:v>developed field</x:v>
      </x:c>
      <x:c r="C209" s="86" t="str">
        <x:v>state</x:v>
      </x:c>
      <x:c r="D209" s="108" t="n">
        <x:v>4</x:v>
      </x:c>
      <x:c r="E209" s="86" t="str">
        <x:v>T4</x:v>
      </x:c>
      <x:c r="F209" s="86" t="str">
        <x:v>L4</x:v>
      </x:c>
      <x:c r="G209" s="86" t="str">
        <x:v>state-CAL</x:v>
      </x:c>
      <x:c r="H209" s="91" t="str">
        <x:v>OPEN</x:v>
      </x:c>
      <x:c r="I209" s="86" t="str">
        <x:v>developed field</x:v>
      </x:c>
    </x:row>
    <x:row r="210">
      <x:c r="A210" s="86" t="str">
        <x:v>ER-205</x:v>
      </x:c>
      <x:c r="B210" s="86" t="str">
        <x:v>developed field</x:v>
      </x:c>
      <x:c r="C210" s="86" t="str">
        <x:v>authority</x:v>
      </x:c>
      <x:c r="D210" s="108" t="n">
        <x:v>1</x:v>
      </x:c>
      <x:c r="E210" s="86" t="str">
        <x:v>T1</x:v>
      </x:c>
      <x:c r="F210" s="86" t="str">
        <x:v>L1</x:v>
      </x:c>
      <x:c r="G210" s="86" t="str">
        <x:v>authority-CAL</x:v>
      </x:c>
      <x:c r="H210" s="91" t="str">
        <x:v>OPEN</x:v>
      </x:c>
      <x:c r="I210" s="86" t="str">
        <x:v>developed field</x:v>
      </x:c>
    </x:row>
    <x:row r="211">
      <x:c r="A211" s="86" t="str">
        <x:v>ER-206</x:v>
      </x:c>
      <x:c r="B211" s="86" t="str">
        <x:v>developed field</x:v>
      </x:c>
      <x:c r="C211" s="86" t="str">
        <x:v>authority</x:v>
      </x:c>
      <x:c r="D211" s="108" t="n">
        <x:v>2</x:v>
      </x:c>
      <x:c r="E211" s="86" t="str">
        <x:v>T2</x:v>
      </x:c>
      <x:c r="F211" s="86" t="str">
        <x:v>L2</x:v>
      </x:c>
      <x:c r="G211" s="86" t="str">
        <x:v>authority-CAL</x:v>
      </x:c>
      <x:c r="H211" s="91" t="str">
        <x:v>OPEN</x:v>
      </x:c>
      <x:c r="I211" s="86" t="str">
        <x:v>developed field</x:v>
      </x:c>
    </x:row>
    <x:row r="212">
      <x:c r="A212" s="86" t="str">
        <x:v>ER-207</x:v>
      </x:c>
      <x:c r="B212" s="86" t="str">
        <x:v>developed field</x:v>
      </x:c>
      <x:c r="C212" s="86" t="str">
        <x:v>authority</x:v>
      </x:c>
      <x:c r="D212" s="108" t="n">
        <x:v>3</x:v>
      </x:c>
      <x:c r="E212" s="86" t="str">
        <x:v>T3</x:v>
      </x:c>
      <x:c r="F212" s="86" t="str">
        <x:v>L3</x:v>
      </x:c>
      <x:c r="G212" s="86" t="str">
        <x:v>authority-CAL</x:v>
      </x:c>
      <x:c r="H212" s="91" t="str">
        <x:v>OPEN</x:v>
      </x:c>
      <x:c r="I212" s="86" t="str">
        <x:v>developed field</x:v>
      </x:c>
    </x:row>
    <x:row r="213">
      <x:c r="A213" s="86" t="str">
        <x:v>ER-208</x:v>
      </x:c>
      <x:c r="B213" s="86" t="str">
        <x:v>developed field</x:v>
      </x:c>
      <x:c r="C213" s="86" t="str">
        <x:v>authority</x:v>
      </x:c>
      <x:c r="D213" s="108" t="n">
        <x:v>4</x:v>
      </x:c>
      <x:c r="E213" s="86" t="str">
        <x:v>T4</x:v>
      </x:c>
      <x:c r="F213" s="86" t="str">
        <x:v>L4</x:v>
      </x:c>
      <x:c r="G213" s="86" t="str">
        <x:v>authority-CAL</x:v>
      </x:c>
      <x:c r="H213" s="91" t="str">
        <x:v>OPEN</x:v>
      </x:c>
      <x:c r="I213" s="86" t="str">
        <x:v>developed field</x:v>
      </x:c>
    </x:row>
    <x:row r="214">
      <x:c r="A214" s="86" t="str">
        <x:v>ER-209</x:v>
      </x:c>
      <x:c r="B214" s="86" t="str">
        <x:v>developed field</x:v>
      </x:c>
      <x:c r="C214" s="86" t="str">
        <x:v>calibration</x:v>
      </x:c>
      <x:c r="D214" s="108" t="n">
        <x:v>1</x:v>
      </x:c>
      <x:c r="E214" s="86" t="str">
        <x:v>T1</x:v>
      </x:c>
      <x:c r="F214" s="86" t="str">
        <x:v>L1</x:v>
      </x:c>
      <x:c r="G214" s="86" t="str">
        <x:v>calibration-CAL</x:v>
      </x:c>
      <x:c r="H214" s="91" t="str">
        <x:v>OPEN</x:v>
      </x:c>
      <x:c r="I214" s="86" t="str">
        <x:v>developed field</x:v>
      </x:c>
    </x:row>
    <x:row r="215">
      <x:c r="A215" s="86" t="str">
        <x:v>ER-210</x:v>
      </x:c>
      <x:c r="B215" s="86" t="str">
        <x:v>developed field</x:v>
      </x:c>
      <x:c r="C215" s="86" t="str">
        <x:v>calibration</x:v>
      </x:c>
      <x:c r="D215" s="108" t="n">
        <x:v>2</x:v>
      </x:c>
      <x:c r="E215" s="86" t="str">
        <x:v>T2</x:v>
      </x:c>
      <x:c r="F215" s="86" t="str">
        <x:v>L2</x:v>
      </x:c>
      <x:c r="G215" s="86" t="str">
        <x:v>calibration-CAL</x:v>
      </x:c>
      <x:c r="H215" s="91" t="str">
        <x:v>OPEN</x:v>
      </x:c>
      <x:c r="I215" s="86" t="str">
        <x:v>developed field</x:v>
      </x:c>
    </x:row>
    <x:row r="216">
      <x:c r="A216" s="86" t="str">
        <x:v>ER-211</x:v>
      </x:c>
      <x:c r="B216" s="86" t="str">
        <x:v>developed field</x:v>
      </x:c>
      <x:c r="C216" s="86" t="str">
        <x:v>calibration</x:v>
      </x:c>
      <x:c r="D216" s="108" t="n">
        <x:v>3</x:v>
      </x:c>
      <x:c r="E216" s="86" t="str">
        <x:v>T3</x:v>
      </x:c>
      <x:c r="F216" s="86" t="str">
        <x:v>L3</x:v>
      </x:c>
      <x:c r="G216" s="86" t="str">
        <x:v>calibration-CAL</x:v>
      </x:c>
      <x:c r="H216" s="91" t="str">
        <x:v>OPEN</x:v>
      </x:c>
      <x:c r="I216" s="86" t="str">
        <x:v>developed field</x:v>
      </x:c>
    </x:row>
    <x:row r="217">
      <x:c r="A217" s="86" t="str">
        <x:v>ER-212</x:v>
      </x:c>
      <x:c r="B217" s="86" t="str">
        <x:v>developed field</x:v>
      </x:c>
      <x:c r="C217" s="86" t="str">
        <x:v>calibration</x:v>
      </x:c>
      <x:c r="D217" s="108" t="n">
        <x:v>4</x:v>
      </x:c>
      <x:c r="E217" s="86" t="str">
        <x:v>T4</x:v>
      </x:c>
      <x:c r="F217" s="86" t="str">
        <x:v>L4</x:v>
      </x:c>
      <x:c r="G217" s="86" t="str">
        <x:v>calibration-CAL</x:v>
      </x:c>
      <x:c r="H217" s="91" t="str">
        <x:v>OPEN</x:v>
      </x:c>
      <x:c r="I217" s="86" t="str">
        <x:v>developed field</x:v>
      </x:c>
    </x:row>
    <x:row r="218">
      <x:c r="A218" s="86" t="str">
        <x:v>ER-213</x:v>
      </x:c>
      <x:c r="B218" s="86" t="str">
        <x:v>developed field</x:v>
      </x:c>
      <x:c r="C218" s="86" t="str">
        <x:v>causal time</x:v>
      </x:c>
      <x:c r="D218" s="108" t="n">
        <x:v>1</x:v>
      </x:c>
      <x:c r="E218" s="86" t="str">
        <x:v>T1</x:v>
      </x:c>
      <x:c r="F218" s="86" t="str">
        <x:v>L1</x:v>
      </x:c>
      <x:c r="G218" s="86" t="str">
        <x:v>causal time-CAL</x:v>
      </x:c>
      <x:c r="H218" s="91" t="str">
        <x:v>OPEN</x:v>
      </x:c>
      <x:c r="I218" s="86" t="str">
        <x:v>developed field</x:v>
      </x:c>
    </x:row>
    <x:row r="219">
      <x:c r="A219" s="86" t="str">
        <x:v>ER-214</x:v>
      </x:c>
      <x:c r="B219" s="86" t="str">
        <x:v>developed field</x:v>
      </x:c>
      <x:c r="C219" s="86" t="str">
        <x:v>causal time</x:v>
      </x:c>
      <x:c r="D219" s="108" t="n">
        <x:v>2</x:v>
      </x:c>
      <x:c r="E219" s="86" t="str">
        <x:v>T2</x:v>
      </x:c>
      <x:c r="F219" s="86" t="str">
        <x:v>L2</x:v>
      </x:c>
      <x:c r="G219" s="86" t="str">
        <x:v>causal time-CAL</x:v>
      </x:c>
      <x:c r="H219" s="91" t="str">
        <x:v>OPEN</x:v>
      </x:c>
      <x:c r="I219" s="86" t="str">
        <x:v>developed field</x:v>
      </x:c>
    </x:row>
    <x:row r="220">
      <x:c r="A220" s="86" t="str">
        <x:v>ER-215</x:v>
      </x:c>
      <x:c r="B220" s="86" t="str">
        <x:v>developed field</x:v>
      </x:c>
      <x:c r="C220" s="86" t="str">
        <x:v>causal time</x:v>
      </x:c>
      <x:c r="D220" s="108" t="n">
        <x:v>3</x:v>
      </x:c>
      <x:c r="E220" s="86" t="str">
        <x:v>T3</x:v>
      </x:c>
      <x:c r="F220" s="86" t="str">
        <x:v>L3</x:v>
      </x:c>
      <x:c r="G220" s="86" t="str">
        <x:v>causal time-CAL</x:v>
      </x:c>
      <x:c r="H220" s="91" t="str">
        <x:v>OPEN</x:v>
      </x:c>
      <x:c r="I220" s="86" t="str">
        <x:v>developed field</x:v>
      </x:c>
    </x:row>
    <x:row r="221">
      <x:c r="A221" s="86" t="str">
        <x:v>ER-216</x:v>
      </x:c>
      <x:c r="B221" s="86" t="str">
        <x:v>developed field</x:v>
      </x:c>
      <x:c r="C221" s="86" t="str">
        <x:v>causal time</x:v>
      </x:c>
      <x:c r="D221" s="108" t="n">
        <x:v>4</x:v>
      </x:c>
      <x:c r="E221" s="86" t="str">
        <x:v>T4</x:v>
      </x:c>
      <x:c r="F221" s="86" t="str">
        <x:v>L4</x:v>
      </x:c>
      <x:c r="G221" s="86" t="str">
        <x:v>causal time-CAL</x:v>
      </x:c>
      <x:c r="H221" s="91" t="str">
        <x:v>OPEN</x:v>
      </x:c>
      <x:c r="I221" s="86" t="str">
        <x:v>developed field</x:v>
      </x:c>
    </x:row>
    <x:row r="222">
      <x:c r="A222" s="86" t="str">
        <x:v>ER-217</x:v>
      </x:c>
      <x:c r="B222" s="86" t="str">
        <x:v>developed field</x:v>
      </x:c>
      <x:c r="C222" s="86" t="str">
        <x:v>custody</x:v>
      </x:c>
      <x:c r="D222" s="108" t="n">
        <x:v>1</x:v>
      </x:c>
      <x:c r="E222" s="86" t="str">
        <x:v>T1</x:v>
      </x:c>
      <x:c r="F222" s="86" t="str">
        <x:v>L1</x:v>
      </x:c>
      <x:c r="G222" s="86" t="str">
        <x:v>custody-CAL</x:v>
      </x:c>
      <x:c r="H222" s="91" t="str">
        <x:v>OPEN</x:v>
      </x:c>
      <x:c r="I222" s="86" t="str">
        <x:v>developed field</x:v>
      </x:c>
    </x:row>
    <x:row r="223">
      <x:c r="A223" s="86" t="str">
        <x:v>ER-218</x:v>
      </x:c>
      <x:c r="B223" s="86" t="str">
        <x:v>developed field</x:v>
      </x:c>
      <x:c r="C223" s="86" t="str">
        <x:v>custody</x:v>
      </x:c>
      <x:c r="D223" s="108" t="n">
        <x:v>2</x:v>
      </x:c>
      <x:c r="E223" s="86" t="str">
        <x:v>T2</x:v>
      </x:c>
      <x:c r="F223" s="86" t="str">
        <x:v>L2</x:v>
      </x:c>
      <x:c r="G223" s="86" t="str">
        <x:v>custody-CAL</x:v>
      </x:c>
      <x:c r="H223" s="91" t="str">
        <x:v>OPEN</x:v>
      </x:c>
      <x:c r="I223" s="86" t="str">
        <x:v>developed field</x:v>
      </x:c>
    </x:row>
    <x:row r="224">
      <x:c r="A224" s="86" t="str">
        <x:v>ER-219</x:v>
      </x:c>
      <x:c r="B224" s="86" t="str">
        <x:v>developed field</x:v>
      </x:c>
      <x:c r="C224" s="86" t="str">
        <x:v>custody</x:v>
      </x:c>
      <x:c r="D224" s="108" t="n">
        <x:v>3</x:v>
      </x:c>
      <x:c r="E224" s="86" t="str">
        <x:v>T3</x:v>
      </x:c>
      <x:c r="F224" s="86" t="str">
        <x:v>L3</x:v>
      </x:c>
      <x:c r="G224" s="86" t="str">
        <x:v>custody-CAL</x:v>
      </x:c>
      <x:c r="H224" s="91" t="str">
        <x:v>OPEN</x:v>
      </x:c>
      <x:c r="I224" s="86" t="str">
        <x:v>developed field</x:v>
      </x:c>
    </x:row>
    <x:row r="225">
      <x:c r="A225" s="86" t="str">
        <x:v>ER-220</x:v>
      </x:c>
      <x:c r="B225" s="86" t="str">
        <x:v>developed field</x:v>
      </x:c>
      <x:c r="C225" s="86" t="str">
        <x:v>custody</x:v>
      </x:c>
      <x:c r="D225" s="108" t="n">
        <x:v>4</x:v>
      </x:c>
      <x:c r="E225" s="86" t="str">
        <x:v>T4</x:v>
      </x:c>
      <x:c r="F225" s="86" t="str">
        <x:v>L4</x:v>
      </x:c>
      <x:c r="G225" s="86" t="str">
        <x:v>custody-CAL</x:v>
      </x:c>
      <x:c r="H225" s="91" t="str">
        <x:v>OPEN</x:v>
      </x:c>
      <x:c r="I225" s="86" t="str">
        <x:v>developed field</x:v>
      </x:c>
    </x:row>
    <x:row r="226">
      <x:c r="A226" s="86" t="str">
        <x:v>ER-221</x:v>
      </x:c>
      <x:c r="B226" s="86" t="str">
        <x:v>developed field</x:v>
      </x:c>
      <x:c r="C226" s="86" t="str">
        <x:v>reconstruction</x:v>
      </x:c>
      <x:c r="D226" s="108" t="n">
        <x:v>1</x:v>
      </x:c>
      <x:c r="E226" s="86" t="str">
        <x:v>T1</x:v>
      </x:c>
      <x:c r="F226" s="86" t="str">
        <x:v>L1</x:v>
      </x:c>
      <x:c r="G226" s="86" t="str">
        <x:v>reconstruction-CAL</x:v>
      </x:c>
      <x:c r="H226" s="91" t="str">
        <x:v>OPEN</x:v>
      </x:c>
      <x:c r="I226" s="86" t="str">
        <x:v>developed field</x:v>
      </x:c>
    </x:row>
    <x:row r="227">
      <x:c r="A227" s="86" t="str">
        <x:v>ER-222</x:v>
      </x:c>
      <x:c r="B227" s="86" t="str">
        <x:v>developed field</x:v>
      </x:c>
      <x:c r="C227" s="86" t="str">
        <x:v>reconstruction</x:v>
      </x:c>
      <x:c r="D227" s="108" t="n">
        <x:v>2</x:v>
      </x:c>
      <x:c r="E227" s="86" t="str">
        <x:v>T2</x:v>
      </x:c>
      <x:c r="F227" s="86" t="str">
        <x:v>L2</x:v>
      </x:c>
      <x:c r="G227" s="86" t="str">
        <x:v>reconstruction-CAL</x:v>
      </x:c>
      <x:c r="H227" s="91" t="str">
        <x:v>OPEN</x:v>
      </x:c>
      <x:c r="I227" s="86" t="str">
        <x:v>developed field</x:v>
      </x:c>
    </x:row>
    <x:row r="228">
      <x:c r="A228" s="86" t="str">
        <x:v>ER-223</x:v>
      </x:c>
      <x:c r="B228" s="86" t="str">
        <x:v>developed field</x:v>
      </x:c>
      <x:c r="C228" s="86" t="str">
        <x:v>reconstruction</x:v>
      </x:c>
      <x:c r="D228" s="108" t="n">
        <x:v>3</x:v>
      </x:c>
      <x:c r="E228" s="86" t="str">
        <x:v>T3</x:v>
      </x:c>
      <x:c r="F228" s="86" t="str">
        <x:v>L3</x:v>
      </x:c>
      <x:c r="G228" s="86" t="str">
        <x:v>reconstruction-CAL</x:v>
      </x:c>
      <x:c r="H228" s="91" t="str">
        <x:v>OPEN</x:v>
      </x:c>
      <x:c r="I228" s="86" t="str">
        <x:v>developed field</x:v>
      </x:c>
    </x:row>
    <x:row r="229">
      <x:c r="A229" s="86" t="str">
        <x:v>ER-224</x:v>
      </x:c>
      <x:c r="B229" s="86" t="str">
        <x:v>developed field</x:v>
      </x:c>
      <x:c r="C229" s="86" t="str">
        <x:v>reconstruction</x:v>
      </x:c>
      <x:c r="D229" s="108" t="n">
        <x:v>4</x:v>
      </x:c>
      <x:c r="E229" s="86" t="str">
        <x:v>T4</x:v>
      </x:c>
      <x:c r="F229" s="86" t="str">
        <x:v>L4</x:v>
      </x:c>
      <x:c r="G229" s="86" t="str">
        <x:v>reconstruction-CAL</x:v>
      </x:c>
      <x:c r="H229" s="91" t="str">
        <x:v>OPEN</x:v>
      </x:c>
      <x:c r="I229" s="86" t="str">
        <x:v>developed field</x:v>
      </x:c>
    </x:row>
    <x:row r="230">
      <x:c r="A230" s="86" t="str">
        <x:v>ER-225</x:v>
      </x:c>
      <x:c r="B230" s="86" t="str">
        <x:v>topology evolution</x:v>
      </x:c>
      <x:c r="C230" s="86" t="str">
        <x:v>identity</x:v>
      </x:c>
      <x:c r="D230" s="108" t="n">
        <x:v>1</x:v>
      </x:c>
      <x:c r="E230" s="86" t="str">
        <x:v>T1</x:v>
      </x:c>
      <x:c r="F230" s="86" t="str">
        <x:v>L1</x:v>
      </x:c>
      <x:c r="G230" s="86" t="str">
        <x:v>identity-CAL</x:v>
      </x:c>
      <x:c r="H230" s="91" t="str">
        <x:v>OPEN</x:v>
      </x:c>
      <x:c r="I230" s="86" t="str">
        <x:v>topology evolution</x:v>
      </x:c>
    </x:row>
    <x:row r="231">
      <x:c r="A231" s="86" t="str">
        <x:v>ER-226</x:v>
      </x:c>
      <x:c r="B231" s="86" t="str">
        <x:v>topology evolution</x:v>
      </x:c>
      <x:c r="C231" s="86" t="str">
        <x:v>identity</x:v>
      </x:c>
      <x:c r="D231" s="108" t="n">
        <x:v>2</x:v>
      </x:c>
      <x:c r="E231" s="86" t="str">
        <x:v>T2</x:v>
      </x:c>
      <x:c r="F231" s="86" t="str">
        <x:v>L2</x:v>
      </x:c>
      <x:c r="G231" s="86" t="str">
        <x:v>identity-CAL</x:v>
      </x:c>
      <x:c r="H231" s="91" t="str">
        <x:v>OPEN</x:v>
      </x:c>
      <x:c r="I231" s="86" t="str">
        <x:v>topology evolution</x:v>
      </x:c>
    </x:row>
    <x:row r="232">
      <x:c r="A232" s="86" t="str">
        <x:v>ER-227</x:v>
      </x:c>
      <x:c r="B232" s="86" t="str">
        <x:v>topology evolution</x:v>
      </x:c>
      <x:c r="C232" s="86" t="str">
        <x:v>identity</x:v>
      </x:c>
      <x:c r="D232" s="108" t="n">
        <x:v>3</x:v>
      </x:c>
      <x:c r="E232" s="86" t="str">
        <x:v>T3</x:v>
      </x:c>
      <x:c r="F232" s="86" t="str">
        <x:v>L3</x:v>
      </x:c>
      <x:c r="G232" s="86" t="str">
        <x:v>identity-CAL</x:v>
      </x:c>
      <x:c r="H232" s="91" t="str">
        <x:v>OPEN</x:v>
      </x:c>
      <x:c r="I232" s="86" t="str">
        <x:v>topology evolution</x:v>
      </x:c>
    </x:row>
    <x:row r="233">
      <x:c r="A233" s="86" t="str">
        <x:v>ER-228</x:v>
      </x:c>
      <x:c r="B233" s="86" t="str">
        <x:v>topology evolution</x:v>
      </x:c>
      <x:c r="C233" s="86" t="str">
        <x:v>identity</x:v>
      </x:c>
      <x:c r="D233" s="108" t="n">
        <x:v>4</x:v>
      </x:c>
      <x:c r="E233" s="86" t="str">
        <x:v>T4</x:v>
      </x:c>
      <x:c r="F233" s="86" t="str">
        <x:v>L4</x:v>
      </x:c>
      <x:c r="G233" s="86" t="str">
        <x:v>identity-CAL</x:v>
      </x:c>
      <x:c r="H233" s="91" t="str">
        <x:v>OPEN</x:v>
      </x:c>
      <x:c r="I233" s="86" t="str">
        <x:v>topology evolution</x:v>
      </x:c>
    </x:row>
    <x:row r="234">
      <x:c r="A234" s="86" t="str">
        <x:v>ER-229</x:v>
      </x:c>
      <x:c r="B234" s="86" t="str">
        <x:v>topology evolution</x:v>
      </x:c>
      <x:c r="C234" s="86" t="str">
        <x:v>capacity</x:v>
      </x:c>
      <x:c r="D234" s="108" t="n">
        <x:v>1</x:v>
      </x:c>
      <x:c r="E234" s="86" t="str">
        <x:v>T1</x:v>
      </x:c>
      <x:c r="F234" s="86" t="str">
        <x:v>L1</x:v>
      </x:c>
      <x:c r="G234" s="86" t="str">
        <x:v>capacity-CAL</x:v>
      </x:c>
      <x:c r="H234" s="91" t="str">
        <x:v>OPEN</x:v>
      </x:c>
      <x:c r="I234" s="86" t="str">
        <x:v>topology evolution</x:v>
      </x:c>
    </x:row>
    <x:row r="235">
      <x:c r="A235" s="86" t="str">
        <x:v>ER-230</x:v>
      </x:c>
      <x:c r="B235" s="86" t="str">
        <x:v>topology evolution</x:v>
      </x:c>
      <x:c r="C235" s="86" t="str">
        <x:v>capacity</x:v>
      </x:c>
      <x:c r="D235" s="108" t="n">
        <x:v>2</x:v>
      </x:c>
      <x:c r="E235" s="86" t="str">
        <x:v>T2</x:v>
      </x:c>
      <x:c r="F235" s="86" t="str">
        <x:v>L2</x:v>
      </x:c>
      <x:c r="G235" s="86" t="str">
        <x:v>capacity-CAL</x:v>
      </x:c>
      <x:c r="H235" s="91" t="str">
        <x:v>OPEN</x:v>
      </x:c>
      <x:c r="I235" s="86" t="str">
        <x:v>topology evolution</x:v>
      </x:c>
    </x:row>
    <x:row r="236">
      <x:c r="A236" s="86" t="str">
        <x:v>ER-231</x:v>
      </x:c>
      <x:c r="B236" s="86" t="str">
        <x:v>topology evolution</x:v>
      </x:c>
      <x:c r="C236" s="86" t="str">
        <x:v>capacity</x:v>
      </x:c>
      <x:c r="D236" s="108" t="n">
        <x:v>3</x:v>
      </x:c>
      <x:c r="E236" s="86" t="str">
        <x:v>T3</x:v>
      </x:c>
      <x:c r="F236" s="86" t="str">
        <x:v>L3</x:v>
      </x:c>
      <x:c r="G236" s="86" t="str">
        <x:v>capacity-CAL</x:v>
      </x:c>
      <x:c r="H236" s="91" t="str">
        <x:v>OPEN</x:v>
      </x:c>
      <x:c r="I236" s="86" t="str">
        <x:v>topology evolution</x:v>
      </x:c>
    </x:row>
    <x:row r="237">
      <x:c r="A237" s="86" t="str">
        <x:v>ER-232</x:v>
      </x:c>
      <x:c r="B237" s="86" t="str">
        <x:v>topology evolution</x:v>
      </x:c>
      <x:c r="C237" s="86" t="str">
        <x:v>capacity</x:v>
      </x:c>
      <x:c r="D237" s="108" t="n">
        <x:v>4</x:v>
      </x:c>
      <x:c r="E237" s="86" t="str">
        <x:v>T4</x:v>
      </x:c>
      <x:c r="F237" s="86" t="str">
        <x:v>L4</x:v>
      </x:c>
      <x:c r="G237" s="86" t="str">
        <x:v>capacity-CAL</x:v>
      </x:c>
      <x:c r="H237" s="91" t="str">
        <x:v>OPEN</x:v>
      </x:c>
      <x:c r="I237" s="86" t="str">
        <x:v>topology evolution</x:v>
      </x:c>
    </x:row>
    <x:row r="238">
      <x:c r="A238" s="86" t="str">
        <x:v>ER-233</x:v>
      </x:c>
      <x:c r="B238" s="86" t="str">
        <x:v>topology evolution</x:v>
      </x:c>
      <x:c r="C238" s="86" t="str">
        <x:v>state</x:v>
      </x:c>
      <x:c r="D238" s="108" t="n">
        <x:v>1</x:v>
      </x:c>
      <x:c r="E238" s="86" t="str">
        <x:v>T1</x:v>
      </x:c>
      <x:c r="F238" s="86" t="str">
        <x:v>L1</x:v>
      </x:c>
      <x:c r="G238" s="86" t="str">
        <x:v>state-CAL</x:v>
      </x:c>
      <x:c r="H238" s="91" t="str">
        <x:v>OPEN</x:v>
      </x:c>
      <x:c r="I238" s="86" t="str">
        <x:v>topology evolution</x:v>
      </x:c>
    </x:row>
    <x:row r="239">
      <x:c r="A239" s="86" t="str">
        <x:v>ER-234</x:v>
      </x:c>
      <x:c r="B239" s="86" t="str">
        <x:v>topology evolution</x:v>
      </x:c>
      <x:c r="C239" s="86" t="str">
        <x:v>state</x:v>
      </x:c>
      <x:c r="D239" s="108" t="n">
        <x:v>2</x:v>
      </x:c>
      <x:c r="E239" s="86" t="str">
        <x:v>T2</x:v>
      </x:c>
      <x:c r="F239" s="86" t="str">
        <x:v>L2</x:v>
      </x:c>
      <x:c r="G239" s="86" t="str">
        <x:v>state-CAL</x:v>
      </x:c>
      <x:c r="H239" s="91" t="str">
        <x:v>OPEN</x:v>
      </x:c>
      <x:c r="I239" s="86" t="str">
        <x:v>topology evolution</x:v>
      </x:c>
    </x:row>
    <x:row r="240">
      <x:c r="A240" s="86" t="str">
        <x:v>ER-235</x:v>
      </x:c>
      <x:c r="B240" s="86" t="str">
        <x:v>topology evolution</x:v>
      </x:c>
      <x:c r="C240" s="86" t="str">
        <x:v>state</x:v>
      </x:c>
      <x:c r="D240" s="108" t="n">
        <x:v>3</x:v>
      </x:c>
      <x:c r="E240" s="86" t="str">
        <x:v>T3</x:v>
      </x:c>
      <x:c r="F240" s="86" t="str">
        <x:v>L3</x:v>
      </x:c>
      <x:c r="G240" s="86" t="str">
        <x:v>state-CAL</x:v>
      </x:c>
      <x:c r="H240" s="91" t="str">
        <x:v>OPEN</x:v>
      </x:c>
      <x:c r="I240" s="86" t="str">
        <x:v>topology evolution</x:v>
      </x:c>
    </x:row>
    <x:row r="241">
      <x:c r="A241" s="86" t="str">
        <x:v>ER-236</x:v>
      </x:c>
      <x:c r="B241" s="86" t="str">
        <x:v>topology evolution</x:v>
      </x:c>
      <x:c r="C241" s="86" t="str">
        <x:v>state</x:v>
      </x:c>
      <x:c r="D241" s="108" t="n">
        <x:v>4</x:v>
      </x:c>
      <x:c r="E241" s="86" t="str">
        <x:v>T4</x:v>
      </x:c>
      <x:c r="F241" s="86" t="str">
        <x:v>L4</x:v>
      </x:c>
      <x:c r="G241" s="86" t="str">
        <x:v>state-CAL</x:v>
      </x:c>
      <x:c r="H241" s="91" t="str">
        <x:v>OPEN</x:v>
      </x:c>
      <x:c r="I241" s="86" t="str">
        <x:v>topology evolution</x:v>
      </x:c>
    </x:row>
    <x:row r="242">
      <x:c r="A242" s="86" t="str">
        <x:v>ER-237</x:v>
      </x:c>
      <x:c r="B242" s="86" t="str">
        <x:v>topology evolution</x:v>
      </x:c>
      <x:c r="C242" s="86" t="str">
        <x:v>authority</x:v>
      </x:c>
      <x:c r="D242" s="108" t="n">
        <x:v>1</x:v>
      </x:c>
      <x:c r="E242" s="86" t="str">
        <x:v>T1</x:v>
      </x:c>
      <x:c r="F242" s="86" t="str">
        <x:v>L1</x:v>
      </x:c>
      <x:c r="G242" s="86" t="str">
        <x:v>authority-CAL</x:v>
      </x:c>
      <x:c r="H242" s="91" t="str">
        <x:v>OPEN</x:v>
      </x:c>
      <x:c r="I242" s="86" t="str">
        <x:v>topology evolution</x:v>
      </x:c>
    </x:row>
    <x:row r="243">
      <x:c r="A243" s="86" t="str">
        <x:v>ER-238</x:v>
      </x:c>
      <x:c r="B243" s="86" t="str">
        <x:v>topology evolution</x:v>
      </x:c>
      <x:c r="C243" s="86" t="str">
        <x:v>authority</x:v>
      </x:c>
      <x:c r="D243" s="108" t="n">
        <x:v>2</x:v>
      </x:c>
      <x:c r="E243" s="86" t="str">
        <x:v>T2</x:v>
      </x:c>
      <x:c r="F243" s="86" t="str">
        <x:v>L2</x:v>
      </x:c>
      <x:c r="G243" s="86" t="str">
        <x:v>authority-CAL</x:v>
      </x:c>
      <x:c r="H243" s="91" t="str">
        <x:v>OPEN</x:v>
      </x:c>
      <x:c r="I243" s="86" t="str">
        <x:v>topology evolution</x:v>
      </x:c>
    </x:row>
    <x:row r="244">
      <x:c r="A244" s="86" t="str">
        <x:v>ER-239</x:v>
      </x:c>
      <x:c r="B244" s="86" t="str">
        <x:v>topology evolution</x:v>
      </x:c>
      <x:c r="C244" s="86" t="str">
        <x:v>authority</x:v>
      </x:c>
      <x:c r="D244" s="108" t="n">
        <x:v>3</x:v>
      </x:c>
      <x:c r="E244" s="86" t="str">
        <x:v>T3</x:v>
      </x:c>
      <x:c r="F244" s="86" t="str">
        <x:v>L3</x:v>
      </x:c>
      <x:c r="G244" s="86" t="str">
        <x:v>authority-CAL</x:v>
      </x:c>
      <x:c r="H244" s="91" t="str">
        <x:v>OPEN</x:v>
      </x:c>
      <x:c r="I244" s="86" t="str">
        <x:v>topology evolution</x:v>
      </x:c>
    </x:row>
    <x:row r="245">
      <x:c r="A245" s="86" t="str">
        <x:v>ER-240</x:v>
      </x:c>
      <x:c r="B245" s="86" t="str">
        <x:v>topology evolution</x:v>
      </x:c>
      <x:c r="C245" s="86" t="str">
        <x:v>authority</x:v>
      </x:c>
      <x:c r="D245" s="108" t="n">
        <x:v>4</x:v>
      </x:c>
      <x:c r="E245" s="86" t="str">
        <x:v>T4</x:v>
      </x:c>
      <x:c r="F245" s="86" t="str">
        <x:v>L4</x:v>
      </x:c>
      <x:c r="G245" s="86" t="str">
        <x:v>authority-CAL</x:v>
      </x:c>
      <x:c r="H245" s="91" t="str">
        <x:v>OPEN</x:v>
      </x:c>
      <x:c r="I245" s="86" t="str">
        <x:v>topology evolution</x:v>
      </x:c>
    </x:row>
    <x:row r="246">
      <x:c r="A246" s="86" t="str">
        <x:v>ER-241</x:v>
      </x:c>
      <x:c r="B246" s="86" t="str">
        <x:v>topology evolution</x:v>
      </x:c>
      <x:c r="C246" s="86" t="str">
        <x:v>calibration</x:v>
      </x:c>
      <x:c r="D246" s="108" t="n">
        <x:v>1</x:v>
      </x:c>
      <x:c r="E246" s="86" t="str">
        <x:v>T1</x:v>
      </x:c>
      <x:c r="F246" s="86" t="str">
        <x:v>L1</x:v>
      </x:c>
      <x:c r="G246" s="86" t="str">
        <x:v>calibration-CAL</x:v>
      </x:c>
      <x:c r="H246" s="91" t="str">
        <x:v>OPEN</x:v>
      </x:c>
      <x:c r="I246" s="86" t="str">
        <x:v>topology evolution</x:v>
      </x:c>
    </x:row>
    <x:row r="247">
      <x:c r="A247" s="86" t="str">
        <x:v>ER-242</x:v>
      </x:c>
      <x:c r="B247" s="86" t="str">
        <x:v>topology evolution</x:v>
      </x:c>
      <x:c r="C247" s="86" t="str">
        <x:v>calibration</x:v>
      </x:c>
      <x:c r="D247" s="108" t="n">
        <x:v>2</x:v>
      </x:c>
      <x:c r="E247" s="86" t="str">
        <x:v>T2</x:v>
      </x:c>
      <x:c r="F247" s="86" t="str">
        <x:v>L2</x:v>
      </x:c>
      <x:c r="G247" s="86" t="str">
        <x:v>calibration-CAL</x:v>
      </x:c>
      <x:c r="H247" s="91" t="str">
        <x:v>OPEN</x:v>
      </x:c>
      <x:c r="I247" s="86" t="str">
        <x:v>topology evolution</x:v>
      </x:c>
    </x:row>
    <x:row r="248">
      <x:c r="A248" s="86" t="str">
        <x:v>ER-243</x:v>
      </x:c>
      <x:c r="B248" s="86" t="str">
        <x:v>topology evolution</x:v>
      </x:c>
      <x:c r="C248" s="86" t="str">
        <x:v>calibration</x:v>
      </x:c>
      <x:c r="D248" s="108" t="n">
        <x:v>3</x:v>
      </x:c>
      <x:c r="E248" s="86" t="str">
        <x:v>T3</x:v>
      </x:c>
      <x:c r="F248" s="86" t="str">
        <x:v>L3</x:v>
      </x:c>
      <x:c r="G248" s="86" t="str">
        <x:v>calibration-CAL</x:v>
      </x:c>
      <x:c r="H248" s="91" t="str">
        <x:v>OPEN</x:v>
      </x:c>
      <x:c r="I248" s="86" t="str">
        <x:v>topology evolution</x:v>
      </x:c>
    </x:row>
    <x:row r="249">
      <x:c r="A249" s="86" t="str">
        <x:v>ER-244</x:v>
      </x:c>
      <x:c r="B249" s="86" t="str">
        <x:v>topology evolution</x:v>
      </x:c>
      <x:c r="C249" s="86" t="str">
        <x:v>calibration</x:v>
      </x:c>
      <x:c r="D249" s="108" t="n">
        <x:v>4</x:v>
      </x:c>
      <x:c r="E249" s="86" t="str">
        <x:v>T4</x:v>
      </x:c>
      <x:c r="F249" s="86" t="str">
        <x:v>L4</x:v>
      </x:c>
      <x:c r="G249" s="86" t="str">
        <x:v>calibration-CAL</x:v>
      </x:c>
      <x:c r="H249" s="91" t="str">
        <x:v>OPEN</x:v>
      </x:c>
      <x:c r="I249" s="86" t="str">
        <x:v>topology evolution</x:v>
      </x:c>
    </x:row>
    <x:row r="250">
      <x:c r="A250" s="86" t="str">
        <x:v>ER-245</x:v>
      </x:c>
      <x:c r="B250" s="86" t="str">
        <x:v>topology evolution</x:v>
      </x:c>
      <x:c r="C250" s="86" t="str">
        <x:v>causal time</x:v>
      </x:c>
      <x:c r="D250" s="108" t="n">
        <x:v>1</x:v>
      </x:c>
      <x:c r="E250" s="86" t="str">
        <x:v>T1</x:v>
      </x:c>
      <x:c r="F250" s="86" t="str">
        <x:v>L1</x:v>
      </x:c>
      <x:c r="G250" s="86" t="str">
        <x:v>causal time-CAL</x:v>
      </x:c>
      <x:c r="H250" s="91" t="str">
        <x:v>OPEN</x:v>
      </x:c>
      <x:c r="I250" s="86" t="str">
        <x:v>topology evolution</x:v>
      </x:c>
    </x:row>
    <x:row r="251">
      <x:c r="A251" s="86" t="str">
        <x:v>ER-246</x:v>
      </x:c>
      <x:c r="B251" s="86" t="str">
        <x:v>topology evolution</x:v>
      </x:c>
      <x:c r="C251" s="86" t="str">
        <x:v>causal time</x:v>
      </x:c>
      <x:c r="D251" s="108" t="n">
        <x:v>2</x:v>
      </x:c>
      <x:c r="E251" s="86" t="str">
        <x:v>T2</x:v>
      </x:c>
      <x:c r="F251" s="86" t="str">
        <x:v>L2</x:v>
      </x:c>
      <x:c r="G251" s="86" t="str">
        <x:v>causal time-CAL</x:v>
      </x:c>
      <x:c r="H251" s="91" t="str">
        <x:v>OPEN</x:v>
      </x:c>
      <x:c r="I251" s="86" t="str">
        <x:v>topology evolution</x:v>
      </x:c>
    </x:row>
    <x:row r="252">
      <x:c r="A252" s="86" t="str">
        <x:v>ER-247</x:v>
      </x:c>
      <x:c r="B252" s="86" t="str">
        <x:v>topology evolution</x:v>
      </x:c>
      <x:c r="C252" s="86" t="str">
        <x:v>causal time</x:v>
      </x:c>
      <x:c r="D252" s="108" t="n">
        <x:v>3</x:v>
      </x:c>
      <x:c r="E252" s="86" t="str">
        <x:v>T3</x:v>
      </x:c>
      <x:c r="F252" s="86" t="str">
        <x:v>L3</x:v>
      </x:c>
      <x:c r="G252" s="86" t="str">
        <x:v>causal time-CAL</x:v>
      </x:c>
      <x:c r="H252" s="91" t="str">
        <x:v>OPEN</x:v>
      </x:c>
      <x:c r="I252" s="86" t="str">
        <x:v>topology evolution</x:v>
      </x:c>
    </x:row>
    <x:row r="253">
      <x:c r="A253" s="86" t="str">
        <x:v>ER-248</x:v>
      </x:c>
      <x:c r="B253" s="86" t="str">
        <x:v>topology evolution</x:v>
      </x:c>
      <x:c r="C253" s="86" t="str">
        <x:v>causal time</x:v>
      </x:c>
      <x:c r="D253" s="108" t="n">
        <x:v>4</x:v>
      </x:c>
      <x:c r="E253" s="86" t="str">
        <x:v>T4</x:v>
      </x:c>
      <x:c r="F253" s="86" t="str">
        <x:v>L4</x:v>
      </x:c>
      <x:c r="G253" s="86" t="str">
        <x:v>causal time-CAL</x:v>
      </x:c>
      <x:c r="H253" s="91" t="str">
        <x:v>OPEN</x:v>
      </x:c>
      <x:c r="I253" s="86" t="str">
        <x:v>topology evolution</x:v>
      </x:c>
    </x:row>
    <x:row r="254">
      <x:c r="A254" s="86" t="str">
        <x:v>ER-249</x:v>
      </x:c>
      <x:c r="B254" s="86" t="str">
        <x:v>topology evolution</x:v>
      </x:c>
      <x:c r="C254" s="86" t="str">
        <x:v>custody</x:v>
      </x:c>
      <x:c r="D254" s="108" t="n">
        <x:v>1</x:v>
      </x:c>
      <x:c r="E254" s="86" t="str">
        <x:v>T1</x:v>
      </x:c>
      <x:c r="F254" s="86" t="str">
        <x:v>L1</x:v>
      </x:c>
      <x:c r="G254" s="86" t="str">
        <x:v>custody-CAL</x:v>
      </x:c>
      <x:c r="H254" s="91" t="str">
        <x:v>OPEN</x:v>
      </x:c>
      <x:c r="I254" s="86" t="str">
        <x:v>topology evolution</x:v>
      </x:c>
    </x:row>
    <x:row r="255">
      <x:c r="A255" s="86" t="str">
        <x:v>ER-250</x:v>
      </x:c>
      <x:c r="B255" s="86" t="str">
        <x:v>topology evolution</x:v>
      </x:c>
      <x:c r="C255" s="86" t="str">
        <x:v>custody</x:v>
      </x:c>
      <x:c r="D255" s="108" t="n">
        <x:v>2</x:v>
      </x:c>
      <x:c r="E255" s="86" t="str">
        <x:v>T2</x:v>
      </x:c>
      <x:c r="F255" s="86" t="str">
        <x:v>L2</x:v>
      </x:c>
      <x:c r="G255" s="86" t="str">
        <x:v>custody-CAL</x:v>
      </x:c>
      <x:c r="H255" s="91" t="str">
        <x:v>OPEN</x:v>
      </x:c>
      <x:c r="I255" s="86" t="str">
        <x:v>topology evolution</x:v>
      </x:c>
    </x:row>
    <x:row r="256">
      <x:c r="A256" s="86" t="str">
        <x:v>ER-251</x:v>
      </x:c>
      <x:c r="B256" s="86" t="str">
        <x:v>topology evolution</x:v>
      </x:c>
      <x:c r="C256" s="86" t="str">
        <x:v>custody</x:v>
      </x:c>
      <x:c r="D256" s="108" t="n">
        <x:v>3</x:v>
      </x:c>
      <x:c r="E256" s="86" t="str">
        <x:v>T3</x:v>
      </x:c>
      <x:c r="F256" s="86" t="str">
        <x:v>L3</x:v>
      </x:c>
      <x:c r="G256" s="86" t="str">
        <x:v>custody-CAL</x:v>
      </x:c>
      <x:c r="H256" s="91" t="str">
        <x:v>OPEN</x:v>
      </x:c>
      <x:c r="I256" s="86" t="str">
        <x:v>topology evolution</x:v>
      </x:c>
    </x:row>
    <x:row r="257">
      <x:c r="A257" s="86" t="str">
        <x:v>ER-252</x:v>
      </x:c>
      <x:c r="B257" s="86" t="str">
        <x:v>topology evolution</x:v>
      </x:c>
      <x:c r="C257" s="86" t="str">
        <x:v>custody</x:v>
      </x:c>
      <x:c r="D257" s="108" t="n">
        <x:v>4</x:v>
      </x:c>
      <x:c r="E257" s="86" t="str">
        <x:v>T4</x:v>
      </x:c>
      <x:c r="F257" s="86" t="str">
        <x:v>L4</x:v>
      </x:c>
      <x:c r="G257" s="86" t="str">
        <x:v>custody-CAL</x:v>
      </x:c>
      <x:c r="H257" s="91" t="str">
        <x:v>OPEN</x:v>
      </x:c>
      <x:c r="I257" s="86" t="str">
        <x:v>topology evolution</x:v>
      </x:c>
    </x:row>
    <x:row r="258">
      <x:c r="A258" s="86" t="str">
        <x:v>ER-253</x:v>
      </x:c>
      <x:c r="B258" s="86" t="str">
        <x:v>topology evolution</x:v>
      </x:c>
      <x:c r="C258" s="86" t="str">
        <x:v>reconstruction</x:v>
      </x:c>
      <x:c r="D258" s="108" t="n">
        <x:v>1</x:v>
      </x:c>
      <x:c r="E258" s="86" t="str">
        <x:v>T1</x:v>
      </x:c>
      <x:c r="F258" s="86" t="str">
        <x:v>L1</x:v>
      </x:c>
      <x:c r="G258" s="86" t="str">
        <x:v>reconstruction-CAL</x:v>
      </x:c>
      <x:c r="H258" s="91" t="str">
        <x:v>OPEN</x:v>
      </x:c>
      <x:c r="I258" s="86" t="str">
        <x:v>topology evolution</x:v>
      </x:c>
    </x:row>
    <x:row r="259">
      <x:c r="A259" s="86" t="str">
        <x:v>ER-254</x:v>
      </x:c>
      <x:c r="B259" s="86" t="str">
        <x:v>topology evolution</x:v>
      </x:c>
      <x:c r="C259" s="86" t="str">
        <x:v>reconstruction</x:v>
      </x:c>
      <x:c r="D259" s="108" t="n">
        <x:v>2</x:v>
      </x:c>
      <x:c r="E259" s="86" t="str">
        <x:v>T2</x:v>
      </x:c>
      <x:c r="F259" s="86" t="str">
        <x:v>L2</x:v>
      </x:c>
      <x:c r="G259" s="86" t="str">
        <x:v>reconstruction-CAL</x:v>
      </x:c>
      <x:c r="H259" s="91" t="str">
        <x:v>OPEN</x:v>
      </x:c>
      <x:c r="I259" s="86" t="str">
        <x:v>topology evolution</x:v>
      </x:c>
    </x:row>
    <x:row r="260">
      <x:c r="A260" s="86" t="str">
        <x:v>ER-255</x:v>
      </x:c>
      <x:c r="B260" s="86" t="str">
        <x:v>topology evolution</x:v>
      </x:c>
      <x:c r="C260" s="86" t="str">
        <x:v>reconstruction</x:v>
      </x:c>
      <x:c r="D260" s="108" t="n">
        <x:v>3</x:v>
      </x:c>
      <x:c r="E260" s="86" t="str">
        <x:v>T3</x:v>
      </x:c>
      <x:c r="F260" s="86" t="str">
        <x:v>L3</x:v>
      </x:c>
      <x:c r="G260" s="86" t="str">
        <x:v>reconstruction-CAL</x:v>
      </x:c>
      <x:c r="H260" s="91" t="str">
        <x:v>OPEN</x:v>
      </x:c>
      <x:c r="I260" s="86" t="str">
        <x:v>topology evolution</x:v>
      </x:c>
    </x:row>
    <x:row r="261">
      <x:c r="A261" s="86" t="str">
        <x:v>ER-256</x:v>
      </x:c>
      <x:c r="B261" s="86" t="str">
        <x:v>topology evolution</x:v>
      </x:c>
      <x:c r="C261" s="86" t="str">
        <x:v>reconstruction</x:v>
      </x:c>
      <x:c r="D261" s="108" t="n">
        <x:v>4</x:v>
      </x:c>
      <x:c r="E261" s="86" t="str">
        <x:v>T4</x:v>
      </x:c>
      <x:c r="F261" s="86" t="str">
        <x:v>L4</x:v>
      </x:c>
      <x:c r="G261" s="86" t="str">
        <x:v>reconstruction-CAL</x:v>
      </x:c>
      <x:c r="H261" s="91" t="str">
        <x:v>OPEN</x:v>
      </x:c>
      <x:c r="I261" s="86" t="str">
        <x:v>topology evolution</x:v>
      </x:c>
    </x:row>
    <x:row r="262">
      <x:c r="A262" s="86" t="str">
        <x:v>ER-257</x:v>
      </x:c>
      <x:c r="B262" s="86" t="str">
        <x:v>transformation</x:v>
      </x:c>
      <x:c r="C262" s="86" t="str">
        <x:v>identity</x:v>
      </x:c>
      <x:c r="D262" s="108" t="n">
        <x:v>1</x:v>
      </x:c>
      <x:c r="E262" s="86" t="str">
        <x:v>T1</x:v>
      </x:c>
      <x:c r="F262" s="86" t="str">
        <x:v>L1</x:v>
      </x:c>
      <x:c r="G262" s="86" t="str">
        <x:v>identity-CAL</x:v>
      </x:c>
      <x:c r="H262" s="91" t="str">
        <x:v>OPEN</x:v>
      </x:c>
      <x:c r="I262" s="86" t="str">
        <x:v>transformation</x:v>
      </x:c>
    </x:row>
    <x:row r="263">
      <x:c r="A263" s="86" t="str">
        <x:v>ER-258</x:v>
      </x:c>
      <x:c r="B263" s="86" t="str">
        <x:v>transformation</x:v>
      </x:c>
      <x:c r="C263" s="86" t="str">
        <x:v>identity</x:v>
      </x:c>
      <x:c r="D263" s="108" t="n">
        <x:v>2</x:v>
      </x:c>
      <x:c r="E263" s="86" t="str">
        <x:v>T2</x:v>
      </x:c>
      <x:c r="F263" s="86" t="str">
        <x:v>L2</x:v>
      </x:c>
      <x:c r="G263" s="86" t="str">
        <x:v>identity-CAL</x:v>
      </x:c>
      <x:c r="H263" s="91" t="str">
        <x:v>OPEN</x:v>
      </x:c>
      <x:c r="I263" s="86" t="str">
        <x:v>transformation</x:v>
      </x:c>
    </x:row>
    <x:row r="264">
      <x:c r="A264" s="86" t="str">
        <x:v>ER-259</x:v>
      </x:c>
      <x:c r="B264" s="86" t="str">
        <x:v>transformation</x:v>
      </x:c>
      <x:c r="C264" s="86" t="str">
        <x:v>identity</x:v>
      </x:c>
      <x:c r="D264" s="108" t="n">
        <x:v>3</x:v>
      </x:c>
      <x:c r="E264" s="86" t="str">
        <x:v>T3</x:v>
      </x:c>
      <x:c r="F264" s="86" t="str">
        <x:v>L3</x:v>
      </x:c>
      <x:c r="G264" s="86" t="str">
        <x:v>identity-CAL</x:v>
      </x:c>
      <x:c r="H264" s="91" t="str">
        <x:v>OPEN</x:v>
      </x:c>
      <x:c r="I264" s="86" t="str">
        <x:v>transformation</x:v>
      </x:c>
    </x:row>
    <x:row r="265">
      <x:c r="A265" s="86" t="str">
        <x:v>ER-260</x:v>
      </x:c>
      <x:c r="B265" s="86" t="str">
        <x:v>transformation</x:v>
      </x:c>
      <x:c r="C265" s="86" t="str">
        <x:v>identity</x:v>
      </x:c>
      <x:c r="D265" s="108" t="n">
        <x:v>4</x:v>
      </x:c>
      <x:c r="E265" s="86" t="str">
        <x:v>T4</x:v>
      </x:c>
      <x:c r="F265" s="86" t="str">
        <x:v>L4</x:v>
      </x:c>
      <x:c r="G265" s="86" t="str">
        <x:v>identity-CAL</x:v>
      </x:c>
      <x:c r="H265" s="91" t="str">
        <x:v>OPEN</x:v>
      </x:c>
      <x:c r="I265" s="86" t="str">
        <x:v>transformation</x:v>
      </x:c>
    </x:row>
    <x:row r="266">
      <x:c r="A266" s="86" t="str">
        <x:v>ER-261</x:v>
      </x:c>
      <x:c r="B266" s="86" t="str">
        <x:v>transformation</x:v>
      </x:c>
      <x:c r="C266" s="86" t="str">
        <x:v>capacity</x:v>
      </x:c>
      <x:c r="D266" s="108" t="n">
        <x:v>1</x:v>
      </x:c>
      <x:c r="E266" s="86" t="str">
        <x:v>T1</x:v>
      </x:c>
      <x:c r="F266" s="86" t="str">
        <x:v>L1</x:v>
      </x:c>
      <x:c r="G266" s="86" t="str">
        <x:v>capacity-CAL</x:v>
      </x:c>
      <x:c r="H266" s="91" t="str">
        <x:v>OPEN</x:v>
      </x:c>
      <x:c r="I266" s="86" t="str">
        <x:v>transformation</x:v>
      </x:c>
    </x:row>
    <x:row r="267">
      <x:c r="A267" s="86" t="str">
        <x:v>ER-262</x:v>
      </x:c>
      <x:c r="B267" s="86" t="str">
        <x:v>transformation</x:v>
      </x:c>
      <x:c r="C267" s="86" t="str">
        <x:v>capacity</x:v>
      </x:c>
      <x:c r="D267" s="108" t="n">
        <x:v>2</x:v>
      </x:c>
      <x:c r="E267" s="86" t="str">
        <x:v>T2</x:v>
      </x:c>
      <x:c r="F267" s="86" t="str">
        <x:v>L2</x:v>
      </x:c>
      <x:c r="G267" s="86" t="str">
        <x:v>capacity-CAL</x:v>
      </x:c>
      <x:c r="H267" s="91" t="str">
        <x:v>OPEN</x:v>
      </x:c>
      <x:c r="I267" s="86" t="str">
        <x:v>transformation</x:v>
      </x:c>
    </x:row>
    <x:row r="268">
      <x:c r="A268" s="86" t="str">
        <x:v>ER-263</x:v>
      </x:c>
      <x:c r="B268" s="86" t="str">
        <x:v>transformation</x:v>
      </x:c>
      <x:c r="C268" s="86" t="str">
        <x:v>capacity</x:v>
      </x:c>
      <x:c r="D268" s="108" t="n">
        <x:v>3</x:v>
      </x:c>
      <x:c r="E268" s="86" t="str">
        <x:v>T3</x:v>
      </x:c>
      <x:c r="F268" s="86" t="str">
        <x:v>L3</x:v>
      </x:c>
      <x:c r="G268" s="86" t="str">
        <x:v>capacity-CAL</x:v>
      </x:c>
      <x:c r="H268" s="91" t="str">
        <x:v>OPEN</x:v>
      </x:c>
      <x:c r="I268" s="86" t="str">
        <x:v>transformation</x:v>
      </x:c>
    </x:row>
    <x:row r="269">
      <x:c r="A269" s="86" t="str">
        <x:v>ER-264</x:v>
      </x:c>
      <x:c r="B269" s="86" t="str">
        <x:v>transformation</x:v>
      </x:c>
      <x:c r="C269" s="86" t="str">
        <x:v>capacity</x:v>
      </x:c>
      <x:c r="D269" s="108" t="n">
        <x:v>4</x:v>
      </x:c>
      <x:c r="E269" s="86" t="str">
        <x:v>T4</x:v>
      </x:c>
      <x:c r="F269" s="86" t="str">
        <x:v>L4</x:v>
      </x:c>
      <x:c r="G269" s="86" t="str">
        <x:v>capacity-CAL</x:v>
      </x:c>
      <x:c r="H269" s="91" t="str">
        <x:v>OPEN</x:v>
      </x:c>
      <x:c r="I269" s="86" t="str">
        <x:v>transformation</x:v>
      </x:c>
    </x:row>
    <x:row r="270">
      <x:c r="A270" s="86" t="str">
        <x:v>ER-265</x:v>
      </x:c>
      <x:c r="B270" s="86" t="str">
        <x:v>transformation</x:v>
      </x:c>
      <x:c r="C270" s="86" t="str">
        <x:v>state</x:v>
      </x:c>
      <x:c r="D270" s="108" t="n">
        <x:v>1</x:v>
      </x:c>
      <x:c r="E270" s="86" t="str">
        <x:v>T1</x:v>
      </x:c>
      <x:c r="F270" s="86" t="str">
        <x:v>L1</x:v>
      </x:c>
      <x:c r="G270" s="86" t="str">
        <x:v>state-CAL</x:v>
      </x:c>
      <x:c r="H270" s="91" t="str">
        <x:v>OPEN</x:v>
      </x:c>
      <x:c r="I270" s="86" t="str">
        <x:v>transformation</x:v>
      </x:c>
    </x:row>
    <x:row r="271">
      <x:c r="A271" s="86" t="str">
        <x:v>ER-266</x:v>
      </x:c>
      <x:c r="B271" s="86" t="str">
        <x:v>transformation</x:v>
      </x:c>
      <x:c r="C271" s="86" t="str">
        <x:v>state</x:v>
      </x:c>
      <x:c r="D271" s="108" t="n">
        <x:v>2</x:v>
      </x:c>
      <x:c r="E271" s="86" t="str">
        <x:v>T2</x:v>
      </x:c>
      <x:c r="F271" s="86" t="str">
        <x:v>L2</x:v>
      </x:c>
      <x:c r="G271" s="86" t="str">
        <x:v>state-CAL</x:v>
      </x:c>
      <x:c r="H271" s="91" t="str">
        <x:v>OPEN</x:v>
      </x:c>
      <x:c r="I271" s="86" t="str">
        <x:v>transformation</x:v>
      </x:c>
    </x:row>
    <x:row r="272">
      <x:c r="A272" s="86" t="str">
        <x:v>ER-267</x:v>
      </x:c>
      <x:c r="B272" s="86" t="str">
        <x:v>transformation</x:v>
      </x:c>
      <x:c r="C272" s="86" t="str">
        <x:v>state</x:v>
      </x:c>
      <x:c r="D272" s="108" t="n">
        <x:v>3</x:v>
      </x:c>
      <x:c r="E272" s="86" t="str">
        <x:v>T3</x:v>
      </x:c>
      <x:c r="F272" s="86" t="str">
        <x:v>L3</x:v>
      </x:c>
      <x:c r="G272" s="86" t="str">
        <x:v>state-CAL</x:v>
      </x:c>
      <x:c r="H272" s="91" t="str">
        <x:v>OPEN</x:v>
      </x:c>
      <x:c r="I272" s="86" t="str">
        <x:v>transformation</x:v>
      </x:c>
    </x:row>
    <x:row r="273">
      <x:c r="A273" s="86" t="str">
        <x:v>ER-268</x:v>
      </x:c>
      <x:c r="B273" s="86" t="str">
        <x:v>transformation</x:v>
      </x:c>
      <x:c r="C273" s="86" t="str">
        <x:v>state</x:v>
      </x:c>
      <x:c r="D273" s="108" t="n">
        <x:v>4</x:v>
      </x:c>
      <x:c r="E273" s="86" t="str">
        <x:v>T4</x:v>
      </x:c>
      <x:c r="F273" s="86" t="str">
        <x:v>L4</x:v>
      </x:c>
      <x:c r="G273" s="86" t="str">
        <x:v>state-CAL</x:v>
      </x:c>
      <x:c r="H273" s="91" t="str">
        <x:v>OPEN</x:v>
      </x:c>
      <x:c r="I273" s="86" t="str">
        <x:v>transformation</x:v>
      </x:c>
    </x:row>
    <x:row r="274">
      <x:c r="A274" s="86" t="str">
        <x:v>ER-269</x:v>
      </x:c>
      <x:c r="B274" s="86" t="str">
        <x:v>transformation</x:v>
      </x:c>
      <x:c r="C274" s="86" t="str">
        <x:v>authority</x:v>
      </x:c>
      <x:c r="D274" s="108" t="n">
        <x:v>1</x:v>
      </x:c>
      <x:c r="E274" s="86" t="str">
        <x:v>T1</x:v>
      </x:c>
      <x:c r="F274" s="86" t="str">
        <x:v>L1</x:v>
      </x:c>
      <x:c r="G274" s="86" t="str">
        <x:v>authority-CAL</x:v>
      </x:c>
      <x:c r="H274" s="91" t="str">
        <x:v>OPEN</x:v>
      </x:c>
      <x:c r="I274" s="86" t="str">
        <x:v>transformation</x:v>
      </x:c>
    </x:row>
    <x:row r="275">
      <x:c r="A275" s="86" t="str">
        <x:v>ER-270</x:v>
      </x:c>
      <x:c r="B275" s="86" t="str">
        <x:v>transformation</x:v>
      </x:c>
      <x:c r="C275" s="86" t="str">
        <x:v>authority</x:v>
      </x:c>
      <x:c r="D275" s="108" t="n">
        <x:v>2</x:v>
      </x:c>
      <x:c r="E275" s="86" t="str">
        <x:v>T2</x:v>
      </x:c>
      <x:c r="F275" s="86" t="str">
        <x:v>L2</x:v>
      </x:c>
      <x:c r="G275" s="86" t="str">
        <x:v>authority-CAL</x:v>
      </x:c>
      <x:c r="H275" s="91" t="str">
        <x:v>OPEN</x:v>
      </x:c>
      <x:c r="I275" s="86" t="str">
        <x:v>transformation</x:v>
      </x:c>
    </x:row>
    <x:row r="276">
      <x:c r="A276" s="86" t="str">
        <x:v>ER-271</x:v>
      </x:c>
      <x:c r="B276" s="86" t="str">
        <x:v>transformation</x:v>
      </x:c>
      <x:c r="C276" s="86" t="str">
        <x:v>authority</x:v>
      </x:c>
      <x:c r="D276" s="108" t="n">
        <x:v>3</x:v>
      </x:c>
      <x:c r="E276" s="86" t="str">
        <x:v>T3</x:v>
      </x:c>
      <x:c r="F276" s="86" t="str">
        <x:v>L3</x:v>
      </x:c>
      <x:c r="G276" s="86" t="str">
        <x:v>authority-CAL</x:v>
      </x:c>
      <x:c r="H276" s="91" t="str">
        <x:v>OPEN</x:v>
      </x:c>
      <x:c r="I276" s="86" t="str">
        <x:v>transformation</x:v>
      </x:c>
    </x:row>
    <x:row r="277">
      <x:c r="A277" s="86" t="str">
        <x:v>ER-272</x:v>
      </x:c>
      <x:c r="B277" s="86" t="str">
        <x:v>transformation</x:v>
      </x:c>
      <x:c r="C277" s="86" t="str">
        <x:v>authority</x:v>
      </x:c>
      <x:c r="D277" s="108" t="n">
        <x:v>4</x:v>
      </x:c>
      <x:c r="E277" s="86" t="str">
        <x:v>T4</x:v>
      </x:c>
      <x:c r="F277" s="86" t="str">
        <x:v>L4</x:v>
      </x:c>
      <x:c r="G277" s="86" t="str">
        <x:v>authority-CAL</x:v>
      </x:c>
      <x:c r="H277" s="91" t="str">
        <x:v>OPEN</x:v>
      </x:c>
      <x:c r="I277" s="86" t="str">
        <x:v>transformation</x:v>
      </x:c>
    </x:row>
    <x:row r="278">
      <x:c r="A278" s="86" t="str">
        <x:v>ER-273</x:v>
      </x:c>
      <x:c r="B278" s="86" t="str">
        <x:v>transformation</x:v>
      </x:c>
      <x:c r="C278" s="86" t="str">
        <x:v>calibration</x:v>
      </x:c>
      <x:c r="D278" s="108" t="n">
        <x:v>1</x:v>
      </x:c>
      <x:c r="E278" s="86" t="str">
        <x:v>T1</x:v>
      </x:c>
      <x:c r="F278" s="86" t="str">
        <x:v>L1</x:v>
      </x:c>
      <x:c r="G278" s="86" t="str">
        <x:v>calibration-CAL</x:v>
      </x:c>
      <x:c r="H278" s="91" t="str">
        <x:v>OPEN</x:v>
      </x:c>
      <x:c r="I278" s="86" t="str">
        <x:v>transformation</x:v>
      </x:c>
    </x:row>
    <x:row r="279">
      <x:c r="A279" s="86" t="str">
        <x:v>ER-274</x:v>
      </x:c>
      <x:c r="B279" s="86" t="str">
        <x:v>transformation</x:v>
      </x:c>
      <x:c r="C279" s="86" t="str">
        <x:v>calibration</x:v>
      </x:c>
      <x:c r="D279" s="108" t="n">
        <x:v>2</x:v>
      </x:c>
      <x:c r="E279" s="86" t="str">
        <x:v>T2</x:v>
      </x:c>
      <x:c r="F279" s="86" t="str">
        <x:v>L2</x:v>
      </x:c>
      <x:c r="G279" s="86" t="str">
        <x:v>calibration-CAL</x:v>
      </x:c>
      <x:c r="H279" s="91" t="str">
        <x:v>OPEN</x:v>
      </x:c>
      <x:c r="I279" s="86" t="str">
        <x:v>transformation</x:v>
      </x:c>
    </x:row>
    <x:row r="280">
      <x:c r="A280" s="86" t="str">
        <x:v>ER-275</x:v>
      </x:c>
      <x:c r="B280" s="86" t="str">
        <x:v>transformation</x:v>
      </x:c>
      <x:c r="C280" s="86" t="str">
        <x:v>calibration</x:v>
      </x:c>
      <x:c r="D280" s="108" t="n">
        <x:v>3</x:v>
      </x:c>
      <x:c r="E280" s="86" t="str">
        <x:v>T3</x:v>
      </x:c>
      <x:c r="F280" s="86" t="str">
        <x:v>L3</x:v>
      </x:c>
      <x:c r="G280" s="86" t="str">
        <x:v>calibration-CAL</x:v>
      </x:c>
      <x:c r="H280" s="91" t="str">
        <x:v>OPEN</x:v>
      </x:c>
      <x:c r="I280" s="86" t="str">
        <x:v>transformation</x:v>
      </x:c>
    </x:row>
    <x:row r="281">
      <x:c r="A281" s="86" t="str">
        <x:v>ER-276</x:v>
      </x:c>
      <x:c r="B281" s="86" t="str">
        <x:v>transformation</x:v>
      </x:c>
      <x:c r="C281" s="86" t="str">
        <x:v>calibration</x:v>
      </x:c>
      <x:c r="D281" s="108" t="n">
        <x:v>4</x:v>
      </x:c>
      <x:c r="E281" s="86" t="str">
        <x:v>T4</x:v>
      </x:c>
      <x:c r="F281" s="86" t="str">
        <x:v>L4</x:v>
      </x:c>
      <x:c r="G281" s="86" t="str">
        <x:v>calibration-CAL</x:v>
      </x:c>
      <x:c r="H281" s="91" t="str">
        <x:v>OPEN</x:v>
      </x:c>
      <x:c r="I281" s="86" t="str">
        <x:v>transformation</x:v>
      </x:c>
    </x:row>
    <x:row r="282">
      <x:c r="A282" s="86" t="str">
        <x:v>ER-277</x:v>
      </x:c>
      <x:c r="B282" s="86" t="str">
        <x:v>transformation</x:v>
      </x:c>
      <x:c r="C282" s="86" t="str">
        <x:v>causal time</x:v>
      </x:c>
      <x:c r="D282" s="108" t="n">
        <x:v>1</x:v>
      </x:c>
      <x:c r="E282" s="86" t="str">
        <x:v>T1</x:v>
      </x:c>
      <x:c r="F282" s="86" t="str">
        <x:v>L1</x:v>
      </x:c>
      <x:c r="G282" s="86" t="str">
        <x:v>causal time-CAL</x:v>
      </x:c>
      <x:c r="H282" s="91" t="str">
        <x:v>OPEN</x:v>
      </x:c>
      <x:c r="I282" s="86" t="str">
        <x:v>transformation</x:v>
      </x:c>
    </x:row>
    <x:row r="283">
      <x:c r="A283" s="86" t="str">
        <x:v>ER-278</x:v>
      </x:c>
      <x:c r="B283" s="86" t="str">
        <x:v>transformation</x:v>
      </x:c>
      <x:c r="C283" s="86" t="str">
        <x:v>causal time</x:v>
      </x:c>
      <x:c r="D283" s="108" t="n">
        <x:v>2</x:v>
      </x:c>
      <x:c r="E283" s="86" t="str">
        <x:v>T2</x:v>
      </x:c>
      <x:c r="F283" s="86" t="str">
        <x:v>L2</x:v>
      </x:c>
      <x:c r="G283" s="86" t="str">
        <x:v>causal time-CAL</x:v>
      </x:c>
      <x:c r="H283" s="91" t="str">
        <x:v>OPEN</x:v>
      </x:c>
      <x:c r="I283" s="86" t="str">
        <x:v>transformation</x:v>
      </x:c>
    </x:row>
    <x:row r="284">
      <x:c r="A284" s="86" t="str">
        <x:v>ER-279</x:v>
      </x:c>
      <x:c r="B284" s="86" t="str">
        <x:v>transformation</x:v>
      </x:c>
      <x:c r="C284" s="86" t="str">
        <x:v>causal time</x:v>
      </x:c>
      <x:c r="D284" s="108" t="n">
        <x:v>3</x:v>
      </x:c>
      <x:c r="E284" s="86" t="str">
        <x:v>T3</x:v>
      </x:c>
      <x:c r="F284" s="86" t="str">
        <x:v>L3</x:v>
      </x:c>
      <x:c r="G284" s="86" t="str">
        <x:v>causal time-CAL</x:v>
      </x:c>
      <x:c r="H284" s="91" t="str">
        <x:v>OPEN</x:v>
      </x:c>
      <x:c r="I284" s="86" t="str">
        <x:v>transformation</x:v>
      </x:c>
    </x:row>
    <x:row r="285">
      <x:c r="A285" s="86" t="str">
        <x:v>ER-280</x:v>
      </x:c>
      <x:c r="B285" s="86" t="str">
        <x:v>transformation</x:v>
      </x:c>
      <x:c r="C285" s="86" t="str">
        <x:v>causal time</x:v>
      </x:c>
      <x:c r="D285" s="108" t="n">
        <x:v>4</x:v>
      </x:c>
      <x:c r="E285" s="86" t="str">
        <x:v>T4</x:v>
      </x:c>
      <x:c r="F285" s="86" t="str">
        <x:v>L4</x:v>
      </x:c>
      <x:c r="G285" s="86" t="str">
        <x:v>causal time-CAL</x:v>
      </x:c>
      <x:c r="H285" s="91" t="str">
        <x:v>OPEN</x:v>
      </x:c>
      <x:c r="I285" s="86" t="str">
        <x:v>transformation</x:v>
      </x:c>
    </x:row>
    <x:row r="286">
      <x:c r="A286" s="86" t="str">
        <x:v>ER-281</x:v>
      </x:c>
      <x:c r="B286" s="86" t="str">
        <x:v>transformation</x:v>
      </x:c>
      <x:c r="C286" s="86" t="str">
        <x:v>custody</x:v>
      </x:c>
      <x:c r="D286" s="108" t="n">
        <x:v>1</x:v>
      </x:c>
      <x:c r="E286" s="86" t="str">
        <x:v>T1</x:v>
      </x:c>
      <x:c r="F286" s="86" t="str">
        <x:v>L1</x:v>
      </x:c>
      <x:c r="G286" s="86" t="str">
        <x:v>custody-CAL</x:v>
      </x:c>
      <x:c r="H286" s="91" t="str">
        <x:v>OPEN</x:v>
      </x:c>
      <x:c r="I286" s="86" t="str">
        <x:v>transformation</x:v>
      </x:c>
    </x:row>
    <x:row r="287">
      <x:c r="A287" s="86" t="str">
        <x:v>ER-282</x:v>
      </x:c>
      <x:c r="B287" s="86" t="str">
        <x:v>transformation</x:v>
      </x:c>
      <x:c r="C287" s="86" t="str">
        <x:v>custody</x:v>
      </x:c>
      <x:c r="D287" s="108" t="n">
        <x:v>2</x:v>
      </x:c>
      <x:c r="E287" s="86" t="str">
        <x:v>T2</x:v>
      </x:c>
      <x:c r="F287" s="86" t="str">
        <x:v>L2</x:v>
      </x:c>
      <x:c r="G287" s="86" t="str">
        <x:v>custody-CAL</x:v>
      </x:c>
      <x:c r="H287" s="91" t="str">
        <x:v>OPEN</x:v>
      </x:c>
      <x:c r="I287" s="86" t="str">
        <x:v>transformation</x:v>
      </x:c>
    </x:row>
    <x:row r="288">
      <x:c r="A288" s="86" t="str">
        <x:v>ER-283</x:v>
      </x:c>
      <x:c r="B288" s="86" t="str">
        <x:v>transformation</x:v>
      </x:c>
      <x:c r="C288" s="86" t="str">
        <x:v>custody</x:v>
      </x:c>
      <x:c r="D288" s="108" t="n">
        <x:v>3</x:v>
      </x:c>
      <x:c r="E288" s="86" t="str">
        <x:v>T3</x:v>
      </x:c>
      <x:c r="F288" s="86" t="str">
        <x:v>L3</x:v>
      </x:c>
      <x:c r="G288" s="86" t="str">
        <x:v>custody-CAL</x:v>
      </x:c>
      <x:c r="H288" s="91" t="str">
        <x:v>OPEN</x:v>
      </x:c>
      <x:c r="I288" s="86" t="str">
        <x:v>transformation</x:v>
      </x:c>
    </x:row>
    <x:row r="289">
      <x:c r="A289" s="86" t="str">
        <x:v>ER-284</x:v>
      </x:c>
      <x:c r="B289" s="86" t="str">
        <x:v>transformation</x:v>
      </x:c>
      <x:c r="C289" s="86" t="str">
        <x:v>custody</x:v>
      </x:c>
      <x:c r="D289" s="108" t="n">
        <x:v>4</x:v>
      </x:c>
      <x:c r="E289" s="86" t="str">
        <x:v>T4</x:v>
      </x:c>
      <x:c r="F289" s="86" t="str">
        <x:v>L4</x:v>
      </x:c>
      <x:c r="G289" s="86" t="str">
        <x:v>custody-CAL</x:v>
      </x:c>
      <x:c r="H289" s="91" t="str">
        <x:v>OPEN</x:v>
      </x:c>
      <x:c r="I289" s="86" t="str">
        <x:v>transformation</x:v>
      </x:c>
    </x:row>
    <x:row r="290">
      <x:c r="A290" s="86" t="str">
        <x:v>ER-285</x:v>
      </x:c>
      <x:c r="B290" s="86" t="str">
        <x:v>transformation</x:v>
      </x:c>
      <x:c r="C290" s="86" t="str">
        <x:v>reconstruction</x:v>
      </x:c>
      <x:c r="D290" s="108" t="n">
        <x:v>1</x:v>
      </x:c>
      <x:c r="E290" s="86" t="str">
        <x:v>T1</x:v>
      </x:c>
      <x:c r="F290" s="86" t="str">
        <x:v>L1</x:v>
      </x:c>
      <x:c r="G290" s="86" t="str">
        <x:v>reconstruction-CAL</x:v>
      </x:c>
      <x:c r="H290" s="91" t="str">
        <x:v>OPEN</x:v>
      </x:c>
      <x:c r="I290" s="86" t="str">
        <x:v>transformation</x:v>
      </x:c>
    </x:row>
    <x:row r="291">
      <x:c r="A291" s="86" t="str">
        <x:v>ER-286</x:v>
      </x:c>
      <x:c r="B291" s="86" t="str">
        <x:v>transformation</x:v>
      </x:c>
      <x:c r="C291" s="86" t="str">
        <x:v>reconstruction</x:v>
      </x:c>
      <x:c r="D291" s="108" t="n">
        <x:v>2</x:v>
      </x:c>
      <x:c r="E291" s="86" t="str">
        <x:v>T2</x:v>
      </x:c>
      <x:c r="F291" s="86" t="str">
        <x:v>L2</x:v>
      </x:c>
      <x:c r="G291" s="86" t="str">
        <x:v>reconstruction-CAL</x:v>
      </x:c>
      <x:c r="H291" s="91" t="str">
        <x:v>OPEN</x:v>
      </x:c>
      <x:c r="I291" s="86" t="str">
        <x:v>transformation</x:v>
      </x:c>
    </x:row>
    <x:row r="292">
      <x:c r="A292" s="86" t="str">
        <x:v>ER-287</x:v>
      </x:c>
      <x:c r="B292" s="86" t="str">
        <x:v>transformation</x:v>
      </x:c>
      <x:c r="C292" s="86" t="str">
        <x:v>reconstruction</x:v>
      </x:c>
      <x:c r="D292" s="108" t="n">
        <x:v>3</x:v>
      </x:c>
      <x:c r="E292" s="86" t="str">
        <x:v>T3</x:v>
      </x:c>
      <x:c r="F292" s="86" t="str">
        <x:v>L3</x:v>
      </x:c>
      <x:c r="G292" s="86" t="str">
        <x:v>reconstruction-CAL</x:v>
      </x:c>
      <x:c r="H292" s="91" t="str">
        <x:v>OPEN</x:v>
      </x:c>
      <x:c r="I292" s="86" t="str">
        <x:v>transformation</x:v>
      </x:c>
    </x:row>
    <x:row r="293">
      <x:c r="A293" s="86" t="str">
        <x:v>ER-288</x:v>
      </x:c>
      <x:c r="B293" s="86" t="str">
        <x:v>transformation</x:v>
      </x:c>
      <x:c r="C293" s="86" t="str">
        <x:v>reconstruction</x:v>
      </x:c>
      <x:c r="D293" s="108" t="n">
        <x:v>4</x:v>
      </x:c>
      <x:c r="E293" s="86" t="str">
        <x:v>T4</x:v>
      </x:c>
      <x:c r="F293" s="86" t="str">
        <x:v>L4</x:v>
      </x:c>
      <x:c r="G293" s="86" t="str">
        <x:v>reconstruction-CAL</x:v>
      </x:c>
      <x:c r="H293" s="91" t="str">
        <x:v>OPEN</x:v>
      </x:c>
      <x:c r="I293" s="86" t="str">
        <x:v>transformation</x:v>
      </x:c>
    </x:row>
    <x:row r="294">
      <x:c r="A294" s="86" t="str">
        <x:v>ER-289</x:v>
      </x:c>
      <x:c r="B294" s="86" t="str">
        <x:v>thermal boundary</x:v>
      </x:c>
      <x:c r="C294" s="86" t="str">
        <x:v>identity</x:v>
      </x:c>
      <x:c r="D294" s="108" t="n">
        <x:v>1</x:v>
      </x:c>
      <x:c r="E294" s="86" t="str">
        <x:v>T1</x:v>
      </x:c>
      <x:c r="F294" s="86" t="str">
        <x:v>L1</x:v>
      </x:c>
      <x:c r="G294" s="86" t="str">
        <x:v>identity-CAL</x:v>
      </x:c>
      <x:c r="H294" s="91" t="str">
        <x:v>OPEN</x:v>
      </x:c>
      <x:c r="I294" s="86" t="str">
        <x:v>thermal boundary</x:v>
      </x:c>
    </x:row>
    <x:row r="295">
      <x:c r="A295" s="86" t="str">
        <x:v>ER-290</x:v>
      </x:c>
      <x:c r="B295" s="86" t="str">
        <x:v>thermal boundary</x:v>
      </x:c>
      <x:c r="C295" s="86" t="str">
        <x:v>identity</x:v>
      </x:c>
      <x:c r="D295" s="108" t="n">
        <x:v>2</x:v>
      </x:c>
      <x:c r="E295" s="86" t="str">
        <x:v>T2</x:v>
      </x:c>
      <x:c r="F295" s="86" t="str">
        <x:v>L2</x:v>
      </x:c>
      <x:c r="G295" s="86" t="str">
        <x:v>identity-CAL</x:v>
      </x:c>
      <x:c r="H295" s="91" t="str">
        <x:v>OPEN</x:v>
      </x:c>
      <x:c r="I295" s="86" t="str">
        <x:v>thermal boundary</x:v>
      </x:c>
    </x:row>
    <x:row r="296">
      <x:c r="A296" s="86" t="str">
        <x:v>ER-291</x:v>
      </x:c>
      <x:c r="B296" s="86" t="str">
        <x:v>thermal boundary</x:v>
      </x:c>
      <x:c r="C296" s="86" t="str">
        <x:v>identity</x:v>
      </x:c>
      <x:c r="D296" s="108" t="n">
        <x:v>3</x:v>
      </x:c>
      <x:c r="E296" s="86" t="str">
        <x:v>T3</x:v>
      </x:c>
      <x:c r="F296" s="86" t="str">
        <x:v>L3</x:v>
      </x:c>
      <x:c r="G296" s="86" t="str">
        <x:v>identity-CAL</x:v>
      </x:c>
      <x:c r="H296" s="91" t="str">
        <x:v>OPEN</x:v>
      </x:c>
      <x:c r="I296" s="86" t="str">
        <x:v>thermal boundary</x:v>
      </x:c>
    </x:row>
    <x:row r="297">
      <x:c r="A297" s="86" t="str">
        <x:v>ER-292</x:v>
      </x:c>
      <x:c r="B297" s="86" t="str">
        <x:v>thermal boundary</x:v>
      </x:c>
      <x:c r="C297" s="86" t="str">
        <x:v>identity</x:v>
      </x:c>
      <x:c r="D297" s="108" t="n">
        <x:v>4</x:v>
      </x:c>
      <x:c r="E297" s="86" t="str">
        <x:v>T4</x:v>
      </x:c>
      <x:c r="F297" s="86" t="str">
        <x:v>L4</x:v>
      </x:c>
      <x:c r="G297" s="86" t="str">
        <x:v>identity-CAL</x:v>
      </x:c>
      <x:c r="H297" s="91" t="str">
        <x:v>OPEN</x:v>
      </x:c>
      <x:c r="I297" s="86" t="str">
        <x:v>thermal boundary</x:v>
      </x:c>
    </x:row>
    <x:row r="298">
      <x:c r="A298" s="86" t="str">
        <x:v>ER-293</x:v>
      </x:c>
      <x:c r="B298" s="86" t="str">
        <x:v>thermal boundary</x:v>
      </x:c>
      <x:c r="C298" s="86" t="str">
        <x:v>capacity</x:v>
      </x:c>
      <x:c r="D298" s="108" t="n">
        <x:v>1</x:v>
      </x:c>
      <x:c r="E298" s="86" t="str">
        <x:v>T1</x:v>
      </x:c>
      <x:c r="F298" s="86" t="str">
        <x:v>L1</x:v>
      </x:c>
      <x:c r="G298" s="86" t="str">
        <x:v>capacity-CAL</x:v>
      </x:c>
      <x:c r="H298" s="91" t="str">
        <x:v>OPEN</x:v>
      </x:c>
      <x:c r="I298" s="86" t="str">
        <x:v>thermal boundary</x:v>
      </x:c>
    </x:row>
    <x:row r="299">
      <x:c r="A299" s="86" t="str">
        <x:v>ER-294</x:v>
      </x:c>
      <x:c r="B299" s="86" t="str">
        <x:v>thermal boundary</x:v>
      </x:c>
      <x:c r="C299" s="86" t="str">
        <x:v>capacity</x:v>
      </x:c>
      <x:c r="D299" s="108" t="n">
        <x:v>2</x:v>
      </x:c>
      <x:c r="E299" s="86" t="str">
        <x:v>T2</x:v>
      </x:c>
      <x:c r="F299" s="86" t="str">
        <x:v>L2</x:v>
      </x:c>
      <x:c r="G299" s="86" t="str">
        <x:v>capacity-CAL</x:v>
      </x:c>
      <x:c r="H299" s="91" t="str">
        <x:v>OPEN</x:v>
      </x:c>
      <x:c r="I299" s="86" t="str">
        <x:v>thermal boundary</x:v>
      </x:c>
    </x:row>
    <x:row r="300">
      <x:c r="A300" s="86" t="str">
        <x:v>ER-295</x:v>
      </x:c>
      <x:c r="B300" s="86" t="str">
        <x:v>thermal boundary</x:v>
      </x:c>
      <x:c r="C300" s="86" t="str">
        <x:v>capacity</x:v>
      </x:c>
      <x:c r="D300" s="108" t="n">
        <x:v>3</x:v>
      </x:c>
      <x:c r="E300" s="86" t="str">
        <x:v>T3</x:v>
      </x:c>
      <x:c r="F300" s="86" t="str">
        <x:v>L3</x:v>
      </x:c>
      <x:c r="G300" s="86" t="str">
        <x:v>capacity-CAL</x:v>
      </x:c>
      <x:c r="H300" s="91" t="str">
        <x:v>OPEN</x:v>
      </x:c>
      <x:c r="I300" s="86" t="str">
        <x:v>thermal boundary</x:v>
      </x:c>
    </x:row>
    <x:row r="301">
      <x:c r="A301" s="86" t="str">
        <x:v>ER-296</x:v>
      </x:c>
      <x:c r="B301" s="86" t="str">
        <x:v>thermal boundary</x:v>
      </x:c>
      <x:c r="C301" s="86" t="str">
        <x:v>capacity</x:v>
      </x:c>
      <x:c r="D301" s="108" t="n">
        <x:v>4</x:v>
      </x:c>
      <x:c r="E301" s="86" t="str">
        <x:v>T4</x:v>
      </x:c>
      <x:c r="F301" s="86" t="str">
        <x:v>L4</x:v>
      </x:c>
      <x:c r="G301" s="86" t="str">
        <x:v>capacity-CAL</x:v>
      </x:c>
      <x:c r="H301" s="91" t="str">
        <x:v>OPEN</x:v>
      </x:c>
      <x:c r="I301" s="86" t="str">
        <x:v>thermal boundary</x:v>
      </x:c>
    </x:row>
    <x:row r="302">
      <x:c r="A302" s="86" t="str">
        <x:v>ER-297</x:v>
      </x:c>
      <x:c r="B302" s="86" t="str">
        <x:v>thermal boundary</x:v>
      </x:c>
      <x:c r="C302" s="86" t="str">
        <x:v>state</x:v>
      </x:c>
      <x:c r="D302" s="108" t="n">
        <x:v>1</x:v>
      </x:c>
      <x:c r="E302" s="86" t="str">
        <x:v>T1</x:v>
      </x:c>
      <x:c r="F302" s="86" t="str">
        <x:v>L1</x:v>
      </x:c>
      <x:c r="G302" s="86" t="str">
        <x:v>state-CAL</x:v>
      </x:c>
      <x:c r="H302" s="91" t="str">
        <x:v>OPEN</x:v>
      </x:c>
      <x:c r="I302" s="86" t="str">
        <x:v>thermal boundary</x:v>
      </x:c>
    </x:row>
    <x:row r="303">
      <x:c r="A303" s="86" t="str">
        <x:v>ER-298</x:v>
      </x:c>
      <x:c r="B303" s="86" t="str">
        <x:v>thermal boundary</x:v>
      </x:c>
      <x:c r="C303" s="86" t="str">
        <x:v>state</x:v>
      </x:c>
      <x:c r="D303" s="108" t="n">
        <x:v>2</x:v>
      </x:c>
      <x:c r="E303" s="86" t="str">
        <x:v>T2</x:v>
      </x:c>
      <x:c r="F303" s="86" t="str">
        <x:v>L2</x:v>
      </x:c>
      <x:c r="G303" s="86" t="str">
        <x:v>state-CAL</x:v>
      </x:c>
      <x:c r="H303" s="91" t="str">
        <x:v>OPEN</x:v>
      </x:c>
      <x:c r="I303" s="86" t="str">
        <x:v>thermal boundary</x:v>
      </x:c>
    </x:row>
    <x:row r="304">
      <x:c r="A304" s="86" t="str">
        <x:v>ER-299</x:v>
      </x:c>
      <x:c r="B304" s="86" t="str">
        <x:v>thermal boundary</x:v>
      </x:c>
      <x:c r="C304" s="86" t="str">
        <x:v>state</x:v>
      </x:c>
      <x:c r="D304" s="108" t="n">
        <x:v>3</x:v>
      </x:c>
      <x:c r="E304" s="86" t="str">
        <x:v>T3</x:v>
      </x:c>
      <x:c r="F304" s="86" t="str">
        <x:v>L3</x:v>
      </x:c>
      <x:c r="G304" s="86" t="str">
        <x:v>state-CAL</x:v>
      </x:c>
      <x:c r="H304" s="91" t="str">
        <x:v>OPEN</x:v>
      </x:c>
      <x:c r="I304" s="86" t="str">
        <x:v>thermal boundary</x:v>
      </x:c>
    </x:row>
    <x:row r="305">
      <x:c r="A305" s="86" t="str">
        <x:v>ER-300</x:v>
      </x:c>
      <x:c r="B305" s="86" t="str">
        <x:v>thermal boundary</x:v>
      </x:c>
      <x:c r="C305" s="86" t="str">
        <x:v>state</x:v>
      </x:c>
      <x:c r="D305" s="108" t="n">
        <x:v>4</x:v>
      </x:c>
      <x:c r="E305" s="86" t="str">
        <x:v>T4</x:v>
      </x:c>
      <x:c r="F305" s="86" t="str">
        <x:v>L4</x:v>
      </x:c>
      <x:c r="G305" s="86" t="str">
        <x:v>state-CAL</x:v>
      </x:c>
      <x:c r="H305" s="91" t="str">
        <x:v>OPEN</x:v>
      </x:c>
      <x:c r="I305" s="86" t="str">
        <x:v>thermal boundary</x:v>
      </x:c>
    </x:row>
    <x:row r="306">
      <x:c r="A306" s="86" t="str">
        <x:v>ER-301</x:v>
      </x:c>
      <x:c r="B306" s="86" t="str">
        <x:v>thermal boundary</x:v>
      </x:c>
      <x:c r="C306" s="86" t="str">
        <x:v>authority</x:v>
      </x:c>
      <x:c r="D306" s="108" t="n">
        <x:v>1</x:v>
      </x:c>
      <x:c r="E306" s="86" t="str">
        <x:v>T1</x:v>
      </x:c>
      <x:c r="F306" s="86" t="str">
        <x:v>L1</x:v>
      </x:c>
      <x:c r="G306" s="86" t="str">
        <x:v>authority-CAL</x:v>
      </x:c>
      <x:c r="H306" s="91" t="str">
        <x:v>OPEN</x:v>
      </x:c>
      <x:c r="I306" s="86" t="str">
        <x:v>thermal boundary</x:v>
      </x:c>
    </x:row>
    <x:row r="307">
      <x:c r="A307" s="86" t="str">
        <x:v>ER-302</x:v>
      </x:c>
      <x:c r="B307" s="86" t="str">
        <x:v>thermal boundary</x:v>
      </x:c>
      <x:c r="C307" s="86" t="str">
        <x:v>authority</x:v>
      </x:c>
      <x:c r="D307" s="108" t="n">
        <x:v>2</x:v>
      </x:c>
      <x:c r="E307" s="86" t="str">
        <x:v>T2</x:v>
      </x:c>
      <x:c r="F307" s="86" t="str">
        <x:v>L2</x:v>
      </x:c>
      <x:c r="G307" s="86" t="str">
        <x:v>authority-CAL</x:v>
      </x:c>
      <x:c r="H307" s="91" t="str">
        <x:v>OPEN</x:v>
      </x:c>
      <x:c r="I307" s="86" t="str">
        <x:v>thermal boundary</x:v>
      </x:c>
    </x:row>
    <x:row r="308">
      <x:c r="A308" s="86" t="str">
        <x:v>ER-303</x:v>
      </x:c>
      <x:c r="B308" s="86" t="str">
        <x:v>thermal boundary</x:v>
      </x:c>
      <x:c r="C308" s="86" t="str">
        <x:v>authority</x:v>
      </x:c>
      <x:c r="D308" s="108" t="n">
        <x:v>3</x:v>
      </x:c>
      <x:c r="E308" s="86" t="str">
        <x:v>T3</x:v>
      </x:c>
      <x:c r="F308" s="86" t="str">
        <x:v>L3</x:v>
      </x:c>
      <x:c r="G308" s="86" t="str">
        <x:v>authority-CAL</x:v>
      </x:c>
      <x:c r="H308" s="91" t="str">
        <x:v>OPEN</x:v>
      </x:c>
      <x:c r="I308" s="86" t="str">
        <x:v>thermal boundary</x:v>
      </x:c>
    </x:row>
    <x:row r="309">
      <x:c r="A309" s="86" t="str">
        <x:v>ER-304</x:v>
      </x:c>
      <x:c r="B309" s="86" t="str">
        <x:v>thermal boundary</x:v>
      </x:c>
      <x:c r="C309" s="86" t="str">
        <x:v>authority</x:v>
      </x:c>
      <x:c r="D309" s="108" t="n">
        <x:v>4</x:v>
      </x:c>
      <x:c r="E309" s="86" t="str">
        <x:v>T4</x:v>
      </x:c>
      <x:c r="F309" s="86" t="str">
        <x:v>L4</x:v>
      </x:c>
      <x:c r="G309" s="86" t="str">
        <x:v>authority-CAL</x:v>
      </x:c>
      <x:c r="H309" s="91" t="str">
        <x:v>OPEN</x:v>
      </x:c>
      <x:c r="I309" s="86" t="str">
        <x:v>thermal boundary</x:v>
      </x:c>
    </x:row>
    <x:row r="310">
      <x:c r="A310" s="86" t="str">
        <x:v>ER-305</x:v>
      </x:c>
      <x:c r="B310" s="86" t="str">
        <x:v>thermal boundary</x:v>
      </x:c>
      <x:c r="C310" s="86" t="str">
        <x:v>calibration</x:v>
      </x:c>
      <x:c r="D310" s="108" t="n">
        <x:v>1</x:v>
      </x:c>
      <x:c r="E310" s="86" t="str">
        <x:v>T1</x:v>
      </x:c>
      <x:c r="F310" s="86" t="str">
        <x:v>L1</x:v>
      </x:c>
      <x:c r="G310" s="86" t="str">
        <x:v>calibration-CAL</x:v>
      </x:c>
      <x:c r="H310" s="91" t="str">
        <x:v>OPEN</x:v>
      </x:c>
      <x:c r="I310" s="86" t="str">
        <x:v>thermal boundary</x:v>
      </x:c>
    </x:row>
    <x:row r="311">
      <x:c r="A311" s="86" t="str">
        <x:v>ER-306</x:v>
      </x:c>
      <x:c r="B311" s="86" t="str">
        <x:v>thermal boundary</x:v>
      </x:c>
      <x:c r="C311" s="86" t="str">
        <x:v>calibration</x:v>
      </x:c>
      <x:c r="D311" s="108" t="n">
        <x:v>2</x:v>
      </x:c>
      <x:c r="E311" s="86" t="str">
        <x:v>T2</x:v>
      </x:c>
      <x:c r="F311" s="86" t="str">
        <x:v>L2</x:v>
      </x:c>
      <x:c r="G311" s="86" t="str">
        <x:v>calibration-CAL</x:v>
      </x:c>
      <x:c r="H311" s="91" t="str">
        <x:v>OPEN</x:v>
      </x:c>
      <x:c r="I311" s="86" t="str">
        <x:v>thermal boundary</x:v>
      </x:c>
    </x:row>
    <x:row r="312">
      <x:c r="A312" s="86" t="str">
        <x:v>ER-307</x:v>
      </x:c>
      <x:c r="B312" s="86" t="str">
        <x:v>thermal boundary</x:v>
      </x:c>
      <x:c r="C312" s="86" t="str">
        <x:v>calibration</x:v>
      </x:c>
      <x:c r="D312" s="108" t="n">
        <x:v>3</x:v>
      </x:c>
      <x:c r="E312" s="86" t="str">
        <x:v>T3</x:v>
      </x:c>
      <x:c r="F312" s="86" t="str">
        <x:v>L3</x:v>
      </x:c>
      <x:c r="G312" s="86" t="str">
        <x:v>calibration-CAL</x:v>
      </x:c>
      <x:c r="H312" s="91" t="str">
        <x:v>OPEN</x:v>
      </x:c>
      <x:c r="I312" s="86" t="str">
        <x:v>thermal boundary</x:v>
      </x:c>
    </x:row>
    <x:row r="313">
      <x:c r="A313" s="86" t="str">
        <x:v>ER-308</x:v>
      </x:c>
      <x:c r="B313" s="86" t="str">
        <x:v>thermal boundary</x:v>
      </x:c>
      <x:c r="C313" s="86" t="str">
        <x:v>calibration</x:v>
      </x:c>
      <x:c r="D313" s="108" t="n">
        <x:v>4</x:v>
      </x:c>
      <x:c r="E313" s="86" t="str">
        <x:v>T4</x:v>
      </x:c>
      <x:c r="F313" s="86" t="str">
        <x:v>L4</x:v>
      </x:c>
      <x:c r="G313" s="86" t="str">
        <x:v>calibration-CAL</x:v>
      </x:c>
      <x:c r="H313" s="91" t="str">
        <x:v>OPEN</x:v>
      </x:c>
      <x:c r="I313" s="86" t="str">
        <x:v>thermal boundary</x:v>
      </x:c>
    </x:row>
    <x:row r="314">
      <x:c r="A314" s="86" t="str">
        <x:v>ER-309</x:v>
      </x:c>
      <x:c r="B314" s="86" t="str">
        <x:v>thermal boundary</x:v>
      </x:c>
      <x:c r="C314" s="86" t="str">
        <x:v>causal time</x:v>
      </x:c>
      <x:c r="D314" s="108" t="n">
        <x:v>1</x:v>
      </x:c>
      <x:c r="E314" s="86" t="str">
        <x:v>T1</x:v>
      </x:c>
      <x:c r="F314" s="86" t="str">
        <x:v>L1</x:v>
      </x:c>
      <x:c r="G314" s="86" t="str">
        <x:v>causal time-CAL</x:v>
      </x:c>
      <x:c r="H314" s="91" t="str">
        <x:v>OPEN</x:v>
      </x:c>
      <x:c r="I314" s="86" t="str">
        <x:v>thermal boundary</x:v>
      </x:c>
    </x:row>
    <x:row r="315">
      <x:c r="A315" s="86" t="str">
        <x:v>ER-310</x:v>
      </x:c>
      <x:c r="B315" s="86" t="str">
        <x:v>thermal boundary</x:v>
      </x:c>
      <x:c r="C315" s="86" t="str">
        <x:v>causal time</x:v>
      </x:c>
      <x:c r="D315" s="108" t="n">
        <x:v>2</x:v>
      </x:c>
      <x:c r="E315" s="86" t="str">
        <x:v>T2</x:v>
      </x:c>
      <x:c r="F315" s="86" t="str">
        <x:v>L2</x:v>
      </x:c>
      <x:c r="G315" s="86" t="str">
        <x:v>causal time-CAL</x:v>
      </x:c>
      <x:c r="H315" s="91" t="str">
        <x:v>OPEN</x:v>
      </x:c>
      <x:c r="I315" s="86" t="str">
        <x:v>thermal boundary</x:v>
      </x:c>
    </x:row>
    <x:row r="316">
      <x:c r="A316" s="86" t="str">
        <x:v>ER-311</x:v>
      </x:c>
      <x:c r="B316" s="86" t="str">
        <x:v>thermal boundary</x:v>
      </x:c>
      <x:c r="C316" s="86" t="str">
        <x:v>causal time</x:v>
      </x:c>
      <x:c r="D316" s="108" t="n">
        <x:v>3</x:v>
      </x:c>
      <x:c r="E316" s="86" t="str">
        <x:v>T3</x:v>
      </x:c>
      <x:c r="F316" s="86" t="str">
        <x:v>L3</x:v>
      </x:c>
      <x:c r="G316" s="86" t="str">
        <x:v>causal time-CAL</x:v>
      </x:c>
      <x:c r="H316" s="91" t="str">
        <x:v>OPEN</x:v>
      </x:c>
      <x:c r="I316" s="86" t="str">
        <x:v>thermal boundary</x:v>
      </x:c>
    </x:row>
    <x:row r="317">
      <x:c r="A317" s="86" t="str">
        <x:v>ER-312</x:v>
      </x:c>
      <x:c r="B317" s="86" t="str">
        <x:v>thermal boundary</x:v>
      </x:c>
      <x:c r="C317" s="86" t="str">
        <x:v>causal time</x:v>
      </x:c>
      <x:c r="D317" s="108" t="n">
        <x:v>4</x:v>
      </x:c>
      <x:c r="E317" s="86" t="str">
        <x:v>T4</x:v>
      </x:c>
      <x:c r="F317" s="86" t="str">
        <x:v>L4</x:v>
      </x:c>
      <x:c r="G317" s="86" t="str">
        <x:v>causal time-CAL</x:v>
      </x:c>
      <x:c r="H317" s="91" t="str">
        <x:v>OPEN</x:v>
      </x:c>
      <x:c r="I317" s="86" t="str">
        <x:v>thermal boundary</x:v>
      </x:c>
    </x:row>
    <x:row r="318">
      <x:c r="A318" s="86" t="str">
        <x:v>ER-313</x:v>
      </x:c>
      <x:c r="B318" s="86" t="str">
        <x:v>thermal boundary</x:v>
      </x:c>
      <x:c r="C318" s="86" t="str">
        <x:v>custody</x:v>
      </x:c>
      <x:c r="D318" s="108" t="n">
        <x:v>1</x:v>
      </x:c>
      <x:c r="E318" s="86" t="str">
        <x:v>T1</x:v>
      </x:c>
      <x:c r="F318" s="86" t="str">
        <x:v>L1</x:v>
      </x:c>
      <x:c r="G318" s="86" t="str">
        <x:v>custody-CAL</x:v>
      </x:c>
      <x:c r="H318" s="91" t="str">
        <x:v>OPEN</x:v>
      </x:c>
      <x:c r="I318" s="86" t="str">
        <x:v>thermal boundary</x:v>
      </x:c>
    </x:row>
    <x:row r="319">
      <x:c r="A319" s="86" t="str">
        <x:v>ER-314</x:v>
      </x:c>
      <x:c r="B319" s="86" t="str">
        <x:v>thermal boundary</x:v>
      </x:c>
      <x:c r="C319" s="86" t="str">
        <x:v>custody</x:v>
      </x:c>
      <x:c r="D319" s="108" t="n">
        <x:v>2</x:v>
      </x:c>
      <x:c r="E319" s="86" t="str">
        <x:v>T2</x:v>
      </x:c>
      <x:c r="F319" s="86" t="str">
        <x:v>L2</x:v>
      </x:c>
      <x:c r="G319" s="86" t="str">
        <x:v>custody-CAL</x:v>
      </x:c>
      <x:c r="H319" s="91" t="str">
        <x:v>OPEN</x:v>
      </x:c>
      <x:c r="I319" s="86" t="str">
        <x:v>thermal boundary</x:v>
      </x:c>
    </x:row>
    <x:row r="320">
      <x:c r="A320" s="86" t="str">
        <x:v>ER-315</x:v>
      </x:c>
      <x:c r="B320" s="86" t="str">
        <x:v>thermal boundary</x:v>
      </x:c>
      <x:c r="C320" s="86" t="str">
        <x:v>custody</x:v>
      </x:c>
      <x:c r="D320" s="108" t="n">
        <x:v>3</x:v>
      </x:c>
      <x:c r="E320" s="86" t="str">
        <x:v>T3</x:v>
      </x:c>
      <x:c r="F320" s="86" t="str">
        <x:v>L3</x:v>
      </x:c>
      <x:c r="G320" s="86" t="str">
        <x:v>custody-CAL</x:v>
      </x:c>
      <x:c r="H320" s="91" t="str">
        <x:v>OPEN</x:v>
      </x:c>
      <x:c r="I320" s="86" t="str">
        <x:v>thermal boundary</x:v>
      </x:c>
    </x:row>
    <x:row r="321">
      <x:c r="A321" s="86" t="str">
        <x:v>ER-316</x:v>
      </x:c>
      <x:c r="B321" s="86" t="str">
        <x:v>thermal boundary</x:v>
      </x:c>
      <x:c r="C321" s="86" t="str">
        <x:v>custody</x:v>
      </x:c>
      <x:c r="D321" s="108" t="n">
        <x:v>4</x:v>
      </x:c>
      <x:c r="E321" s="86" t="str">
        <x:v>T4</x:v>
      </x:c>
      <x:c r="F321" s="86" t="str">
        <x:v>L4</x:v>
      </x:c>
      <x:c r="G321" s="86" t="str">
        <x:v>custody-CAL</x:v>
      </x:c>
      <x:c r="H321" s="91" t="str">
        <x:v>OPEN</x:v>
      </x:c>
      <x:c r="I321" s="86" t="str">
        <x:v>thermal boundary</x:v>
      </x:c>
    </x:row>
    <x:row r="322">
      <x:c r="A322" s="86" t="str">
        <x:v>ER-317</x:v>
      </x:c>
      <x:c r="B322" s="86" t="str">
        <x:v>thermal boundary</x:v>
      </x:c>
      <x:c r="C322" s="86" t="str">
        <x:v>reconstruction</x:v>
      </x:c>
      <x:c r="D322" s="108" t="n">
        <x:v>1</x:v>
      </x:c>
      <x:c r="E322" s="86" t="str">
        <x:v>T1</x:v>
      </x:c>
      <x:c r="F322" s="86" t="str">
        <x:v>L1</x:v>
      </x:c>
      <x:c r="G322" s="86" t="str">
        <x:v>reconstruction-CAL</x:v>
      </x:c>
      <x:c r="H322" s="91" t="str">
        <x:v>OPEN</x:v>
      </x:c>
      <x:c r="I322" s="86" t="str">
        <x:v>thermal boundary</x:v>
      </x:c>
    </x:row>
    <x:row r="323">
      <x:c r="A323" s="86" t="str">
        <x:v>ER-318</x:v>
      </x:c>
      <x:c r="B323" s="86" t="str">
        <x:v>thermal boundary</x:v>
      </x:c>
      <x:c r="C323" s="86" t="str">
        <x:v>reconstruction</x:v>
      </x:c>
      <x:c r="D323" s="108" t="n">
        <x:v>2</x:v>
      </x:c>
      <x:c r="E323" s="86" t="str">
        <x:v>T2</x:v>
      </x:c>
      <x:c r="F323" s="86" t="str">
        <x:v>L2</x:v>
      </x:c>
      <x:c r="G323" s="86" t="str">
        <x:v>reconstruction-CAL</x:v>
      </x:c>
      <x:c r="H323" s="91" t="str">
        <x:v>OPEN</x:v>
      </x:c>
      <x:c r="I323" s="86" t="str">
        <x:v>thermal boundary</x:v>
      </x:c>
    </x:row>
    <x:row r="324">
      <x:c r="A324" s="86" t="str">
        <x:v>ER-319</x:v>
      </x:c>
      <x:c r="B324" s="86" t="str">
        <x:v>thermal boundary</x:v>
      </x:c>
      <x:c r="C324" s="86" t="str">
        <x:v>reconstruction</x:v>
      </x:c>
      <x:c r="D324" s="108" t="n">
        <x:v>3</x:v>
      </x:c>
      <x:c r="E324" s="86" t="str">
        <x:v>T3</x:v>
      </x:c>
      <x:c r="F324" s="86" t="str">
        <x:v>L3</x:v>
      </x:c>
      <x:c r="G324" s="86" t="str">
        <x:v>reconstruction-CAL</x:v>
      </x:c>
      <x:c r="H324" s="91" t="str">
        <x:v>OPEN</x:v>
      </x:c>
      <x:c r="I324" s="86" t="str">
        <x:v>thermal boundary</x:v>
      </x:c>
    </x:row>
    <x:row r="325">
      <x:c r="A325" s="86" t="str">
        <x:v>ER-320</x:v>
      </x:c>
      <x:c r="B325" s="86" t="str">
        <x:v>thermal boundary</x:v>
      </x:c>
      <x:c r="C325" s="86" t="str">
        <x:v>reconstruction</x:v>
      </x:c>
      <x:c r="D325" s="108" t="n">
        <x:v>4</x:v>
      </x:c>
      <x:c r="E325" s="86" t="str">
        <x:v>T4</x:v>
      </x:c>
      <x:c r="F325" s="86" t="str">
        <x:v>L4</x:v>
      </x:c>
      <x:c r="G325" s="86" t="str">
        <x:v>reconstruction-CAL</x:v>
      </x:c>
      <x:c r="H325" s="91" t="str">
        <x:v>OPEN</x:v>
      </x:c>
      <x:c r="I325" s="86" t="str">
        <x:v>thermal boundary</x:v>
      </x:c>
    </x:row>
    <x:row r="326">
      <x:c r="A326" s="86" t="str">
        <x:v>ER-321</x:v>
      </x:c>
      <x:c r="B326" s="86" t="str">
        <x:v>atmosphere</x:v>
      </x:c>
      <x:c r="C326" s="86" t="str">
        <x:v>identity</x:v>
      </x:c>
      <x:c r="D326" s="108" t="n">
        <x:v>1</x:v>
      </x:c>
      <x:c r="E326" s="86" t="str">
        <x:v>T1</x:v>
      </x:c>
      <x:c r="F326" s="86" t="str">
        <x:v>L1</x:v>
      </x:c>
      <x:c r="G326" s="86" t="str">
        <x:v>identity-CAL</x:v>
      </x:c>
      <x:c r="H326" s="91" t="str">
        <x:v>OPEN</x:v>
      </x:c>
      <x:c r="I326" s="86" t="str">
        <x:v>atmosphere</x:v>
      </x:c>
    </x:row>
    <x:row r="327">
      <x:c r="A327" s="86" t="str">
        <x:v>ER-322</x:v>
      </x:c>
      <x:c r="B327" s="86" t="str">
        <x:v>atmosphere</x:v>
      </x:c>
      <x:c r="C327" s="86" t="str">
        <x:v>identity</x:v>
      </x:c>
      <x:c r="D327" s="108" t="n">
        <x:v>2</x:v>
      </x:c>
      <x:c r="E327" s="86" t="str">
        <x:v>T2</x:v>
      </x:c>
      <x:c r="F327" s="86" t="str">
        <x:v>L2</x:v>
      </x:c>
      <x:c r="G327" s="86" t="str">
        <x:v>identity-CAL</x:v>
      </x:c>
      <x:c r="H327" s="91" t="str">
        <x:v>OPEN</x:v>
      </x:c>
      <x:c r="I327" s="86" t="str">
        <x:v>atmosphere</x:v>
      </x:c>
    </x:row>
    <x:row r="328">
      <x:c r="A328" s="86" t="str">
        <x:v>ER-323</x:v>
      </x:c>
      <x:c r="B328" s="86" t="str">
        <x:v>atmosphere</x:v>
      </x:c>
      <x:c r="C328" s="86" t="str">
        <x:v>identity</x:v>
      </x:c>
      <x:c r="D328" s="108" t="n">
        <x:v>3</x:v>
      </x:c>
      <x:c r="E328" s="86" t="str">
        <x:v>T3</x:v>
      </x:c>
      <x:c r="F328" s="86" t="str">
        <x:v>L3</x:v>
      </x:c>
      <x:c r="G328" s="86" t="str">
        <x:v>identity-CAL</x:v>
      </x:c>
      <x:c r="H328" s="91" t="str">
        <x:v>OPEN</x:v>
      </x:c>
      <x:c r="I328" s="86" t="str">
        <x:v>atmosphere</x:v>
      </x:c>
    </x:row>
    <x:row r="329">
      <x:c r="A329" s="86" t="str">
        <x:v>ER-324</x:v>
      </x:c>
      <x:c r="B329" s="86" t="str">
        <x:v>atmosphere</x:v>
      </x:c>
      <x:c r="C329" s="86" t="str">
        <x:v>identity</x:v>
      </x:c>
      <x:c r="D329" s="108" t="n">
        <x:v>4</x:v>
      </x:c>
      <x:c r="E329" s="86" t="str">
        <x:v>T4</x:v>
      </x:c>
      <x:c r="F329" s="86" t="str">
        <x:v>L4</x:v>
      </x:c>
      <x:c r="G329" s="86" t="str">
        <x:v>identity-CAL</x:v>
      </x:c>
      <x:c r="H329" s="91" t="str">
        <x:v>OPEN</x:v>
      </x:c>
      <x:c r="I329" s="86" t="str">
        <x:v>atmosphere</x:v>
      </x:c>
    </x:row>
    <x:row r="330">
      <x:c r="A330" s="86" t="str">
        <x:v>ER-325</x:v>
      </x:c>
      <x:c r="B330" s="86" t="str">
        <x:v>atmosphere</x:v>
      </x:c>
      <x:c r="C330" s="86" t="str">
        <x:v>capacity</x:v>
      </x:c>
      <x:c r="D330" s="108" t="n">
        <x:v>1</x:v>
      </x:c>
      <x:c r="E330" s="86" t="str">
        <x:v>T1</x:v>
      </x:c>
      <x:c r="F330" s="86" t="str">
        <x:v>L1</x:v>
      </x:c>
      <x:c r="G330" s="86" t="str">
        <x:v>capacity-CAL</x:v>
      </x:c>
      <x:c r="H330" s="91" t="str">
        <x:v>OPEN</x:v>
      </x:c>
      <x:c r="I330" s="86" t="str">
        <x:v>atmosphere</x:v>
      </x:c>
    </x:row>
    <x:row r="331">
      <x:c r="A331" s="86" t="str">
        <x:v>ER-326</x:v>
      </x:c>
      <x:c r="B331" s="86" t="str">
        <x:v>atmosphere</x:v>
      </x:c>
      <x:c r="C331" s="86" t="str">
        <x:v>capacity</x:v>
      </x:c>
      <x:c r="D331" s="108" t="n">
        <x:v>2</x:v>
      </x:c>
      <x:c r="E331" s="86" t="str">
        <x:v>T2</x:v>
      </x:c>
      <x:c r="F331" s="86" t="str">
        <x:v>L2</x:v>
      </x:c>
      <x:c r="G331" s="86" t="str">
        <x:v>capacity-CAL</x:v>
      </x:c>
      <x:c r="H331" s="91" t="str">
        <x:v>OPEN</x:v>
      </x:c>
      <x:c r="I331" s="86" t="str">
        <x:v>atmosphere</x:v>
      </x:c>
    </x:row>
    <x:row r="332">
      <x:c r="A332" s="86" t="str">
        <x:v>ER-327</x:v>
      </x:c>
      <x:c r="B332" s="86" t="str">
        <x:v>atmosphere</x:v>
      </x:c>
      <x:c r="C332" s="86" t="str">
        <x:v>capacity</x:v>
      </x:c>
      <x:c r="D332" s="108" t="n">
        <x:v>3</x:v>
      </x:c>
      <x:c r="E332" s="86" t="str">
        <x:v>T3</x:v>
      </x:c>
      <x:c r="F332" s="86" t="str">
        <x:v>L3</x:v>
      </x:c>
      <x:c r="G332" s="86" t="str">
        <x:v>capacity-CAL</x:v>
      </x:c>
      <x:c r="H332" s="91" t="str">
        <x:v>OPEN</x:v>
      </x:c>
      <x:c r="I332" s="86" t="str">
        <x:v>atmosphere</x:v>
      </x:c>
    </x:row>
    <x:row r="333">
      <x:c r="A333" s="86" t="str">
        <x:v>ER-328</x:v>
      </x:c>
      <x:c r="B333" s="86" t="str">
        <x:v>atmosphere</x:v>
      </x:c>
      <x:c r="C333" s="86" t="str">
        <x:v>capacity</x:v>
      </x:c>
      <x:c r="D333" s="108" t="n">
        <x:v>4</x:v>
      </x:c>
      <x:c r="E333" s="86" t="str">
        <x:v>T4</x:v>
      </x:c>
      <x:c r="F333" s="86" t="str">
        <x:v>L4</x:v>
      </x:c>
      <x:c r="G333" s="86" t="str">
        <x:v>capacity-CAL</x:v>
      </x:c>
      <x:c r="H333" s="91" t="str">
        <x:v>OPEN</x:v>
      </x:c>
      <x:c r="I333" s="86" t="str">
        <x:v>atmosphere</x:v>
      </x:c>
    </x:row>
    <x:row r="334">
      <x:c r="A334" s="86" t="str">
        <x:v>ER-329</x:v>
      </x:c>
      <x:c r="B334" s="86" t="str">
        <x:v>atmosphere</x:v>
      </x:c>
      <x:c r="C334" s="86" t="str">
        <x:v>state</x:v>
      </x:c>
      <x:c r="D334" s="108" t="n">
        <x:v>1</x:v>
      </x:c>
      <x:c r="E334" s="86" t="str">
        <x:v>T1</x:v>
      </x:c>
      <x:c r="F334" s="86" t="str">
        <x:v>L1</x:v>
      </x:c>
      <x:c r="G334" s="86" t="str">
        <x:v>state-CAL</x:v>
      </x:c>
      <x:c r="H334" s="91" t="str">
        <x:v>OPEN</x:v>
      </x:c>
      <x:c r="I334" s="86" t="str">
        <x:v>atmosphere</x:v>
      </x:c>
    </x:row>
    <x:row r="335">
      <x:c r="A335" s="86" t="str">
        <x:v>ER-330</x:v>
      </x:c>
      <x:c r="B335" s="86" t="str">
        <x:v>atmosphere</x:v>
      </x:c>
      <x:c r="C335" s="86" t="str">
        <x:v>state</x:v>
      </x:c>
      <x:c r="D335" s="108" t="n">
        <x:v>2</x:v>
      </x:c>
      <x:c r="E335" s="86" t="str">
        <x:v>T2</x:v>
      </x:c>
      <x:c r="F335" s="86" t="str">
        <x:v>L2</x:v>
      </x:c>
      <x:c r="G335" s="86" t="str">
        <x:v>state-CAL</x:v>
      </x:c>
      <x:c r="H335" s="91" t="str">
        <x:v>OPEN</x:v>
      </x:c>
      <x:c r="I335" s="86" t="str">
        <x:v>atmosphere</x:v>
      </x:c>
    </x:row>
    <x:row r="336">
      <x:c r="A336" s="86" t="str">
        <x:v>ER-331</x:v>
      </x:c>
      <x:c r="B336" s="86" t="str">
        <x:v>atmosphere</x:v>
      </x:c>
      <x:c r="C336" s="86" t="str">
        <x:v>state</x:v>
      </x:c>
      <x:c r="D336" s="108" t="n">
        <x:v>3</x:v>
      </x:c>
      <x:c r="E336" s="86" t="str">
        <x:v>T3</x:v>
      </x:c>
      <x:c r="F336" s="86" t="str">
        <x:v>L3</x:v>
      </x:c>
      <x:c r="G336" s="86" t="str">
        <x:v>state-CAL</x:v>
      </x:c>
      <x:c r="H336" s="91" t="str">
        <x:v>OPEN</x:v>
      </x:c>
      <x:c r="I336" s="86" t="str">
        <x:v>atmosphere</x:v>
      </x:c>
    </x:row>
    <x:row r="337">
      <x:c r="A337" s="86" t="str">
        <x:v>ER-332</x:v>
      </x:c>
      <x:c r="B337" s="86" t="str">
        <x:v>atmosphere</x:v>
      </x:c>
      <x:c r="C337" s="86" t="str">
        <x:v>state</x:v>
      </x:c>
      <x:c r="D337" s="108" t="n">
        <x:v>4</x:v>
      </x:c>
      <x:c r="E337" s="86" t="str">
        <x:v>T4</x:v>
      </x:c>
      <x:c r="F337" s="86" t="str">
        <x:v>L4</x:v>
      </x:c>
      <x:c r="G337" s="86" t="str">
        <x:v>state-CAL</x:v>
      </x:c>
      <x:c r="H337" s="91" t="str">
        <x:v>OPEN</x:v>
      </x:c>
      <x:c r="I337" s="86" t="str">
        <x:v>atmosphere</x:v>
      </x:c>
    </x:row>
    <x:row r="338">
      <x:c r="A338" s="86" t="str">
        <x:v>ER-333</x:v>
      </x:c>
      <x:c r="B338" s="86" t="str">
        <x:v>atmosphere</x:v>
      </x:c>
      <x:c r="C338" s="86" t="str">
        <x:v>authority</x:v>
      </x:c>
      <x:c r="D338" s="108" t="n">
        <x:v>1</x:v>
      </x:c>
      <x:c r="E338" s="86" t="str">
        <x:v>T1</x:v>
      </x:c>
      <x:c r="F338" s="86" t="str">
        <x:v>L1</x:v>
      </x:c>
      <x:c r="G338" s="86" t="str">
        <x:v>authority-CAL</x:v>
      </x:c>
      <x:c r="H338" s="91" t="str">
        <x:v>OPEN</x:v>
      </x:c>
      <x:c r="I338" s="86" t="str">
        <x:v>atmosphere</x:v>
      </x:c>
    </x:row>
    <x:row r="339">
      <x:c r="A339" s="86" t="str">
        <x:v>ER-334</x:v>
      </x:c>
      <x:c r="B339" s="86" t="str">
        <x:v>atmosphere</x:v>
      </x:c>
      <x:c r="C339" s="86" t="str">
        <x:v>authority</x:v>
      </x:c>
      <x:c r="D339" s="108" t="n">
        <x:v>2</x:v>
      </x:c>
      <x:c r="E339" s="86" t="str">
        <x:v>T2</x:v>
      </x:c>
      <x:c r="F339" s="86" t="str">
        <x:v>L2</x:v>
      </x:c>
      <x:c r="G339" s="86" t="str">
        <x:v>authority-CAL</x:v>
      </x:c>
      <x:c r="H339" s="91" t="str">
        <x:v>OPEN</x:v>
      </x:c>
      <x:c r="I339" s="86" t="str">
        <x:v>atmosphere</x:v>
      </x:c>
    </x:row>
    <x:row r="340">
      <x:c r="A340" s="86" t="str">
        <x:v>ER-335</x:v>
      </x:c>
      <x:c r="B340" s="86" t="str">
        <x:v>atmosphere</x:v>
      </x:c>
      <x:c r="C340" s="86" t="str">
        <x:v>authority</x:v>
      </x:c>
      <x:c r="D340" s="108" t="n">
        <x:v>3</x:v>
      </x:c>
      <x:c r="E340" s="86" t="str">
        <x:v>T3</x:v>
      </x:c>
      <x:c r="F340" s="86" t="str">
        <x:v>L3</x:v>
      </x:c>
      <x:c r="G340" s="86" t="str">
        <x:v>authority-CAL</x:v>
      </x:c>
      <x:c r="H340" s="91" t="str">
        <x:v>OPEN</x:v>
      </x:c>
      <x:c r="I340" s="86" t="str">
        <x:v>atmosphere</x:v>
      </x:c>
    </x:row>
    <x:row r="341">
      <x:c r="A341" s="86" t="str">
        <x:v>ER-336</x:v>
      </x:c>
      <x:c r="B341" s="86" t="str">
        <x:v>atmosphere</x:v>
      </x:c>
      <x:c r="C341" s="86" t="str">
        <x:v>authority</x:v>
      </x:c>
      <x:c r="D341" s="108" t="n">
        <x:v>4</x:v>
      </x:c>
      <x:c r="E341" s="86" t="str">
        <x:v>T4</x:v>
      </x:c>
      <x:c r="F341" s="86" t="str">
        <x:v>L4</x:v>
      </x:c>
      <x:c r="G341" s="86" t="str">
        <x:v>authority-CAL</x:v>
      </x:c>
      <x:c r="H341" s="91" t="str">
        <x:v>OPEN</x:v>
      </x:c>
      <x:c r="I341" s="86" t="str">
        <x:v>atmosphere</x:v>
      </x:c>
    </x:row>
    <x:row r="342">
      <x:c r="A342" s="86" t="str">
        <x:v>ER-337</x:v>
      </x:c>
      <x:c r="B342" s="86" t="str">
        <x:v>atmosphere</x:v>
      </x:c>
      <x:c r="C342" s="86" t="str">
        <x:v>calibration</x:v>
      </x:c>
      <x:c r="D342" s="108" t="n">
        <x:v>1</x:v>
      </x:c>
      <x:c r="E342" s="86" t="str">
        <x:v>T1</x:v>
      </x:c>
      <x:c r="F342" s="86" t="str">
        <x:v>L1</x:v>
      </x:c>
      <x:c r="G342" s="86" t="str">
        <x:v>calibration-CAL</x:v>
      </x:c>
      <x:c r="H342" s="91" t="str">
        <x:v>OPEN</x:v>
      </x:c>
      <x:c r="I342" s="86" t="str">
        <x:v>atmosphere</x:v>
      </x:c>
    </x:row>
    <x:row r="343">
      <x:c r="A343" s="86" t="str">
        <x:v>ER-338</x:v>
      </x:c>
      <x:c r="B343" s="86" t="str">
        <x:v>atmosphere</x:v>
      </x:c>
      <x:c r="C343" s="86" t="str">
        <x:v>calibration</x:v>
      </x:c>
      <x:c r="D343" s="108" t="n">
        <x:v>2</x:v>
      </x:c>
      <x:c r="E343" s="86" t="str">
        <x:v>T2</x:v>
      </x:c>
      <x:c r="F343" s="86" t="str">
        <x:v>L2</x:v>
      </x:c>
      <x:c r="G343" s="86" t="str">
        <x:v>calibration-CAL</x:v>
      </x:c>
      <x:c r="H343" s="91" t="str">
        <x:v>OPEN</x:v>
      </x:c>
      <x:c r="I343" s="86" t="str">
        <x:v>atmosphere</x:v>
      </x:c>
    </x:row>
    <x:row r="344">
      <x:c r="A344" s="86" t="str">
        <x:v>ER-339</x:v>
      </x:c>
      <x:c r="B344" s="86" t="str">
        <x:v>atmosphere</x:v>
      </x:c>
      <x:c r="C344" s="86" t="str">
        <x:v>calibration</x:v>
      </x:c>
      <x:c r="D344" s="108" t="n">
        <x:v>3</x:v>
      </x:c>
      <x:c r="E344" s="86" t="str">
        <x:v>T3</x:v>
      </x:c>
      <x:c r="F344" s="86" t="str">
        <x:v>L3</x:v>
      </x:c>
      <x:c r="G344" s="86" t="str">
        <x:v>calibration-CAL</x:v>
      </x:c>
      <x:c r="H344" s="91" t="str">
        <x:v>OPEN</x:v>
      </x:c>
      <x:c r="I344" s="86" t="str">
        <x:v>atmosphere</x:v>
      </x:c>
    </x:row>
    <x:row r="345">
      <x:c r="A345" s="86" t="str">
        <x:v>ER-340</x:v>
      </x:c>
      <x:c r="B345" s="86" t="str">
        <x:v>atmosphere</x:v>
      </x:c>
      <x:c r="C345" s="86" t="str">
        <x:v>calibration</x:v>
      </x:c>
      <x:c r="D345" s="108" t="n">
        <x:v>4</x:v>
      </x:c>
      <x:c r="E345" s="86" t="str">
        <x:v>T4</x:v>
      </x:c>
      <x:c r="F345" s="86" t="str">
        <x:v>L4</x:v>
      </x:c>
      <x:c r="G345" s="86" t="str">
        <x:v>calibration-CAL</x:v>
      </x:c>
      <x:c r="H345" s="91" t="str">
        <x:v>OPEN</x:v>
      </x:c>
      <x:c r="I345" s="86" t="str">
        <x:v>atmosphere</x:v>
      </x:c>
    </x:row>
    <x:row r="346">
      <x:c r="A346" s="86" t="str">
        <x:v>ER-341</x:v>
      </x:c>
      <x:c r="B346" s="86" t="str">
        <x:v>atmosphere</x:v>
      </x:c>
      <x:c r="C346" s="86" t="str">
        <x:v>causal time</x:v>
      </x:c>
      <x:c r="D346" s="108" t="n">
        <x:v>1</x:v>
      </x:c>
      <x:c r="E346" s="86" t="str">
        <x:v>T1</x:v>
      </x:c>
      <x:c r="F346" s="86" t="str">
        <x:v>L1</x:v>
      </x:c>
      <x:c r="G346" s="86" t="str">
        <x:v>causal time-CAL</x:v>
      </x:c>
      <x:c r="H346" s="91" t="str">
        <x:v>OPEN</x:v>
      </x:c>
      <x:c r="I346" s="86" t="str">
        <x:v>atmosphere</x:v>
      </x:c>
    </x:row>
    <x:row r="347">
      <x:c r="A347" s="86" t="str">
        <x:v>ER-342</x:v>
      </x:c>
      <x:c r="B347" s="86" t="str">
        <x:v>atmosphere</x:v>
      </x:c>
      <x:c r="C347" s="86" t="str">
        <x:v>causal time</x:v>
      </x:c>
      <x:c r="D347" s="108" t="n">
        <x:v>2</x:v>
      </x:c>
      <x:c r="E347" s="86" t="str">
        <x:v>T2</x:v>
      </x:c>
      <x:c r="F347" s="86" t="str">
        <x:v>L2</x:v>
      </x:c>
      <x:c r="G347" s="86" t="str">
        <x:v>causal time-CAL</x:v>
      </x:c>
      <x:c r="H347" s="91" t="str">
        <x:v>OPEN</x:v>
      </x:c>
      <x:c r="I347" s="86" t="str">
        <x:v>atmosphere</x:v>
      </x:c>
    </x:row>
    <x:row r="348">
      <x:c r="A348" s="86" t="str">
        <x:v>ER-343</x:v>
      </x:c>
      <x:c r="B348" s="86" t="str">
        <x:v>atmosphere</x:v>
      </x:c>
      <x:c r="C348" s="86" t="str">
        <x:v>causal time</x:v>
      </x:c>
      <x:c r="D348" s="108" t="n">
        <x:v>3</x:v>
      </x:c>
      <x:c r="E348" s="86" t="str">
        <x:v>T3</x:v>
      </x:c>
      <x:c r="F348" s="86" t="str">
        <x:v>L3</x:v>
      </x:c>
      <x:c r="G348" s="86" t="str">
        <x:v>causal time-CAL</x:v>
      </x:c>
      <x:c r="H348" s="91" t="str">
        <x:v>OPEN</x:v>
      </x:c>
      <x:c r="I348" s="86" t="str">
        <x:v>atmosphere</x:v>
      </x:c>
    </x:row>
    <x:row r="349">
      <x:c r="A349" s="86" t="str">
        <x:v>ER-344</x:v>
      </x:c>
      <x:c r="B349" s="86" t="str">
        <x:v>atmosphere</x:v>
      </x:c>
      <x:c r="C349" s="86" t="str">
        <x:v>causal time</x:v>
      </x:c>
      <x:c r="D349" s="108" t="n">
        <x:v>4</x:v>
      </x:c>
      <x:c r="E349" s="86" t="str">
        <x:v>T4</x:v>
      </x:c>
      <x:c r="F349" s="86" t="str">
        <x:v>L4</x:v>
      </x:c>
      <x:c r="G349" s="86" t="str">
        <x:v>causal time-CAL</x:v>
      </x:c>
      <x:c r="H349" s="91" t="str">
        <x:v>OPEN</x:v>
      </x:c>
      <x:c r="I349" s="86" t="str">
        <x:v>atmosphere</x:v>
      </x:c>
    </x:row>
    <x:row r="350">
      <x:c r="A350" s="86" t="str">
        <x:v>ER-345</x:v>
      </x:c>
      <x:c r="B350" s="86" t="str">
        <x:v>atmosphere</x:v>
      </x:c>
      <x:c r="C350" s="86" t="str">
        <x:v>custody</x:v>
      </x:c>
      <x:c r="D350" s="108" t="n">
        <x:v>1</x:v>
      </x:c>
      <x:c r="E350" s="86" t="str">
        <x:v>T1</x:v>
      </x:c>
      <x:c r="F350" s="86" t="str">
        <x:v>L1</x:v>
      </x:c>
      <x:c r="G350" s="86" t="str">
        <x:v>custody-CAL</x:v>
      </x:c>
      <x:c r="H350" s="91" t="str">
        <x:v>OPEN</x:v>
      </x:c>
      <x:c r="I350" s="86" t="str">
        <x:v>atmosphere</x:v>
      </x:c>
    </x:row>
    <x:row r="351">
      <x:c r="A351" s="86" t="str">
        <x:v>ER-346</x:v>
      </x:c>
      <x:c r="B351" s="86" t="str">
        <x:v>atmosphere</x:v>
      </x:c>
      <x:c r="C351" s="86" t="str">
        <x:v>custody</x:v>
      </x:c>
      <x:c r="D351" s="108" t="n">
        <x:v>2</x:v>
      </x:c>
      <x:c r="E351" s="86" t="str">
        <x:v>T2</x:v>
      </x:c>
      <x:c r="F351" s="86" t="str">
        <x:v>L2</x:v>
      </x:c>
      <x:c r="G351" s="86" t="str">
        <x:v>custody-CAL</x:v>
      </x:c>
      <x:c r="H351" s="91" t="str">
        <x:v>OPEN</x:v>
      </x:c>
      <x:c r="I351" s="86" t="str">
        <x:v>atmosphere</x:v>
      </x:c>
    </x:row>
    <x:row r="352">
      <x:c r="A352" s="86" t="str">
        <x:v>ER-347</x:v>
      </x:c>
      <x:c r="B352" s="86" t="str">
        <x:v>atmosphere</x:v>
      </x:c>
      <x:c r="C352" s="86" t="str">
        <x:v>custody</x:v>
      </x:c>
      <x:c r="D352" s="108" t="n">
        <x:v>3</x:v>
      </x:c>
      <x:c r="E352" s="86" t="str">
        <x:v>T3</x:v>
      </x:c>
      <x:c r="F352" s="86" t="str">
        <x:v>L3</x:v>
      </x:c>
      <x:c r="G352" s="86" t="str">
        <x:v>custody-CAL</x:v>
      </x:c>
      <x:c r="H352" s="91" t="str">
        <x:v>OPEN</x:v>
      </x:c>
      <x:c r="I352" s="86" t="str">
        <x:v>atmosphere</x:v>
      </x:c>
    </x:row>
    <x:row r="353">
      <x:c r="A353" s="86" t="str">
        <x:v>ER-348</x:v>
      </x:c>
      <x:c r="B353" s="86" t="str">
        <x:v>atmosphere</x:v>
      </x:c>
      <x:c r="C353" s="86" t="str">
        <x:v>custody</x:v>
      </x:c>
      <x:c r="D353" s="108" t="n">
        <x:v>4</x:v>
      </x:c>
      <x:c r="E353" s="86" t="str">
        <x:v>T4</x:v>
      </x:c>
      <x:c r="F353" s="86" t="str">
        <x:v>L4</x:v>
      </x:c>
      <x:c r="G353" s="86" t="str">
        <x:v>custody-CAL</x:v>
      </x:c>
      <x:c r="H353" s="91" t="str">
        <x:v>OPEN</x:v>
      </x:c>
      <x:c r="I353" s="86" t="str">
        <x:v>atmosphere</x:v>
      </x:c>
    </x:row>
    <x:row r="354">
      <x:c r="A354" s="86" t="str">
        <x:v>ER-349</x:v>
      </x:c>
      <x:c r="B354" s="86" t="str">
        <x:v>atmosphere</x:v>
      </x:c>
      <x:c r="C354" s="86" t="str">
        <x:v>reconstruction</x:v>
      </x:c>
      <x:c r="D354" s="108" t="n">
        <x:v>1</x:v>
      </x:c>
      <x:c r="E354" s="86" t="str">
        <x:v>T1</x:v>
      </x:c>
      <x:c r="F354" s="86" t="str">
        <x:v>L1</x:v>
      </x:c>
      <x:c r="G354" s="86" t="str">
        <x:v>reconstruction-CAL</x:v>
      </x:c>
      <x:c r="H354" s="91" t="str">
        <x:v>OPEN</x:v>
      </x:c>
      <x:c r="I354" s="86" t="str">
        <x:v>atmosphere</x:v>
      </x:c>
    </x:row>
    <x:row r="355">
      <x:c r="A355" s="86" t="str">
        <x:v>ER-350</x:v>
      </x:c>
      <x:c r="B355" s="86" t="str">
        <x:v>atmosphere</x:v>
      </x:c>
      <x:c r="C355" s="86" t="str">
        <x:v>reconstruction</x:v>
      </x:c>
      <x:c r="D355" s="108" t="n">
        <x:v>2</x:v>
      </x:c>
      <x:c r="E355" s="86" t="str">
        <x:v>T2</x:v>
      </x:c>
      <x:c r="F355" s="86" t="str">
        <x:v>L2</x:v>
      </x:c>
      <x:c r="G355" s="86" t="str">
        <x:v>reconstruction-CAL</x:v>
      </x:c>
      <x:c r="H355" s="91" t="str">
        <x:v>OPEN</x:v>
      </x:c>
      <x:c r="I355" s="86" t="str">
        <x:v>atmosphere</x:v>
      </x:c>
    </x:row>
    <x:row r="356">
      <x:c r="A356" s="86" t="str">
        <x:v>ER-351</x:v>
      </x:c>
      <x:c r="B356" s="86" t="str">
        <x:v>atmosphere</x:v>
      </x:c>
      <x:c r="C356" s="86" t="str">
        <x:v>reconstruction</x:v>
      </x:c>
      <x:c r="D356" s="108" t="n">
        <x:v>3</x:v>
      </x:c>
      <x:c r="E356" s="86" t="str">
        <x:v>T3</x:v>
      </x:c>
      <x:c r="F356" s="86" t="str">
        <x:v>L3</x:v>
      </x:c>
      <x:c r="G356" s="86" t="str">
        <x:v>reconstruction-CAL</x:v>
      </x:c>
      <x:c r="H356" s="91" t="str">
        <x:v>OPEN</x:v>
      </x:c>
      <x:c r="I356" s="86" t="str">
        <x:v>atmosphere</x:v>
      </x:c>
    </x:row>
    <x:row r="357">
      <x:c r="A357" s="86" t="str">
        <x:v>ER-352</x:v>
      </x:c>
      <x:c r="B357" s="86" t="str">
        <x:v>atmosphere</x:v>
      </x:c>
      <x:c r="C357" s="86" t="str">
        <x:v>reconstruction</x:v>
      </x:c>
      <x:c r="D357" s="108" t="n">
        <x:v>4</x:v>
      </x:c>
      <x:c r="E357" s="86" t="str">
        <x:v>T4</x:v>
      </x:c>
      <x:c r="F357" s="86" t="str">
        <x:v>L4</x:v>
      </x:c>
      <x:c r="G357" s="86" t="str">
        <x:v>reconstruction-CAL</x:v>
      </x:c>
      <x:c r="H357" s="91" t="str">
        <x:v>OPEN</x:v>
      </x:c>
      <x:c r="I357" s="86" t="str">
        <x:v>atmosphere</x:v>
      </x:c>
    </x:row>
    <x:row r="358">
      <x:c r="A358" s="86" t="str">
        <x:v>ER-353</x:v>
      </x:c>
      <x:c r="B358" s="86" t="str">
        <x:v>exhaust</x:v>
      </x:c>
      <x:c r="C358" s="86" t="str">
        <x:v>identity</x:v>
      </x:c>
      <x:c r="D358" s="108" t="n">
        <x:v>1</x:v>
      </x:c>
      <x:c r="E358" s="86" t="str">
        <x:v>T1</x:v>
      </x:c>
      <x:c r="F358" s="86" t="str">
        <x:v>L1</x:v>
      </x:c>
      <x:c r="G358" s="86" t="str">
        <x:v>identity-CAL</x:v>
      </x:c>
      <x:c r="H358" s="91" t="str">
        <x:v>OPEN</x:v>
      </x:c>
      <x:c r="I358" s="86" t="str">
        <x:v>exhaust</x:v>
      </x:c>
    </x:row>
    <x:row r="359">
      <x:c r="A359" s="86" t="str">
        <x:v>ER-354</x:v>
      </x:c>
      <x:c r="B359" s="86" t="str">
        <x:v>exhaust</x:v>
      </x:c>
      <x:c r="C359" s="86" t="str">
        <x:v>identity</x:v>
      </x:c>
      <x:c r="D359" s="108" t="n">
        <x:v>2</x:v>
      </x:c>
      <x:c r="E359" s="86" t="str">
        <x:v>T2</x:v>
      </x:c>
      <x:c r="F359" s="86" t="str">
        <x:v>L2</x:v>
      </x:c>
      <x:c r="G359" s="86" t="str">
        <x:v>identity-CAL</x:v>
      </x:c>
      <x:c r="H359" s="91" t="str">
        <x:v>OPEN</x:v>
      </x:c>
      <x:c r="I359" s="86" t="str">
        <x:v>exhaust</x:v>
      </x:c>
    </x:row>
    <x:row r="360">
      <x:c r="A360" s="86" t="str">
        <x:v>ER-355</x:v>
      </x:c>
      <x:c r="B360" s="86" t="str">
        <x:v>exhaust</x:v>
      </x:c>
      <x:c r="C360" s="86" t="str">
        <x:v>identity</x:v>
      </x:c>
      <x:c r="D360" s="108" t="n">
        <x:v>3</x:v>
      </x:c>
      <x:c r="E360" s="86" t="str">
        <x:v>T3</x:v>
      </x:c>
      <x:c r="F360" s="86" t="str">
        <x:v>L3</x:v>
      </x:c>
      <x:c r="G360" s="86" t="str">
        <x:v>identity-CAL</x:v>
      </x:c>
      <x:c r="H360" s="91" t="str">
        <x:v>OPEN</x:v>
      </x:c>
      <x:c r="I360" s="86" t="str">
        <x:v>exhaust</x:v>
      </x:c>
    </x:row>
    <x:row r="361">
      <x:c r="A361" s="86" t="str">
        <x:v>ER-356</x:v>
      </x:c>
      <x:c r="B361" s="86" t="str">
        <x:v>exhaust</x:v>
      </x:c>
      <x:c r="C361" s="86" t="str">
        <x:v>identity</x:v>
      </x:c>
      <x:c r="D361" s="108" t="n">
        <x:v>4</x:v>
      </x:c>
      <x:c r="E361" s="86" t="str">
        <x:v>T4</x:v>
      </x:c>
      <x:c r="F361" s="86" t="str">
        <x:v>L4</x:v>
      </x:c>
      <x:c r="G361" s="86" t="str">
        <x:v>identity-CAL</x:v>
      </x:c>
      <x:c r="H361" s="91" t="str">
        <x:v>OPEN</x:v>
      </x:c>
      <x:c r="I361" s="86" t="str">
        <x:v>exhaust</x:v>
      </x:c>
    </x:row>
    <x:row r="362">
      <x:c r="A362" s="86" t="str">
        <x:v>ER-357</x:v>
      </x:c>
      <x:c r="B362" s="86" t="str">
        <x:v>exhaust</x:v>
      </x:c>
      <x:c r="C362" s="86" t="str">
        <x:v>capacity</x:v>
      </x:c>
      <x:c r="D362" s="108" t="n">
        <x:v>1</x:v>
      </x:c>
      <x:c r="E362" s="86" t="str">
        <x:v>T1</x:v>
      </x:c>
      <x:c r="F362" s="86" t="str">
        <x:v>L1</x:v>
      </x:c>
      <x:c r="G362" s="86" t="str">
        <x:v>capacity-CAL</x:v>
      </x:c>
      <x:c r="H362" s="91" t="str">
        <x:v>OPEN</x:v>
      </x:c>
      <x:c r="I362" s="86" t="str">
        <x:v>exhaust</x:v>
      </x:c>
    </x:row>
    <x:row r="363">
      <x:c r="A363" s="86" t="str">
        <x:v>ER-358</x:v>
      </x:c>
      <x:c r="B363" s="86" t="str">
        <x:v>exhaust</x:v>
      </x:c>
      <x:c r="C363" s="86" t="str">
        <x:v>capacity</x:v>
      </x:c>
      <x:c r="D363" s="108" t="n">
        <x:v>2</x:v>
      </x:c>
      <x:c r="E363" s="86" t="str">
        <x:v>T2</x:v>
      </x:c>
      <x:c r="F363" s="86" t="str">
        <x:v>L2</x:v>
      </x:c>
      <x:c r="G363" s="86" t="str">
        <x:v>capacity-CAL</x:v>
      </x:c>
      <x:c r="H363" s="91" t="str">
        <x:v>OPEN</x:v>
      </x:c>
      <x:c r="I363" s="86" t="str">
        <x:v>exhaust</x:v>
      </x:c>
    </x:row>
    <x:row r="364">
      <x:c r="A364" s="86" t="str">
        <x:v>ER-359</x:v>
      </x:c>
      <x:c r="B364" s="86" t="str">
        <x:v>exhaust</x:v>
      </x:c>
      <x:c r="C364" s="86" t="str">
        <x:v>capacity</x:v>
      </x:c>
      <x:c r="D364" s="108" t="n">
        <x:v>3</x:v>
      </x:c>
      <x:c r="E364" s="86" t="str">
        <x:v>T3</x:v>
      </x:c>
      <x:c r="F364" s="86" t="str">
        <x:v>L3</x:v>
      </x:c>
      <x:c r="G364" s="86" t="str">
        <x:v>capacity-CAL</x:v>
      </x:c>
      <x:c r="H364" s="91" t="str">
        <x:v>OPEN</x:v>
      </x:c>
      <x:c r="I364" s="86" t="str">
        <x:v>exhaust</x:v>
      </x:c>
    </x:row>
    <x:row r="365">
      <x:c r="A365" s="86" t="str">
        <x:v>ER-360</x:v>
      </x:c>
      <x:c r="B365" s="86" t="str">
        <x:v>exhaust</x:v>
      </x:c>
      <x:c r="C365" s="86" t="str">
        <x:v>capacity</x:v>
      </x:c>
      <x:c r="D365" s="108" t="n">
        <x:v>4</x:v>
      </x:c>
      <x:c r="E365" s="86" t="str">
        <x:v>T4</x:v>
      </x:c>
      <x:c r="F365" s="86" t="str">
        <x:v>L4</x:v>
      </x:c>
      <x:c r="G365" s="86" t="str">
        <x:v>capacity-CAL</x:v>
      </x:c>
      <x:c r="H365" s="91" t="str">
        <x:v>OPEN</x:v>
      </x:c>
      <x:c r="I365" s="86" t="str">
        <x:v>exhaust</x:v>
      </x:c>
    </x:row>
    <x:row r="366">
      <x:c r="A366" s="86" t="str">
        <x:v>ER-361</x:v>
      </x:c>
      <x:c r="B366" s="86" t="str">
        <x:v>exhaust</x:v>
      </x:c>
      <x:c r="C366" s="86" t="str">
        <x:v>state</x:v>
      </x:c>
      <x:c r="D366" s="108" t="n">
        <x:v>1</x:v>
      </x:c>
      <x:c r="E366" s="86" t="str">
        <x:v>T1</x:v>
      </x:c>
      <x:c r="F366" s="86" t="str">
        <x:v>L1</x:v>
      </x:c>
      <x:c r="G366" s="86" t="str">
        <x:v>state-CAL</x:v>
      </x:c>
      <x:c r="H366" s="91" t="str">
        <x:v>OPEN</x:v>
      </x:c>
      <x:c r="I366" s="86" t="str">
        <x:v>exhaust</x:v>
      </x:c>
    </x:row>
    <x:row r="367">
      <x:c r="A367" s="86" t="str">
        <x:v>ER-362</x:v>
      </x:c>
      <x:c r="B367" s="86" t="str">
        <x:v>exhaust</x:v>
      </x:c>
      <x:c r="C367" s="86" t="str">
        <x:v>state</x:v>
      </x:c>
      <x:c r="D367" s="108" t="n">
        <x:v>2</x:v>
      </x:c>
      <x:c r="E367" s="86" t="str">
        <x:v>T2</x:v>
      </x:c>
      <x:c r="F367" s="86" t="str">
        <x:v>L2</x:v>
      </x:c>
      <x:c r="G367" s="86" t="str">
        <x:v>state-CAL</x:v>
      </x:c>
      <x:c r="H367" s="91" t="str">
        <x:v>OPEN</x:v>
      </x:c>
      <x:c r="I367" s="86" t="str">
        <x:v>exhaust</x:v>
      </x:c>
    </x:row>
    <x:row r="368">
      <x:c r="A368" s="86" t="str">
        <x:v>ER-363</x:v>
      </x:c>
      <x:c r="B368" s="86" t="str">
        <x:v>exhaust</x:v>
      </x:c>
      <x:c r="C368" s="86" t="str">
        <x:v>state</x:v>
      </x:c>
      <x:c r="D368" s="108" t="n">
        <x:v>3</x:v>
      </x:c>
      <x:c r="E368" s="86" t="str">
        <x:v>T3</x:v>
      </x:c>
      <x:c r="F368" s="86" t="str">
        <x:v>L3</x:v>
      </x:c>
      <x:c r="G368" s="86" t="str">
        <x:v>state-CAL</x:v>
      </x:c>
      <x:c r="H368" s="91" t="str">
        <x:v>OPEN</x:v>
      </x:c>
      <x:c r="I368" s="86" t="str">
        <x:v>exhaust</x:v>
      </x:c>
    </x:row>
    <x:row r="369">
      <x:c r="A369" s="86" t="str">
        <x:v>ER-364</x:v>
      </x:c>
      <x:c r="B369" s="86" t="str">
        <x:v>exhaust</x:v>
      </x:c>
      <x:c r="C369" s="86" t="str">
        <x:v>state</x:v>
      </x:c>
      <x:c r="D369" s="108" t="n">
        <x:v>4</x:v>
      </x:c>
      <x:c r="E369" s="86" t="str">
        <x:v>T4</x:v>
      </x:c>
      <x:c r="F369" s="86" t="str">
        <x:v>L4</x:v>
      </x:c>
      <x:c r="G369" s="86" t="str">
        <x:v>state-CAL</x:v>
      </x:c>
      <x:c r="H369" s="91" t="str">
        <x:v>OPEN</x:v>
      </x:c>
      <x:c r="I369" s="86" t="str">
        <x:v>exhaust</x:v>
      </x:c>
    </x:row>
    <x:row r="370">
      <x:c r="A370" s="86" t="str">
        <x:v>ER-365</x:v>
      </x:c>
      <x:c r="B370" s="86" t="str">
        <x:v>exhaust</x:v>
      </x:c>
      <x:c r="C370" s="86" t="str">
        <x:v>authority</x:v>
      </x:c>
      <x:c r="D370" s="108" t="n">
        <x:v>1</x:v>
      </x:c>
      <x:c r="E370" s="86" t="str">
        <x:v>T1</x:v>
      </x:c>
      <x:c r="F370" s="86" t="str">
        <x:v>L1</x:v>
      </x:c>
      <x:c r="G370" s="86" t="str">
        <x:v>authority-CAL</x:v>
      </x:c>
      <x:c r="H370" s="91" t="str">
        <x:v>OPEN</x:v>
      </x:c>
      <x:c r="I370" s="86" t="str">
        <x:v>exhaust</x:v>
      </x:c>
    </x:row>
    <x:row r="371">
      <x:c r="A371" s="86" t="str">
        <x:v>ER-366</x:v>
      </x:c>
      <x:c r="B371" s="86" t="str">
        <x:v>exhaust</x:v>
      </x:c>
      <x:c r="C371" s="86" t="str">
        <x:v>authority</x:v>
      </x:c>
      <x:c r="D371" s="108" t="n">
        <x:v>2</x:v>
      </x:c>
      <x:c r="E371" s="86" t="str">
        <x:v>T2</x:v>
      </x:c>
      <x:c r="F371" s="86" t="str">
        <x:v>L2</x:v>
      </x:c>
      <x:c r="G371" s="86" t="str">
        <x:v>authority-CAL</x:v>
      </x:c>
      <x:c r="H371" s="91" t="str">
        <x:v>OPEN</x:v>
      </x:c>
      <x:c r="I371" s="86" t="str">
        <x:v>exhaust</x:v>
      </x:c>
    </x:row>
    <x:row r="372">
      <x:c r="A372" s="86" t="str">
        <x:v>ER-367</x:v>
      </x:c>
      <x:c r="B372" s="86" t="str">
        <x:v>exhaust</x:v>
      </x:c>
      <x:c r="C372" s="86" t="str">
        <x:v>authority</x:v>
      </x:c>
      <x:c r="D372" s="108" t="n">
        <x:v>3</x:v>
      </x:c>
      <x:c r="E372" s="86" t="str">
        <x:v>T3</x:v>
      </x:c>
      <x:c r="F372" s="86" t="str">
        <x:v>L3</x:v>
      </x:c>
      <x:c r="G372" s="86" t="str">
        <x:v>authority-CAL</x:v>
      </x:c>
      <x:c r="H372" s="91" t="str">
        <x:v>OPEN</x:v>
      </x:c>
      <x:c r="I372" s="86" t="str">
        <x:v>exhaust</x:v>
      </x:c>
    </x:row>
    <x:row r="373">
      <x:c r="A373" s="86" t="str">
        <x:v>ER-368</x:v>
      </x:c>
      <x:c r="B373" s="86" t="str">
        <x:v>exhaust</x:v>
      </x:c>
      <x:c r="C373" s="86" t="str">
        <x:v>authority</x:v>
      </x:c>
      <x:c r="D373" s="108" t="n">
        <x:v>4</x:v>
      </x:c>
      <x:c r="E373" s="86" t="str">
        <x:v>T4</x:v>
      </x:c>
      <x:c r="F373" s="86" t="str">
        <x:v>L4</x:v>
      </x:c>
      <x:c r="G373" s="86" t="str">
        <x:v>authority-CAL</x:v>
      </x:c>
      <x:c r="H373" s="91" t="str">
        <x:v>OPEN</x:v>
      </x:c>
      <x:c r="I373" s="86" t="str">
        <x:v>exhaust</x:v>
      </x:c>
    </x:row>
    <x:row r="374">
      <x:c r="A374" s="86" t="str">
        <x:v>ER-369</x:v>
      </x:c>
      <x:c r="B374" s="86" t="str">
        <x:v>exhaust</x:v>
      </x:c>
      <x:c r="C374" s="86" t="str">
        <x:v>calibration</x:v>
      </x:c>
      <x:c r="D374" s="108" t="n">
        <x:v>1</x:v>
      </x:c>
      <x:c r="E374" s="86" t="str">
        <x:v>T1</x:v>
      </x:c>
      <x:c r="F374" s="86" t="str">
        <x:v>L1</x:v>
      </x:c>
      <x:c r="G374" s="86" t="str">
        <x:v>calibration-CAL</x:v>
      </x:c>
      <x:c r="H374" s="91" t="str">
        <x:v>OPEN</x:v>
      </x:c>
      <x:c r="I374" s="86" t="str">
        <x:v>exhaust</x:v>
      </x:c>
    </x:row>
    <x:row r="375">
      <x:c r="A375" s="86" t="str">
        <x:v>ER-370</x:v>
      </x:c>
      <x:c r="B375" s="86" t="str">
        <x:v>exhaust</x:v>
      </x:c>
      <x:c r="C375" s="86" t="str">
        <x:v>calibration</x:v>
      </x:c>
      <x:c r="D375" s="108" t="n">
        <x:v>2</x:v>
      </x:c>
      <x:c r="E375" s="86" t="str">
        <x:v>T2</x:v>
      </x:c>
      <x:c r="F375" s="86" t="str">
        <x:v>L2</x:v>
      </x:c>
      <x:c r="G375" s="86" t="str">
        <x:v>calibration-CAL</x:v>
      </x:c>
      <x:c r="H375" s="91" t="str">
        <x:v>OPEN</x:v>
      </x:c>
      <x:c r="I375" s="86" t="str">
        <x:v>exhaust</x:v>
      </x:c>
    </x:row>
    <x:row r="376">
      <x:c r="A376" s="86" t="str">
        <x:v>ER-371</x:v>
      </x:c>
      <x:c r="B376" s="86" t="str">
        <x:v>exhaust</x:v>
      </x:c>
      <x:c r="C376" s="86" t="str">
        <x:v>calibration</x:v>
      </x:c>
      <x:c r="D376" s="108" t="n">
        <x:v>3</x:v>
      </x:c>
      <x:c r="E376" s="86" t="str">
        <x:v>T3</x:v>
      </x:c>
      <x:c r="F376" s="86" t="str">
        <x:v>L3</x:v>
      </x:c>
      <x:c r="G376" s="86" t="str">
        <x:v>calibration-CAL</x:v>
      </x:c>
      <x:c r="H376" s="91" t="str">
        <x:v>OPEN</x:v>
      </x:c>
      <x:c r="I376" s="86" t="str">
        <x:v>exhaust</x:v>
      </x:c>
    </x:row>
    <x:row r="377">
      <x:c r="A377" s="86" t="str">
        <x:v>ER-372</x:v>
      </x:c>
      <x:c r="B377" s="86" t="str">
        <x:v>exhaust</x:v>
      </x:c>
      <x:c r="C377" s="86" t="str">
        <x:v>calibration</x:v>
      </x:c>
      <x:c r="D377" s="108" t="n">
        <x:v>4</x:v>
      </x:c>
      <x:c r="E377" s="86" t="str">
        <x:v>T4</x:v>
      </x:c>
      <x:c r="F377" s="86" t="str">
        <x:v>L4</x:v>
      </x:c>
      <x:c r="G377" s="86" t="str">
        <x:v>calibration-CAL</x:v>
      </x:c>
      <x:c r="H377" s="91" t="str">
        <x:v>OPEN</x:v>
      </x:c>
      <x:c r="I377" s="86" t="str">
        <x:v>exhaust</x:v>
      </x:c>
    </x:row>
    <x:row r="378">
      <x:c r="A378" s="86" t="str">
        <x:v>ER-373</x:v>
      </x:c>
      <x:c r="B378" s="86" t="str">
        <x:v>exhaust</x:v>
      </x:c>
      <x:c r="C378" s="86" t="str">
        <x:v>causal time</x:v>
      </x:c>
      <x:c r="D378" s="108" t="n">
        <x:v>1</x:v>
      </x:c>
      <x:c r="E378" s="86" t="str">
        <x:v>T1</x:v>
      </x:c>
      <x:c r="F378" s="86" t="str">
        <x:v>L1</x:v>
      </x:c>
      <x:c r="G378" s="86" t="str">
        <x:v>causal time-CAL</x:v>
      </x:c>
      <x:c r="H378" s="91" t="str">
        <x:v>OPEN</x:v>
      </x:c>
      <x:c r="I378" s="86" t="str">
        <x:v>exhaust</x:v>
      </x:c>
    </x:row>
    <x:row r="379">
      <x:c r="A379" s="86" t="str">
        <x:v>ER-374</x:v>
      </x:c>
      <x:c r="B379" s="86" t="str">
        <x:v>exhaust</x:v>
      </x:c>
      <x:c r="C379" s="86" t="str">
        <x:v>causal time</x:v>
      </x:c>
      <x:c r="D379" s="108" t="n">
        <x:v>2</x:v>
      </x:c>
      <x:c r="E379" s="86" t="str">
        <x:v>T2</x:v>
      </x:c>
      <x:c r="F379" s="86" t="str">
        <x:v>L2</x:v>
      </x:c>
      <x:c r="G379" s="86" t="str">
        <x:v>causal time-CAL</x:v>
      </x:c>
      <x:c r="H379" s="91" t="str">
        <x:v>OPEN</x:v>
      </x:c>
      <x:c r="I379" s="86" t="str">
        <x:v>exhaust</x:v>
      </x:c>
    </x:row>
    <x:row r="380">
      <x:c r="A380" s="86" t="str">
        <x:v>ER-375</x:v>
      </x:c>
      <x:c r="B380" s="86" t="str">
        <x:v>exhaust</x:v>
      </x:c>
      <x:c r="C380" s="86" t="str">
        <x:v>causal time</x:v>
      </x:c>
      <x:c r="D380" s="108" t="n">
        <x:v>3</x:v>
      </x:c>
      <x:c r="E380" s="86" t="str">
        <x:v>T3</x:v>
      </x:c>
      <x:c r="F380" s="86" t="str">
        <x:v>L3</x:v>
      </x:c>
      <x:c r="G380" s="86" t="str">
        <x:v>causal time-CAL</x:v>
      </x:c>
      <x:c r="H380" s="91" t="str">
        <x:v>OPEN</x:v>
      </x:c>
      <x:c r="I380" s="86" t="str">
        <x:v>exhaust</x:v>
      </x:c>
    </x:row>
    <x:row r="381">
      <x:c r="A381" s="86" t="str">
        <x:v>ER-376</x:v>
      </x:c>
      <x:c r="B381" s="86" t="str">
        <x:v>exhaust</x:v>
      </x:c>
      <x:c r="C381" s="86" t="str">
        <x:v>causal time</x:v>
      </x:c>
      <x:c r="D381" s="108" t="n">
        <x:v>4</x:v>
      </x:c>
      <x:c r="E381" s="86" t="str">
        <x:v>T4</x:v>
      </x:c>
      <x:c r="F381" s="86" t="str">
        <x:v>L4</x:v>
      </x:c>
      <x:c r="G381" s="86" t="str">
        <x:v>causal time-CAL</x:v>
      </x:c>
      <x:c r="H381" s="91" t="str">
        <x:v>OPEN</x:v>
      </x:c>
      <x:c r="I381" s="86" t="str">
        <x:v>exhaust</x:v>
      </x:c>
    </x:row>
    <x:row r="382">
      <x:c r="A382" s="86" t="str">
        <x:v>ER-377</x:v>
      </x:c>
      <x:c r="B382" s="86" t="str">
        <x:v>exhaust</x:v>
      </x:c>
      <x:c r="C382" s="86" t="str">
        <x:v>custody</x:v>
      </x:c>
      <x:c r="D382" s="108" t="n">
        <x:v>1</x:v>
      </x:c>
      <x:c r="E382" s="86" t="str">
        <x:v>T1</x:v>
      </x:c>
      <x:c r="F382" s="86" t="str">
        <x:v>L1</x:v>
      </x:c>
      <x:c r="G382" s="86" t="str">
        <x:v>custody-CAL</x:v>
      </x:c>
      <x:c r="H382" s="91" t="str">
        <x:v>OPEN</x:v>
      </x:c>
      <x:c r="I382" s="86" t="str">
        <x:v>exhaust</x:v>
      </x:c>
    </x:row>
    <x:row r="383">
      <x:c r="A383" s="86" t="str">
        <x:v>ER-378</x:v>
      </x:c>
      <x:c r="B383" s="86" t="str">
        <x:v>exhaust</x:v>
      </x:c>
      <x:c r="C383" s="86" t="str">
        <x:v>custody</x:v>
      </x:c>
      <x:c r="D383" s="108" t="n">
        <x:v>2</x:v>
      </x:c>
      <x:c r="E383" s="86" t="str">
        <x:v>T2</x:v>
      </x:c>
      <x:c r="F383" s="86" t="str">
        <x:v>L2</x:v>
      </x:c>
      <x:c r="G383" s="86" t="str">
        <x:v>custody-CAL</x:v>
      </x:c>
      <x:c r="H383" s="91" t="str">
        <x:v>OPEN</x:v>
      </x:c>
      <x:c r="I383" s="86" t="str">
        <x:v>exhaust</x:v>
      </x:c>
    </x:row>
    <x:row r="384">
      <x:c r="A384" s="86" t="str">
        <x:v>ER-379</x:v>
      </x:c>
      <x:c r="B384" s="86" t="str">
        <x:v>exhaust</x:v>
      </x:c>
      <x:c r="C384" s="86" t="str">
        <x:v>custody</x:v>
      </x:c>
      <x:c r="D384" s="108" t="n">
        <x:v>3</x:v>
      </x:c>
      <x:c r="E384" s="86" t="str">
        <x:v>T3</x:v>
      </x:c>
      <x:c r="F384" s="86" t="str">
        <x:v>L3</x:v>
      </x:c>
      <x:c r="G384" s="86" t="str">
        <x:v>custody-CAL</x:v>
      </x:c>
      <x:c r="H384" s="91" t="str">
        <x:v>OPEN</x:v>
      </x:c>
      <x:c r="I384" s="86" t="str">
        <x:v>exhaust</x:v>
      </x:c>
    </x:row>
    <x:row r="385">
      <x:c r="A385" s="86" t="str">
        <x:v>ER-380</x:v>
      </x:c>
      <x:c r="B385" s="86" t="str">
        <x:v>exhaust</x:v>
      </x:c>
      <x:c r="C385" s="86" t="str">
        <x:v>custody</x:v>
      </x:c>
      <x:c r="D385" s="108" t="n">
        <x:v>4</x:v>
      </x:c>
      <x:c r="E385" s="86" t="str">
        <x:v>T4</x:v>
      </x:c>
      <x:c r="F385" s="86" t="str">
        <x:v>L4</x:v>
      </x:c>
      <x:c r="G385" s="86" t="str">
        <x:v>custody-CAL</x:v>
      </x:c>
      <x:c r="H385" s="91" t="str">
        <x:v>OPEN</x:v>
      </x:c>
      <x:c r="I385" s="86" t="str">
        <x:v>exhaust</x:v>
      </x:c>
    </x:row>
    <x:row r="386">
      <x:c r="A386" s="86" t="str">
        <x:v>ER-381</x:v>
      </x:c>
      <x:c r="B386" s="86" t="str">
        <x:v>exhaust</x:v>
      </x:c>
      <x:c r="C386" s="86" t="str">
        <x:v>reconstruction</x:v>
      </x:c>
      <x:c r="D386" s="108" t="n">
        <x:v>1</x:v>
      </x:c>
      <x:c r="E386" s="86" t="str">
        <x:v>T1</x:v>
      </x:c>
      <x:c r="F386" s="86" t="str">
        <x:v>L1</x:v>
      </x:c>
      <x:c r="G386" s="86" t="str">
        <x:v>reconstruction-CAL</x:v>
      </x:c>
      <x:c r="H386" s="91" t="str">
        <x:v>OPEN</x:v>
      </x:c>
      <x:c r="I386" s="86" t="str">
        <x:v>exhaust</x:v>
      </x:c>
    </x:row>
    <x:row r="387">
      <x:c r="A387" s="86" t="str">
        <x:v>ER-382</x:v>
      </x:c>
      <x:c r="B387" s="86" t="str">
        <x:v>exhaust</x:v>
      </x:c>
      <x:c r="C387" s="86" t="str">
        <x:v>reconstruction</x:v>
      </x:c>
      <x:c r="D387" s="108" t="n">
        <x:v>2</x:v>
      </x:c>
      <x:c r="E387" s="86" t="str">
        <x:v>T2</x:v>
      </x:c>
      <x:c r="F387" s="86" t="str">
        <x:v>L2</x:v>
      </x:c>
      <x:c r="G387" s="86" t="str">
        <x:v>reconstruction-CAL</x:v>
      </x:c>
      <x:c r="H387" s="91" t="str">
        <x:v>OPEN</x:v>
      </x:c>
      <x:c r="I387" s="86" t="str">
        <x:v>exhaust</x:v>
      </x:c>
    </x:row>
    <x:row r="388">
      <x:c r="A388" s="86" t="str">
        <x:v>ER-383</x:v>
      </x:c>
      <x:c r="B388" s="86" t="str">
        <x:v>exhaust</x:v>
      </x:c>
      <x:c r="C388" s="86" t="str">
        <x:v>reconstruction</x:v>
      </x:c>
      <x:c r="D388" s="108" t="n">
        <x:v>3</x:v>
      </x:c>
      <x:c r="E388" s="86" t="str">
        <x:v>T3</x:v>
      </x:c>
      <x:c r="F388" s="86" t="str">
        <x:v>L3</x:v>
      </x:c>
      <x:c r="G388" s="86" t="str">
        <x:v>reconstruction-CAL</x:v>
      </x:c>
      <x:c r="H388" s="91" t="str">
        <x:v>OPEN</x:v>
      </x:c>
      <x:c r="I388" s="86" t="str">
        <x:v>exhaust</x:v>
      </x:c>
    </x:row>
    <x:row r="389">
      <x:c r="A389" s="86" t="str">
        <x:v>ER-384</x:v>
      </x:c>
      <x:c r="B389" s="86" t="str">
        <x:v>exhaust</x:v>
      </x:c>
      <x:c r="C389" s="86" t="str">
        <x:v>reconstruction</x:v>
      </x:c>
      <x:c r="D389" s="108" t="n">
        <x:v>4</x:v>
      </x:c>
      <x:c r="E389" s="86" t="str">
        <x:v>T4</x:v>
      </x:c>
      <x:c r="F389" s="86" t="str">
        <x:v>L4</x:v>
      </x:c>
      <x:c r="G389" s="86" t="str">
        <x:v>reconstruction-CAL</x:v>
      </x:c>
      <x:c r="H389" s="91" t="str">
        <x:v>OPEN</x:v>
      </x:c>
      <x:c r="I389" s="86" t="str">
        <x:v>exhaust</x:v>
      </x:c>
    </x:row>
    <x:row r="390">
      <x:c r="A390" s="86" t="str">
        <x:v>ER-385</x:v>
      </x:c>
      <x:c r="B390" s="86" t="str">
        <x:v>safe end</x:v>
      </x:c>
      <x:c r="C390" s="86" t="str">
        <x:v>identity</x:v>
      </x:c>
      <x:c r="D390" s="108" t="n">
        <x:v>1</x:v>
      </x:c>
      <x:c r="E390" s="86" t="str">
        <x:v>T1</x:v>
      </x:c>
      <x:c r="F390" s="86" t="str">
        <x:v>L1</x:v>
      </x:c>
      <x:c r="G390" s="86" t="str">
        <x:v>identity-CAL</x:v>
      </x:c>
      <x:c r="H390" s="91" t="str">
        <x:v>OPEN</x:v>
      </x:c>
      <x:c r="I390" s="86" t="str">
        <x:v>safe end</x:v>
      </x:c>
    </x:row>
    <x:row r="391">
      <x:c r="A391" s="86" t="str">
        <x:v>ER-386</x:v>
      </x:c>
      <x:c r="B391" s="86" t="str">
        <x:v>safe end</x:v>
      </x:c>
      <x:c r="C391" s="86" t="str">
        <x:v>identity</x:v>
      </x:c>
      <x:c r="D391" s="108" t="n">
        <x:v>2</x:v>
      </x:c>
      <x:c r="E391" s="86" t="str">
        <x:v>T2</x:v>
      </x:c>
      <x:c r="F391" s="86" t="str">
        <x:v>L2</x:v>
      </x:c>
      <x:c r="G391" s="86" t="str">
        <x:v>identity-CAL</x:v>
      </x:c>
      <x:c r="H391" s="91" t="str">
        <x:v>OPEN</x:v>
      </x:c>
      <x:c r="I391" s="86" t="str">
        <x:v>safe end</x:v>
      </x:c>
    </x:row>
    <x:row r="392">
      <x:c r="A392" s="86" t="str">
        <x:v>ER-387</x:v>
      </x:c>
      <x:c r="B392" s="86" t="str">
        <x:v>safe end</x:v>
      </x:c>
      <x:c r="C392" s="86" t="str">
        <x:v>identity</x:v>
      </x:c>
      <x:c r="D392" s="108" t="n">
        <x:v>3</x:v>
      </x:c>
      <x:c r="E392" s="86" t="str">
        <x:v>T3</x:v>
      </x:c>
      <x:c r="F392" s="86" t="str">
        <x:v>L3</x:v>
      </x:c>
      <x:c r="G392" s="86" t="str">
        <x:v>identity-CAL</x:v>
      </x:c>
      <x:c r="H392" s="91" t="str">
        <x:v>OPEN</x:v>
      </x:c>
      <x:c r="I392" s="86" t="str">
        <x:v>safe end</x:v>
      </x:c>
    </x:row>
    <x:row r="393">
      <x:c r="A393" s="86" t="str">
        <x:v>ER-388</x:v>
      </x:c>
      <x:c r="B393" s="86" t="str">
        <x:v>safe end</x:v>
      </x:c>
      <x:c r="C393" s="86" t="str">
        <x:v>identity</x:v>
      </x:c>
      <x:c r="D393" s="108" t="n">
        <x:v>4</x:v>
      </x:c>
      <x:c r="E393" s="86" t="str">
        <x:v>T4</x:v>
      </x:c>
      <x:c r="F393" s="86" t="str">
        <x:v>L4</x:v>
      </x:c>
      <x:c r="G393" s="86" t="str">
        <x:v>identity-CAL</x:v>
      </x:c>
      <x:c r="H393" s="91" t="str">
        <x:v>OPEN</x:v>
      </x:c>
      <x:c r="I393" s="86" t="str">
        <x:v>safe end</x:v>
      </x:c>
    </x:row>
    <x:row r="394">
      <x:c r="A394" s="86" t="str">
        <x:v>ER-389</x:v>
      </x:c>
      <x:c r="B394" s="86" t="str">
        <x:v>safe end</x:v>
      </x:c>
      <x:c r="C394" s="86" t="str">
        <x:v>capacity</x:v>
      </x:c>
      <x:c r="D394" s="108" t="n">
        <x:v>1</x:v>
      </x:c>
      <x:c r="E394" s="86" t="str">
        <x:v>T1</x:v>
      </x:c>
      <x:c r="F394" s="86" t="str">
        <x:v>L1</x:v>
      </x:c>
      <x:c r="G394" s="86" t="str">
        <x:v>capacity-CAL</x:v>
      </x:c>
      <x:c r="H394" s="91" t="str">
        <x:v>OPEN</x:v>
      </x:c>
      <x:c r="I394" s="86" t="str">
        <x:v>safe end</x:v>
      </x:c>
    </x:row>
    <x:row r="395">
      <x:c r="A395" s="86" t="str">
        <x:v>ER-390</x:v>
      </x:c>
      <x:c r="B395" s="86" t="str">
        <x:v>safe end</x:v>
      </x:c>
      <x:c r="C395" s="86" t="str">
        <x:v>capacity</x:v>
      </x:c>
      <x:c r="D395" s="108" t="n">
        <x:v>2</x:v>
      </x:c>
      <x:c r="E395" s="86" t="str">
        <x:v>T2</x:v>
      </x:c>
      <x:c r="F395" s="86" t="str">
        <x:v>L2</x:v>
      </x:c>
      <x:c r="G395" s="86" t="str">
        <x:v>capacity-CAL</x:v>
      </x:c>
      <x:c r="H395" s="91" t="str">
        <x:v>OPEN</x:v>
      </x:c>
      <x:c r="I395" s="86" t="str">
        <x:v>safe end</x:v>
      </x:c>
    </x:row>
    <x:row r="396">
      <x:c r="A396" s="86" t="str">
        <x:v>ER-391</x:v>
      </x:c>
      <x:c r="B396" s="86" t="str">
        <x:v>safe end</x:v>
      </x:c>
      <x:c r="C396" s="86" t="str">
        <x:v>capacity</x:v>
      </x:c>
      <x:c r="D396" s="108" t="n">
        <x:v>3</x:v>
      </x:c>
      <x:c r="E396" s="86" t="str">
        <x:v>T3</x:v>
      </x:c>
      <x:c r="F396" s="86" t="str">
        <x:v>L3</x:v>
      </x:c>
      <x:c r="G396" s="86" t="str">
        <x:v>capacity-CAL</x:v>
      </x:c>
      <x:c r="H396" s="91" t="str">
        <x:v>OPEN</x:v>
      </x:c>
      <x:c r="I396" s="86" t="str">
        <x:v>safe end</x:v>
      </x:c>
    </x:row>
    <x:row r="397">
      <x:c r="A397" s="86" t="str">
        <x:v>ER-392</x:v>
      </x:c>
      <x:c r="B397" s="86" t="str">
        <x:v>safe end</x:v>
      </x:c>
      <x:c r="C397" s="86" t="str">
        <x:v>capacity</x:v>
      </x:c>
      <x:c r="D397" s="108" t="n">
        <x:v>4</x:v>
      </x:c>
      <x:c r="E397" s="86" t="str">
        <x:v>T4</x:v>
      </x:c>
      <x:c r="F397" s="86" t="str">
        <x:v>L4</x:v>
      </x:c>
      <x:c r="G397" s="86" t="str">
        <x:v>capacity-CAL</x:v>
      </x:c>
      <x:c r="H397" s="91" t="str">
        <x:v>OPEN</x:v>
      </x:c>
      <x:c r="I397" s="86" t="str">
        <x:v>safe end</x:v>
      </x:c>
    </x:row>
    <x:row r="398">
      <x:c r="A398" s="86" t="str">
        <x:v>ER-393</x:v>
      </x:c>
      <x:c r="B398" s="86" t="str">
        <x:v>safe end</x:v>
      </x:c>
      <x:c r="C398" s="86" t="str">
        <x:v>state</x:v>
      </x:c>
      <x:c r="D398" s="108" t="n">
        <x:v>1</x:v>
      </x:c>
      <x:c r="E398" s="86" t="str">
        <x:v>T1</x:v>
      </x:c>
      <x:c r="F398" s="86" t="str">
        <x:v>L1</x:v>
      </x:c>
      <x:c r="G398" s="86" t="str">
        <x:v>state-CAL</x:v>
      </x:c>
      <x:c r="H398" s="91" t="str">
        <x:v>OPEN</x:v>
      </x:c>
      <x:c r="I398" s="86" t="str">
        <x:v>safe end</x:v>
      </x:c>
    </x:row>
    <x:row r="399">
      <x:c r="A399" s="86" t="str">
        <x:v>ER-394</x:v>
      </x:c>
      <x:c r="B399" s="86" t="str">
        <x:v>safe end</x:v>
      </x:c>
      <x:c r="C399" s="86" t="str">
        <x:v>state</x:v>
      </x:c>
      <x:c r="D399" s="108" t="n">
        <x:v>2</x:v>
      </x:c>
      <x:c r="E399" s="86" t="str">
        <x:v>T2</x:v>
      </x:c>
      <x:c r="F399" s="86" t="str">
        <x:v>L2</x:v>
      </x:c>
      <x:c r="G399" s="86" t="str">
        <x:v>state-CAL</x:v>
      </x:c>
      <x:c r="H399" s="91" t="str">
        <x:v>OPEN</x:v>
      </x:c>
      <x:c r="I399" s="86" t="str">
        <x:v>safe end</x:v>
      </x:c>
    </x:row>
    <x:row r="400">
      <x:c r="A400" s="86" t="str">
        <x:v>ER-395</x:v>
      </x:c>
      <x:c r="B400" s="86" t="str">
        <x:v>safe end</x:v>
      </x:c>
      <x:c r="C400" s="86" t="str">
        <x:v>state</x:v>
      </x:c>
      <x:c r="D400" s="108" t="n">
        <x:v>3</x:v>
      </x:c>
      <x:c r="E400" s="86" t="str">
        <x:v>T3</x:v>
      </x:c>
      <x:c r="F400" s="86" t="str">
        <x:v>L3</x:v>
      </x:c>
      <x:c r="G400" s="86" t="str">
        <x:v>state-CAL</x:v>
      </x:c>
      <x:c r="H400" s="91" t="str">
        <x:v>OPEN</x:v>
      </x:c>
      <x:c r="I400" s="86" t="str">
        <x:v>safe end</x:v>
      </x:c>
    </x:row>
    <x:row r="401">
      <x:c r="A401" s="86" t="str">
        <x:v>ER-396</x:v>
      </x:c>
      <x:c r="B401" s="86" t="str">
        <x:v>safe end</x:v>
      </x:c>
      <x:c r="C401" s="86" t="str">
        <x:v>state</x:v>
      </x:c>
      <x:c r="D401" s="108" t="n">
        <x:v>4</x:v>
      </x:c>
      <x:c r="E401" s="86" t="str">
        <x:v>T4</x:v>
      </x:c>
      <x:c r="F401" s="86" t="str">
        <x:v>L4</x:v>
      </x:c>
      <x:c r="G401" s="86" t="str">
        <x:v>state-CAL</x:v>
      </x:c>
      <x:c r="H401" s="91" t="str">
        <x:v>OPEN</x:v>
      </x:c>
      <x:c r="I401" s="86" t="str">
        <x:v>safe end</x:v>
      </x:c>
    </x:row>
    <x:row r="402">
      <x:c r="A402" s="86" t="str">
        <x:v>ER-397</x:v>
      </x:c>
      <x:c r="B402" s="86" t="str">
        <x:v>safe end</x:v>
      </x:c>
      <x:c r="C402" s="86" t="str">
        <x:v>authority</x:v>
      </x:c>
      <x:c r="D402" s="108" t="n">
        <x:v>1</x:v>
      </x:c>
      <x:c r="E402" s="86" t="str">
        <x:v>T1</x:v>
      </x:c>
      <x:c r="F402" s="86" t="str">
        <x:v>L1</x:v>
      </x:c>
      <x:c r="G402" s="86" t="str">
        <x:v>authority-CAL</x:v>
      </x:c>
      <x:c r="H402" s="91" t="str">
        <x:v>OPEN</x:v>
      </x:c>
      <x:c r="I402" s="86" t="str">
        <x:v>safe end</x:v>
      </x:c>
    </x:row>
    <x:row r="403">
      <x:c r="A403" s="86" t="str">
        <x:v>ER-398</x:v>
      </x:c>
      <x:c r="B403" s="86" t="str">
        <x:v>safe end</x:v>
      </x:c>
      <x:c r="C403" s="86" t="str">
        <x:v>authority</x:v>
      </x:c>
      <x:c r="D403" s="108" t="n">
        <x:v>2</x:v>
      </x:c>
      <x:c r="E403" s="86" t="str">
        <x:v>T2</x:v>
      </x:c>
      <x:c r="F403" s="86" t="str">
        <x:v>L2</x:v>
      </x:c>
      <x:c r="G403" s="86" t="str">
        <x:v>authority-CAL</x:v>
      </x:c>
      <x:c r="H403" s="91" t="str">
        <x:v>OPEN</x:v>
      </x:c>
      <x:c r="I403" s="86" t="str">
        <x:v>safe end</x:v>
      </x:c>
    </x:row>
    <x:row r="404">
      <x:c r="A404" s="86" t="str">
        <x:v>ER-399</x:v>
      </x:c>
      <x:c r="B404" s="86" t="str">
        <x:v>safe end</x:v>
      </x:c>
      <x:c r="C404" s="86" t="str">
        <x:v>authority</x:v>
      </x:c>
      <x:c r="D404" s="108" t="n">
        <x:v>3</x:v>
      </x:c>
      <x:c r="E404" s="86" t="str">
        <x:v>T3</x:v>
      </x:c>
      <x:c r="F404" s="86" t="str">
        <x:v>L3</x:v>
      </x:c>
      <x:c r="G404" s="86" t="str">
        <x:v>authority-CAL</x:v>
      </x:c>
      <x:c r="H404" s="91" t="str">
        <x:v>OPEN</x:v>
      </x:c>
      <x:c r="I404" s="86" t="str">
        <x:v>safe end</x:v>
      </x:c>
    </x:row>
    <x:row r="405">
      <x:c r="A405" s="86" t="str">
        <x:v>ER-400</x:v>
      </x:c>
      <x:c r="B405" s="86" t="str">
        <x:v>safe end</x:v>
      </x:c>
      <x:c r="C405" s="86" t="str">
        <x:v>authority</x:v>
      </x:c>
      <x:c r="D405" s="108" t="n">
        <x:v>4</x:v>
      </x:c>
      <x:c r="E405" s="86" t="str">
        <x:v>T4</x:v>
      </x:c>
      <x:c r="F405" s="86" t="str">
        <x:v>L4</x:v>
      </x:c>
      <x:c r="G405" s="86" t="str">
        <x:v>authority-CAL</x:v>
      </x:c>
      <x:c r="H405" s="91" t="str">
        <x:v>OPEN</x:v>
      </x:c>
      <x:c r="I405" s="86" t="str">
        <x:v>safe end</x:v>
      </x:c>
    </x:row>
    <x:row r="406">
      <x:c r="A406" s="86" t="str">
        <x:v>ER-401</x:v>
      </x:c>
      <x:c r="B406" s="86" t="str">
        <x:v>safe end</x:v>
      </x:c>
      <x:c r="C406" s="86" t="str">
        <x:v>calibration</x:v>
      </x:c>
      <x:c r="D406" s="108" t="n">
        <x:v>1</x:v>
      </x:c>
      <x:c r="E406" s="86" t="str">
        <x:v>T1</x:v>
      </x:c>
      <x:c r="F406" s="86" t="str">
        <x:v>L1</x:v>
      </x:c>
      <x:c r="G406" s="86" t="str">
        <x:v>calibration-CAL</x:v>
      </x:c>
      <x:c r="H406" s="91" t="str">
        <x:v>OPEN</x:v>
      </x:c>
      <x:c r="I406" s="86" t="str">
        <x:v>safe end</x:v>
      </x:c>
    </x:row>
    <x:row r="407">
      <x:c r="A407" s="86" t="str">
        <x:v>ER-402</x:v>
      </x:c>
      <x:c r="B407" s="86" t="str">
        <x:v>safe end</x:v>
      </x:c>
      <x:c r="C407" s="86" t="str">
        <x:v>calibration</x:v>
      </x:c>
      <x:c r="D407" s="108" t="n">
        <x:v>2</x:v>
      </x:c>
      <x:c r="E407" s="86" t="str">
        <x:v>T2</x:v>
      </x:c>
      <x:c r="F407" s="86" t="str">
        <x:v>L2</x:v>
      </x:c>
      <x:c r="G407" s="86" t="str">
        <x:v>calibration-CAL</x:v>
      </x:c>
      <x:c r="H407" s="91" t="str">
        <x:v>OPEN</x:v>
      </x:c>
      <x:c r="I407" s="86" t="str">
        <x:v>safe end</x:v>
      </x:c>
    </x:row>
    <x:row r="408">
      <x:c r="A408" s="86" t="str">
        <x:v>ER-403</x:v>
      </x:c>
      <x:c r="B408" s="86" t="str">
        <x:v>safe end</x:v>
      </x:c>
      <x:c r="C408" s="86" t="str">
        <x:v>calibration</x:v>
      </x:c>
      <x:c r="D408" s="108" t="n">
        <x:v>3</x:v>
      </x:c>
      <x:c r="E408" s="86" t="str">
        <x:v>T3</x:v>
      </x:c>
      <x:c r="F408" s="86" t="str">
        <x:v>L3</x:v>
      </x:c>
      <x:c r="G408" s="86" t="str">
        <x:v>calibration-CAL</x:v>
      </x:c>
      <x:c r="H408" s="91" t="str">
        <x:v>OPEN</x:v>
      </x:c>
      <x:c r="I408" s="86" t="str">
        <x:v>safe end</x:v>
      </x:c>
    </x:row>
    <x:row r="409">
      <x:c r="A409" s="86" t="str">
        <x:v>ER-404</x:v>
      </x:c>
      <x:c r="B409" s="86" t="str">
        <x:v>safe end</x:v>
      </x:c>
      <x:c r="C409" s="86" t="str">
        <x:v>calibration</x:v>
      </x:c>
      <x:c r="D409" s="108" t="n">
        <x:v>4</x:v>
      </x:c>
      <x:c r="E409" s="86" t="str">
        <x:v>T4</x:v>
      </x:c>
      <x:c r="F409" s="86" t="str">
        <x:v>L4</x:v>
      </x:c>
      <x:c r="G409" s="86" t="str">
        <x:v>calibration-CAL</x:v>
      </x:c>
      <x:c r="H409" s="91" t="str">
        <x:v>OPEN</x:v>
      </x:c>
      <x:c r="I409" s="86" t="str">
        <x:v>safe end</x:v>
      </x:c>
    </x:row>
    <x:row r="410">
      <x:c r="A410" s="86" t="str">
        <x:v>ER-405</x:v>
      </x:c>
      <x:c r="B410" s="86" t="str">
        <x:v>safe end</x:v>
      </x:c>
      <x:c r="C410" s="86" t="str">
        <x:v>causal time</x:v>
      </x:c>
      <x:c r="D410" s="108" t="n">
        <x:v>1</x:v>
      </x:c>
      <x:c r="E410" s="86" t="str">
        <x:v>T1</x:v>
      </x:c>
      <x:c r="F410" s="86" t="str">
        <x:v>L1</x:v>
      </x:c>
      <x:c r="G410" s="86" t="str">
        <x:v>causal time-CAL</x:v>
      </x:c>
      <x:c r="H410" s="91" t="str">
        <x:v>OPEN</x:v>
      </x:c>
      <x:c r="I410" s="86" t="str">
        <x:v>safe end</x:v>
      </x:c>
    </x:row>
    <x:row r="411">
      <x:c r="A411" s="86" t="str">
        <x:v>ER-406</x:v>
      </x:c>
      <x:c r="B411" s="86" t="str">
        <x:v>safe end</x:v>
      </x:c>
      <x:c r="C411" s="86" t="str">
        <x:v>causal time</x:v>
      </x:c>
      <x:c r="D411" s="108" t="n">
        <x:v>2</x:v>
      </x:c>
      <x:c r="E411" s="86" t="str">
        <x:v>T2</x:v>
      </x:c>
      <x:c r="F411" s="86" t="str">
        <x:v>L2</x:v>
      </x:c>
      <x:c r="G411" s="86" t="str">
        <x:v>causal time-CAL</x:v>
      </x:c>
      <x:c r="H411" s="91" t="str">
        <x:v>OPEN</x:v>
      </x:c>
      <x:c r="I411" s="86" t="str">
        <x:v>safe end</x:v>
      </x:c>
    </x:row>
    <x:row r="412">
      <x:c r="A412" s="86" t="str">
        <x:v>ER-407</x:v>
      </x:c>
      <x:c r="B412" s="86" t="str">
        <x:v>safe end</x:v>
      </x:c>
      <x:c r="C412" s="86" t="str">
        <x:v>causal time</x:v>
      </x:c>
      <x:c r="D412" s="108" t="n">
        <x:v>3</x:v>
      </x:c>
      <x:c r="E412" s="86" t="str">
        <x:v>T3</x:v>
      </x:c>
      <x:c r="F412" s="86" t="str">
        <x:v>L3</x:v>
      </x:c>
      <x:c r="G412" s="86" t="str">
        <x:v>causal time-CAL</x:v>
      </x:c>
      <x:c r="H412" s="91" t="str">
        <x:v>OPEN</x:v>
      </x:c>
      <x:c r="I412" s="86" t="str">
        <x:v>safe end</x:v>
      </x:c>
    </x:row>
    <x:row r="413">
      <x:c r="A413" s="86" t="str">
        <x:v>ER-408</x:v>
      </x:c>
      <x:c r="B413" s="86" t="str">
        <x:v>safe end</x:v>
      </x:c>
      <x:c r="C413" s="86" t="str">
        <x:v>causal time</x:v>
      </x:c>
      <x:c r="D413" s="108" t="n">
        <x:v>4</x:v>
      </x:c>
      <x:c r="E413" s="86" t="str">
        <x:v>T4</x:v>
      </x:c>
      <x:c r="F413" s="86" t="str">
        <x:v>L4</x:v>
      </x:c>
      <x:c r="G413" s="86" t="str">
        <x:v>causal time-CAL</x:v>
      </x:c>
      <x:c r="H413" s="91" t="str">
        <x:v>OPEN</x:v>
      </x:c>
      <x:c r="I413" s="86" t="str">
        <x:v>safe end</x:v>
      </x:c>
    </x:row>
    <x:row r="414">
      <x:c r="A414" s="86" t="str">
        <x:v>ER-409</x:v>
      </x:c>
      <x:c r="B414" s="86" t="str">
        <x:v>safe end</x:v>
      </x:c>
      <x:c r="C414" s="86" t="str">
        <x:v>custody</x:v>
      </x:c>
      <x:c r="D414" s="108" t="n">
        <x:v>1</x:v>
      </x:c>
      <x:c r="E414" s="86" t="str">
        <x:v>T1</x:v>
      </x:c>
      <x:c r="F414" s="86" t="str">
        <x:v>L1</x:v>
      </x:c>
      <x:c r="G414" s="86" t="str">
        <x:v>custody-CAL</x:v>
      </x:c>
      <x:c r="H414" s="91" t="str">
        <x:v>OPEN</x:v>
      </x:c>
      <x:c r="I414" s="86" t="str">
        <x:v>safe end</x:v>
      </x:c>
    </x:row>
    <x:row r="415">
      <x:c r="A415" s="86" t="str">
        <x:v>ER-410</x:v>
      </x:c>
      <x:c r="B415" s="86" t="str">
        <x:v>safe end</x:v>
      </x:c>
      <x:c r="C415" s="86" t="str">
        <x:v>custody</x:v>
      </x:c>
      <x:c r="D415" s="108" t="n">
        <x:v>2</x:v>
      </x:c>
      <x:c r="E415" s="86" t="str">
        <x:v>T2</x:v>
      </x:c>
      <x:c r="F415" s="86" t="str">
        <x:v>L2</x:v>
      </x:c>
      <x:c r="G415" s="86" t="str">
        <x:v>custody-CAL</x:v>
      </x:c>
      <x:c r="H415" s="91" t="str">
        <x:v>OPEN</x:v>
      </x:c>
      <x:c r="I415" s="86" t="str">
        <x:v>safe end</x:v>
      </x:c>
    </x:row>
    <x:row r="416">
      <x:c r="A416" s="86" t="str">
        <x:v>ER-411</x:v>
      </x:c>
      <x:c r="B416" s="86" t="str">
        <x:v>safe end</x:v>
      </x:c>
      <x:c r="C416" s="86" t="str">
        <x:v>custody</x:v>
      </x:c>
      <x:c r="D416" s="108" t="n">
        <x:v>3</x:v>
      </x:c>
      <x:c r="E416" s="86" t="str">
        <x:v>T3</x:v>
      </x:c>
      <x:c r="F416" s="86" t="str">
        <x:v>L3</x:v>
      </x:c>
      <x:c r="G416" s="86" t="str">
        <x:v>custody-CAL</x:v>
      </x:c>
      <x:c r="H416" s="91" t="str">
        <x:v>OPEN</x:v>
      </x:c>
      <x:c r="I416" s="86" t="str">
        <x:v>safe end</x:v>
      </x:c>
    </x:row>
    <x:row r="417">
      <x:c r="A417" s="86" t="str">
        <x:v>ER-412</x:v>
      </x:c>
      <x:c r="B417" s="86" t="str">
        <x:v>safe end</x:v>
      </x:c>
      <x:c r="C417" s="86" t="str">
        <x:v>custody</x:v>
      </x:c>
      <x:c r="D417" s="108" t="n">
        <x:v>4</x:v>
      </x:c>
      <x:c r="E417" s="86" t="str">
        <x:v>T4</x:v>
      </x:c>
      <x:c r="F417" s="86" t="str">
        <x:v>L4</x:v>
      </x:c>
      <x:c r="G417" s="86" t="str">
        <x:v>custody-CAL</x:v>
      </x:c>
      <x:c r="H417" s="91" t="str">
        <x:v>OPEN</x:v>
      </x:c>
      <x:c r="I417" s="86" t="str">
        <x:v>safe end</x:v>
      </x:c>
    </x:row>
    <x:row r="418">
      <x:c r="A418" s="86" t="str">
        <x:v>ER-413</x:v>
      </x:c>
      <x:c r="B418" s="86" t="str">
        <x:v>safe end</x:v>
      </x:c>
      <x:c r="C418" s="86" t="str">
        <x:v>reconstruction</x:v>
      </x:c>
      <x:c r="D418" s="108" t="n">
        <x:v>1</x:v>
      </x:c>
      <x:c r="E418" s="86" t="str">
        <x:v>T1</x:v>
      </x:c>
      <x:c r="F418" s="86" t="str">
        <x:v>L1</x:v>
      </x:c>
      <x:c r="G418" s="86" t="str">
        <x:v>reconstruction-CAL</x:v>
      </x:c>
      <x:c r="H418" s="91" t="str">
        <x:v>OPEN</x:v>
      </x:c>
      <x:c r="I418" s="86" t="str">
        <x:v>safe end</x:v>
      </x:c>
    </x:row>
    <x:row r="419">
      <x:c r="A419" s="86" t="str">
        <x:v>ER-414</x:v>
      </x:c>
      <x:c r="B419" s="86" t="str">
        <x:v>safe end</x:v>
      </x:c>
      <x:c r="C419" s="86" t="str">
        <x:v>reconstruction</x:v>
      </x:c>
      <x:c r="D419" s="108" t="n">
        <x:v>2</x:v>
      </x:c>
      <x:c r="E419" s="86" t="str">
        <x:v>T2</x:v>
      </x:c>
      <x:c r="F419" s="86" t="str">
        <x:v>L2</x:v>
      </x:c>
      <x:c r="G419" s="86" t="str">
        <x:v>reconstruction-CAL</x:v>
      </x:c>
      <x:c r="H419" s="91" t="str">
        <x:v>OPEN</x:v>
      </x:c>
      <x:c r="I419" s="86" t="str">
        <x:v>safe end</x:v>
      </x:c>
    </x:row>
    <x:row r="420">
      <x:c r="A420" s="86" t="str">
        <x:v>ER-415</x:v>
      </x:c>
      <x:c r="B420" s="86" t="str">
        <x:v>safe end</x:v>
      </x:c>
      <x:c r="C420" s="86" t="str">
        <x:v>reconstruction</x:v>
      </x:c>
      <x:c r="D420" s="108" t="n">
        <x:v>3</x:v>
      </x:c>
      <x:c r="E420" s="86" t="str">
        <x:v>T3</x:v>
      </x:c>
      <x:c r="F420" s="86" t="str">
        <x:v>L3</x:v>
      </x:c>
      <x:c r="G420" s="86" t="str">
        <x:v>reconstruction-CAL</x:v>
      </x:c>
      <x:c r="H420" s="91" t="str">
        <x:v>OPEN</x:v>
      </x:c>
      <x:c r="I420" s="86" t="str">
        <x:v>safe end</x:v>
      </x:c>
    </x:row>
    <x:row r="421">
      <x:c r="A421" s="86" t="str">
        <x:v>ER-416</x:v>
      </x:c>
      <x:c r="B421" s="86" t="str">
        <x:v>safe end</x:v>
      </x:c>
      <x:c r="C421" s="86" t="str">
        <x:v>reconstruction</x:v>
      </x:c>
      <x:c r="D421" s="108" t="n">
        <x:v>4</x:v>
      </x:c>
      <x:c r="E421" s="86" t="str">
        <x:v>T4</x:v>
      </x:c>
      <x:c r="F421" s="86" t="str">
        <x:v>L4</x:v>
      </x:c>
      <x:c r="G421" s="86" t="str">
        <x:v>reconstruction-CAL</x:v>
      </x:c>
      <x:c r="H421" s="91" t="str">
        <x:v>OPEN</x:v>
      </x:c>
      <x:c r="I421" s="86" t="str">
        <x:v>safe end</x:v>
      </x:c>
    </x:row>
    <x:row r="422">
      <x:c r="A422" s="86" t="str">
        <x:v>ER-417</x:v>
      </x:c>
      <x:c r="B422" s="86" t="str">
        <x:v>cooldown</x:v>
      </x:c>
      <x:c r="C422" s="86" t="str">
        <x:v>identity</x:v>
      </x:c>
      <x:c r="D422" s="108" t="n">
        <x:v>1</x:v>
      </x:c>
      <x:c r="E422" s="86" t="str">
        <x:v>T1</x:v>
      </x:c>
      <x:c r="F422" s="86" t="str">
        <x:v>L1</x:v>
      </x:c>
      <x:c r="G422" s="86" t="str">
        <x:v>identity-CAL</x:v>
      </x:c>
      <x:c r="H422" s="91" t="str">
        <x:v>OPEN</x:v>
      </x:c>
      <x:c r="I422" s="86" t="str">
        <x:v>cooldown</x:v>
      </x:c>
    </x:row>
    <x:row r="423">
      <x:c r="A423" s="86" t="str">
        <x:v>ER-418</x:v>
      </x:c>
      <x:c r="B423" s="86" t="str">
        <x:v>cooldown</x:v>
      </x:c>
      <x:c r="C423" s="86" t="str">
        <x:v>identity</x:v>
      </x:c>
      <x:c r="D423" s="108" t="n">
        <x:v>2</x:v>
      </x:c>
      <x:c r="E423" s="86" t="str">
        <x:v>T2</x:v>
      </x:c>
      <x:c r="F423" s="86" t="str">
        <x:v>L2</x:v>
      </x:c>
      <x:c r="G423" s="86" t="str">
        <x:v>identity-CAL</x:v>
      </x:c>
      <x:c r="H423" s="91" t="str">
        <x:v>OPEN</x:v>
      </x:c>
      <x:c r="I423" s="86" t="str">
        <x:v>cooldown</x:v>
      </x:c>
    </x:row>
    <x:row r="424">
      <x:c r="A424" s="86" t="str">
        <x:v>ER-419</x:v>
      </x:c>
      <x:c r="B424" s="86" t="str">
        <x:v>cooldown</x:v>
      </x:c>
      <x:c r="C424" s="86" t="str">
        <x:v>identity</x:v>
      </x:c>
      <x:c r="D424" s="108" t="n">
        <x:v>3</x:v>
      </x:c>
      <x:c r="E424" s="86" t="str">
        <x:v>T3</x:v>
      </x:c>
      <x:c r="F424" s="86" t="str">
        <x:v>L3</x:v>
      </x:c>
      <x:c r="G424" s="86" t="str">
        <x:v>identity-CAL</x:v>
      </x:c>
      <x:c r="H424" s="91" t="str">
        <x:v>OPEN</x:v>
      </x:c>
      <x:c r="I424" s="86" t="str">
        <x:v>cooldown</x:v>
      </x:c>
    </x:row>
    <x:row r="425">
      <x:c r="A425" s="86" t="str">
        <x:v>ER-420</x:v>
      </x:c>
      <x:c r="B425" s="86" t="str">
        <x:v>cooldown</x:v>
      </x:c>
      <x:c r="C425" s="86" t="str">
        <x:v>identity</x:v>
      </x:c>
      <x:c r="D425" s="108" t="n">
        <x:v>4</x:v>
      </x:c>
      <x:c r="E425" s="86" t="str">
        <x:v>T4</x:v>
      </x:c>
      <x:c r="F425" s="86" t="str">
        <x:v>L4</x:v>
      </x:c>
      <x:c r="G425" s="86" t="str">
        <x:v>identity-CAL</x:v>
      </x:c>
      <x:c r="H425" s="91" t="str">
        <x:v>OPEN</x:v>
      </x:c>
      <x:c r="I425" s="86" t="str">
        <x:v>cooldown</x:v>
      </x:c>
    </x:row>
    <x:row r="426">
      <x:c r="A426" s="86" t="str">
        <x:v>ER-421</x:v>
      </x:c>
      <x:c r="B426" s="86" t="str">
        <x:v>cooldown</x:v>
      </x:c>
      <x:c r="C426" s="86" t="str">
        <x:v>capacity</x:v>
      </x:c>
      <x:c r="D426" s="108" t="n">
        <x:v>1</x:v>
      </x:c>
      <x:c r="E426" s="86" t="str">
        <x:v>T1</x:v>
      </x:c>
      <x:c r="F426" s="86" t="str">
        <x:v>L1</x:v>
      </x:c>
      <x:c r="G426" s="86" t="str">
        <x:v>capacity-CAL</x:v>
      </x:c>
      <x:c r="H426" s="91" t="str">
        <x:v>OPEN</x:v>
      </x:c>
      <x:c r="I426" s="86" t="str">
        <x:v>cooldown</x:v>
      </x:c>
    </x:row>
    <x:row r="427">
      <x:c r="A427" s="86" t="str">
        <x:v>ER-422</x:v>
      </x:c>
      <x:c r="B427" s="86" t="str">
        <x:v>cooldown</x:v>
      </x:c>
      <x:c r="C427" s="86" t="str">
        <x:v>capacity</x:v>
      </x:c>
      <x:c r="D427" s="108" t="n">
        <x:v>2</x:v>
      </x:c>
      <x:c r="E427" s="86" t="str">
        <x:v>T2</x:v>
      </x:c>
      <x:c r="F427" s="86" t="str">
        <x:v>L2</x:v>
      </x:c>
      <x:c r="G427" s="86" t="str">
        <x:v>capacity-CAL</x:v>
      </x:c>
      <x:c r="H427" s="91" t="str">
        <x:v>OPEN</x:v>
      </x:c>
      <x:c r="I427" s="86" t="str">
        <x:v>cooldown</x:v>
      </x:c>
    </x:row>
    <x:row r="428">
      <x:c r="A428" s="86" t="str">
        <x:v>ER-423</x:v>
      </x:c>
      <x:c r="B428" s="86" t="str">
        <x:v>cooldown</x:v>
      </x:c>
      <x:c r="C428" s="86" t="str">
        <x:v>capacity</x:v>
      </x:c>
      <x:c r="D428" s="108" t="n">
        <x:v>3</x:v>
      </x:c>
      <x:c r="E428" s="86" t="str">
        <x:v>T3</x:v>
      </x:c>
      <x:c r="F428" s="86" t="str">
        <x:v>L3</x:v>
      </x:c>
      <x:c r="G428" s="86" t="str">
        <x:v>capacity-CAL</x:v>
      </x:c>
      <x:c r="H428" s="91" t="str">
        <x:v>OPEN</x:v>
      </x:c>
      <x:c r="I428" s="86" t="str">
        <x:v>cooldown</x:v>
      </x:c>
    </x:row>
    <x:row r="429">
      <x:c r="A429" s="86" t="str">
        <x:v>ER-424</x:v>
      </x:c>
      <x:c r="B429" s="86" t="str">
        <x:v>cooldown</x:v>
      </x:c>
      <x:c r="C429" s="86" t="str">
        <x:v>capacity</x:v>
      </x:c>
      <x:c r="D429" s="108" t="n">
        <x:v>4</x:v>
      </x:c>
      <x:c r="E429" s="86" t="str">
        <x:v>T4</x:v>
      </x:c>
      <x:c r="F429" s="86" t="str">
        <x:v>L4</x:v>
      </x:c>
      <x:c r="G429" s="86" t="str">
        <x:v>capacity-CAL</x:v>
      </x:c>
      <x:c r="H429" s="91" t="str">
        <x:v>OPEN</x:v>
      </x:c>
      <x:c r="I429" s="86" t="str">
        <x:v>cooldown</x:v>
      </x:c>
    </x:row>
    <x:row r="430">
      <x:c r="A430" s="86" t="str">
        <x:v>ER-425</x:v>
      </x:c>
      <x:c r="B430" s="86" t="str">
        <x:v>cooldown</x:v>
      </x:c>
      <x:c r="C430" s="86" t="str">
        <x:v>state</x:v>
      </x:c>
      <x:c r="D430" s="108" t="n">
        <x:v>1</x:v>
      </x:c>
      <x:c r="E430" s="86" t="str">
        <x:v>T1</x:v>
      </x:c>
      <x:c r="F430" s="86" t="str">
        <x:v>L1</x:v>
      </x:c>
      <x:c r="G430" s="86" t="str">
        <x:v>state-CAL</x:v>
      </x:c>
      <x:c r="H430" s="91" t="str">
        <x:v>OPEN</x:v>
      </x:c>
      <x:c r="I430" s="86" t="str">
        <x:v>cooldown</x:v>
      </x:c>
    </x:row>
    <x:row r="431">
      <x:c r="A431" s="86" t="str">
        <x:v>ER-426</x:v>
      </x:c>
      <x:c r="B431" s="86" t="str">
        <x:v>cooldown</x:v>
      </x:c>
      <x:c r="C431" s="86" t="str">
        <x:v>state</x:v>
      </x:c>
      <x:c r="D431" s="108" t="n">
        <x:v>2</x:v>
      </x:c>
      <x:c r="E431" s="86" t="str">
        <x:v>T2</x:v>
      </x:c>
      <x:c r="F431" s="86" t="str">
        <x:v>L2</x:v>
      </x:c>
      <x:c r="G431" s="86" t="str">
        <x:v>state-CAL</x:v>
      </x:c>
      <x:c r="H431" s="91" t="str">
        <x:v>OPEN</x:v>
      </x:c>
      <x:c r="I431" s="86" t="str">
        <x:v>cooldown</x:v>
      </x:c>
    </x:row>
    <x:row r="432">
      <x:c r="A432" s="86" t="str">
        <x:v>ER-427</x:v>
      </x:c>
      <x:c r="B432" s="86" t="str">
        <x:v>cooldown</x:v>
      </x:c>
      <x:c r="C432" s="86" t="str">
        <x:v>state</x:v>
      </x:c>
      <x:c r="D432" s="108" t="n">
        <x:v>3</x:v>
      </x:c>
      <x:c r="E432" s="86" t="str">
        <x:v>T3</x:v>
      </x:c>
      <x:c r="F432" s="86" t="str">
        <x:v>L3</x:v>
      </x:c>
      <x:c r="G432" s="86" t="str">
        <x:v>state-CAL</x:v>
      </x:c>
      <x:c r="H432" s="91" t="str">
        <x:v>OPEN</x:v>
      </x:c>
      <x:c r="I432" s="86" t="str">
        <x:v>cooldown</x:v>
      </x:c>
    </x:row>
    <x:row r="433">
      <x:c r="A433" s="86" t="str">
        <x:v>ER-428</x:v>
      </x:c>
      <x:c r="B433" s="86" t="str">
        <x:v>cooldown</x:v>
      </x:c>
      <x:c r="C433" s="86" t="str">
        <x:v>state</x:v>
      </x:c>
      <x:c r="D433" s="108" t="n">
        <x:v>4</x:v>
      </x:c>
      <x:c r="E433" s="86" t="str">
        <x:v>T4</x:v>
      </x:c>
      <x:c r="F433" s="86" t="str">
        <x:v>L4</x:v>
      </x:c>
      <x:c r="G433" s="86" t="str">
        <x:v>state-CAL</x:v>
      </x:c>
      <x:c r="H433" s="91" t="str">
        <x:v>OPEN</x:v>
      </x:c>
      <x:c r="I433" s="86" t="str">
        <x:v>cooldown</x:v>
      </x:c>
    </x:row>
    <x:row r="434">
      <x:c r="A434" s="86" t="str">
        <x:v>ER-429</x:v>
      </x:c>
      <x:c r="B434" s="86" t="str">
        <x:v>cooldown</x:v>
      </x:c>
      <x:c r="C434" s="86" t="str">
        <x:v>authority</x:v>
      </x:c>
      <x:c r="D434" s="108" t="n">
        <x:v>1</x:v>
      </x:c>
      <x:c r="E434" s="86" t="str">
        <x:v>T1</x:v>
      </x:c>
      <x:c r="F434" s="86" t="str">
        <x:v>L1</x:v>
      </x:c>
      <x:c r="G434" s="86" t="str">
        <x:v>authority-CAL</x:v>
      </x:c>
      <x:c r="H434" s="91" t="str">
        <x:v>OPEN</x:v>
      </x:c>
      <x:c r="I434" s="86" t="str">
        <x:v>cooldown</x:v>
      </x:c>
    </x:row>
    <x:row r="435">
      <x:c r="A435" s="86" t="str">
        <x:v>ER-430</x:v>
      </x:c>
      <x:c r="B435" s="86" t="str">
        <x:v>cooldown</x:v>
      </x:c>
      <x:c r="C435" s="86" t="str">
        <x:v>authority</x:v>
      </x:c>
      <x:c r="D435" s="108" t="n">
        <x:v>2</x:v>
      </x:c>
      <x:c r="E435" s="86" t="str">
        <x:v>T2</x:v>
      </x:c>
      <x:c r="F435" s="86" t="str">
        <x:v>L2</x:v>
      </x:c>
      <x:c r="G435" s="86" t="str">
        <x:v>authority-CAL</x:v>
      </x:c>
      <x:c r="H435" s="91" t="str">
        <x:v>OPEN</x:v>
      </x:c>
      <x:c r="I435" s="86" t="str">
        <x:v>cooldown</x:v>
      </x:c>
    </x:row>
    <x:row r="436">
      <x:c r="A436" s="86" t="str">
        <x:v>ER-431</x:v>
      </x:c>
      <x:c r="B436" s="86" t="str">
        <x:v>cooldown</x:v>
      </x:c>
      <x:c r="C436" s="86" t="str">
        <x:v>authority</x:v>
      </x:c>
      <x:c r="D436" s="108" t="n">
        <x:v>3</x:v>
      </x:c>
      <x:c r="E436" s="86" t="str">
        <x:v>T3</x:v>
      </x:c>
      <x:c r="F436" s="86" t="str">
        <x:v>L3</x:v>
      </x:c>
      <x:c r="G436" s="86" t="str">
        <x:v>authority-CAL</x:v>
      </x:c>
      <x:c r="H436" s="91" t="str">
        <x:v>OPEN</x:v>
      </x:c>
      <x:c r="I436" s="86" t="str">
        <x:v>cooldown</x:v>
      </x:c>
    </x:row>
    <x:row r="437">
      <x:c r="A437" s="86" t="str">
        <x:v>ER-432</x:v>
      </x:c>
      <x:c r="B437" s="86" t="str">
        <x:v>cooldown</x:v>
      </x:c>
      <x:c r="C437" s="86" t="str">
        <x:v>authority</x:v>
      </x:c>
      <x:c r="D437" s="108" t="n">
        <x:v>4</x:v>
      </x:c>
      <x:c r="E437" s="86" t="str">
        <x:v>T4</x:v>
      </x:c>
      <x:c r="F437" s="86" t="str">
        <x:v>L4</x:v>
      </x:c>
      <x:c r="G437" s="86" t="str">
        <x:v>authority-CAL</x:v>
      </x:c>
      <x:c r="H437" s="91" t="str">
        <x:v>OPEN</x:v>
      </x:c>
      <x:c r="I437" s="86" t="str">
        <x:v>cooldown</x:v>
      </x:c>
    </x:row>
    <x:row r="438">
      <x:c r="A438" s="86" t="str">
        <x:v>ER-433</x:v>
      </x:c>
      <x:c r="B438" s="86" t="str">
        <x:v>cooldown</x:v>
      </x:c>
      <x:c r="C438" s="86" t="str">
        <x:v>calibration</x:v>
      </x:c>
      <x:c r="D438" s="108" t="n">
        <x:v>1</x:v>
      </x:c>
      <x:c r="E438" s="86" t="str">
        <x:v>T1</x:v>
      </x:c>
      <x:c r="F438" s="86" t="str">
        <x:v>L1</x:v>
      </x:c>
      <x:c r="G438" s="86" t="str">
        <x:v>calibration-CAL</x:v>
      </x:c>
      <x:c r="H438" s="91" t="str">
        <x:v>OPEN</x:v>
      </x:c>
      <x:c r="I438" s="86" t="str">
        <x:v>cooldown</x:v>
      </x:c>
    </x:row>
    <x:row r="439">
      <x:c r="A439" s="86" t="str">
        <x:v>ER-434</x:v>
      </x:c>
      <x:c r="B439" s="86" t="str">
        <x:v>cooldown</x:v>
      </x:c>
      <x:c r="C439" s="86" t="str">
        <x:v>calibration</x:v>
      </x:c>
      <x:c r="D439" s="108" t="n">
        <x:v>2</x:v>
      </x:c>
      <x:c r="E439" s="86" t="str">
        <x:v>T2</x:v>
      </x:c>
      <x:c r="F439" s="86" t="str">
        <x:v>L2</x:v>
      </x:c>
      <x:c r="G439" s="86" t="str">
        <x:v>calibration-CAL</x:v>
      </x:c>
      <x:c r="H439" s="91" t="str">
        <x:v>OPEN</x:v>
      </x:c>
      <x:c r="I439" s="86" t="str">
        <x:v>cooldown</x:v>
      </x:c>
    </x:row>
    <x:row r="440">
      <x:c r="A440" s="86" t="str">
        <x:v>ER-435</x:v>
      </x:c>
      <x:c r="B440" s="86" t="str">
        <x:v>cooldown</x:v>
      </x:c>
      <x:c r="C440" s="86" t="str">
        <x:v>calibration</x:v>
      </x:c>
      <x:c r="D440" s="108" t="n">
        <x:v>3</x:v>
      </x:c>
      <x:c r="E440" s="86" t="str">
        <x:v>T3</x:v>
      </x:c>
      <x:c r="F440" s="86" t="str">
        <x:v>L3</x:v>
      </x:c>
      <x:c r="G440" s="86" t="str">
        <x:v>calibration-CAL</x:v>
      </x:c>
      <x:c r="H440" s="91" t="str">
        <x:v>OPEN</x:v>
      </x:c>
      <x:c r="I440" s="86" t="str">
        <x:v>cooldown</x:v>
      </x:c>
    </x:row>
    <x:row r="441">
      <x:c r="A441" s="86" t="str">
        <x:v>ER-436</x:v>
      </x:c>
      <x:c r="B441" s="86" t="str">
        <x:v>cooldown</x:v>
      </x:c>
      <x:c r="C441" s="86" t="str">
        <x:v>calibration</x:v>
      </x:c>
      <x:c r="D441" s="108" t="n">
        <x:v>4</x:v>
      </x:c>
      <x:c r="E441" s="86" t="str">
        <x:v>T4</x:v>
      </x:c>
      <x:c r="F441" s="86" t="str">
        <x:v>L4</x:v>
      </x:c>
      <x:c r="G441" s="86" t="str">
        <x:v>calibration-CAL</x:v>
      </x:c>
      <x:c r="H441" s="91" t="str">
        <x:v>OPEN</x:v>
      </x:c>
      <x:c r="I441" s="86" t="str">
        <x:v>cooldown</x:v>
      </x:c>
    </x:row>
    <x:row r="442">
      <x:c r="A442" s="86" t="str">
        <x:v>ER-437</x:v>
      </x:c>
      <x:c r="B442" s="86" t="str">
        <x:v>cooldown</x:v>
      </x:c>
      <x:c r="C442" s="86" t="str">
        <x:v>causal time</x:v>
      </x:c>
      <x:c r="D442" s="108" t="n">
        <x:v>1</x:v>
      </x:c>
      <x:c r="E442" s="86" t="str">
        <x:v>T1</x:v>
      </x:c>
      <x:c r="F442" s="86" t="str">
        <x:v>L1</x:v>
      </x:c>
      <x:c r="G442" s="86" t="str">
        <x:v>causal time-CAL</x:v>
      </x:c>
      <x:c r="H442" s="91" t="str">
        <x:v>OPEN</x:v>
      </x:c>
      <x:c r="I442" s="86" t="str">
        <x:v>cooldown</x:v>
      </x:c>
    </x:row>
    <x:row r="443">
      <x:c r="A443" s="86" t="str">
        <x:v>ER-438</x:v>
      </x:c>
      <x:c r="B443" s="86" t="str">
        <x:v>cooldown</x:v>
      </x:c>
      <x:c r="C443" s="86" t="str">
        <x:v>causal time</x:v>
      </x:c>
      <x:c r="D443" s="108" t="n">
        <x:v>2</x:v>
      </x:c>
      <x:c r="E443" s="86" t="str">
        <x:v>T2</x:v>
      </x:c>
      <x:c r="F443" s="86" t="str">
        <x:v>L2</x:v>
      </x:c>
      <x:c r="G443" s="86" t="str">
        <x:v>causal time-CAL</x:v>
      </x:c>
      <x:c r="H443" s="91" t="str">
        <x:v>OPEN</x:v>
      </x:c>
      <x:c r="I443" s="86" t="str">
        <x:v>cooldown</x:v>
      </x:c>
    </x:row>
    <x:row r="444">
      <x:c r="A444" s="86" t="str">
        <x:v>ER-439</x:v>
      </x:c>
      <x:c r="B444" s="86" t="str">
        <x:v>cooldown</x:v>
      </x:c>
      <x:c r="C444" s="86" t="str">
        <x:v>causal time</x:v>
      </x:c>
      <x:c r="D444" s="108" t="n">
        <x:v>3</x:v>
      </x:c>
      <x:c r="E444" s="86" t="str">
        <x:v>T3</x:v>
      </x:c>
      <x:c r="F444" s="86" t="str">
        <x:v>L3</x:v>
      </x:c>
      <x:c r="G444" s="86" t="str">
        <x:v>causal time-CAL</x:v>
      </x:c>
      <x:c r="H444" s="91" t="str">
        <x:v>OPEN</x:v>
      </x:c>
      <x:c r="I444" s="86" t="str">
        <x:v>cooldown</x:v>
      </x:c>
    </x:row>
    <x:row r="445">
      <x:c r="A445" s="86" t="str">
        <x:v>ER-440</x:v>
      </x:c>
      <x:c r="B445" s="86" t="str">
        <x:v>cooldown</x:v>
      </x:c>
      <x:c r="C445" s="86" t="str">
        <x:v>causal time</x:v>
      </x:c>
      <x:c r="D445" s="108" t="n">
        <x:v>4</x:v>
      </x:c>
      <x:c r="E445" s="86" t="str">
        <x:v>T4</x:v>
      </x:c>
      <x:c r="F445" s="86" t="str">
        <x:v>L4</x:v>
      </x:c>
      <x:c r="G445" s="86" t="str">
        <x:v>causal time-CAL</x:v>
      </x:c>
      <x:c r="H445" s="91" t="str">
        <x:v>OPEN</x:v>
      </x:c>
      <x:c r="I445" s="86" t="str">
        <x:v>cooldown</x:v>
      </x:c>
    </x:row>
    <x:row r="446">
      <x:c r="A446" s="86" t="str">
        <x:v>ER-441</x:v>
      </x:c>
      <x:c r="B446" s="86" t="str">
        <x:v>cooldown</x:v>
      </x:c>
      <x:c r="C446" s="86" t="str">
        <x:v>custody</x:v>
      </x:c>
      <x:c r="D446" s="108" t="n">
        <x:v>1</x:v>
      </x:c>
      <x:c r="E446" s="86" t="str">
        <x:v>T1</x:v>
      </x:c>
      <x:c r="F446" s="86" t="str">
        <x:v>L1</x:v>
      </x:c>
      <x:c r="G446" s="86" t="str">
        <x:v>custody-CAL</x:v>
      </x:c>
      <x:c r="H446" s="91" t="str">
        <x:v>OPEN</x:v>
      </x:c>
      <x:c r="I446" s="86" t="str">
        <x:v>cooldown</x:v>
      </x:c>
    </x:row>
    <x:row r="447">
      <x:c r="A447" s="86" t="str">
        <x:v>ER-442</x:v>
      </x:c>
      <x:c r="B447" s="86" t="str">
        <x:v>cooldown</x:v>
      </x:c>
      <x:c r="C447" s="86" t="str">
        <x:v>custody</x:v>
      </x:c>
      <x:c r="D447" s="108" t="n">
        <x:v>2</x:v>
      </x:c>
      <x:c r="E447" s="86" t="str">
        <x:v>T2</x:v>
      </x:c>
      <x:c r="F447" s="86" t="str">
        <x:v>L2</x:v>
      </x:c>
      <x:c r="G447" s="86" t="str">
        <x:v>custody-CAL</x:v>
      </x:c>
      <x:c r="H447" s="91" t="str">
        <x:v>OPEN</x:v>
      </x:c>
      <x:c r="I447" s="86" t="str">
        <x:v>cooldown</x:v>
      </x:c>
    </x:row>
    <x:row r="448">
      <x:c r="A448" s="86" t="str">
        <x:v>ER-443</x:v>
      </x:c>
      <x:c r="B448" s="86" t="str">
        <x:v>cooldown</x:v>
      </x:c>
      <x:c r="C448" s="86" t="str">
        <x:v>custody</x:v>
      </x:c>
      <x:c r="D448" s="108" t="n">
        <x:v>3</x:v>
      </x:c>
      <x:c r="E448" s="86" t="str">
        <x:v>T3</x:v>
      </x:c>
      <x:c r="F448" s="86" t="str">
        <x:v>L3</x:v>
      </x:c>
      <x:c r="G448" s="86" t="str">
        <x:v>custody-CAL</x:v>
      </x:c>
      <x:c r="H448" s="91" t="str">
        <x:v>OPEN</x:v>
      </x:c>
      <x:c r="I448" s="86" t="str">
        <x:v>cooldown</x:v>
      </x:c>
    </x:row>
    <x:row r="449">
      <x:c r="A449" s="86" t="str">
        <x:v>ER-444</x:v>
      </x:c>
      <x:c r="B449" s="86" t="str">
        <x:v>cooldown</x:v>
      </x:c>
      <x:c r="C449" s="86" t="str">
        <x:v>custody</x:v>
      </x:c>
      <x:c r="D449" s="108" t="n">
        <x:v>4</x:v>
      </x:c>
      <x:c r="E449" s="86" t="str">
        <x:v>T4</x:v>
      </x:c>
      <x:c r="F449" s="86" t="str">
        <x:v>L4</x:v>
      </x:c>
      <x:c r="G449" s="86" t="str">
        <x:v>custody-CAL</x:v>
      </x:c>
      <x:c r="H449" s="91" t="str">
        <x:v>OPEN</x:v>
      </x:c>
      <x:c r="I449" s="86" t="str">
        <x:v>cooldown</x:v>
      </x:c>
    </x:row>
    <x:row r="450">
      <x:c r="A450" s="86" t="str">
        <x:v>ER-445</x:v>
      </x:c>
      <x:c r="B450" s="86" t="str">
        <x:v>cooldown</x:v>
      </x:c>
      <x:c r="C450" s="86" t="str">
        <x:v>reconstruction</x:v>
      </x:c>
      <x:c r="D450" s="108" t="n">
        <x:v>1</x:v>
      </x:c>
      <x:c r="E450" s="86" t="str">
        <x:v>T1</x:v>
      </x:c>
      <x:c r="F450" s="86" t="str">
        <x:v>L1</x:v>
      </x:c>
      <x:c r="G450" s="86" t="str">
        <x:v>reconstruction-CAL</x:v>
      </x:c>
      <x:c r="H450" s="91" t="str">
        <x:v>OPEN</x:v>
      </x:c>
      <x:c r="I450" s="86" t="str">
        <x:v>cooldown</x:v>
      </x:c>
    </x:row>
    <x:row r="451">
      <x:c r="A451" s="86" t="str">
        <x:v>ER-446</x:v>
      </x:c>
      <x:c r="B451" s="86" t="str">
        <x:v>cooldown</x:v>
      </x:c>
      <x:c r="C451" s="86" t="str">
        <x:v>reconstruction</x:v>
      </x:c>
      <x:c r="D451" s="108" t="n">
        <x:v>2</x:v>
      </x:c>
      <x:c r="E451" s="86" t="str">
        <x:v>T2</x:v>
      </x:c>
      <x:c r="F451" s="86" t="str">
        <x:v>L2</x:v>
      </x:c>
      <x:c r="G451" s="86" t="str">
        <x:v>reconstruction-CAL</x:v>
      </x:c>
      <x:c r="H451" s="91" t="str">
        <x:v>OPEN</x:v>
      </x:c>
      <x:c r="I451" s="86" t="str">
        <x:v>cooldown</x:v>
      </x:c>
    </x:row>
    <x:row r="452">
      <x:c r="A452" s="86" t="str">
        <x:v>ER-447</x:v>
      </x:c>
      <x:c r="B452" s="86" t="str">
        <x:v>cooldown</x:v>
      </x:c>
      <x:c r="C452" s="86" t="str">
        <x:v>reconstruction</x:v>
      </x:c>
      <x:c r="D452" s="108" t="n">
        <x:v>3</x:v>
      </x:c>
      <x:c r="E452" s="86" t="str">
        <x:v>T3</x:v>
      </x:c>
      <x:c r="F452" s="86" t="str">
        <x:v>L3</x:v>
      </x:c>
      <x:c r="G452" s="86" t="str">
        <x:v>reconstruction-CAL</x:v>
      </x:c>
      <x:c r="H452" s="91" t="str">
        <x:v>OPEN</x:v>
      </x:c>
      <x:c r="I452" s="86" t="str">
        <x:v>cooldown</x:v>
      </x:c>
    </x:row>
    <x:row r="453">
      <x:c r="A453" s="86" t="str">
        <x:v>ER-448</x:v>
      </x:c>
      <x:c r="B453" s="86" t="str">
        <x:v>cooldown</x:v>
      </x:c>
      <x:c r="C453" s="86" t="str">
        <x:v>reconstruction</x:v>
      </x:c>
      <x:c r="D453" s="108" t="n">
        <x:v>4</x:v>
      </x:c>
      <x:c r="E453" s="86" t="str">
        <x:v>T4</x:v>
      </x:c>
      <x:c r="F453" s="86" t="str">
        <x:v>L4</x:v>
      </x:c>
      <x:c r="G453" s="86" t="str">
        <x:v>reconstruction-CAL</x:v>
      </x:c>
      <x:c r="H453" s="91" t="str">
        <x:v>OPEN</x:v>
      </x:c>
      <x:c r="I453" s="86" t="str">
        <x:v>cooldown</x:v>
      </x:c>
    </x:row>
    <x:row r="454">
      <x:c r="A454" s="86" t="str">
        <x:v>ER-449</x:v>
      </x:c>
      <x:c r="B454" s="86" t="str">
        <x:v>return</x:v>
      </x:c>
      <x:c r="C454" s="86" t="str">
        <x:v>identity</x:v>
      </x:c>
      <x:c r="D454" s="108" t="n">
        <x:v>1</x:v>
      </x:c>
      <x:c r="E454" s="86" t="str">
        <x:v>T1</x:v>
      </x:c>
      <x:c r="F454" s="86" t="str">
        <x:v>L1</x:v>
      </x:c>
      <x:c r="G454" s="86" t="str">
        <x:v>identity-CAL</x:v>
      </x:c>
      <x:c r="H454" s="91" t="str">
        <x:v>OPEN</x:v>
      </x:c>
      <x:c r="I454" s="86" t="str">
        <x:v>return</x:v>
      </x:c>
    </x:row>
    <x:row r="455">
      <x:c r="A455" s="86" t="str">
        <x:v>ER-450</x:v>
      </x:c>
      <x:c r="B455" s="86" t="str">
        <x:v>return</x:v>
      </x:c>
      <x:c r="C455" s="86" t="str">
        <x:v>identity</x:v>
      </x:c>
      <x:c r="D455" s="108" t="n">
        <x:v>2</x:v>
      </x:c>
      <x:c r="E455" s="86" t="str">
        <x:v>T2</x:v>
      </x:c>
      <x:c r="F455" s="86" t="str">
        <x:v>L2</x:v>
      </x:c>
      <x:c r="G455" s="86" t="str">
        <x:v>identity-CAL</x:v>
      </x:c>
      <x:c r="H455" s="91" t="str">
        <x:v>OPEN</x:v>
      </x:c>
      <x:c r="I455" s="86" t="str">
        <x:v>return</x:v>
      </x:c>
    </x:row>
    <x:row r="456">
      <x:c r="A456" s="86" t="str">
        <x:v>ER-451</x:v>
      </x:c>
      <x:c r="B456" s="86" t="str">
        <x:v>return</x:v>
      </x:c>
      <x:c r="C456" s="86" t="str">
        <x:v>identity</x:v>
      </x:c>
      <x:c r="D456" s="108" t="n">
        <x:v>3</x:v>
      </x:c>
      <x:c r="E456" s="86" t="str">
        <x:v>T3</x:v>
      </x:c>
      <x:c r="F456" s="86" t="str">
        <x:v>L3</x:v>
      </x:c>
      <x:c r="G456" s="86" t="str">
        <x:v>identity-CAL</x:v>
      </x:c>
      <x:c r="H456" s="91" t="str">
        <x:v>OPEN</x:v>
      </x:c>
      <x:c r="I456" s="86" t="str">
        <x:v>return</x:v>
      </x:c>
    </x:row>
    <x:row r="457">
      <x:c r="A457" s="86" t="str">
        <x:v>ER-452</x:v>
      </x:c>
      <x:c r="B457" s="86" t="str">
        <x:v>return</x:v>
      </x:c>
      <x:c r="C457" s="86" t="str">
        <x:v>identity</x:v>
      </x:c>
      <x:c r="D457" s="108" t="n">
        <x:v>4</x:v>
      </x:c>
      <x:c r="E457" s="86" t="str">
        <x:v>T4</x:v>
      </x:c>
      <x:c r="F457" s="86" t="str">
        <x:v>L4</x:v>
      </x:c>
      <x:c r="G457" s="86" t="str">
        <x:v>identity-CAL</x:v>
      </x:c>
      <x:c r="H457" s="91" t="str">
        <x:v>OPEN</x:v>
      </x:c>
      <x:c r="I457" s="86" t="str">
        <x:v>return</x:v>
      </x:c>
    </x:row>
    <x:row r="458">
      <x:c r="A458" s="86" t="str">
        <x:v>ER-453</x:v>
      </x:c>
      <x:c r="B458" s="86" t="str">
        <x:v>return</x:v>
      </x:c>
      <x:c r="C458" s="86" t="str">
        <x:v>capacity</x:v>
      </x:c>
      <x:c r="D458" s="108" t="n">
        <x:v>1</x:v>
      </x:c>
      <x:c r="E458" s="86" t="str">
        <x:v>T1</x:v>
      </x:c>
      <x:c r="F458" s="86" t="str">
        <x:v>L1</x:v>
      </x:c>
      <x:c r="G458" s="86" t="str">
        <x:v>capacity-CAL</x:v>
      </x:c>
      <x:c r="H458" s="91" t="str">
        <x:v>OPEN</x:v>
      </x:c>
      <x:c r="I458" s="86" t="str">
        <x:v>return</x:v>
      </x:c>
    </x:row>
    <x:row r="459">
      <x:c r="A459" s="86" t="str">
        <x:v>ER-454</x:v>
      </x:c>
      <x:c r="B459" s="86" t="str">
        <x:v>return</x:v>
      </x:c>
      <x:c r="C459" s="86" t="str">
        <x:v>capacity</x:v>
      </x:c>
      <x:c r="D459" s="108" t="n">
        <x:v>2</x:v>
      </x:c>
      <x:c r="E459" s="86" t="str">
        <x:v>T2</x:v>
      </x:c>
      <x:c r="F459" s="86" t="str">
        <x:v>L2</x:v>
      </x:c>
      <x:c r="G459" s="86" t="str">
        <x:v>capacity-CAL</x:v>
      </x:c>
      <x:c r="H459" s="91" t="str">
        <x:v>OPEN</x:v>
      </x:c>
      <x:c r="I459" s="86" t="str">
        <x:v>return</x:v>
      </x:c>
    </x:row>
    <x:row r="460">
      <x:c r="A460" s="86" t="str">
        <x:v>ER-455</x:v>
      </x:c>
      <x:c r="B460" s="86" t="str">
        <x:v>return</x:v>
      </x:c>
      <x:c r="C460" s="86" t="str">
        <x:v>capacity</x:v>
      </x:c>
      <x:c r="D460" s="108" t="n">
        <x:v>3</x:v>
      </x:c>
      <x:c r="E460" s="86" t="str">
        <x:v>T3</x:v>
      </x:c>
      <x:c r="F460" s="86" t="str">
        <x:v>L3</x:v>
      </x:c>
      <x:c r="G460" s="86" t="str">
        <x:v>capacity-CAL</x:v>
      </x:c>
      <x:c r="H460" s="91" t="str">
        <x:v>OPEN</x:v>
      </x:c>
      <x:c r="I460" s="86" t="str">
        <x:v>return</x:v>
      </x:c>
    </x:row>
    <x:row r="461">
      <x:c r="A461" s="86" t="str">
        <x:v>ER-456</x:v>
      </x:c>
      <x:c r="B461" s="86" t="str">
        <x:v>return</x:v>
      </x:c>
      <x:c r="C461" s="86" t="str">
        <x:v>capacity</x:v>
      </x:c>
      <x:c r="D461" s="108" t="n">
        <x:v>4</x:v>
      </x:c>
      <x:c r="E461" s="86" t="str">
        <x:v>T4</x:v>
      </x:c>
      <x:c r="F461" s="86" t="str">
        <x:v>L4</x:v>
      </x:c>
      <x:c r="G461" s="86" t="str">
        <x:v>capacity-CAL</x:v>
      </x:c>
      <x:c r="H461" s="91" t="str">
        <x:v>OPEN</x:v>
      </x:c>
      <x:c r="I461" s="86" t="str">
        <x:v>return</x:v>
      </x:c>
    </x:row>
    <x:row r="462">
      <x:c r="A462" s="86" t="str">
        <x:v>ER-457</x:v>
      </x:c>
      <x:c r="B462" s="86" t="str">
        <x:v>return</x:v>
      </x:c>
      <x:c r="C462" s="86" t="str">
        <x:v>state</x:v>
      </x:c>
      <x:c r="D462" s="108" t="n">
        <x:v>1</x:v>
      </x:c>
      <x:c r="E462" s="86" t="str">
        <x:v>T1</x:v>
      </x:c>
      <x:c r="F462" s="86" t="str">
        <x:v>L1</x:v>
      </x:c>
      <x:c r="G462" s="86" t="str">
        <x:v>state-CAL</x:v>
      </x:c>
      <x:c r="H462" s="91" t="str">
        <x:v>OPEN</x:v>
      </x:c>
      <x:c r="I462" s="86" t="str">
        <x:v>return</x:v>
      </x:c>
    </x:row>
    <x:row r="463">
      <x:c r="A463" s="86" t="str">
        <x:v>ER-458</x:v>
      </x:c>
      <x:c r="B463" s="86" t="str">
        <x:v>return</x:v>
      </x:c>
      <x:c r="C463" s="86" t="str">
        <x:v>state</x:v>
      </x:c>
      <x:c r="D463" s="108" t="n">
        <x:v>2</x:v>
      </x:c>
      <x:c r="E463" s="86" t="str">
        <x:v>T2</x:v>
      </x:c>
      <x:c r="F463" s="86" t="str">
        <x:v>L2</x:v>
      </x:c>
      <x:c r="G463" s="86" t="str">
        <x:v>state-CAL</x:v>
      </x:c>
      <x:c r="H463" s="91" t="str">
        <x:v>OPEN</x:v>
      </x:c>
      <x:c r="I463" s="86" t="str">
        <x:v>return</x:v>
      </x:c>
    </x:row>
    <x:row r="464">
      <x:c r="A464" s="86" t="str">
        <x:v>ER-459</x:v>
      </x:c>
      <x:c r="B464" s="86" t="str">
        <x:v>return</x:v>
      </x:c>
      <x:c r="C464" s="86" t="str">
        <x:v>state</x:v>
      </x:c>
      <x:c r="D464" s="108" t="n">
        <x:v>3</x:v>
      </x:c>
      <x:c r="E464" s="86" t="str">
        <x:v>T3</x:v>
      </x:c>
      <x:c r="F464" s="86" t="str">
        <x:v>L3</x:v>
      </x:c>
      <x:c r="G464" s="86" t="str">
        <x:v>state-CAL</x:v>
      </x:c>
      <x:c r="H464" s="91" t="str">
        <x:v>OPEN</x:v>
      </x:c>
      <x:c r="I464" s="86" t="str">
        <x:v>return</x:v>
      </x:c>
    </x:row>
    <x:row r="465">
      <x:c r="A465" s="86" t="str">
        <x:v>ER-460</x:v>
      </x:c>
      <x:c r="B465" s="86" t="str">
        <x:v>return</x:v>
      </x:c>
      <x:c r="C465" s="86" t="str">
        <x:v>state</x:v>
      </x:c>
      <x:c r="D465" s="108" t="n">
        <x:v>4</x:v>
      </x:c>
      <x:c r="E465" s="86" t="str">
        <x:v>T4</x:v>
      </x:c>
      <x:c r="F465" s="86" t="str">
        <x:v>L4</x:v>
      </x:c>
      <x:c r="G465" s="86" t="str">
        <x:v>state-CAL</x:v>
      </x:c>
      <x:c r="H465" s="91" t="str">
        <x:v>OPEN</x:v>
      </x:c>
      <x:c r="I465" s="86" t="str">
        <x:v>return</x:v>
      </x:c>
    </x:row>
    <x:row r="466">
      <x:c r="A466" s="86" t="str">
        <x:v>ER-461</x:v>
      </x:c>
      <x:c r="B466" s="86" t="str">
        <x:v>return</x:v>
      </x:c>
      <x:c r="C466" s="86" t="str">
        <x:v>authority</x:v>
      </x:c>
      <x:c r="D466" s="108" t="n">
        <x:v>1</x:v>
      </x:c>
      <x:c r="E466" s="86" t="str">
        <x:v>T1</x:v>
      </x:c>
      <x:c r="F466" s="86" t="str">
        <x:v>L1</x:v>
      </x:c>
      <x:c r="G466" s="86" t="str">
        <x:v>authority-CAL</x:v>
      </x:c>
      <x:c r="H466" s="91" t="str">
        <x:v>OPEN</x:v>
      </x:c>
      <x:c r="I466" s="86" t="str">
        <x:v>return</x:v>
      </x:c>
    </x:row>
    <x:row r="467">
      <x:c r="A467" s="86" t="str">
        <x:v>ER-462</x:v>
      </x:c>
      <x:c r="B467" s="86" t="str">
        <x:v>return</x:v>
      </x:c>
      <x:c r="C467" s="86" t="str">
        <x:v>authority</x:v>
      </x:c>
      <x:c r="D467" s="108" t="n">
        <x:v>2</x:v>
      </x:c>
      <x:c r="E467" s="86" t="str">
        <x:v>T2</x:v>
      </x:c>
      <x:c r="F467" s="86" t="str">
        <x:v>L2</x:v>
      </x:c>
      <x:c r="G467" s="86" t="str">
        <x:v>authority-CAL</x:v>
      </x:c>
      <x:c r="H467" s="91" t="str">
        <x:v>OPEN</x:v>
      </x:c>
      <x:c r="I467" s="86" t="str">
        <x:v>return</x:v>
      </x:c>
    </x:row>
    <x:row r="468">
      <x:c r="A468" s="86" t="str">
        <x:v>ER-463</x:v>
      </x:c>
      <x:c r="B468" s="86" t="str">
        <x:v>return</x:v>
      </x:c>
      <x:c r="C468" s="86" t="str">
        <x:v>authority</x:v>
      </x:c>
      <x:c r="D468" s="108" t="n">
        <x:v>3</x:v>
      </x:c>
      <x:c r="E468" s="86" t="str">
        <x:v>T3</x:v>
      </x:c>
      <x:c r="F468" s="86" t="str">
        <x:v>L3</x:v>
      </x:c>
      <x:c r="G468" s="86" t="str">
        <x:v>authority-CAL</x:v>
      </x:c>
      <x:c r="H468" s="91" t="str">
        <x:v>OPEN</x:v>
      </x:c>
      <x:c r="I468" s="86" t="str">
        <x:v>return</x:v>
      </x:c>
    </x:row>
    <x:row r="469">
      <x:c r="A469" s="86" t="str">
        <x:v>ER-464</x:v>
      </x:c>
      <x:c r="B469" s="86" t="str">
        <x:v>return</x:v>
      </x:c>
      <x:c r="C469" s="86" t="str">
        <x:v>authority</x:v>
      </x:c>
      <x:c r="D469" s="108" t="n">
        <x:v>4</x:v>
      </x:c>
      <x:c r="E469" s="86" t="str">
        <x:v>T4</x:v>
      </x:c>
      <x:c r="F469" s="86" t="str">
        <x:v>L4</x:v>
      </x:c>
      <x:c r="G469" s="86" t="str">
        <x:v>authority-CAL</x:v>
      </x:c>
      <x:c r="H469" s="91" t="str">
        <x:v>OPEN</x:v>
      </x:c>
      <x:c r="I469" s="86" t="str">
        <x:v>return</x:v>
      </x:c>
    </x:row>
    <x:row r="470">
      <x:c r="A470" s="86" t="str">
        <x:v>ER-465</x:v>
      </x:c>
      <x:c r="B470" s="86" t="str">
        <x:v>return</x:v>
      </x:c>
      <x:c r="C470" s="86" t="str">
        <x:v>calibration</x:v>
      </x:c>
      <x:c r="D470" s="108" t="n">
        <x:v>1</x:v>
      </x:c>
      <x:c r="E470" s="86" t="str">
        <x:v>T1</x:v>
      </x:c>
      <x:c r="F470" s="86" t="str">
        <x:v>L1</x:v>
      </x:c>
      <x:c r="G470" s="86" t="str">
        <x:v>calibration-CAL</x:v>
      </x:c>
      <x:c r="H470" s="91" t="str">
        <x:v>OPEN</x:v>
      </x:c>
      <x:c r="I470" s="86" t="str">
        <x:v>return</x:v>
      </x:c>
    </x:row>
    <x:row r="471">
      <x:c r="A471" s="86" t="str">
        <x:v>ER-466</x:v>
      </x:c>
      <x:c r="B471" s="86" t="str">
        <x:v>return</x:v>
      </x:c>
      <x:c r="C471" s="86" t="str">
        <x:v>calibration</x:v>
      </x:c>
      <x:c r="D471" s="108" t="n">
        <x:v>2</x:v>
      </x:c>
      <x:c r="E471" s="86" t="str">
        <x:v>T2</x:v>
      </x:c>
      <x:c r="F471" s="86" t="str">
        <x:v>L2</x:v>
      </x:c>
      <x:c r="G471" s="86" t="str">
        <x:v>calibration-CAL</x:v>
      </x:c>
      <x:c r="H471" s="91" t="str">
        <x:v>OPEN</x:v>
      </x:c>
      <x:c r="I471" s="86" t="str">
        <x:v>return</x:v>
      </x:c>
    </x:row>
    <x:row r="472">
      <x:c r="A472" s="86" t="str">
        <x:v>ER-467</x:v>
      </x:c>
      <x:c r="B472" s="86" t="str">
        <x:v>return</x:v>
      </x:c>
      <x:c r="C472" s="86" t="str">
        <x:v>calibration</x:v>
      </x:c>
      <x:c r="D472" s="108" t="n">
        <x:v>3</x:v>
      </x:c>
      <x:c r="E472" s="86" t="str">
        <x:v>T3</x:v>
      </x:c>
      <x:c r="F472" s="86" t="str">
        <x:v>L3</x:v>
      </x:c>
      <x:c r="G472" s="86" t="str">
        <x:v>calibration-CAL</x:v>
      </x:c>
      <x:c r="H472" s="91" t="str">
        <x:v>OPEN</x:v>
      </x:c>
      <x:c r="I472" s="86" t="str">
        <x:v>return</x:v>
      </x:c>
    </x:row>
    <x:row r="473">
      <x:c r="A473" s="86" t="str">
        <x:v>ER-468</x:v>
      </x:c>
      <x:c r="B473" s="86" t="str">
        <x:v>return</x:v>
      </x:c>
      <x:c r="C473" s="86" t="str">
        <x:v>calibration</x:v>
      </x:c>
      <x:c r="D473" s="108" t="n">
        <x:v>4</x:v>
      </x:c>
      <x:c r="E473" s="86" t="str">
        <x:v>T4</x:v>
      </x:c>
      <x:c r="F473" s="86" t="str">
        <x:v>L4</x:v>
      </x:c>
      <x:c r="G473" s="86" t="str">
        <x:v>calibration-CAL</x:v>
      </x:c>
      <x:c r="H473" s="91" t="str">
        <x:v>OPEN</x:v>
      </x:c>
      <x:c r="I473" s="86" t="str">
        <x:v>return</x:v>
      </x:c>
    </x:row>
    <x:row r="474">
      <x:c r="A474" s="86" t="str">
        <x:v>ER-469</x:v>
      </x:c>
      <x:c r="B474" s="86" t="str">
        <x:v>return</x:v>
      </x:c>
      <x:c r="C474" s="86" t="str">
        <x:v>causal time</x:v>
      </x:c>
      <x:c r="D474" s="108" t="n">
        <x:v>1</x:v>
      </x:c>
      <x:c r="E474" s="86" t="str">
        <x:v>T1</x:v>
      </x:c>
      <x:c r="F474" s="86" t="str">
        <x:v>L1</x:v>
      </x:c>
      <x:c r="G474" s="86" t="str">
        <x:v>causal time-CAL</x:v>
      </x:c>
      <x:c r="H474" s="91" t="str">
        <x:v>OPEN</x:v>
      </x:c>
      <x:c r="I474" s="86" t="str">
        <x:v>return</x:v>
      </x:c>
    </x:row>
    <x:row r="475">
      <x:c r="A475" s="86" t="str">
        <x:v>ER-470</x:v>
      </x:c>
      <x:c r="B475" s="86" t="str">
        <x:v>return</x:v>
      </x:c>
      <x:c r="C475" s="86" t="str">
        <x:v>causal time</x:v>
      </x:c>
      <x:c r="D475" s="108" t="n">
        <x:v>2</x:v>
      </x:c>
      <x:c r="E475" s="86" t="str">
        <x:v>T2</x:v>
      </x:c>
      <x:c r="F475" s="86" t="str">
        <x:v>L2</x:v>
      </x:c>
      <x:c r="G475" s="86" t="str">
        <x:v>causal time-CAL</x:v>
      </x:c>
      <x:c r="H475" s="91" t="str">
        <x:v>OPEN</x:v>
      </x:c>
      <x:c r="I475" s="86" t="str">
        <x:v>return</x:v>
      </x:c>
    </x:row>
    <x:row r="476">
      <x:c r="A476" s="86" t="str">
        <x:v>ER-471</x:v>
      </x:c>
      <x:c r="B476" s="86" t="str">
        <x:v>return</x:v>
      </x:c>
      <x:c r="C476" s="86" t="str">
        <x:v>causal time</x:v>
      </x:c>
      <x:c r="D476" s="108" t="n">
        <x:v>3</x:v>
      </x:c>
      <x:c r="E476" s="86" t="str">
        <x:v>T3</x:v>
      </x:c>
      <x:c r="F476" s="86" t="str">
        <x:v>L3</x:v>
      </x:c>
      <x:c r="G476" s="86" t="str">
        <x:v>causal time-CAL</x:v>
      </x:c>
      <x:c r="H476" s="91" t="str">
        <x:v>OPEN</x:v>
      </x:c>
      <x:c r="I476" s="86" t="str">
        <x:v>return</x:v>
      </x:c>
    </x:row>
    <x:row r="477">
      <x:c r="A477" s="86" t="str">
        <x:v>ER-472</x:v>
      </x:c>
      <x:c r="B477" s="86" t="str">
        <x:v>return</x:v>
      </x:c>
      <x:c r="C477" s="86" t="str">
        <x:v>causal time</x:v>
      </x:c>
      <x:c r="D477" s="108" t="n">
        <x:v>4</x:v>
      </x:c>
      <x:c r="E477" s="86" t="str">
        <x:v>T4</x:v>
      </x:c>
      <x:c r="F477" s="86" t="str">
        <x:v>L4</x:v>
      </x:c>
      <x:c r="G477" s="86" t="str">
        <x:v>causal time-CAL</x:v>
      </x:c>
      <x:c r="H477" s="91" t="str">
        <x:v>OPEN</x:v>
      </x:c>
      <x:c r="I477" s="86" t="str">
        <x:v>return</x:v>
      </x:c>
    </x:row>
    <x:row r="478">
      <x:c r="A478" s="86" t="str">
        <x:v>ER-473</x:v>
      </x:c>
      <x:c r="B478" s="86" t="str">
        <x:v>return</x:v>
      </x:c>
      <x:c r="C478" s="86" t="str">
        <x:v>custody</x:v>
      </x:c>
      <x:c r="D478" s="108" t="n">
        <x:v>1</x:v>
      </x:c>
      <x:c r="E478" s="86" t="str">
        <x:v>T1</x:v>
      </x:c>
      <x:c r="F478" s="86" t="str">
        <x:v>L1</x:v>
      </x:c>
      <x:c r="G478" s="86" t="str">
        <x:v>custody-CAL</x:v>
      </x:c>
      <x:c r="H478" s="91" t="str">
        <x:v>OPEN</x:v>
      </x:c>
      <x:c r="I478" s="86" t="str">
        <x:v>return</x:v>
      </x:c>
    </x:row>
    <x:row r="479">
      <x:c r="A479" s="86" t="str">
        <x:v>ER-474</x:v>
      </x:c>
      <x:c r="B479" s="86" t="str">
        <x:v>return</x:v>
      </x:c>
      <x:c r="C479" s="86" t="str">
        <x:v>custody</x:v>
      </x:c>
      <x:c r="D479" s="108" t="n">
        <x:v>2</x:v>
      </x:c>
      <x:c r="E479" s="86" t="str">
        <x:v>T2</x:v>
      </x:c>
      <x:c r="F479" s="86" t="str">
        <x:v>L2</x:v>
      </x:c>
      <x:c r="G479" s="86" t="str">
        <x:v>custody-CAL</x:v>
      </x:c>
      <x:c r="H479" s="91" t="str">
        <x:v>OPEN</x:v>
      </x:c>
      <x:c r="I479" s="86" t="str">
        <x:v>return</x:v>
      </x:c>
    </x:row>
    <x:row r="480">
      <x:c r="A480" s="86" t="str">
        <x:v>ER-475</x:v>
      </x:c>
      <x:c r="B480" s="86" t="str">
        <x:v>return</x:v>
      </x:c>
      <x:c r="C480" s="86" t="str">
        <x:v>custody</x:v>
      </x:c>
      <x:c r="D480" s="108" t="n">
        <x:v>3</x:v>
      </x:c>
      <x:c r="E480" s="86" t="str">
        <x:v>T3</x:v>
      </x:c>
      <x:c r="F480" s="86" t="str">
        <x:v>L3</x:v>
      </x:c>
      <x:c r="G480" s="86" t="str">
        <x:v>custody-CAL</x:v>
      </x:c>
      <x:c r="H480" s="91" t="str">
        <x:v>OPEN</x:v>
      </x:c>
      <x:c r="I480" s="86" t="str">
        <x:v>return</x:v>
      </x:c>
    </x:row>
    <x:row r="481">
      <x:c r="A481" s="86" t="str">
        <x:v>ER-476</x:v>
      </x:c>
      <x:c r="B481" s="86" t="str">
        <x:v>return</x:v>
      </x:c>
      <x:c r="C481" s="86" t="str">
        <x:v>custody</x:v>
      </x:c>
      <x:c r="D481" s="108" t="n">
        <x:v>4</x:v>
      </x:c>
      <x:c r="E481" s="86" t="str">
        <x:v>T4</x:v>
      </x:c>
      <x:c r="F481" s="86" t="str">
        <x:v>L4</x:v>
      </x:c>
      <x:c r="G481" s="86" t="str">
        <x:v>custody-CAL</x:v>
      </x:c>
      <x:c r="H481" s="91" t="str">
        <x:v>OPEN</x:v>
      </x:c>
      <x:c r="I481" s="86" t="str">
        <x:v>return</x:v>
      </x:c>
    </x:row>
    <x:row r="482">
      <x:c r="A482" s="86" t="str">
        <x:v>ER-477</x:v>
      </x:c>
      <x:c r="B482" s="86" t="str">
        <x:v>return</x:v>
      </x:c>
      <x:c r="C482" s="86" t="str">
        <x:v>reconstruction</x:v>
      </x:c>
      <x:c r="D482" s="108" t="n">
        <x:v>1</x:v>
      </x:c>
      <x:c r="E482" s="86" t="str">
        <x:v>T1</x:v>
      </x:c>
      <x:c r="F482" s="86" t="str">
        <x:v>L1</x:v>
      </x:c>
      <x:c r="G482" s="86" t="str">
        <x:v>reconstruction-CAL</x:v>
      </x:c>
      <x:c r="H482" s="91" t="str">
        <x:v>OPEN</x:v>
      </x:c>
      <x:c r="I482" s="86" t="str">
        <x:v>return</x:v>
      </x:c>
    </x:row>
    <x:row r="483">
      <x:c r="A483" s="86" t="str">
        <x:v>ER-478</x:v>
      </x:c>
      <x:c r="B483" s="86" t="str">
        <x:v>return</x:v>
      </x:c>
      <x:c r="C483" s="86" t="str">
        <x:v>reconstruction</x:v>
      </x:c>
      <x:c r="D483" s="108" t="n">
        <x:v>2</x:v>
      </x:c>
      <x:c r="E483" s="86" t="str">
        <x:v>T2</x:v>
      </x:c>
      <x:c r="F483" s="86" t="str">
        <x:v>L2</x:v>
      </x:c>
      <x:c r="G483" s="86" t="str">
        <x:v>reconstruction-CAL</x:v>
      </x:c>
      <x:c r="H483" s="91" t="str">
        <x:v>OPEN</x:v>
      </x:c>
      <x:c r="I483" s="86" t="str">
        <x:v>return</x:v>
      </x:c>
    </x:row>
    <x:row r="484">
      <x:c r="A484" s="86" t="str">
        <x:v>ER-479</x:v>
      </x:c>
      <x:c r="B484" s="86" t="str">
        <x:v>return</x:v>
      </x:c>
      <x:c r="C484" s="86" t="str">
        <x:v>reconstruction</x:v>
      </x:c>
      <x:c r="D484" s="108" t="n">
        <x:v>3</x:v>
      </x:c>
      <x:c r="E484" s="86" t="str">
        <x:v>T3</x:v>
      </x:c>
      <x:c r="F484" s="86" t="str">
        <x:v>L3</x:v>
      </x:c>
      <x:c r="G484" s="86" t="str">
        <x:v>reconstruction-CAL</x:v>
      </x:c>
      <x:c r="H484" s="91" t="str">
        <x:v>OPEN</x:v>
      </x:c>
      <x:c r="I484" s="86" t="str">
        <x:v>return</x:v>
      </x:c>
    </x:row>
    <x:row r="485">
      <x:c r="A485" s="86" t="str">
        <x:v>ER-480</x:v>
      </x:c>
      <x:c r="B485" s="86" t="str">
        <x:v>return</x:v>
      </x:c>
      <x:c r="C485" s="86" t="str">
        <x:v>reconstruction</x:v>
      </x:c>
      <x:c r="D485" s="108" t="n">
        <x:v>4</x:v>
      </x:c>
      <x:c r="E485" s="86" t="str">
        <x:v>T4</x:v>
      </x:c>
      <x:c r="F485" s="86" t="str">
        <x:v>L4</x:v>
      </x:c>
      <x:c r="G485" s="86" t="str">
        <x:v>reconstruction-CAL</x:v>
      </x:c>
      <x:c r="H485" s="91" t="str">
        <x:v>OPEN</x:v>
      </x:c>
      <x:c r="I485" s="86" t="str">
        <x:v>return</x:v>
      </x:c>
    </x:row>
    <x:row r="486">
      <x:c r="A486" s="86" t="str">
        <x:v>ER-481</x:v>
      </x:c>
      <x:c r="B486" s="86" t="str">
        <x:v>replay</x:v>
      </x:c>
      <x:c r="C486" s="86" t="str">
        <x:v>identity</x:v>
      </x:c>
      <x:c r="D486" s="108" t="n">
        <x:v>1</x:v>
      </x:c>
      <x:c r="E486" s="86" t="str">
        <x:v>T1</x:v>
      </x:c>
      <x:c r="F486" s="86" t="str">
        <x:v>L1</x:v>
      </x:c>
      <x:c r="G486" s="86" t="str">
        <x:v>identity-CAL</x:v>
      </x:c>
      <x:c r="H486" s="91" t="str">
        <x:v>OPEN</x:v>
      </x:c>
      <x:c r="I486" s="86" t="str">
        <x:v>replay</x:v>
      </x:c>
    </x:row>
    <x:row r="487">
      <x:c r="A487" s="86" t="str">
        <x:v>ER-482</x:v>
      </x:c>
      <x:c r="B487" s="86" t="str">
        <x:v>replay</x:v>
      </x:c>
      <x:c r="C487" s="86" t="str">
        <x:v>identity</x:v>
      </x:c>
      <x:c r="D487" s="108" t="n">
        <x:v>2</x:v>
      </x:c>
      <x:c r="E487" s="86" t="str">
        <x:v>T2</x:v>
      </x:c>
      <x:c r="F487" s="86" t="str">
        <x:v>L2</x:v>
      </x:c>
      <x:c r="G487" s="86" t="str">
        <x:v>identity-CAL</x:v>
      </x:c>
      <x:c r="H487" s="91" t="str">
        <x:v>OPEN</x:v>
      </x:c>
      <x:c r="I487" s="86" t="str">
        <x:v>replay</x:v>
      </x:c>
    </x:row>
    <x:row r="488">
      <x:c r="A488" s="86" t="str">
        <x:v>ER-483</x:v>
      </x:c>
      <x:c r="B488" s="86" t="str">
        <x:v>replay</x:v>
      </x:c>
      <x:c r="C488" s="86" t="str">
        <x:v>identity</x:v>
      </x:c>
      <x:c r="D488" s="108" t="n">
        <x:v>3</x:v>
      </x:c>
      <x:c r="E488" s="86" t="str">
        <x:v>T3</x:v>
      </x:c>
      <x:c r="F488" s="86" t="str">
        <x:v>L3</x:v>
      </x:c>
      <x:c r="G488" s="86" t="str">
        <x:v>identity-CAL</x:v>
      </x:c>
      <x:c r="H488" s="91" t="str">
        <x:v>OPEN</x:v>
      </x:c>
      <x:c r="I488" s="86" t="str">
        <x:v>replay</x:v>
      </x:c>
    </x:row>
    <x:row r="489">
      <x:c r="A489" s="86" t="str">
        <x:v>ER-484</x:v>
      </x:c>
      <x:c r="B489" s="86" t="str">
        <x:v>replay</x:v>
      </x:c>
      <x:c r="C489" s="86" t="str">
        <x:v>identity</x:v>
      </x:c>
      <x:c r="D489" s="108" t="n">
        <x:v>4</x:v>
      </x:c>
      <x:c r="E489" s="86" t="str">
        <x:v>T4</x:v>
      </x:c>
      <x:c r="F489" s="86" t="str">
        <x:v>L4</x:v>
      </x:c>
      <x:c r="G489" s="86" t="str">
        <x:v>identity-CAL</x:v>
      </x:c>
      <x:c r="H489" s="91" t="str">
        <x:v>OPEN</x:v>
      </x:c>
      <x:c r="I489" s="86" t="str">
        <x:v>replay</x:v>
      </x:c>
    </x:row>
    <x:row r="490">
      <x:c r="A490" s="86" t="str">
        <x:v>ER-485</x:v>
      </x:c>
      <x:c r="B490" s="86" t="str">
        <x:v>replay</x:v>
      </x:c>
      <x:c r="C490" s="86" t="str">
        <x:v>capacity</x:v>
      </x:c>
      <x:c r="D490" s="108" t="n">
        <x:v>1</x:v>
      </x:c>
      <x:c r="E490" s="86" t="str">
        <x:v>T1</x:v>
      </x:c>
      <x:c r="F490" s="86" t="str">
        <x:v>L1</x:v>
      </x:c>
      <x:c r="G490" s="86" t="str">
        <x:v>capacity-CAL</x:v>
      </x:c>
      <x:c r="H490" s="91" t="str">
        <x:v>OPEN</x:v>
      </x:c>
      <x:c r="I490" s="86" t="str">
        <x:v>replay</x:v>
      </x:c>
    </x:row>
    <x:row r="491">
      <x:c r="A491" s="86" t="str">
        <x:v>ER-486</x:v>
      </x:c>
      <x:c r="B491" s="86" t="str">
        <x:v>replay</x:v>
      </x:c>
      <x:c r="C491" s="86" t="str">
        <x:v>capacity</x:v>
      </x:c>
      <x:c r="D491" s="108" t="n">
        <x:v>2</x:v>
      </x:c>
      <x:c r="E491" s="86" t="str">
        <x:v>T2</x:v>
      </x:c>
      <x:c r="F491" s="86" t="str">
        <x:v>L2</x:v>
      </x:c>
      <x:c r="G491" s="86" t="str">
        <x:v>capacity-CAL</x:v>
      </x:c>
      <x:c r="H491" s="91" t="str">
        <x:v>OPEN</x:v>
      </x:c>
      <x:c r="I491" s="86" t="str">
        <x:v>replay</x:v>
      </x:c>
    </x:row>
    <x:row r="492">
      <x:c r="A492" s="86" t="str">
        <x:v>ER-487</x:v>
      </x:c>
      <x:c r="B492" s="86" t="str">
        <x:v>replay</x:v>
      </x:c>
      <x:c r="C492" s="86" t="str">
        <x:v>capacity</x:v>
      </x:c>
      <x:c r="D492" s="108" t="n">
        <x:v>3</x:v>
      </x:c>
      <x:c r="E492" s="86" t="str">
        <x:v>T3</x:v>
      </x:c>
      <x:c r="F492" s="86" t="str">
        <x:v>L3</x:v>
      </x:c>
      <x:c r="G492" s="86" t="str">
        <x:v>capacity-CAL</x:v>
      </x:c>
      <x:c r="H492" s="91" t="str">
        <x:v>OPEN</x:v>
      </x:c>
      <x:c r="I492" s="86" t="str">
        <x:v>replay</x:v>
      </x:c>
    </x:row>
    <x:row r="493">
      <x:c r="A493" s="86" t="str">
        <x:v>ER-488</x:v>
      </x:c>
      <x:c r="B493" s="86" t="str">
        <x:v>replay</x:v>
      </x:c>
      <x:c r="C493" s="86" t="str">
        <x:v>capacity</x:v>
      </x:c>
      <x:c r="D493" s="108" t="n">
        <x:v>4</x:v>
      </x:c>
      <x:c r="E493" s="86" t="str">
        <x:v>T4</x:v>
      </x:c>
      <x:c r="F493" s="86" t="str">
        <x:v>L4</x:v>
      </x:c>
      <x:c r="G493" s="86" t="str">
        <x:v>capacity-CAL</x:v>
      </x:c>
      <x:c r="H493" s="91" t="str">
        <x:v>OPEN</x:v>
      </x:c>
      <x:c r="I493" s="86" t="str">
        <x:v>replay</x:v>
      </x:c>
    </x:row>
    <x:row r="494">
      <x:c r="A494" s="86" t="str">
        <x:v>ER-489</x:v>
      </x:c>
      <x:c r="B494" s="86" t="str">
        <x:v>replay</x:v>
      </x:c>
      <x:c r="C494" s="86" t="str">
        <x:v>state</x:v>
      </x:c>
      <x:c r="D494" s="108" t="n">
        <x:v>1</x:v>
      </x:c>
      <x:c r="E494" s="86" t="str">
        <x:v>T1</x:v>
      </x:c>
      <x:c r="F494" s="86" t="str">
        <x:v>L1</x:v>
      </x:c>
      <x:c r="G494" s="86" t="str">
        <x:v>state-CAL</x:v>
      </x:c>
      <x:c r="H494" s="91" t="str">
        <x:v>OPEN</x:v>
      </x:c>
      <x:c r="I494" s="86" t="str">
        <x:v>replay</x:v>
      </x:c>
    </x:row>
    <x:row r="495">
      <x:c r="A495" s="86" t="str">
        <x:v>ER-490</x:v>
      </x:c>
      <x:c r="B495" s="86" t="str">
        <x:v>replay</x:v>
      </x:c>
      <x:c r="C495" s="86" t="str">
        <x:v>state</x:v>
      </x:c>
      <x:c r="D495" s="108" t="n">
        <x:v>2</x:v>
      </x:c>
      <x:c r="E495" s="86" t="str">
        <x:v>T2</x:v>
      </x:c>
      <x:c r="F495" s="86" t="str">
        <x:v>L2</x:v>
      </x:c>
      <x:c r="G495" s="86" t="str">
        <x:v>state-CAL</x:v>
      </x:c>
      <x:c r="H495" s="91" t="str">
        <x:v>OPEN</x:v>
      </x:c>
      <x:c r="I495" s="86" t="str">
        <x:v>replay</x:v>
      </x:c>
    </x:row>
    <x:row r="496">
      <x:c r="A496" s="86" t="str">
        <x:v>ER-491</x:v>
      </x:c>
      <x:c r="B496" s="86" t="str">
        <x:v>replay</x:v>
      </x:c>
      <x:c r="C496" s="86" t="str">
        <x:v>state</x:v>
      </x:c>
      <x:c r="D496" s="108" t="n">
        <x:v>3</x:v>
      </x:c>
      <x:c r="E496" s="86" t="str">
        <x:v>T3</x:v>
      </x:c>
      <x:c r="F496" s="86" t="str">
        <x:v>L3</x:v>
      </x:c>
      <x:c r="G496" s="86" t="str">
        <x:v>state-CAL</x:v>
      </x:c>
      <x:c r="H496" s="91" t="str">
        <x:v>OPEN</x:v>
      </x:c>
      <x:c r="I496" s="86" t="str">
        <x:v>replay</x:v>
      </x:c>
    </x:row>
    <x:row r="497">
      <x:c r="A497" s="86" t="str">
        <x:v>ER-492</x:v>
      </x:c>
      <x:c r="B497" s="86" t="str">
        <x:v>replay</x:v>
      </x:c>
      <x:c r="C497" s="86" t="str">
        <x:v>state</x:v>
      </x:c>
      <x:c r="D497" s="108" t="n">
        <x:v>4</x:v>
      </x:c>
      <x:c r="E497" s="86" t="str">
        <x:v>T4</x:v>
      </x:c>
      <x:c r="F497" s="86" t="str">
        <x:v>L4</x:v>
      </x:c>
      <x:c r="G497" s="86" t="str">
        <x:v>state-CAL</x:v>
      </x:c>
      <x:c r="H497" s="91" t="str">
        <x:v>OPEN</x:v>
      </x:c>
      <x:c r="I497" s="86" t="str">
        <x:v>replay</x:v>
      </x:c>
    </x:row>
    <x:row r="498">
      <x:c r="A498" s="86" t="str">
        <x:v>ER-493</x:v>
      </x:c>
      <x:c r="B498" s="86" t="str">
        <x:v>replay</x:v>
      </x:c>
      <x:c r="C498" s="86" t="str">
        <x:v>authority</x:v>
      </x:c>
      <x:c r="D498" s="108" t="n">
        <x:v>1</x:v>
      </x:c>
      <x:c r="E498" s="86" t="str">
        <x:v>T1</x:v>
      </x:c>
      <x:c r="F498" s="86" t="str">
        <x:v>L1</x:v>
      </x:c>
      <x:c r="G498" s="86" t="str">
        <x:v>authority-CAL</x:v>
      </x:c>
      <x:c r="H498" s="91" t="str">
        <x:v>OPEN</x:v>
      </x:c>
      <x:c r="I498" s="86" t="str">
        <x:v>replay</x:v>
      </x:c>
    </x:row>
    <x:row r="499">
      <x:c r="A499" s="86" t="str">
        <x:v>ER-494</x:v>
      </x:c>
      <x:c r="B499" s="86" t="str">
        <x:v>replay</x:v>
      </x:c>
      <x:c r="C499" s="86" t="str">
        <x:v>authority</x:v>
      </x:c>
      <x:c r="D499" s="108" t="n">
        <x:v>2</x:v>
      </x:c>
      <x:c r="E499" s="86" t="str">
        <x:v>T2</x:v>
      </x:c>
      <x:c r="F499" s="86" t="str">
        <x:v>L2</x:v>
      </x:c>
      <x:c r="G499" s="86" t="str">
        <x:v>authority-CAL</x:v>
      </x:c>
      <x:c r="H499" s="91" t="str">
        <x:v>OPEN</x:v>
      </x:c>
      <x:c r="I499" s="86" t="str">
        <x:v>replay</x:v>
      </x:c>
    </x:row>
    <x:row r="500">
      <x:c r="A500" s="86" t="str">
        <x:v>ER-495</x:v>
      </x:c>
      <x:c r="B500" s="86" t="str">
        <x:v>replay</x:v>
      </x:c>
      <x:c r="C500" s="86" t="str">
        <x:v>authority</x:v>
      </x:c>
      <x:c r="D500" s="108" t="n">
        <x:v>3</x:v>
      </x:c>
      <x:c r="E500" s="86" t="str">
        <x:v>T3</x:v>
      </x:c>
      <x:c r="F500" s="86" t="str">
        <x:v>L3</x:v>
      </x:c>
      <x:c r="G500" s="86" t="str">
        <x:v>authority-CAL</x:v>
      </x:c>
      <x:c r="H500" s="91" t="str">
        <x:v>OPEN</x:v>
      </x:c>
      <x:c r="I500" s="86" t="str">
        <x:v>replay</x:v>
      </x:c>
    </x:row>
    <x:row r="501">
      <x:c r="A501" s="86" t="str">
        <x:v>ER-496</x:v>
      </x:c>
      <x:c r="B501" s="86" t="str">
        <x:v>replay</x:v>
      </x:c>
      <x:c r="C501" s="86" t="str">
        <x:v>authority</x:v>
      </x:c>
      <x:c r="D501" s="108" t="n">
        <x:v>4</x:v>
      </x:c>
      <x:c r="E501" s="86" t="str">
        <x:v>T4</x:v>
      </x:c>
      <x:c r="F501" s="86" t="str">
        <x:v>L4</x:v>
      </x:c>
      <x:c r="G501" s="86" t="str">
        <x:v>authority-CAL</x:v>
      </x:c>
      <x:c r="H501" s="91" t="str">
        <x:v>OPEN</x:v>
      </x:c>
      <x:c r="I501" s="86" t="str">
        <x:v>replay</x:v>
      </x:c>
    </x:row>
    <x:row r="502">
      <x:c r="A502" s="86" t="str">
        <x:v>ER-497</x:v>
      </x:c>
      <x:c r="B502" s="86" t="str">
        <x:v>replay</x:v>
      </x:c>
      <x:c r="C502" s="86" t="str">
        <x:v>calibration</x:v>
      </x:c>
      <x:c r="D502" s="108" t="n">
        <x:v>1</x:v>
      </x:c>
      <x:c r="E502" s="86" t="str">
        <x:v>T1</x:v>
      </x:c>
      <x:c r="F502" s="86" t="str">
        <x:v>L1</x:v>
      </x:c>
      <x:c r="G502" s="86" t="str">
        <x:v>calibration-CAL</x:v>
      </x:c>
      <x:c r="H502" s="91" t="str">
        <x:v>OPEN</x:v>
      </x:c>
      <x:c r="I502" s="86" t="str">
        <x:v>replay</x:v>
      </x:c>
    </x:row>
    <x:row r="503">
      <x:c r="A503" s="86" t="str">
        <x:v>ER-498</x:v>
      </x:c>
      <x:c r="B503" s="86" t="str">
        <x:v>replay</x:v>
      </x:c>
      <x:c r="C503" s="86" t="str">
        <x:v>calibration</x:v>
      </x:c>
      <x:c r="D503" s="108" t="n">
        <x:v>2</x:v>
      </x:c>
      <x:c r="E503" s="86" t="str">
        <x:v>T2</x:v>
      </x:c>
      <x:c r="F503" s="86" t="str">
        <x:v>L2</x:v>
      </x:c>
      <x:c r="G503" s="86" t="str">
        <x:v>calibration-CAL</x:v>
      </x:c>
      <x:c r="H503" s="91" t="str">
        <x:v>OPEN</x:v>
      </x:c>
      <x:c r="I503" s="86" t="str">
        <x:v>replay</x:v>
      </x:c>
    </x:row>
    <x:row r="504">
      <x:c r="A504" s="86" t="str">
        <x:v>ER-499</x:v>
      </x:c>
      <x:c r="B504" s="86" t="str">
        <x:v>replay</x:v>
      </x:c>
      <x:c r="C504" s="86" t="str">
        <x:v>calibration</x:v>
      </x:c>
      <x:c r="D504" s="108" t="n">
        <x:v>3</x:v>
      </x:c>
      <x:c r="E504" s="86" t="str">
        <x:v>T3</x:v>
      </x:c>
      <x:c r="F504" s="86" t="str">
        <x:v>L3</x:v>
      </x:c>
      <x:c r="G504" s="86" t="str">
        <x:v>calibration-CAL</x:v>
      </x:c>
      <x:c r="H504" s="91" t="str">
        <x:v>OPEN</x:v>
      </x:c>
      <x:c r="I504" s="86" t="str">
        <x:v>replay</x:v>
      </x:c>
    </x:row>
    <x:row r="505">
      <x:c r="A505" s="86" t="str">
        <x:v>ER-500</x:v>
      </x:c>
      <x:c r="B505" s="86" t="str">
        <x:v>replay</x:v>
      </x:c>
      <x:c r="C505" s="86" t="str">
        <x:v>calibration</x:v>
      </x:c>
      <x:c r="D505" s="108" t="n">
        <x:v>4</x:v>
      </x:c>
      <x:c r="E505" s="86" t="str">
        <x:v>T4</x:v>
      </x:c>
      <x:c r="F505" s="86" t="str">
        <x:v>L4</x:v>
      </x:c>
      <x:c r="G505" s="86" t="str">
        <x:v>calibration-CAL</x:v>
      </x:c>
      <x:c r="H505" s="91" t="str">
        <x:v>OPEN</x:v>
      </x:c>
      <x:c r="I505" s="86" t="str">
        <x:v>replay</x:v>
      </x:c>
    </x:row>
    <x:row r="506">
      <x:c r="A506" s="86" t="str">
        <x:v>ER-501</x:v>
      </x:c>
      <x:c r="B506" s="86" t="str">
        <x:v>replay</x:v>
      </x:c>
      <x:c r="C506" s="86" t="str">
        <x:v>causal time</x:v>
      </x:c>
      <x:c r="D506" s="108" t="n">
        <x:v>1</x:v>
      </x:c>
      <x:c r="E506" s="86" t="str">
        <x:v>T1</x:v>
      </x:c>
      <x:c r="F506" s="86" t="str">
        <x:v>L1</x:v>
      </x:c>
      <x:c r="G506" s="86" t="str">
        <x:v>causal time-CAL</x:v>
      </x:c>
      <x:c r="H506" s="91" t="str">
        <x:v>OPEN</x:v>
      </x:c>
      <x:c r="I506" s="86" t="str">
        <x:v>replay</x:v>
      </x:c>
    </x:row>
    <x:row r="507">
      <x:c r="A507" s="86" t="str">
        <x:v>ER-502</x:v>
      </x:c>
      <x:c r="B507" s="86" t="str">
        <x:v>replay</x:v>
      </x:c>
      <x:c r="C507" s="86" t="str">
        <x:v>causal time</x:v>
      </x:c>
      <x:c r="D507" s="108" t="n">
        <x:v>2</x:v>
      </x:c>
      <x:c r="E507" s="86" t="str">
        <x:v>T2</x:v>
      </x:c>
      <x:c r="F507" s="86" t="str">
        <x:v>L2</x:v>
      </x:c>
      <x:c r="G507" s="86" t="str">
        <x:v>causal time-CAL</x:v>
      </x:c>
      <x:c r="H507" s="91" t="str">
        <x:v>OPEN</x:v>
      </x:c>
      <x:c r="I507" s="86" t="str">
        <x:v>replay</x:v>
      </x:c>
    </x:row>
    <x:row r="508">
      <x:c r="A508" s="86" t="str">
        <x:v>ER-503</x:v>
      </x:c>
      <x:c r="B508" s="86" t="str">
        <x:v>replay</x:v>
      </x:c>
      <x:c r="C508" s="86" t="str">
        <x:v>causal time</x:v>
      </x:c>
      <x:c r="D508" s="108" t="n">
        <x:v>3</x:v>
      </x:c>
      <x:c r="E508" s="86" t="str">
        <x:v>T3</x:v>
      </x:c>
      <x:c r="F508" s="86" t="str">
        <x:v>L3</x:v>
      </x:c>
      <x:c r="G508" s="86" t="str">
        <x:v>causal time-CAL</x:v>
      </x:c>
      <x:c r="H508" s="91" t="str">
        <x:v>OPEN</x:v>
      </x:c>
      <x:c r="I508" s="86" t="str">
        <x:v>replay</x:v>
      </x:c>
    </x:row>
    <x:row r="509">
      <x:c r="A509" s="86" t="str">
        <x:v>ER-504</x:v>
      </x:c>
      <x:c r="B509" s="86" t="str">
        <x:v>replay</x:v>
      </x:c>
      <x:c r="C509" s="86" t="str">
        <x:v>causal time</x:v>
      </x:c>
      <x:c r="D509" s="108" t="n">
        <x:v>4</x:v>
      </x:c>
      <x:c r="E509" s="86" t="str">
        <x:v>T4</x:v>
      </x:c>
      <x:c r="F509" s="86" t="str">
        <x:v>L4</x:v>
      </x:c>
      <x:c r="G509" s="86" t="str">
        <x:v>causal time-CAL</x:v>
      </x:c>
      <x:c r="H509" s="91" t="str">
        <x:v>OPEN</x:v>
      </x:c>
      <x:c r="I509" s="86" t="str">
        <x:v>replay</x:v>
      </x:c>
    </x:row>
    <x:row r="510">
      <x:c r="A510" s="86" t="str">
        <x:v>ER-505</x:v>
      </x:c>
      <x:c r="B510" s="86" t="str">
        <x:v>replay</x:v>
      </x:c>
      <x:c r="C510" s="86" t="str">
        <x:v>custody</x:v>
      </x:c>
      <x:c r="D510" s="108" t="n">
        <x:v>1</x:v>
      </x:c>
      <x:c r="E510" s="86" t="str">
        <x:v>T1</x:v>
      </x:c>
      <x:c r="F510" s="86" t="str">
        <x:v>L1</x:v>
      </x:c>
      <x:c r="G510" s="86" t="str">
        <x:v>custody-CAL</x:v>
      </x:c>
      <x:c r="H510" s="91" t="str">
        <x:v>OPEN</x:v>
      </x:c>
      <x:c r="I510" s="86" t="str">
        <x:v>replay</x:v>
      </x:c>
    </x:row>
    <x:row r="511">
      <x:c r="A511" s="86" t="str">
        <x:v>ER-506</x:v>
      </x:c>
      <x:c r="B511" s="86" t="str">
        <x:v>replay</x:v>
      </x:c>
      <x:c r="C511" s="86" t="str">
        <x:v>custody</x:v>
      </x:c>
      <x:c r="D511" s="108" t="n">
        <x:v>2</x:v>
      </x:c>
      <x:c r="E511" s="86" t="str">
        <x:v>T2</x:v>
      </x:c>
      <x:c r="F511" s="86" t="str">
        <x:v>L2</x:v>
      </x:c>
      <x:c r="G511" s="86" t="str">
        <x:v>custody-CAL</x:v>
      </x:c>
      <x:c r="H511" s="91" t="str">
        <x:v>OPEN</x:v>
      </x:c>
      <x:c r="I511" s="86" t="str">
        <x:v>replay</x:v>
      </x:c>
    </x:row>
    <x:row r="512">
      <x:c r="A512" s="86" t="str">
        <x:v>ER-507</x:v>
      </x:c>
      <x:c r="B512" s="86" t="str">
        <x:v>replay</x:v>
      </x:c>
      <x:c r="C512" s="86" t="str">
        <x:v>custody</x:v>
      </x:c>
      <x:c r="D512" s="108" t="n">
        <x:v>3</x:v>
      </x:c>
      <x:c r="E512" s="86" t="str">
        <x:v>T3</x:v>
      </x:c>
      <x:c r="F512" s="86" t="str">
        <x:v>L3</x:v>
      </x:c>
      <x:c r="G512" s="86" t="str">
        <x:v>custody-CAL</x:v>
      </x:c>
      <x:c r="H512" s="91" t="str">
        <x:v>OPEN</x:v>
      </x:c>
      <x:c r="I512" s="86" t="str">
        <x:v>replay</x:v>
      </x:c>
    </x:row>
    <x:row r="513">
      <x:c r="A513" s="86" t="str">
        <x:v>ER-508</x:v>
      </x:c>
      <x:c r="B513" s="86" t="str">
        <x:v>replay</x:v>
      </x:c>
      <x:c r="C513" s="86" t="str">
        <x:v>custody</x:v>
      </x:c>
      <x:c r="D513" s="108" t="n">
        <x:v>4</x:v>
      </x:c>
      <x:c r="E513" s="86" t="str">
        <x:v>T4</x:v>
      </x:c>
      <x:c r="F513" s="86" t="str">
        <x:v>L4</x:v>
      </x:c>
      <x:c r="G513" s="86" t="str">
        <x:v>custody-CAL</x:v>
      </x:c>
      <x:c r="H513" s="91" t="str">
        <x:v>OPEN</x:v>
      </x:c>
      <x:c r="I513" s="86" t="str">
        <x:v>replay</x:v>
      </x:c>
    </x:row>
    <x:row r="514">
      <x:c r="A514" s="86" t="str">
        <x:v>ER-509</x:v>
      </x:c>
      <x:c r="B514" s="86" t="str">
        <x:v>replay</x:v>
      </x:c>
      <x:c r="C514" s="86" t="str">
        <x:v>reconstruction</x:v>
      </x:c>
      <x:c r="D514" s="108" t="n">
        <x:v>1</x:v>
      </x:c>
      <x:c r="E514" s="86" t="str">
        <x:v>T1</x:v>
      </x:c>
      <x:c r="F514" s="86" t="str">
        <x:v>L1</x:v>
      </x:c>
      <x:c r="G514" s="86" t="str">
        <x:v>reconstruction-CAL</x:v>
      </x:c>
      <x:c r="H514" s="91" t="str">
        <x:v>OPEN</x:v>
      </x:c>
      <x:c r="I514" s="86" t="str">
        <x:v>replay</x:v>
      </x:c>
    </x:row>
    <x:row r="515">
      <x:c r="A515" s="86" t="str">
        <x:v>ER-510</x:v>
      </x:c>
      <x:c r="B515" s="86" t="str">
        <x:v>replay</x:v>
      </x:c>
      <x:c r="C515" s="86" t="str">
        <x:v>reconstruction</x:v>
      </x:c>
      <x:c r="D515" s="108" t="n">
        <x:v>2</x:v>
      </x:c>
      <x:c r="E515" s="86" t="str">
        <x:v>T2</x:v>
      </x:c>
      <x:c r="F515" s="86" t="str">
        <x:v>L2</x:v>
      </x:c>
      <x:c r="G515" s="86" t="str">
        <x:v>reconstruction-CAL</x:v>
      </x:c>
      <x:c r="H515" s="91" t="str">
        <x:v>OPEN</x:v>
      </x:c>
      <x:c r="I515" s="86" t="str">
        <x:v>replay</x:v>
      </x:c>
    </x:row>
    <x:row r="516">
      <x:c r="A516" s="86" t="str">
        <x:v>ER-511</x:v>
      </x:c>
      <x:c r="B516" s="86" t="str">
        <x:v>replay</x:v>
      </x:c>
      <x:c r="C516" s="86" t="str">
        <x:v>reconstruction</x:v>
      </x:c>
      <x:c r="D516" s="108" t="n">
        <x:v>3</x:v>
      </x:c>
      <x:c r="E516" s="86" t="str">
        <x:v>T3</x:v>
      </x:c>
      <x:c r="F516" s="86" t="str">
        <x:v>L3</x:v>
      </x:c>
      <x:c r="G516" s="86" t="str">
        <x:v>reconstruction-CAL</x:v>
      </x:c>
      <x:c r="H516" s="91" t="str">
        <x:v>OPEN</x:v>
      </x:c>
      <x:c r="I516" s="86" t="str">
        <x:v>replay</x:v>
      </x:c>
    </x:row>
    <x:row r="517">
      <x:c r="A517" s="87" t="str">
        <x:v>ER-512</x:v>
      </x:c>
      <x:c r="B517" s="87" t="str">
        <x:v>replay</x:v>
      </x:c>
      <x:c r="C517" s="87" t="str">
        <x:v>reconstruction</x:v>
      </x:c>
      <x:c r="D517" s="110" t="n">
        <x:v>4</x:v>
      </x:c>
      <x:c r="E517" s="87" t="str">
        <x:v>T4</x:v>
      </x:c>
      <x:c r="F517" s="87" t="str">
        <x:v>L4</x:v>
      </x:c>
      <x:c r="G517" s="87" t="str">
        <x:v>reconstruction-CAL</x:v>
      </x:c>
      <x:c r="H517" s="95" t="str">
        <x:v>OPEN</x:v>
      </x:c>
      <x:c r="I517" s="87" t="str">
        <x:v>replay</x:v>
      </x:c>
    </x:row>
  </x:sheetData>
  <x:mergeCells>
    <x:mergeCell ref="A2:I2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6" hidden="0" customWidth="1"/>
    <x:col min="2" max="2" width="26" hidden="0" customWidth="1"/>
    <x:col min="3" max="3" width="14" hidden="0" customWidth="1"/>
    <x:col min="4" max="4" width="16" hidden="0" customWidth="1"/>
    <x:col min="5" max="5" width="18" hidden="0" customWidth="1"/>
    <x:col min="6" max="6" width="14" hidden="0" customWidth="1"/>
    <x:col min="7" max="7" width="30" hidden="0" customWidth="1"/>
    <x:col min="8" max="8" width="14" hidden="0" customWidth="1"/>
    <x:col min="9" max="9" width="14" hidden="0" customWidth="1"/>
  </x:cols>
  <x:sheetData>
    <x:row r="2" ht="24" customHeight="1">
      <x:c r="A2" s="82" t="str">
        <x:v>1,152 active native channels</x:v>
      </x:c>
      <x:c r="B2" s="83"/>
      <x:c r="C2" s="83"/>
      <x:c r="D2" s="83"/>
      <x:c r="E2" s="83"/>
      <x:c r="F2" s="83"/>
      <x:c r="G2" s="83"/>
      <x:c r="H2" s="83"/>
      <x:c r="I2" s="83"/>
    </x:row>
    <x:row r="3">
      <x:c r="A3" s="84"/>
      <x:c r="B3" s="84"/>
      <x:c r="C3" s="84"/>
      <x:c r="D3" s="84"/>
      <x:c r="E3" s="84"/>
      <x:c r="F3" s="84"/>
      <x:c r="G3" s="84"/>
      <x:c r="H3" s="84"/>
      <x:c r="I3" s="84"/>
    </x:row>
    <x:row r="4">
      <x:c r="A4" s="83"/>
      <x:c r="B4" s="83"/>
      <x:c r="C4" s="83"/>
      <x:c r="D4" s="83"/>
      <x:c r="E4" s="83"/>
      <x:c r="F4" s="83"/>
      <x:c r="G4" s="83"/>
      <x:c r="H4" s="83"/>
      <x:c r="I4" s="83"/>
    </x:row>
    <x:row r="5" ht="22" customHeight="1">
      <x:c r="A5" s="7" t="str">
        <x:v>Channel</x:v>
      </x:c>
      <x:c r="B5" s="8" t="str">
        <x:v>System</x:v>
      </x:c>
      <x:c r="C5" s="8" t="str">
        <x:v>Local index</x:v>
      </x:c>
      <x:c r="D5" s="8" t="str">
        <x:v>Physical zone</x:v>
      </x:c>
      <x:c r="E5" s="8" t="str">
        <x:v>Sampling tier</x:v>
      </x:c>
      <x:c r="F5" s="8" t="str">
        <x:v>Time root</x:v>
      </x:c>
      <x:c r="G5" s="8" t="str">
        <x:v>Calibration family</x:v>
      </x:c>
      <x:c r="H5" s="8" t="str">
        <x:v>Native trunk</x:v>
      </x:c>
      <x:c r="I5" s="9" t="str">
        <x:v>State</x:v>
      </x:c>
    </x:row>
    <x:row r="6">
      <x:c r="A6" s="85" t="str">
        <x:v>CH-0001</x:v>
      </x:c>
      <x:c r="B6" s="85" t="str">
        <x:v>PHO short</x:v>
      </x:c>
      <x:c r="C6" s="106" t="n">
        <x:v>1</x:v>
      </x:c>
      <x:c r="D6" s="85" t="str">
        <x:v>Z01</x:v>
      </x:c>
      <x:c r="E6" s="85" t="str">
        <x:v>full</x:v>
      </x:c>
      <x:c r="F6" s="85" t="str">
        <x:v>L1</x:v>
      </x:c>
      <x:c r="G6" s="85" t="str">
        <x:v>PHO short-CAL-1</x:v>
      </x:c>
      <x:c r="H6" s="85" t="str">
        <x:v>T1</x:v>
      </x:c>
      <x:c r="I6" s="100" t="str">
        <x:v>OPEN</x:v>
      </x:c>
    </x:row>
    <x:row r="7">
      <x:c r="A7" s="86" t="str">
        <x:v>CH-0002</x:v>
      </x:c>
      <x:c r="B7" s="86" t="str">
        <x:v>PHO short</x:v>
      </x:c>
      <x:c r="C7" s="108" t="n">
        <x:v>2</x:v>
      </x:c>
      <x:c r="D7" s="86" t="str">
        <x:v>Z02</x:v>
      </x:c>
      <x:c r="E7" s="86" t="str">
        <x:v>full</x:v>
      </x:c>
      <x:c r="F7" s="86" t="str">
        <x:v>L2</x:v>
      </x:c>
      <x:c r="G7" s="86" t="str">
        <x:v>PHO short-CAL-2</x:v>
      </x:c>
      <x:c r="H7" s="86" t="str">
        <x:v>T2</x:v>
      </x:c>
      <x:c r="I7" s="91" t="str">
        <x:v>OPEN</x:v>
      </x:c>
    </x:row>
    <x:row r="8">
      <x:c r="A8" s="86" t="str">
        <x:v>CH-0003</x:v>
      </x:c>
      <x:c r="B8" s="86" t="str">
        <x:v>PHO short</x:v>
      </x:c>
      <x:c r="C8" s="108" t="n">
        <x:v>3</x:v>
      </x:c>
      <x:c r="D8" s="86" t="str">
        <x:v>Z03</x:v>
      </x:c>
      <x:c r="E8" s="86" t="str">
        <x:v>full</x:v>
      </x:c>
      <x:c r="F8" s="86" t="str">
        <x:v>L3</x:v>
      </x:c>
      <x:c r="G8" s="86" t="str">
        <x:v>PHO short-CAL-3</x:v>
      </x:c>
      <x:c r="H8" s="86" t="str">
        <x:v>T3</x:v>
      </x:c>
      <x:c r="I8" s="91" t="str">
        <x:v>OPEN</x:v>
      </x:c>
    </x:row>
    <x:row r="9">
      <x:c r="A9" s="86" t="str">
        <x:v>CH-0004</x:v>
      </x:c>
      <x:c r="B9" s="86" t="str">
        <x:v>PHO short</x:v>
      </x:c>
      <x:c r="C9" s="108" t="n">
        <x:v>4</x:v>
      </x:c>
      <x:c r="D9" s="86" t="str">
        <x:v>Z04</x:v>
      </x:c>
      <x:c r="E9" s="86" t="str">
        <x:v>full</x:v>
      </x:c>
      <x:c r="F9" s="86" t="str">
        <x:v>L4</x:v>
      </x:c>
      <x:c r="G9" s="86" t="str">
        <x:v>PHO short-CAL-4</x:v>
      </x:c>
      <x:c r="H9" s="86" t="str">
        <x:v>T4</x:v>
      </x:c>
      <x:c r="I9" s="91" t="str">
        <x:v>OPEN</x:v>
      </x:c>
    </x:row>
    <x:row r="10">
      <x:c r="A10" s="86" t="str">
        <x:v>CH-0005</x:v>
      </x:c>
      <x:c r="B10" s="86" t="str">
        <x:v>PHO short</x:v>
      </x:c>
      <x:c r="C10" s="108" t="n">
        <x:v>5</x:v>
      </x:c>
      <x:c r="D10" s="86" t="str">
        <x:v>Z05</x:v>
      </x:c>
      <x:c r="E10" s="86" t="str">
        <x:v>full</x:v>
      </x:c>
      <x:c r="F10" s="86" t="str">
        <x:v>L1</x:v>
      </x:c>
      <x:c r="G10" s="86" t="str">
        <x:v>PHO short-CAL-1</x:v>
      </x:c>
      <x:c r="H10" s="86" t="str">
        <x:v>T1</x:v>
      </x:c>
      <x:c r="I10" s="91" t="str">
        <x:v>OPEN</x:v>
      </x:c>
    </x:row>
    <x:row r="11">
      <x:c r="A11" s="86" t="str">
        <x:v>CH-0006</x:v>
      </x:c>
      <x:c r="B11" s="86" t="str">
        <x:v>PHO short</x:v>
      </x:c>
      <x:c r="C11" s="108" t="n">
        <x:v>6</x:v>
      </x:c>
      <x:c r="D11" s="86" t="str">
        <x:v>Z06</x:v>
      </x:c>
      <x:c r="E11" s="86" t="str">
        <x:v>full</x:v>
      </x:c>
      <x:c r="F11" s="86" t="str">
        <x:v>L2</x:v>
      </x:c>
      <x:c r="G11" s="86" t="str">
        <x:v>PHO short-CAL-2</x:v>
      </x:c>
      <x:c r="H11" s="86" t="str">
        <x:v>T2</x:v>
      </x:c>
      <x:c r="I11" s="91" t="str">
        <x:v>OPEN</x:v>
      </x:c>
    </x:row>
    <x:row r="12">
      <x:c r="A12" s="86" t="str">
        <x:v>CH-0007</x:v>
      </x:c>
      <x:c r="B12" s="86" t="str">
        <x:v>PHO short</x:v>
      </x:c>
      <x:c r="C12" s="108" t="n">
        <x:v>7</x:v>
      </x:c>
      <x:c r="D12" s="86" t="str">
        <x:v>Z07</x:v>
      </x:c>
      <x:c r="E12" s="86" t="str">
        <x:v>full</x:v>
      </x:c>
      <x:c r="F12" s="86" t="str">
        <x:v>L3</x:v>
      </x:c>
      <x:c r="G12" s="86" t="str">
        <x:v>PHO short-CAL-3</x:v>
      </x:c>
      <x:c r="H12" s="86" t="str">
        <x:v>T3</x:v>
      </x:c>
      <x:c r="I12" s="91" t="str">
        <x:v>OPEN</x:v>
      </x:c>
    </x:row>
    <x:row r="13">
      <x:c r="A13" s="86" t="str">
        <x:v>CH-0008</x:v>
      </x:c>
      <x:c r="B13" s="86" t="str">
        <x:v>PHO short</x:v>
      </x:c>
      <x:c r="C13" s="108" t="n">
        <x:v>8</x:v>
      </x:c>
      <x:c r="D13" s="86" t="str">
        <x:v>Z08</x:v>
      </x:c>
      <x:c r="E13" s="86" t="str">
        <x:v>full</x:v>
      </x:c>
      <x:c r="F13" s="86" t="str">
        <x:v>L4</x:v>
      </x:c>
      <x:c r="G13" s="86" t="str">
        <x:v>PHO short-CAL-4</x:v>
      </x:c>
      <x:c r="H13" s="86" t="str">
        <x:v>T4</x:v>
      </x:c>
      <x:c r="I13" s="91" t="str">
        <x:v>OPEN</x:v>
      </x:c>
    </x:row>
    <x:row r="14">
      <x:c r="A14" s="86" t="str">
        <x:v>CH-0009</x:v>
      </x:c>
      <x:c r="B14" s="86" t="str">
        <x:v>PHO short</x:v>
      </x:c>
      <x:c r="C14" s="108" t="n">
        <x:v>9</x:v>
      </x:c>
      <x:c r="D14" s="86" t="str">
        <x:v>Z09</x:v>
      </x:c>
      <x:c r="E14" s="86" t="str">
        <x:v>full</x:v>
      </x:c>
      <x:c r="F14" s="86" t="str">
        <x:v>L1</x:v>
      </x:c>
      <x:c r="G14" s="86" t="str">
        <x:v>PHO short-CAL-1</x:v>
      </x:c>
      <x:c r="H14" s="86" t="str">
        <x:v>T1</x:v>
      </x:c>
      <x:c r="I14" s="91" t="str">
        <x:v>OPEN</x:v>
      </x:c>
    </x:row>
    <x:row r="15">
      <x:c r="A15" s="86" t="str">
        <x:v>CH-0010</x:v>
      </x:c>
      <x:c r="B15" s="86" t="str">
        <x:v>PHO short</x:v>
      </x:c>
      <x:c r="C15" s="108" t="n">
        <x:v>10</x:v>
      </x:c>
      <x:c r="D15" s="86" t="str">
        <x:v>Z10</x:v>
      </x:c>
      <x:c r="E15" s="86" t="str">
        <x:v>full</x:v>
      </x:c>
      <x:c r="F15" s="86" t="str">
        <x:v>L2</x:v>
      </x:c>
      <x:c r="G15" s="86" t="str">
        <x:v>PHO short-CAL-2</x:v>
      </x:c>
      <x:c r="H15" s="86" t="str">
        <x:v>T2</x:v>
      </x:c>
      <x:c r="I15" s="91" t="str">
        <x:v>OPEN</x:v>
      </x:c>
    </x:row>
    <x:row r="16">
      <x:c r="A16" s="86" t="str">
        <x:v>CH-0011</x:v>
      </x:c>
      <x:c r="B16" s="86" t="str">
        <x:v>PHO short</x:v>
      </x:c>
      <x:c r="C16" s="108" t="n">
        <x:v>11</x:v>
      </x:c>
      <x:c r="D16" s="86" t="str">
        <x:v>Z11</x:v>
      </x:c>
      <x:c r="E16" s="86" t="str">
        <x:v>full</x:v>
      </x:c>
      <x:c r="F16" s="86" t="str">
        <x:v>L3</x:v>
      </x:c>
      <x:c r="G16" s="86" t="str">
        <x:v>PHO short-CAL-3</x:v>
      </x:c>
      <x:c r="H16" s="86" t="str">
        <x:v>T3</x:v>
      </x:c>
      <x:c r="I16" s="91" t="str">
        <x:v>OPEN</x:v>
      </x:c>
    </x:row>
    <x:row r="17">
      <x:c r="A17" s="86" t="str">
        <x:v>CH-0012</x:v>
      </x:c>
      <x:c r="B17" s="86" t="str">
        <x:v>PHO short</x:v>
      </x:c>
      <x:c r="C17" s="108" t="n">
        <x:v>12</x:v>
      </x:c>
      <x:c r="D17" s="86" t="str">
        <x:v>Z12</x:v>
      </x:c>
      <x:c r="E17" s="86" t="str">
        <x:v>full</x:v>
      </x:c>
      <x:c r="F17" s="86" t="str">
        <x:v>L4</x:v>
      </x:c>
      <x:c r="G17" s="86" t="str">
        <x:v>PHO short-CAL-4</x:v>
      </x:c>
      <x:c r="H17" s="86" t="str">
        <x:v>T4</x:v>
      </x:c>
      <x:c r="I17" s="91" t="str">
        <x:v>OPEN</x:v>
      </x:c>
    </x:row>
    <x:row r="18">
      <x:c r="A18" s="86" t="str">
        <x:v>CH-0013</x:v>
      </x:c>
      <x:c r="B18" s="86" t="str">
        <x:v>PHO short</x:v>
      </x:c>
      <x:c r="C18" s="108" t="n">
        <x:v>13</x:v>
      </x:c>
      <x:c r="D18" s="86" t="str">
        <x:v>Z13</x:v>
      </x:c>
      <x:c r="E18" s="86" t="str">
        <x:v>full</x:v>
      </x:c>
      <x:c r="F18" s="86" t="str">
        <x:v>L1</x:v>
      </x:c>
      <x:c r="G18" s="86" t="str">
        <x:v>PHO short-CAL-1</x:v>
      </x:c>
      <x:c r="H18" s="86" t="str">
        <x:v>T1</x:v>
      </x:c>
      <x:c r="I18" s="91" t="str">
        <x:v>OPEN</x:v>
      </x:c>
    </x:row>
    <x:row r="19">
      <x:c r="A19" s="86" t="str">
        <x:v>CH-0014</x:v>
      </x:c>
      <x:c r="B19" s="86" t="str">
        <x:v>PHO short</x:v>
      </x:c>
      <x:c r="C19" s="108" t="n">
        <x:v>14</x:v>
      </x:c>
      <x:c r="D19" s="86" t="str">
        <x:v>Z14</x:v>
      </x:c>
      <x:c r="E19" s="86" t="str">
        <x:v>full</x:v>
      </x:c>
      <x:c r="F19" s="86" t="str">
        <x:v>L2</x:v>
      </x:c>
      <x:c r="G19" s="86" t="str">
        <x:v>PHO short-CAL-2</x:v>
      </x:c>
      <x:c r="H19" s="86" t="str">
        <x:v>T2</x:v>
      </x:c>
      <x:c r="I19" s="91" t="str">
        <x:v>OPEN</x:v>
      </x:c>
    </x:row>
    <x:row r="20">
      <x:c r="A20" s="86" t="str">
        <x:v>CH-0015</x:v>
      </x:c>
      <x:c r="B20" s="86" t="str">
        <x:v>PHO short</x:v>
      </x:c>
      <x:c r="C20" s="108" t="n">
        <x:v>15</x:v>
      </x:c>
      <x:c r="D20" s="86" t="str">
        <x:v>Z15</x:v>
      </x:c>
      <x:c r="E20" s="86" t="str">
        <x:v>full</x:v>
      </x:c>
      <x:c r="F20" s="86" t="str">
        <x:v>L3</x:v>
      </x:c>
      <x:c r="G20" s="86" t="str">
        <x:v>PHO short-CAL-3</x:v>
      </x:c>
      <x:c r="H20" s="86" t="str">
        <x:v>T3</x:v>
      </x:c>
      <x:c r="I20" s="91" t="str">
        <x:v>OPEN</x:v>
      </x:c>
    </x:row>
    <x:row r="21">
      <x:c r="A21" s="86" t="str">
        <x:v>CH-0016</x:v>
      </x:c>
      <x:c r="B21" s="86" t="str">
        <x:v>PHO short</x:v>
      </x:c>
      <x:c r="C21" s="108" t="n">
        <x:v>16</x:v>
      </x:c>
      <x:c r="D21" s="86" t="str">
        <x:v>Z16</x:v>
      </x:c>
      <x:c r="E21" s="86" t="str">
        <x:v>full</x:v>
      </x:c>
      <x:c r="F21" s="86" t="str">
        <x:v>L4</x:v>
      </x:c>
      <x:c r="G21" s="86" t="str">
        <x:v>PHO short-CAL-4</x:v>
      </x:c>
      <x:c r="H21" s="86" t="str">
        <x:v>T4</x:v>
      </x:c>
      <x:c r="I21" s="91" t="str">
        <x:v>OPEN</x:v>
      </x:c>
    </x:row>
    <x:row r="22">
      <x:c r="A22" s="86" t="str">
        <x:v>CH-0017</x:v>
      </x:c>
      <x:c r="B22" s="86" t="str">
        <x:v>PHO short</x:v>
      </x:c>
      <x:c r="C22" s="108" t="n">
        <x:v>17</x:v>
      </x:c>
      <x:c r="D22" s="86" t="str">
        <x:v>Z01</x:v>
      </x:c>
      <x:c r="E22" s="86" t="str">
        <x:v>full</x:v>
      </x:c>
      <x:c r="F22" s="86" t="str">
        <x:v>L1</x:v>
      </x:c>
      <x:c r="G22" s="86" t="str">
        <x:v>PHO short-CAL-1</x:v>
      </x:c>
      <x:c r="H22" s="86" t="str">
        <x:v>T1</x:v>
      </x:c>
      <x:c r="I22" s="91" t="str">
        <x:v>OPEN</x:v>
      </x:c>
    </x:row>
    <x:row r="23">
      <x:c r="A23" s="86" t="str">
        <x:v>CH-0018</x:v>
      </x:c>
      <x:c r="B23" s="86" t="str">
        <x:v>PHO short</x:v>
      </x:c>
      <x:c r="C23" s="108" t="n">
        <x:v>18</x:v>
      </x:c>
      <x:c r="D23" s="86" t="str">
        <x:v>Z02</x:v>
      </x:c>
      <x:c r="E23" s="86" t="str">
        <x:v>full</x:v>
      </x:c>
      <x:c r="F23" s="86" t="str">
        <x:v>L2</x:v>
      </x:c>
      <x:c r="G23" s="86" t="str">
        <x:v>PHO short-CAL-2</x:v>
      </x:c>
      <x:c r="H23" s="86" t="str">
        <x:v>T2</x:v>
      </x:c>
      <x:c r="I23" s="91" t="str">
        <x:v>OPEN</x:v>
      </x:c>
    </x:row>
    <x:row r="24">
      <x:c r="A24" s="86" t="str">
        <x:v>CH-0019</x:v>
      </x:c>
      <x:c r="B24" s="86" t="str">
        <x:v>PHO short</x:v>
      </x:c>
      <x:c r="C24" s="108" t="n">
        <x:v>19</x:v>
      </x:c>
      <x:c r="D24" s="86" t="str">
        <x:v>Z03</x:v>
      </x:c>
      <x:c r="E24" s="86" t="str">
        <x:v>full</x:v>
      </x:c>
      <x:c r="F24" s="86" t="str">
        <x:v>L3</x:v>
      </x:c>
      <x:c r="G24" s="86" t="str">
        <x:v>PHO short-CAL-3</x:v>
      </x:c>
      <x:c r="H24" s="86" t="str">
        <x:v>T3</x:v>
      </x:c>
      <x:c r="I24" s="91" t="str">
        <x:v>OPEN</x:v>
      </x:c>
    </x:row>
    <x:row r="25">
      <x:c r="A25" s="86" t="str">
        <x:v>CH-0020</x:v>
      </x:c>
      <x:c r="B25" s="86" t="str">
        <x:v>PHO short</x:v>
      </x:c>
      <x:c r="C25" s="108" t="n">
        <x:v>20</x:v>
      </x:c>
      <x:c r="D25" s="86" t="str">
        <x:v>Z04</x:v>
      </x:c>
      <x:c r="E25" s="86" t="str">
        <x:v>full</x:v>
      </x:c>
      <x:c r="F25" s="86" t="str">
        <x:v>L4</x:v>
      </x:c>
      <x:c r="G25" s="86" t="str">
        <x:v>PHO short-CAL-4</x:v>
      </x:c>
      <x:c r="H25" s="86" t="str">
        <x:v>T4</x:v>
      </x:c>
      <x:c r="I25" s="91" t="str">
        <x:v>OPEN</x:v>
      </x:c>
    </x:row>
    <x:row r="26">
      <x:c r="A26" s="86" t="str">
        <x:v>CH-0021</x:v>
      </x:c>
      <x:c r="B26" s="86" t="str">
        <x:v>PHO short</x:v>
      </x:c>
      <x:c r="C26" s="108" t="n">
        <x:v>21</x:v>
      </x:c>
      <x:c r="D26" s="86" t="str">
        <x:v>Z05</x:v>
      </x:c>
      <x:c r="E26" s="86" t="str">
        <x:v>full</x:v>
      </x:c>
      <x:c r="F26" s="86" t="str">
        <x:v>L1</x:v>
      </x:c>
      <x:c r="G26" s="86" t="str">
        <x:v>PHO short-CAL-1</x:v>
      </x:c>
      <x:c r="H26" s="86" t="str">
        <x:v>T1</x:v>
      </x:c>
      <x:c r="I26" s="91" t="str">
        <x:v>OPEN</x:v>
      </x:c>
    </x:row>
    <x:row r="27">
      <x:c r="A27" s="86" t="str">
        <x:v>CH-0022</x:v>
      </x:c>
      <x:c r="B27" s="86" t="str">
        <x:v>PHO short</x:v>
      </x:c>
      <x:c r="C27" s="108" t="n">
        <x:v>22</x:v>
      </x:c>
      <x:c r="D27" s="86" t="str">
        <x:v>Z06</x:v>
      </x:c>
      <x:c r="E27" s="86" t="str">
        <x:v>full</x:v>
      </x:c>
      <x:c r="F27" s="86" t="str">
        <x:v>L2</x:v>
      </x:c>
      <x:c r="G27" s="86" t="str">
        <x:v>PHO short-CAL-2</x:v>
      </x:c>
      <x:c r="H27" s="86" t="str">
        <x:v>T2</x:v>
      </x:c>
      <x:c r="I27" s="91" t="str">
        <x:v>OPEN</x:v>
      </x:c>
    </x:row>
    <x:row r="28">
      <x:c r="A28" s="86" t="str">
        <x:v>CH-0023</x:v>
      </x:c>
      <x:c r="B28" s="86" t="str">
        <x:v>PHO short</x:v>
      </x:c>
      <x:c r="C28" s="108" t="n">
        <x:v>23</x:v>
      </x:c>
      <x:c r="D28" s="86" t="str">
        <x:v>Z07</x:v>
      </x:c>
      <x:c r="E28" s="86" t="str">
        <x:v>full</x:v>
      </x:c>
      <x:c r="F28" s="86" t="str">
        <x:v>L3</x:v>
      </x:c>
      <x:c r="G28" s="86" t="str">
        <x:v>PHO short-CAL-3</x:v>
      </x:c>
      <x:c r="H28" s="86" t="str">
        <x:v>T3</x:v>
      </x:c>
      <x:c r="I28" s="91" t="str">
        <x:v>OPEN</x:v>
      </x:c>
    </x:row>
    <x:row r="29">
      <x:c r="A29" s="86" t="str">
        <x:v>CH-0024</x:v>
      </x:c>
      <x:c r="B29" s="86" t="str">
        <x:v>PHO short</x:v>
      </x:c>
      <x:c r="C29" s="108" t="n">
        <x:v>24</x:v>
      </x:c>
      <x:c r="D29" s="86" t="str">
        <x:v>Z08</x:v>
      </x:c>
      <x:c r="E29" s="86" t="str">
        <x:v>full</x:v>
      </x:c>
      <x:c r="F29" s="86" t="str">
        <x:v>L4</x:v>
      </x:c>
      <x:c r="G29" s="86" t="str">
        <x:v>PHO short-CAL-4</x:v>
      </x:c>
      <x:c r="H29" s="86" t="str">
        <x:v>T4</x:v>
      </x:c>
      <x:c r="I29" s="91" t="str">
        <x:v>OPEN</x:v>
      </x:c>
    </x:row>
    <x:row r="30">
      <x:c r="A30" s="86" t="str">
        <x:v>CH-0025</x:v>
      </x:c>
      <x:c r="B30" s="86" t="str">
        <x:v>PHO short</x:v>
      </x:c>
      <x:c r="C30" s="108" t="n">
        <x:v>25</x:v>
      </x:c>
      <x:c r="D30" s="86" t="str">
        <x:v>Z09</x:v>
      </x:c>
      <x:c r="E30" s="86" t="str">
        <x:v>full</x:v>
      </x:c>
      <x:c r="F30" s="86" t="str">
        <x:v>L1</x:v>
      </x:c>
      <x:c r="G30" s="86" t="str">
        <x:v>PHO short-CAL-1</x:v>
      </x:c>
      <x:c r="H30" s="86" t="str">
        <x:v>T1</x:v>
      </x:c>
      <x:c r="I30" s="91" t="str">
        <x:v>OPEN</x:v>
      </x:c>
    </x:row>
    <x:row r="31">
      <x:c r="A31" s="86" t="str">
        <x:v>CH-0026</x:v>
      </x:c>
      <x:c r="B31" s="86" t="str">
        <x:v>PHO short</x:v>
      </x:c>
      <x:c r="C31" s="108" t="n">
        <x:v>26</x:v>
      </x:c>
      <x:c r="D31" s="86" t="str">
        <x:v>Z10</x:v>
      </x:c>
      <x:c r="E31" s="86" t="str">
        <x:v>full</x:v>
      </x:c>
      <x:c r="F31" s="86" t="str">
        <x:v>L2</x:v>
      </x:c>
      <x:c r="G31" s="86" t="str">
        <x:v>PHO short-CAL-2</x:v>
      </x:c>
      <x:c r="H31" s="86" t="str">
        <x:v>T2</x:v>
      </x:c>
      <x:c r="I31" s="91" t="str">
        <x:v>OPEN</x:v>
      </x:c>
    </x:row>
    <x:row r="32">
      <x:c r="A32" s="86" t="str">
        <x:v>CH-0027</x:v>
      </x:c>
      <x:c r="B32" s="86" t="str">
        <x:v>PHO short</x:v>
      </x:c>
      <x:c r="C32" s="108" t="n">
        <x:v>27</x:v>
      </x:c>
      <x:c r="D32" s="86" t="str">
        <x:v>Z11</x:v>
      </x:c>
      <x:c r="E32" s="86" t="str">
        <x:v>full</x:v>
      </x:c>
      <x:c r="F32" s="86" t="str">
        <x:v>L3</x:v>
      </x:c>
      <x:c r="G32" s="86" t="str">
        <x:v>PHO short-CAL-3</x:v>
      </x:c>
      <x:c r="H32" s="86" t="str">
        <x:v>T3</x:v>
      </x:c>
      <x:c r="I32" s="91" t="str">
        <x:v>OPEN</x:v>
      </x:c>
    </x:row>
    <x:row r="33">
      <x:c r="A33" s="86" t="str">
        <x:v>CH-0028</x:v>
      </x:c>
      <x:c r="B33" s="86" t="str">
        <x:v>PHO short</x:v>
      </x:c>
      <x:c r="C33" s="108" t="n">
        <x:v>28</x:v>
      </x:c>
      <x:c r="D33" s="86" t="str">
        <x:v>Z12</x:v>
      </x:c>
      <x:c r="E33" s="86" t="str">
        <x:v>full</x:v>
      </x:c>
      <x:c r="F33" s="86" t="str">
        <x:v>L4</x:v>
      </x:c>
      <x:c r="G33" s="86" t="str">
        <x:v>PHO short-CAL-4</x:v>
      </x:c>
      <x:c r="H33" s="86" t="str">
        <x:v>T4</x:v>
      </x:c>
      <x:c r="I33" s="91" t="str">
        <x:v>OPEN</x:v>
      </x:c>
    </x:row>
    <x:row r="34">
      <x:c r="A34" s="86" t="str">
        <x:v>CH-0029</x:v>
      </x:c>
      <x:c r="B34" s="86" t="str">
        <x:v>PHO short</x:v>
      </x:c>
      <x:c r="C34" s="108" t="n">
        <x:v>29</x:v>
      </x:c>
      <x:c r="D34" s="86" t="str">
        <x:v>Z13</x:v>
      </x:c>
      <x:c r="E34" s="86" t="str">
        <x:v>full</x:v>
      </x:c>
      <x:c r="F34" s="86" t="str">
        <x:v>L1</x:v>
      </x:c>
      <x:c r="G34" s="86" t="str">
        <x:v>PHO short-CAL-1</x:v>
      </x:c>
      <x:c r="H34" s="86" t="str">
        <x:v>T1</x:v>
      </x:c>
      <x:c r="I34" s="91" t="str">
        <x:v>OPEN</x:v>
      </x:c>
    </x:row>
    <x:row r="35">
      <x:c r="A35" s="86" t="str">
        <x:v>CH-0030</x:v>
      </x:c>
      <x:c r="B35" s="86" t="str">
        <x:v>PHO short</x:v>
      </x:c>
      <x:c r="C35" s="108" t="n">
        <x:v>30</x:v>
      </x:c>
      <x:c r="D35" s="86" t="str">
        <x:v>Z14</x:v>
      </x:c>
      <x:c r="E35" s="86" t="str">
        <x:v>full</x:v>
      </x:c>
      <x:c r="F35" s="86" t="str">
        <x:v>L2</x:v>
      </x:c>
      <x:c r="G35" s="86" t="str">
        <x:v>PHO short-CAL-2</x:v>
      </x:c>
      <x:c r="H35" s="86" t="str">
        <x:v>T2</x:v>
      </x:c>
      <x:c r="I35" s="91" t="str">
        <x:v>OPEN</x:v>
      </x:c>
    </x:row>
    <x:row r="36">
      <x:c r="A36" s="86" t="str">
        <x:v>CH-0031</x:v>
      </x:c>
      <x:c r="B36" s="86" t="str">
        <x:v>PHO short</x:v>
      </x:c>
      <x:c r="C36" s="108" t="n">
        <x:v>31</x:v>
      </x:c>
      <x:c r="D36" s="86" t="str">
        <x:v>Z15</x:v>
      </x:c>
      <x:c r="E36" s="86" t="str">
        <x:v>full</x:v>
      </x:c>
      <x:c r="F36" s="86" t="str">
        <x:v>L3</x:v>
      </x:c>
      <x:c r="G36" s="86" t="str">
        <x:v>PHO short-CAL-3</x:v>
      </x:c>
      <x:c r="H36" s="86" t="str">
        <x:v>T3</x:v>
      </x:c>
      <x:c r="I36" s="91" t="str">
        <x:v>OPEN</x:v>
      </x:c>
    </x:row>
    <x:row r="37">
      <x:c r="A37" s="86" t="str">
        <x:v>CH-0032</x:v>
      </x:c>
      <x:c r="B37" s="86" t="str">
        <x:v>PHO short</x:v>
      </x:c>
      <x:c r="C37" s="108" t="n">
        <x:v>32</x:v>
      </x:c>
      <x:c r="D37" s="86" t="str">
        <x:v>Z16</x:v>
      </x:c>
      <x:c r="E37" s="86" t="str">
        <x:v>full</x:v>
      </x:c>
      <x:c r="F37" s="86" t="str">
        <x:v>L4</x:v>
      </x:c>
      <x:c r="G37" s="86" t="str">
        <x:v>PHO short-CAL-4</x:v>
      </x:c>
      <x:c r="H37" s="86" t="str">
        <x:v>T4</x:v>
      </x:c>
      <x:c r="I37" s="91" t="str">
        <x:v>OPEN</x:v>
      </x:c>
    </x:row>
    <x:row r="38">
      <x:c r="A38" s="86" t="str">
        <x:v>CH-0033</x:v>
      </x:c>
      <x:c r="B38" s="86" t="str">
        <x:v>PHO short</x:v>
      </x:c>
      <x:c r="C38" s="108" t="n">
        <x:v>33</x:v>
      </x:c>
      <x:c r="D38" s="86" t="str">
        <x:v>Z01</x:v>
      </x:c>
      <x:c r="E38" s="86" t="str">
        <x:v>intermediate</x:v>
      </x:c>
      <x:c r="F38" s="86" t="str">
        <x:v>L1</x:v>
      </x:c>
      <x:c r="G38" s="86" t="str">
        <x:v>PHO short-CAL-1</x:v>
      </x:c>
      <x:c r="H38" s="86" t="str">
        <x:v>T1</x:v>
      </x:c>
      <x:c r="I38" s="91" t="str">
        <x:v>OPEN</x:v>
      </x:c>
    </x:row>
    <x:row r="39">
      <x:c r="A39" s="86" t="str">
        <x:v>CH-0034</x:v>
      </x:c>
      <x:c r="B39" s="86" t="str">
        <x:v>PHO short</x:v>
      </x:c>
      <x:c r="C39" s="108" t="n">
        <x:v>34</x:v>
      </x:c>
      <x:c r="D39" s="86" t="str">
        <x:v>Z02</x:v>
      </x:c>
      <x:c r="E39" s="86" t="str">
        <x:v>intermediate</x:v>
      </x:c>
      <x:c r="F39" s="86" t="str">
        <x:v>L2</x:v>
      </x:c>
      <x:c r="G39" s="86" t="str">
        <x:v>PHO short-CAL-2</x:v>
      </x:c>
      <x:c r="H39" s="86" t="str">
        <x:v>T2</x:v>
      </x:c>
      <x:c r="I39" s="91" t="str">
        <x:v>OPEN</x:v>
      </x:c>
    </x:row>
    <x:row r="40">
      <x:c r="A40" s="86" t="str">
        <x:v>CH-0035</x:v>
      </x:c>
      <x:c r="B40" s="86" t="str">
        <x:v>PHO short</x:v>
      </x:c>
      <x:c r="C40" s="108" t="n">
        <x:v>35</x:v>
      </x:c>
      <x:c r="D40" s="86" t="str">
        <x:v>Z03</x:v>
      </x:c>
      <x:c r="E40" s="86" t="str">
        <x:v>intermediate</x:v>
      </x:c>
      <x:c r="F40" s="86" t="str">
        <x:v>L3</x:v>
      </x:c>
      <x:c r="G40" s="86" t="str">
        <x:v>PHO short-CAL-3</x:v>
      </x:c>
      <x:c r="H40" s="86" t="str">
        <x:v>T3</x:v>
      </x:c>
      <x:c r="I40" s="91" t="str">
        <x:v>OPEN</x:v>
      </x:c>
    </x:row>
    <x:row r="41">
      <x:c r="A41" s="86" t="str">
        <x:v>CH-0036</x:v>
      </x:c>
      <x:c r="B41" s="86" t="str">
        <x:v>PHO short</x:v>
      </x:c>
      <x:c r="C41" s="108" t="n">
        <x:v>36</x:v>
      </x:c>
      <x:c r="D41" s="86" t="str">
        <x:v>Z04</x:v>
      </x:c>
      <x:c r="E41" s="86" t="str">
        <x:v>intermediate</x:v>
      </x:c>
      <x:c r="F41" s="86" t="str">
        <x:v>L4</x:v>
      </x:c>
      <x:c r="G41" s="86" t="str">
        <x:v>PHO short-CAL-4</x:v>
      </x:c>
      <x:c r="H41" s="86" t="str">
        <x:v>T4</x:v>
      </x:c>
      <x:c r="I41" s="91" t="str">
        <x:v>OPEN</x:v>
      </x:c>
    </x:row>
    <x:row r="42">
      <x:c r="A42" s="86" t="str">
        <x:v>CH-0037</x:v>
      </x:c>
      <x:c r="B42" s="86" t="str">
        <x:v>PHO short</x:v>
      </x:c>
      <x:c r="C42" s="108" t="n">
        <x:v>37</x:v>
      </x:c>
      <x:c r="D42" s="86" t="str">
        <x:v>Z05</x:v>
      </x:c>
      <x:c r="E42" s="86" t="str">
        <x:v>intermediate</x:v>
      </x:c>
      <x:c r="F42" s="86" t="str">
        <x:v>L1</x:v>
      </x:c>
      <x:c r="G42" s="86" t="str">
        <x:v>PHO short-CAL-1</x:v>
      </x:c>
      <x:c r="H42" s="86" t="str">
        <x:v>T1</x:v>
      </x:c>
      <x:c r="I42" s="91" t="str">
        <x:v>OPEN</x:v>
      </x:c>
    </x:row>
    <x:row r="43">
      <x:c r="A43" s="86" t="str">
        <x:v>CH-0038</x:v>
      </x:c>
      <x:c r="B43" s="86" t="str">
        <x:v>PHO short</x:v>
      </x:c>
      <x:c r="C43" s="108" t="n">
        <x:v>38</x:v>
      </x:c>
      <x:c r="D43" s="86" t="str">
        <x:v>Z06</x:v>
      </x:c>
      <x:c r="E43" s="86" t="str">
        <x:v>intermediate</x:v>
      </x:c>
      <x:c r="F43" s="86" t="str">
        <x:v>L2</x:v>
      </x:c>
      <x:c r="G43" s="86" t="str">
        <x:v>PHO short-CAL-2</x:v>
      </x:c>
      <x:c r="H43" s="86" t="str">
        <x:v>T2</x:v>
      </x:c>
      <x:c r="I43" s="91" t="str">
        <x:v>OPEN</x:v>
      </x:c>
    </x:row>
    <x:row r="44">
      <x:c r="A44" s="86" t="str">
        <x:v>CH-0039</x:v>
      </x:c>
      <x:c r="B44" s="86" t="str">
        <x:v>PHO short</x:v>
      </x:c>
      <x:c r="C44" s="108" t="n">
        <x:v>39</x:v>
      </x:c>
      <x:c r="D44" s="86" t="str">
        <x:v>Z07</x:v>
      </x:c>
      <x:c r="E44" s="86" t="str">
        <x:v>intermediate</x:v>
      </x:c>
      <x:c r="F44" s="86" t="str">
        <x:v>L3</x:v>
      </x:c>
      <x:c r="G44" s="86" t="str">
        <x:v>PHO short-CAL-3</x:v>
      </x:c>
      <x:c r="H44" s="86" t="str">
        <x:v>T3</x:v>
      </x:c>
      <x:c r="I44" s="91" t="str">
        <x:v>OPEN</x:v>
      </x:c>
    </x:row>
    <x:row r="45">
      <x:c r="A45" s="86" t="str">
        <x:v>CH-0040</x:v>
      </x:c>
      <x:c r="B45" s="86" t="str">
        <x:v>PHO short</x:v>
      </x:c>
      <x:c r="C45" s="108" t="n">
        <x:v>40</x:v>
      </x:c>
      <x:c r="D45" s="86" t="str">
        <x:v>Z08</x:v>
      </x:c>
      <x:c r="E45" s="86" t="str">
        <x:v>intermediate</x:v>
      </x:c>
      <x:c r="F45" s="86" t="str">
        <x:v>L4</x:v>
      </x:c>
      <x:c r="G45" s="86" t="str">
        <x:v>PHO short-CAL-4</x:v>
      </x:c>
      <x:c r="H45" s="86" t="str">
        <x:v>T4</x:v>
      </x:c>
      <x:c r="I45" s="91" t="str">
        <x:v>OPEN</x:v>
      </x:c>
    </x:row>
    <x:row r="46">
      <x:c r="A46" s="86" t="str">
        <x:v>CH-0041</x:v>
      </x:c>
      <x:c r="B46" s="86" t="str">
        <x:v>PHO short</x:v>
      </x:c>
      <x:c r="C46" s="108" t="n">
        <x:v>41</x:v>
      </x:c>
      <x:c r="D46" s="86" t="str">
        <x:v>Z09</x:v>
      </x:c>
      <x:c r="E46" s="86" t="str">
        <x:v>intermediate</x:v>
      </x:c>
      <x:c r="F46" s="86" t="str">
        <x:v>L1</x:v>
      </x:c>
      <x:c r="G46" s="86" t="str">
        <x:v>PHO short-CAL-1</x:v>
      </x:c>
      <x:c r="H46" s="86" t="str">
        <x:v>T1</x:v>
      </x:c>
      <x:c r="I46" s="91" t="str">
        <x:v>OPEN</x:v>
      </x:c>
    </x:row>
    <x:row r="47">
      <x:c r="A47" s="86" t="str">
        <x:v>CH-0042</x:v>
      </x:c>
      <x:c r="B47" s="86" t="str">
        <x:v>PHO short</x:v>
      </x:c>
      <x:c r="C47" s="108" t="n">
        <x:v>42</x:v>
      </x:c>
      <x:c r="D47" s="86" t="str">
        <x:v>Z10</x:v>
      </x:c>
      <x:c r="E47" s="86" t="str">
        <x:v>intermediate</x:v>
      </x:c>
      <x:c r="F47" s="86" t="str">
        <x:v>L2</x:v>
      </x:c>
      <x:c r="G47" s="86" t="str">
        <x:v>PHO short-CAL-2</x:v>
      </x:c>
      <x:c r="H47" s="86" t="str">
        <x:v>T2</x:v>
      </x:c>
      <x:c r="I47" s="91" t="str">
        <x:v>OPEN</x:v>
      </x:c>
    </x:row>
    <x:row r="48">
      <x:c r="A48" s="86" t="str">
        <x:v>CH-0043</x:v>
      </x:c>
      <x:c r="B48" s="86" t="str">
        <x:v>PHO short</x:v>
      </x:c>
      <x:c r="C48" s="108" t="n">
        <x:v>43</x:v>
      </x:c>
      <x:c r="D48" s="86" t="str">
        <x:v>Z11</x:v>
      </x:c>
      <x:c r="E48" s="86" t="str">
        <x:v>intermediate</x:v>
      </x:c>
      <x:c r="F48" s="86" t="str">
        <x:v>L3</x:v>
      </x:c>
      <x:c r="G48" s="86" t="str">
        <x:v>PHO short-CAL-3</x:v>
      </x:c>
      <x:c r="H48" s="86" t="str">
        <x:v>T3</x:v>
      </x:c>
      <x:c r="I48" s="91" t="str">
        <x:v>OPEN</x:v>
      </x:c>
    </x:row>
    <x:row r="49">
      <x:c r="A49" s="86" t="str">
        <x:v>CH-0044</x:v>
      </x:c>
      <x:c r="B49" s="86" t="str">
        <x:v>PHO short</x:v>
      </x:c>
      <x:c r="C49" s="108" t="n">
        <x:v>44</x:v>
      </x:c>
      <x:c r="D49" s="86" t="str">
        <x:v>Z12</x:v>
      </x:c>
      <x:c r="E49" s="86" t="str">
        <x:v>intermediate</x:v>
      </x:c>
      <x:c r="F49" s="86" t="str">
        <x:v>L4</x:v>
      </x:c>
      <x:c r="G49" s="86" t="str">
        <x:v>PHO short-CAL-4</x:v>
      </x:c>
      <x:c r="H49" s="86" t="str">
        <x:v>T4</x:v>
      </x:c>
      <x:c r="I49" s="91" t="str">
        <x:v>OPEN</x:v>
      </x:c>
    </x:row>
    <x:row r="50">
      <x:c r="A50" s="86" t="str">
        <x:v>CH-0045</x:v>
      </x:c>
      <x:c r="B50" s="86" t="str">
        <x:v>PHO short</x:v>
      </x:c>
      <x:c r="C50" s="108" t="n">
        <x:v>45</x:v>
      </x:c>
      <x:c r="D50" s="86" t="str">
        <x:v>Z13</x:v>
      </x:c>
      <x:c r="E50" s="86" t="str">
        <x:v>intermediate</x:v>
      </x:c>
      <x:c r="F50" s="86" t="str">
        <x:v>L1</x:v>
      </x:c>
      <x:c r="G50" s="86" t="str">
        <x:v>PHO short-CAL-1</x:v>
      </x:c>
      <x:c r="H50" s="86" t="str">
        <x:v>T1</x:v>
      </x:c>
      <x:c r="I50" s="91" t="str">
        <x:v>OPEN</x:v>
      </x:c>
    </x:row>
    <x:row r="51">
      <x:c r="A51" s="86" t="str">
        <x:v>CH-0046</x:v>
      </x:c>
      <x:c r="B51" s="86" t="str">
        <x:v>PHO short</x:v>
      </x:c>
      <x:c r="C51" s="108" t="n">
        <x:v>46</x:v>
      </x:c>
      <x:c r="D51" s="86" t="str">
        <x:v>Z14</x:v>
      </x:c>
      <x:c r="E51" s="86" t="str">
        <x:v>intermediate</x:v>
      </x:c>
      <x:c r="F51" s="86" t="str">
        <x:v>L2</x:v>
      </x:c>
      <x:c r="G51" s="86" t="str">
        <x:v>PHO short-CAL-2</x:v>
      </x:c>
      <x:c r="H51" s="86" t="str">
        <x:v>T2</x:v>
      </x:c>
      <x:c r="I51" s="91" t="str">
        <x:v>OPEN</x:v>
      </x:c>
    </x:row>
    <x:row r="52">
      <x:c r="A52" s="86" t="str">
        <x:v>CH-0047</x:v>
      </x:c>
      <x:c r="B52" s="86" t="str">
        <x:v>PHO short</x:v>
      </x:c>
      <x:c r="C52" s="108" t="n">
        <x:v>47</x:v>
      </x:c>
      <x:c r="D52" s="86" t="str">
        <x:v>Z15</x:v>
      </x:c>
      <x:c r="E52" s="86" t="str">
        <x:v>intermediate</x:v>
      </x:c>
      <x:c r="F52" s="86" t="str">
        <x:v>L3</x:v>
      </x:c>
      <x:c r="G52" s="86" t="str">
        <x:v>PHO short-CAL-3</x:v>
      </x:c>
      <x:c r="H52" s="86" t="str">
        <x:v>T3</x:v>
      </x:c>
      <x:c r="I52" s="91" t="str">
        <x:v>OPEN</x:v>
      </x:c>
    </x:row>
    <x:row r="53">
      <x:c r="A53" s="86" t="str">
        <x:v>CH-0048</x:v>
      </x:c>
      <x:c r="B53" s="86" t="str">
        <x:v>PHO short</x:v>
      </x:c>
      <x:c r="C53" s="108" t="n">
        <x:v>48</x:v>
      </x:c>
      <x:c r="D53" s="86" t="str">
        <x:v>Z16</x:v>
      </x:c>
      <x:c r="E53" s="86" t="str">
        <x:v>intermediate</x:v>
      </x:c>
      <x:c r="F53" s="86" t="str">
        <x:v>L4</x:v>
      </x:c>
      <x:c r="G53" s="86" t="str">
        <x:v>PHO short-CAL-4</x:v>
      </x:c>
      <x:c r="H53" s="86" t="str">
        <x:v>T4</x:v>
      </x:c>
      <x:c r="I53" s="91" t="str">
        <x:v>OPEN</x:v>
      </x:c>
    </x:row>
    <x:row r="54">
      <x:c r="A54" s="86" t="str">
        <x:v>CH-0049</x:v>
      </x:c>
      <x:c r="B54" s="86" t="str">
        <x:v>PHO short</x:v>
      </x:c>
      <x:c r="C54" s="108" t="n">
        <x:v>49</x:v>
      </x:c>
      <x:c r="D54" s="86" t="str">
        <x:v>Z01</x:v>
      </x:c>
      <x:c r="E54" s="86" t="str">
        <x:v>return</x:v>
      </x:c>
      <x:c r="F54" s="86" t="str">
        <x:v>L1</x:v>
      </x:c>
      <x:c r="G54" s="86" t="str">
        <x:v>PHO short-CAL-1</x:v>
      </x:c>
      <x:c r="H54" s="86" t="str">
        <x:v>T1</x:v>
      </x:c>
      <x:c r="I54" s="91" t="str">
        <x:v>OPEN</x:v>
      </x:c>
    </x:row>
    <x:row r="55">
      <x:c r="A55" s="86" t="str">
        <x:v>CH-0050</x:v>
      </x:c>
      <x:c r="B55" s="86" t="str">
        <x:v>PHO short</x:v>
      </x:c>
      <x:c r="C55" s="108" t="n">
        <x:v>50</x:v>
      </x:c>
      <x:c r="D55" s="86" t="str">
        <x:v>Z02</x:v>
      </x:c>
      <x:c r="E55" s="86" t="str">
        <x:v>return</x:v>
      </x:c>
      <x:c r="F55" s="86" t="str">
        <x:v>L2</x:v>
      </x:c>
      <x:c r="G55" s="86" t="str">
        <x:v>PHO short-CAL-2</x:v>
      </x:c>
      <x:c r="H55" s="86" t="str">
        <x:v>T2</x:v>
      </x:c>
      <x:c r="I55" s="91" t="str">
        <x:v>OPEN</x:v>
      </x:c>
    </x:row>
    <x:row r="56">
      <x:c r="A56" s="86" t="str">
        <x:v>CH-0051</x:v>
      </x:c>
      <x:c r="B56" s="86" t="str">
        <x:v>PHO short</x:v>
      </x:c>
      <x:c r="C56" s="108" t="n">
        <x:v>51</x:v>
      </x:c>
      <x:c r="D56" s="86" t="str">
        <x:v>Z03</x:v>
      </x:c>
      <x:c r="E56" s="86" t="str">
        <x:v>return</x:v>
      </x:c>
      <x:c r="F56" s="86" t="str">
        <x:v>L3</x:v>
      </x:c>
      <x:c r="G56" s="86" t="str">
        <x:v>PHO short-CAL-3</x:v>
      </x:c>
      <x:c r="H56" s="86" t="str">
        <x:v>T3</x:v>
      </x:c>
      <x:c r="I56" s="91" t="str">
        <x:v>OPEN</x:v>
      </x:c>
    </x:row>
    <x:row r="57">
      <x:c r="A57" s="86" t="str">
        <x:v>CH-0052</x:v>
      </x:c>
      <x:c r="B57" s="86" t="str">
        <x:v>PHO short</x:v>
      </x:c>
      <x:c r="C57" s="108" t="n">
        <x:v>52</x:v>
      </x:c>
      <x:c r="D57" s="86" t="str">
        <x:v>Z04</x:v>
      </x:c>
      <x:c r="E57" s="86" t="str">
        <x:v>return</x:v>
      </x:c>
      <x:c r="F57" s="86" t="str">
        <x:v>L4</x:v>
      </x:c>
      <x:c r="G57" s="86" t="str">
        <x:v>PHO short-CAL-4</x:v>
      </x:c>
      <x:c r="H57" s="86" t="str">
        <x:v>T4</x:v>
      </x:c>
      <x:c r="I57" s="91" t="str">
        <x:v>OPEN</x:v>
      </x:c>
    </x:row>
    <x:row r="58">
      <x:c r="A58" s="86" t="str">
        <x:v>CH-0053</x:v>
      </x:c>
      <x:c r="B58" s="86" t="str">
        <x:v>PHO short</x:v>
      </x:c>
      <x:c r="C58" s="108" t="n">
        <x:v>53</x:v>
      </x:c>
      <x:c r="D58" s="86" t="str">
        <x:v>Z05</x:v>
      </x:c>
      <x:c r="E58" s="86" t="str">
        <x:v>return</x:v>
      </x:c>
      <x:c r="F58" s="86" t="str">
        <x:v>L1</x:v>
      </x:c>
      <x:c r="G58" s="86" t="str">
        <x:v>PHO short-CAL-1</x:v>
      </x:c>
      <x:c r="H58" s="86" t="str">
        <x:v>T1</x:v>
      </x:c>
      <x:c r="I58" s="91" t="str">
        <x:v>OPEN</x:v>
      </x:c>
    </x:row>
    <x:row r="59">
      <x:c r="A59" s="86" t="str">
        <x:v>CH-0054</x:v>
      </x:c>
      <x:c r="B59" s="86" t="str">
        <x:v>PHO short</x:v>
      </x:c>
      <x:c r="C59" s="108" t="n">
        <x:v>54</x:v>
      </x:c>
      <x:c r="D59" s="86" t="str">
        <x:v>Z06</x:v>
      </x:c>
      <x:c r="E59" s="86" t="str">
        <x:v>return</x:v>
      </x:c>
      <x:c r="F59" s="86" t="str">
        <x:v>L2</x:v>
      </x:c>
      <x:c r="G59" s="86" t="str">
        <x:v>PHO short-CAL-2</x:v>
      </x:c>
      <x:c r="H59" s="86" t="str">
        <x:v>T2</x:v>
      </x:c>
      <x:c r="I59" s="91" t="str">
        <x:v>OPEN</x:v>
      </x:c>
    </x:row>
    <x:row r="60">
      <x:c r="A60" s="86" t="str">
        <x:v>CH-0055</x:v>
      </x:c>
      <x:c r="B60" s="86" t="str">
        <x:v>PHO short</x:v>
      </x:c>
      <x:c r="C60" s="108" t="n">
        <x:v>55</x:v>
      </x:c>
      <x:c r="D60" s="86" t="str">
        <x:v>Z07</x:v>
      </x:c>
      <x:c r="E60" s="86" t="str">
        <x:v>return</x:v>
      </x:c>
      <x:c r="F60" s="86" t="str">
        <x:v>L3</x:v>
      </x:c>
      <x:c r="G60" s="86" t="str">
        <x:v>PHO short-CAL-3</x:v>
      </x:c>
      <x:c r="H60" s="86" t="str">
        <x:v>T3</x:v>
      </x:c>
      <x:c r="I60" s="91" t="str">
        <x:v>OPEN</x:v>
      </x:c>
    </x:row>
    <x:row r="61">
      <x:c r="A61" s="86" t="str">
        <x:v>CH-0056</x:v>
      </x:c>
      <x:c r="B61" s="86" t="str">
        <x:v>PHO short</x:v>
      </x:c>
      <x:c r="C61" s="108" t="n">
        <x:v>56</x:v>
      </x:c>
      <x:c r="D61" s="86" t="str">
        <x:v>Z08</x:v>
      </x:c>
      <x:c r="E61" s="86" t="str">
        <x:v>return</x:v>
      </x:c>
      <x:c r="F61" s="86" t="str">
        <x:v>L4</x:v>
      </x:c>
      <x:c r="G61" s="86" t="str">
        <x:v>PHO short-CAL-4</x:v>
      </x:c>
      <x:c r="H61" s="86" t="str">
        <x:v>T4</x:v>
      </x:c>
      <x:c r="I61" s="91" t="str">
        <x:v>OPEN</x:v>
      </x:c>
    </x:row>
    <x:row r="62">
      <x:c r="A62" s="86" t="str">
        <x:v>CH-0057</x:v>
      </x:c>
      <x:c r="B62" s="86" t="str">
        <x:v>PHO short</x:v>
      </x:c>
      <x:c r="C62" s="108" t="n">
        <x:v>57</x:v>
      </x:c>
      <x:c r="D62" s="86" t="str">
        <x:v>Z09</x:v>
      </x:c>
      <x:c r="E62" s="86" t="str">
        <x:v>return</x:v>
      </x:c>
      <x:c r="F62" s="86" t="str">
        <x:v>L1</x:v>
      </x:c>
      <x:c r="G62" s="86" t="str">
        <x:v>PHO short-CAL-1</x:v>
      </x:c>
      <x:c r="H62" s="86" t="str">
        <x:v>T1</x:v>
      </x:c>
      <x:c r="I62" s="91" t="str">
        <x:v>OPEN</x:v>
      </x:c>
    </x:row>
    <x:row r="63">
      <x:c r="A63" s="86" t="str">
        <x:v>CH-0058</x:v>
      </x:c>
      <x:c r="B63" s="86" t="str">
        <x:v>PHO short</x:v>
      </x:c>
      <x:c r="C63" s="108" t="n">
        <x:v>58</x:v>
      </x:c>
      <x:c r="D63" s="86" t="str">
        <x:v>Z10</x:v>
      </x:c>
      <x:c r="E63" s="86" t="str">
        <x:v>return</x:v>
      </x:c>
      <x:c r="F63" s="86" t="str">
        <x:v>L2</x:v>
      </x:c>
      <x:c r="G63" s="86" t="str">
        <x:v>PHO short-CAL-2</x:v>
      </x:c>
      <x:c r="H63" s="86" t="str">
        <x:v>T2</x:v>
      </x:c>
      <x:c r="I63" s="91" t="str">
        <x:v>OPEN</x:v>
      </x:c>
    </x:row>
    <x:row r="64">
      <x:c r="A64" s="86" t="str">
        <x:v>CH-0059</x:v>
      </x:c>
      <x:c r="B64" s="86" t="str">
        <x:v>PHO short</x:v>
      </x:c>
      <x:c r="C64" s="108" t="n">
        <x:v>59</x:v>
      </x:c>
      <x:c r="D64" s="86" t="str">
        <x:v>Z11</x:v>
      </x:c>
      <x:c r="E64" s="86" t="str">
        <x:v>return</x:v>
      </x:c>
      <x:c r="F64" s="86" t="str">
        <x:v>L3</x:v>
      </x:c>
      <x:c r="G64" s="86" t="str">
        <x:v>PHO short-CAL-3</x:v>
      </x:c>
      <x:c r="H64" s="86" t="str">
        <x:v>T3</x:v>
      </x:c>
      <x:c r="I64" s="91" t="str">
        <x:v>OPEN</x:v>
      </x:c>
    </x:row>
    <x:row r="65">
      <x:c r="A65" s="86" t="str">
        <x:v>CH-0060</x:v>
      </x:c>
      <x:c r="B65" s="86" t="str">
        <x:v>PHO short</x:v>
      </x:c>
      <x:c r="C65" s="108" t="n">
        <x:v>60</x:v>
      </x:c>
      <x:c r="D65" s="86" t="str">
        <x:v>Z12</x:v>
      </x:c>
      <x:c r="E65" s="86" t="str">
        <x:v>return</x:v>
      </x:c>
      <x:c r="F65" s="86" t="str">
        <x:v>L4</x:v>
      </x:c>
      <x:c r="G65" s="86" t="str">
        <x:v>PHO short-CAL-4</x:v>
      </x:c>
      <x:c r="H65" s="86" t="str">
        <x:v>T4</x:v>
      </x:c>
      <x:c r="I65" s="91" t="str">
        <x:v>OPEN</x:v>
      </x:c>
    </x:row>
    <x:row r="66">
      <x:c r="A66" s="86" t="str">
        <x:v>CH-0061</x:v>
      </x:c>
      <x:c r="B66" s="86" t="str">
        <x:v>PHO short</x:v>
      </x:c>
      <x:c r="C66" s="108" t="n">
        <x:v>61</x:v>
      </x:c>
      <x:c r="D66" s="86" t="str">
        <x:v>Z13</x:v>
      </x:c>
      <x:c r="E66" s="86" t="str">
        <x:v>return</x:v>
      </x:c>
      <x:c r="F66" s="86" t="str">
        <x:v>L1</x:v>
      </x:c>
      <x:c r="G66" s="86" t="str">
        <x:v>PHO short-CAL-1</x:v>
      </x:c>
      <x:c r="H66" s="86" t="str">
        <x:v>T1</x:v>
      </x:c>
      <x:c r="I66" s="91" t="str">
        <x:v>OPEN</x:v>
      </x:c>
    </x:row>
    <x:row r="67">
      <x:c r="A67" s="86" t="str">
        <x:v>CH-0062</x:v>
      </x:c>
      <x:c r="B67" s="86" t="str">
        <x:v>PHO short</x:v>
      </x:c>
      <x:c r="C67" s="108" t="n">
        <x:v>62</x:v>
      </x:c>
      <x:c r="D67" s="86" t="str">
        <x:v>Z14</x:v>
      </x:c>
      <x:c r="E67" s="86" t="str">
        <x:v>return</x:v>
      </x:c>
      <x:c r="F67" s="86" t="str">
        <x:v>L2</x:v>
      </x:c>
      <x:c r="G67" s="86" t="str">
        <x:v>PHO short-CAL-2</x:v>
      </x:c>
      <x:c r="H67" s="86" t="str">
        <x:v>T2</x:v>
      </x:c>
      <x:c r="I67" s="91" t="str">
        <x:v>OPEN</x:v>
      </x:c>
    </x:row>
    <x:row r="68">
      <x:c r="A68" s="86" t="str">
        <x:v>CH-0063</x:v>
      </x:c>
      <x:c r="B68" s="86" t="str">
        <x:v>PHO short</x:v>
      </x:c>
      <x:c r="C68" s="108" t="n">
        <x:v>63</x:v>
      </x:c>
      <x:c r="D68" s="86" t="str">
        <x:v>Z15</x:v>
      </x:c>
      <x:c r="E68" s="86" t="str">
        <x:v>return</x:v>
      </x:c>
      <x:c r="F68" s="86" t="str">
        <x:v>L3</x:v>
      </x:c>
      <x:c r="G68" s="86" t="str">
        <x:v>PHO short-CAL-3</x:v>
      </x:c>
      <x:c r="H68" s="86" t="str">
        <x:v>T3</x:v>
      </x:c>
      <x:c r="I68" s="91" t="str">
        <x:v>OPEN</x:v>
      </x:c>
    </x:row>
    <x:row r="69">
      <x:c r="A69" s="86" t="str">
        <x:v>CH-0064</x:v>
      </x:c>
      <x:c r="B69" s="86" t="str">
        <x:v>PHO short</x:v>
      </x:c>
      <x:c r="C69" s="108" t="n">
        <x:v>64</x:v>
      </x:c>
      <x:c r="D69" s="86" t="str">
        <x:v>Z16</x:v>
      </x:c>
      <x:c r="E69" s="86" t="str">
        <x:v>return</x:v>
      </x:c>
      <x:c r="F69" s="86" t="str">
        <x:v>L4</x:v>
      </x:c>
      <x:c r="G69" s="86" t="str">
        <x:v>PHO short-CAL-4</x:v>
      </x:c>
      <x:c r="H69" s="86" t="str">
        <x:v>T4</x:v>
      </x:c>
      <x:c r="I69" s="91" t="str">
        <x:v>OPEN</x:v>
      </x:c>
    </x:row>
    <x:row r="70">
      <x:c r="A70" s="86" t="str">
        <x:v>CH-0065</x:v>
      </x:c>
      <x:c r="B70" s="86" t="str">
        <x:v>PHO long</x:v>
      </x:c>
      <x:c r="C70" s="108" t="n">
        <x:v>1</x:v>
      </x:c>
      <x:c r="D70" s="86" t="str">
        <x:v>Z01</x:v>
      </x:c>
      <x:c r="E70" s="86" t="str">
        <x:v>full</x:v>
      </x:c>
      <x:c r="F70" s="86" t="str">
        <x:v>L1</x:v>
      </x:c>
      <x:c r="G70" s="86" t="str">
        <x:v>PHO long-CAL-1</x:v>
      </x:c>
      <x:c r="H70" s="86" t="str">
        <x:v>T1</x:v>
      </x:c>
      <x:c r="I70" s="91" t="str">
        <x:v>OPEN</x:v>
      </x:c>
    </x:row>
    <x:row r="71">
      <x:c r="A71" s="86" t="str">
        <x:v>CH-0066</x:v>
      </x:c>
      <x:c r="B71" s="86" t="str">
        <x:v>PHO long</x:v>
      </x:c>
      <x:c r="C71" s="108" t="n">
        <x:v>2</x:v>
      </x:c>
      <x:c r="D71" s="86" t="str">
        <x:v>Z02</x:v>
      </x:c>
      <x:c r="E71" s="86" t="str">
        <x:v>full</x:v>
      </x:c>
      <x:c r="F71" s="86" t="str">
        <x:v>L2</x:v>
      </x:c>
      <x:c r="G71" s="86" t="str">
        <x:v>PHO long-CAL-2</x:v>
      </x:c>
      <x:c r="H71" s="86" t="str">
        <x:v>T2</x:v>
      </x:c>
      <x:c r="I71" s="91" t="str">
        <x:v>OPEN</x:v>
      </x:c>
    </x:row>
    <x:row r="72">
      <x:c r="A72" s="86" t="str">
        <x:v>CH-0067</x:v>
      </x:c>
      <x:c r="B72" s="86" t="str">
        <x:v>PHO long</x:v>
      </x:c>
      <x:c r="C72" s="108" t="n">
        <x:v>3</x:v>
      </x:c>
      <x:c r="D72" s="86" t="str">
        <x:v>Z03</x:v>
      </x:c>
      <x:c r="E72" s="86" t="str">
        <x:v>full</x:v>
      </x:c>
      <x:c r="F72" s="86" t="str">
        <x:v>L3</x:v>
      </x:c>
      <x:c r="G72" s="86" t="str">
        <x:v>PHO long-CAL-3</x:v>
      </x:c>
      <x:c r="H72" s="86" t="str">
        <x:v>T3</x:v>
      </x:c>
      <x:c r="I72" s="91" t="str">
        <x:v>OPEN</x:v>
      </x:c>
    </x:row>
    <x:row r="73">
      <x:c r="A73" s="86" t="str">
        <x:v>CH-0068</x:v>
      </x:c>
      <x:c r="B73" s="86" t="str">
        <x:v>PHO long</x:v>
      </x:c>
      <x:c r="C73" s="108" t="n">
        <x:v>4</x:v>
      </x:c>
      <x:c r="D73" s="86" t="str">
        <x:v>Z04</x:v>
      </x:c>
      <x:c r="E73" s="86" t="str">
        <x:v>full</x:v>
      </x:c>
      <x:c r="F73" s="86" t="str">
        <x:v>L4</x:v>
      </x:c>
      <x:c r="G73" s="86" t="str">
        <x:v>PHO long-CAL-4</x:v>
      </x:c>
      <x:c r="H73" s="86" t="str">
        <x:v>T4</x:v>
      </x:c>
      <x:c r="I73" s="91" t="str">
        <x:v>OPEN</x:v>
      </x:c>
    </x:row>
    <x:row r="74">
      <x:c r="A74" s="86" t="str">
        <x:v>CH-0069</x:v>
      </x:c>
      <x:c r="B74" s="86" t="str">
        <x:v>PHO long</x:v>
      </x:c>
      <x:c r="C74" s="108" t="n">
        <x:v>5</x:v>
      </x:c>
      <x:c r="D74" s="86" t="str">
        <x:v>Z05</x:v>
      </x:c>
      <x:c r="E74" s="86" t="str">
        <x:v>full</x:v>
      </x:c>
      <x:c r="F74" s="86" t="str">
        <x:v>L1</x:v>
      </x:c>
      <x:c r="G74" s="86" t="str">
        <x:v>PHO long-CAL-1</x:v>
      </x:c>
      <x:c r="H74" s="86" t="str">
        <x:v>T1</x:v>
      </x:c>
      <x:c r="I74" s="91" t="str">
        <x:v>OPEN</x:v>
      </x:c>
    </x:row>
    <x:row r="75">
      <x:c r="A75" s="86" t="str">
        <x:v>CH-0070</x:v>
      </x:c>
      <x:c r="B75" s="86" t="str">
        <x:v>PHO long</x:v>
      </x:c>
      <x:c r="C75" s="108" t="n">
        <x:v>6</x:v>
      </x:c>
      <x:c r="D75" s="86" t="str">
        <x:v>Z06</x:v>
      </x:c>
      <x:c r="E75" s="86" t="str">
        <x:v>full</x:v>
      </x:c>
      <x:c r="F75" s="86" t="str">
        <x:v>L2</x:v>
      </x:c>
      <x:c r="G75" s="86" t="str">
        <x:v>PHO long-CAL-2</x:v>
      </x:c>
      <x:c r="H75" s="86" t="str">
        <x:v>T2</x:v>
      </x:c>
      <x:c r="I75" s="91" t="str">
        <x:v>OPEN</x:v>
      </x:c>
    </x:row>
    <x:row r="76">
      <x:c r="A76" s="86" t="str">
        <x:v>CH-0071</x:v>
      </x:c>
      <x:c r="B76" s="86" t="str">
        <x:v>PHO long</x:v>
      </x:c>
      <x:c r="C76" s="108" t="n">
        <x:v>7</x:v>
      </x:c>
      <x:c r="D76" s="86" t="str">
        <x:v>Z07</x:v>
      </x:c>
      <x:c r="E76" s="86" t="str">
        <x:v>full</x:v>
      </x:c>
      <x:c r="F76" s="86" t="str">
        <x:v>L3</x:v>
      </x:c>
      <x:c r="G76" s="86" t="str">
        <x:v>PHO long-CAL-3</x:v>
      </x:c>
      <x:c r="H76" s="86" t="str">
        <x:v>T3</x:v>
      </x:c>
      <x:c r="I76" s="91" t="str">
        <x:v>OPEN</x:v>
      </x:c>
    </x:row>
    <x:row r="77">
      <x:c r="A77" s="86" t="str">
        <x:v>CH-0072</x:v>
      </x:c>
      <x:c r="B77" s="86" t="str">
        <x:v>PHO long</x:v>
      </x:c>
      <x:c r="C77" s="108" t="n">
        <x:v>8</x:v>
      </x:c>
      <x:c r="D77" s="86" t="str">
        <x:v>Z08</x:v>
      </x:c>
      <x:c r="E77" s="86" t="str">
        <x:v>full</x:v>
      </x:c>
      <x:c r="F77" s="86" t="str">
        <x:v>L4</x:v>
      </x:c>
      <x:c r="G77" s="86" t="str">
        <x:v>PHO long-CAL-4</x:v>
      </x:c>
      <x:c r="H77" s="86" t="str">
        <x:v>T4</x:v>
      </x:c>
      <x:c r="I77" s="91" t="str">
        <x:v>OPEN</x:v>
      </x:c>
    </x:row>
    <x:row r="78">
      <x:c r="A78" s="86" t="str">
        <x:v>CH-0073</x:v>
      </x:c>
      <x:c r="B78" s="86" t="str">
        <x:v>PHO long</x:v>
      </x:c>
      <x:c r="C78" s="108" t="n">
        <x:v>9</x:v>
      </x:c>
      <x:c r="D78" s="86" t="str">
        <x:v>Z09</x:v>
      </x:c>
      <x:c r="E78" s="86" t="str">
        <x:v>full</x:v>
      </x:c>
      <x:c r="F78" s="86" t="str">
        <x:v>L1</x:v>
      </x:c>
      <x:c r="G78" s="86" t="str">
        <x:v>PHO long-CAL-1</x:v>
      </x:c>
      <x:c r="H78" s="86" t="str">
        <x:v>T1</x:v>
      </x:c>
      <x:c r="I78" s="91" t="str">
        <x:v>OPEN</x:v>
      </x:c>
    </x:row>
    <x:row r="79">
      <x:c r="A79" s="86" t="str">
        <x:v>CH-0074</x:v>
      </x:c>
      <x:c r="B79" s="86" t="str">
        <x:v>PHO long</x:v>
      </x:c>
      <x:c r="C79" s="108" t="n">
        <x:v>10</x:v>
      </x:c>
      <x:c r="D79" s="86" t="str">
        <x:v>Z10</x:v>
      </x:c>
      <x:c r="E79" s="86" t="str">
        <x:v>full</x:v>
      </x:c>
      <x:c r="F79" s="86" t="str">
        <x:v>L2</x:v>
      </x:c>
      <x:c r="G79" s="86" t="str">
        <x:v>PHO long-CAL-2</x:v>
      </x:c>
      <x:c r="H79" s="86" t="str">
        <x:v>T2</x:v>
      </x:c>
      <x:c r="I79" s="91" t="str">
        <x:v>OPEN</x:v>
      </x:c>
    </x:row>
    <x:row r="80">
      <x:c r="A80" s="86" t="str">
        <x:v>CH-0075</x:v>
      </x:c>
      <x:c r="B80" s="86" t="str">
        <x:v>PHO long</x:v>
      </x:c>
      <x:c r="C80" s="108" t="n">
        <x:v>11</x:v>
      </x:c>
      <x:c r="D80" s="86" t="str">
        <x:v>Z11</x:v>
      </x:c>
      <x:c r="E80" s="86" t="str">
        <x:v>full</x:v>
      </x:c>
      <x:c r="F80" s="86" t="str">
        <x:v>L3</x:v>
      </x:c>
      <x:c r="G80" s="86" t="str">
        <x:v>PHO long-CAL-3</x:v>
      </x:c>
      <x:c r="H80" s="86" t="str">
        <x:v>T3</x:v>
      </x:c>
      <x:c r="I80" s="91" t="str">
        <x:v>OPEN</x:v>
      </x:c>
    </x:row>
    <x:row r="81">
      <x:c r="A81" s="86" t="str">
        <x:v>CH-0076</x:v>
      </x:c>
      <x:c r="B81" s="86" t="str">
        <x:v>PHO long</x:v>
      </x:c>
      <x:c r="C81" s="108" t="n">
        <x:v>12</x:v>
      </x:c>
      <x:c r="D81" s="86" t="str">
        <x:v>Z12</x:v>
      </x:c>
      <x:c r="E81" s="86" t="str">
        <x:v>full</x:v>
      </x:c>
      <x:c r="F81" s="86" t="str">
        <x:v>L4</x:v>
      </x:c>
      <x:c r="G81" s="86" t="str">
        <x:v>PHO long-CAL-4</x:v>
      </x:c>
      <x:c r="H81" s="86" t="str">
        <x:v>T4</x:v>
      </x:c>
      <x:c r="I81" s="91" t="str">
        <x:v>OPEN</x:v>
      </x:c>
    </x:row>
    <x:row r="82">
      <x:c r="A82" s="86" t="str">
        <x:v>CH-0077</x:v>
      </x:c>
      <x:c r="B82" s="86" t="str">
        <x:v>PHO long</x:v>
      </x:c>
      <x:c r="C82" s="108" t="n">
        <x:v>13</x:v>
      </x:c>
      <x:c r="D82" s="86" t="str">
        <x:v>Z13</x:v>
      </x:c>
      <x:c r="E82" s="86" t="str">
        <x:v>full</x:v>
      </x:c>
      <x:c r="F82" s="86" t="str">
        <x:v>L1</x:v>
      </x:c>
      <x:c r="G82" s="86" t="str">
        <x:v>PHO long-CAL-1</x:v>
      </x:c>
      <x:c r="H82" s="86" t="str">
        <x:v>T1</x:v>
      </x:c>
      <x:c r="I82" s="91" t="str">
        <x:v>OPEN</x:v>
      </x:c>
    </x:row>
    <x:row r="83">
      <x:c r="A83" s="86" t="str">
        <x:v>CH-0078</x:v>
      </x:c>
      <x:c r="B83" s="86" t="str">
        <x:v>PHO long</x:v>
      </x:c>
      <x:c r="C83" s="108" t="n">
        <x:v>14</x:v>
      </x:c>
      <x:c r="D83" s="86" t="str">
        <x:v>Z14</x:v>
      </x:c>
      <x:c r="E83" s="86" t="str">
        <x:v>full</x:v>
      </x:c>
      <x:c r="F83" s="86" t="str">
        <x:v>L2</x:v>
      </x:c>
      <x:c r="G83" s="86" t="str">
        <x:v>PHO long-CAL-2</x:v>
      </x:c>
      <x:c r="H83" s="86" t="str">
        <x:v>T2</x:v>
      </x:c>
      <x:c r="I83" s="91" t="str">
        <x:v>OPEN</x:v>
      </x:c>
    </x:row>
    <x:row r="84">
      <x:c r="A84" s="86" t="str">
        <x:v>CH-0079</x:v>
      </x:c>
      <x:c r="B84" s="86" t="str">
        <x:v>PHO long</x:v>
      </x:c>
      <x:c r="C84" s="108" t="n">
        <x:v>15</x:v>
      </x:c>
      <x:c r="D84" s="86" t="str">
        <x:v>Z15</x:v>
      </x:c>
      <x:c r="E84" s="86" t="str">
        <x:v>full</x:v>
      </x:c>
      <x:c r="F84" s="86" t="str">
        <x:v>L3</x:v>
      </x:c>
      <x:c r="G84" s="86" t="str">
        <x:v>PHO long-CAL-3</x:v>
      </x:c>
      <x:c r="H84" s="86" t="str">
        <x:v>T3</x:v>
      </x:c>
      <x:c r="I84" s="91" t="str">
        <x:v>OPEN</x:v>
      </x:c>
    </x:row>
    <x:row r="85">
      <x:c r="A85" s="86" t="str">
        <x:v>CH-0080</x:v>
      </x:c>
      <x:c r="B85" s="86" t="str">
        <x:v>PHO long</x:v>
      </x:c>
      <x:c r="C85" s="108" t="n">
        <x:v>16</x:v>
      </x:c>
      <x:c r="D85" s="86" t="str">
        <x:v>Z16</x:v>
      </x:c>
      <x:c r="E85" s="86" t="str">
        <x:v>full</x:v>
      </x:c>
      <x:c r="F85" s="86" t="str">
        <x:v>L4</x:v>
      </x:c>
      <x:c r="G85" s="86" t="str">
        <x:v>PHO long-CAL-4</x:v>
      </x:c>
      <x:c r="H85" s="86" t="str">
        <x:v>T4</x:v>
      </x:c>
      <x:c r="I85" s="91" t="str">
        <x:v>OPEN</x:v>
      </x:c>
    </x:row>
    <x:row r="86">
      <x:c r="A86" s="86" t="str">
        <x:v>CH-0081</x:v>
      </x:c>
      <x:c r="B86" s="86" t="str">
        <x:v>PHO long</x:v>
      </x:c>
      <x:c r="C86" s="108" t="n">
        <x:v>17</x:v>
      </x:c>
      <x:c r="D86" s="86" t="str">
        <x:v>Z01</x:v>
      </x:c>
      <x:c r="E86" s="86" t="str">
        <x:v>full</x:v>
      </x:c>
      <x:c r="F86" s="86" t="str">
        <x:v>L1</x:v>
      </x:c>
      <x:c r="G86" s="86" t="str">
        <x:v>PHO long-CAL-1</x:v>
      </x:c>
      <x:c r="H86" s="86" t="str">
        <x:v>T1</x:v>
      </x:c>
      <x:c r="I86" s="91" t="str">
        <x:v>OPEN</x:v>
      </x:c>
    </x:row>
    <x:row r="87">
      <x:c r="A87" s="86" t="str">
        <x:v>CH-0082</x:v>
      </x:c>
      <x:c r="B87" s="86" t="str">
        <x:v>PHO long</x:v>
      </x:c>
      <x:c r="C87" s="108" t="n">
        <x:v>18</x:v>
      </x:c>
      <x:c r="D87" s="86" t="str">
        <x:v>Z02</x:v>
      </x:c>
      <x:c r="E87" s="86" t="str">
        <x:v>full</x:v>
      </x:c>
      <x:c r="F87" s="86" t="str">
        <x:v>L2</x:v>
      </x:c>
      <x:c r="G87" s="86" t="str">
        <x:v>PHO long-CAL-2</x:v>
      </x:c>
      <x:c r="H87" s="86" t="str">
        <x:v>T2</x:v>
      </x:c>
      <x:c r="I87" s="91" t="str">
        <x:v>OPEN</x:v>
      </x:c>
    </x:row>
    <x:row r="88">
      <x:c r="A88" s="86" t="str">
        <x:v>CH-0083</x:v>
      </x:c>
      <x:c r="B88" s="86" t="str">
        <x:v>PHO long</x:v>
      </x:c>
      <x:c r="C88" s="108" t="n">
        <x:v>19</x:v>
      </x:c>
      <x:c r="D88" s="86" t="str">
        <x:v>Z03</x:v>
      </x:c>
      <x:c r="E88" s="86" t="str">
        <x:v>full</x:v>
      </x:c>
      <x:c r="F88" s="86" t="str">
        <x:v>L3</x:v>
      </x:c>
      <x:c r="G88" s="86" t="str">
        <x:v>PHO long-CAL-3</x:v>
      </x:c>
      <x:c r="H88" s="86" t="str">
        <x:v>T3</x:v>
      </x:c>
      <x:c r="I88" s="91" t="str">
        <x:v>OPEN</x:v>
      </x:c>
    </x:row>
    <x:row r="89">
      <x:c r="A89" s="86" t="str">
        <x:v>CH-0084</x:v>
      </x:c>
      <x:c r="B89" s="86" t="str">
        <x:v>PHO long</x:v>
      </x:c>
      <x:c r="C89" s="108" t="n">
        <x:v>20</x:v>
      </x:c>
      <x:c r="D89" s="86" t="str">
        <x:v>Z04</x:v>
      </x:c>
      <x:c r="E89" s="86" t="str">
        <x:v>full</x:v>
      </x:c>
      <x:c r="F89" s="86" t="str">
        <x:v>L4</x:v>
      </x:c>
      <x:c r="G89" s="86" t="str">
        <x:v>PHO long-CAL-4</x:v>
      </x:c>
      <x:c r="H89" s="86" t="str">
        <x:v>T4</x:v>
      </x:c>
      <x:c r="I89" s="91" t="str">
        <x:v>OPEN</x:v>
      </x:c>
    </x:row>
    <x:row r="90">
      <x:c r="A90" s="86" t="str">
        <x:v>CH-0085</x:v>
      </x:c>
      <x:c r="B90" s="86" t="str">
        <x:v>PHO long</x:v>
      </x:c>
      <x:c r="C90" s="108" t="n">
        <x:v>21</x:v>
      </x:c>
      <x:c r="D90" s="86" t="str">
        <x:v>Z05</x:v>
      </x:c>
      <x:c r="E90" s="86" t="str">
        <x:v>full</x:v>
      </x:c>
      <x:c r="F90" s="86" t="str">
        <x:v>L1</x:v>
      </x:c>
      <x:c r="G90" s="86" t="str">
        <x:v>PHO long-CAL-1</x:v>
      </x:c>
      <x:c r="H90" s="86" t="str">
        <x:v>T1</x:v>
      </x:c>
      <x:c r="I90" s="91" t="str">
        <x:v>OPEN</x:v>
      </x:c>
    </x:row>
    <x:row r="91">
      <x:c r="A91" s="86" t="str">
        <x:v>CH-0086</x:v>
      </x:c>
      <x:c r="B91" s="86" t="str">
        <x:v>PHO long</x:v>
      </x:c>
      <x:c r="C91" s="108" t="n">
        <x:v>22</x:v>
      </x:c>
      <x:c r="D91" s="86" t="str">
        <x:v>Z06</x:v>
      </x:c>
      <x:c r="E91" s="86" t="str">
        <x:v>full</x:v>
      </x:c>
      <x:c r="F91" s="86" t="str">
        <x:v>L2</x:v>
      </x:c>
      <x:c r="G91" s="86" t="str">
        <x:v>PHO long-CAL-2</x:v>
      </x:c>
      <x:c r="H91" s="86" t="str">
        <x:v>T2</x:v>
      </x:c>
      <x:c r="I91" s="91" t="str">
        <x:v>OPEN</x:v>
      </x:c>
    </x:row>
    <x:row r="92">
      <x:c r="A92" s="86" t="str">
        <x:v>CH-0087</x:v>
      </x:c>
      <x:c r="B92" s="86" t="str">
        <x:v>PHO long</x:v>
      </x:c>
      <x:c r="C92" s="108" t="n">
        <x:v>23</x:v>
      </x:c>
      <x:c r="D92" s="86" t="str">
        <x:v>Z07</x:v>
      </x:c>
      <x:c r="E92" s="86" t="str">
        <x:v>full</x:v>
      </x:c>
      <x:c r="F92" s="86" t="str">
        <x:v>L3</x:v>
      </x:c>
      <x:c r="G92" s="86" t="str">
        <x:v>PHO long-CAL-3</x:v>
      </x:c>
      <x:c r="H92" s="86" t="str">
        <x:v>T3</x:v>
      </x:c>
      <x:c r="I92" s="91" t="str">
        <x:v>OPEN</x:v>
      </x:c>
    </x:row>
    <x:row r="93">
      <x:c r="A93" s="86" t="str">
        <x:v>CH-0088</x:v>
      </x:c>
      <x:c r="B93" s="86" t="str">
        <x:v>PHO long</x:v>
      </x:c>
      <x:c r="C93" s="108" t="n">
        <x:v>24</x:v>
      </x:c>
      <x:c r="D93" s="86" t="str">
        <x:v>Z08</x:v>
      </x:c>
      <x:c r="E93" s="86" t="str">
        <x:v>full</x:v>
      </x:c>
      <x:c r="F93" s="86" t="str">
        <x:v>L4</x:v>
      </x:c>
      <x:c r="G93" s="86" t="str">
        <x:v>PHO long-CAL-4</x:v>
      </x:c>
      <x:c r="H93" s="86" t="str">
        <x:v>T4</x:v>
      </x:c>
      <x:c r="I93" s="91" t="str">
        <x:v>OPEN</x:v>
      </x:c>
    </x:row>
    <x:row r="94">
      <x:c r="A94" s="86" t="str">
        <x:v>CH-0089</x:v>
      </x:c>
      <x:c r="B94" s="86" t="str">
        <x:v>PHO long</x:v>
      </x:c>
      <x:c r="C94" s="108" t="n">
        <x:v>25</x:v>
      </x:c>
      <x:c r="D94" s="86" t="str">
        <x:v>Z09</x:v>
      </x:c>
      <x:c r="E94" s="86" t="str">
        <x:v>full</x:v>
      </x:c>
      <x:c r="F94" s="86" t="str">
        <x:v>L1</x:v>
      </x:c>
      <x:c r="G94" s="86" t="str">
        <x:v>PHO long-CAL-1</x:v>
      </x:c>
      <x:c r="H94" s="86" t="str">
        <x:v>T1</x:v>
      </x:c>
      <x:c r="I94" s="91" t="str">
        <x:v>OPEN</x:v>
      </x:c>
    </x:row>
    <x:row r="95">
      <x:c r="A95" s="86" t="str">
        <x:v>CH-0090</x:v>
      </x:c>
      <x:c r="B95" s="86" t="str">
        <x:v>PHO long</x:v>
      </x:c>
      <x:c r="C95" s="108" t="n">
        <x:v>26</x:v>
      </x:c>
      <x:c r="D95" s="86" t="str">
        <x:v>Z10</x:v>
      </x:c>
      <x:c r="E95" s="86" t="str">
        <x:v>full</x:v>
      </x:c>
      <x:c r="F95" s="86" t="str">
        <x:v>L2</x:v>
      </x:c>
      <x:c r="G95" s="86" t="str">
        <x:v>PHO long-CAL-2</x:v>
      </x:c>
      <x:c r="H95" s="86" t="str">
        <x:v>T2</x:v>
      </x:c>
      <x:c r="I95" s="91" t="str">
        <x:v>OPEN</x:v>
      </x:c>
    </x:row>
    <x:row r="96">
      <x:c r="A96" s="86" t="str">
        <x:v>CH-0091</x:v>
      </x:c>
      <x:c r="B96" s="86" t="str">
        <x:v>PHO long</x:v>
      </x:c>
      <x:c r="C96" s="108" t="n">
        <x:v>27</x:v>
      </x:c>
      <x:c r="D96" s="86" t="str">
        <x:v>Z11</x:v>
      </x:c>
      <x:c r="E96" s="86" t="str">
        <x:v>full</x:v>
      </x:c>
      <x:c r="F96" s="86" t="str">
        <x:v>L3</x:v>
      </x:c>
      <x:c r="G96" s="86" t="str">
        <x:v>PHO long-CAL-3</x:v>
      </x:c>
      <x:c r="H96" s="86" t="str">
        <x:v>T3</x:v>
      </x:c>
      <x:c r="I96" s="91" t="str">
        <x:v>OPEN</x:v>
      </x:c>
    </x:row>
    <x:row r="97">
      <x:c r="A97" s="86" t="str">
        <x:v>CH-0092</x:v>
      </x:c>
      <x:c r="B97" s="86" t="str">
        <x:v>PHO long</x:v>
      </x:c>
      <x:c r="C97" s="108" t="n">
        <x:v>28</x:v>
      </x:c>
      <x:c r="D97" s="86" t="str">
        <x:v>Z12</x:v>
      </x:c>
      <x:c r="E97" s="86" t="str">
        <x:v>full</x:v>
      </x:c>
      <x:c r="F97" s="86" t="str">
        <x:v>L4</x:v>
      </x:c>
      <x:c r="G97" s="86" t="str">
        <x:v>PHO long-CAL-4</x:v>
      </x:c>
      <x:c r="H97" s="86" t="str">
        <x:v>T4</x:v>
      </x:c>
      <x:c r="I97" s="91" t="str">
        <x:v>OPEN</x:v>
      </x:c>
    </x:row>
    <x:row r="98">
      <x:c r="A98" s="86" t="str">
        <x:v>CH-0093</x:v>
      </x:c>
      <x:c r="B98" s="86" t="str">
        <x:v>PHO long</x:v>
      </x:c>
      <x:c r="C98" s="108" t="n">
        <x:v>29</x:v>
      </x:c>
      <x:c r="D98" s="86" t="str">
        <x:v>Z13</x:v>
      </x:c>
      <x:c r="E98" s="86" t="str">
        <x:v>full</x:v>
      </x:c>
      <x:c r="F98" s="86" t="str">
        <x:v>L1</x:v>
      </x:c>
      <x:c r="G98" s="86" t="str">
        <x:v>PHO long-CAL-1</x:v>
      </x:c>
      <x:c r="H98" s="86" t="str">
        <x:v>T1</x:v>
      </x:c>
      <x:c r="I98" s="91" t="str">
        <x:v>OPEN</x:v>
      </x:c>
    </x:row>
    <x:row r="99">
      <x:c r="A99" s="86" t="str">
        <x:v>CH-0094</x:v>
      </x:c>
      <x:c r="B99" s="86" t="str">
        <x:v>PHO long</x:v>
      </x:c>
      <x:c r="C99" s="108" t="n">
        <x:v>30</x:v>
      </x:c>
      <x:c r="D99" s="86" t="str">
        <x:v>Z14</x:v>
      </x:c>
      <x:c r="E99" s="86" t="str">
        <x:v>full</x:v>
      </x:c>
      <x:c r="F99" s="86" t="str">
        <x:v>L2</x:v>
      </x:c>
      <x:c r="G99" s="86" t="str">
        <x:v>PHO long-CAL-2</x:v>
      </x:c>
      <x:c r="H99" s="86" t="str">
        <x:v>T2</x:v>
      </x:c>
      <x:c r="I99" s="91" t="str">
        <x:v>OPEN</x:v>
      </x:c>
    </x:row>
    <x:row r="100">
      <x:c r="A100" s="86" t="str">
        <x:v>CH-0095</x:v>
      </x:c>
      <x:c r="B100" s="86" t="str">
        <x:v>PHO long</x:v>
      </x:c>
      <x:c r="C100" s="108" t="n">
        <x:v>31</x:v>
      </x:c>
      <x:c r="D100" s="86" t="str">
        <x:v>Z15</x:v>
      </x:c>
      <x:c r="E100" s="86" t="str">
        <x:v>full</x:v>
      </x:c>
      <x:c r="F100" s="86" t="str">
        <x:v>L3</x:v>
      </x:c>
      <x:c r="G100" s="86" t="str">
        <x:v>PHO long-CAL-3</x:v>
      </x:c>
      <x:c r="H100" s="86" t="str">
        <x:v>T3</x:v>
      </x:c>
      <x:c r="I100" s="91" t="str">
        <x:v>OPEN</x:v>
      </x:c>
    </x:row>
    <x:row r="101">
      <x:c r="A101" s="86" t="str">
        <x:v>CH-0096</x:v>
      </x:c>
      <x:c r="B101" s="86" t="str">
        <x:v>PHO long</x:v>
      </x:c>
      <x:c r="C101" s="108" t="n">
        <x:v>32</x:v>
      </x:c>
      <x:c r="D101" s="86" t="str">
        <x:v>Z16</x:v>
      </x:c>
      <x:c r="E101" s="86" t="str">
        <x:v>full</x:v>
      </x:c>
      <x:c r="F101" s="86" t="str">
        <x:v>L4</x:v>
      </x:c>
      <x:c r="G101" s="86" t="str">
        <x:v>PHO long-CAL-4</x:v>
      </x:c>
      <x:c r="H101" s="86" t="str">
        <x:v>T4</x:v>
      </x:c>
      <x:c r="I101" s="91" t="str">
        <x:v>OPEN</x:v>
      </x:c>
    </x:row>
    <x:row r="102">
      <x:c r="A102" s="86" t="str">
        <x:v>CH-0097</x:v>
      </x:c>
      <x:c r="B102" s="86" t="str">
        <x:v>PHO long</x:v>
      </x:c>
      <x:c r="C102" s="108" t="n">
        <x:v>33</x:v>
      </x:c>
      <x:c r="D102" s="86" t="str">
        <x:v>Z01</x:v>
      </x:c>
      <x:c r="E102" s="86" t="str">
        <x:v>intermediate</x:v>
      </x:c>
      <x:c r="F102" s="86" t="str">
        <x:v>L1</x:v>
      </x:c>
      <x:c r="G102" s="86" t="str">
        <x:v>PHO long-CAL-1</x:v>
      </x:c>
      <x:c r="H102" s="86" t="str">
        <x:v>T1</x:v>
      </x:c>
      <x:c r="I102" s="91" t="str">
        <x:v>OPEN</x:v>
      </x:c>
    </x:row>
    <x:row r="103">
      <x:c r="A103" s="86" t="str">
        <x:v>CH-0098</x:v>
      </x:c>
      <x:c r="B103" s="86" t="str">
        <x:v>PHO long</x:v>
      </x:c>
      <x:c r="C103" s="108" t="n">
        <x:v>34</x:v>
      </x:c>
      <x:c r="D103" s="86" t="str">
        <x:v>Z02</x:v>
      </x:c>
      <x:c r="E103" s="86" t="str">
        <x:v>intermediate</x:v>
      </x:c>
      <x:c r="F103" s="86" t="str">
        <x:v>L2</x:v>
      </x:c>
      <x:c r="G103" s="86" t="str">
        <x:v>PHO long-CAL-2</x:v>
      </x:c>
      <x:c r="H103" s="86" t="str">
        <x:v>T2</x:v>
      </x:c>
      <x:c r="I103" s="91" t="str">
        <x:v>OPEN</x:v>
      </x:c>
    </x:row>
    <x:row r="104">
      <x:c r="A104" s="86" t="str">
        <x:v>CH-0099</x:v>
      </x:c>
      <x:c r="B104" s="86" t="str">
        <x:v>PHO long</x:v>
      </x:c>
      <x:c r="C104" s="108" t="n">
        <x:v>35</x:v>
      </x:c>
      <x:c r="D104" s="86" t="str">
        <x:v>Z03</x:v>
      </x:c>
      <x:c r="E104" s="86" t="str">
        <x:v>intermediate</x:v>
      </x:c>
      <x:c r="F104" s="86" t="str">
        <x:v>L3</x:v>
      </x:c>
      <x:c r="G104" s="86" t="str">
        <x:v>PHO long-CAL-3</x:v>
      </x:c>
      <x:c r="H104" s="86" t="str">
        <x:v>T3</x:v>
      </x:c>
      <x:c r="I104" s="91" t="str">
        <x:v>OPEN</x:v>
      </x:c>
    </x:row>
    <x:row r="105">
      <x:c r="A105" s="86" t="str">
        <x:v>CH-0100</x:v>
      </x:c>
      <x:c r="B105" s="86" t="str">
        <x:v>PHO long</x:v>
      </x:c>
      <x:c r="C105" s="108" t="n">
        <x:v>36</x:v>
      </x:c>
      <x:c r="D105" s="86" t="str">
        <x:v>Z04</x:v>
      </x:c>
      <x:c r="E105" s="86" t="str">
        <x:v>intermediate</x:v>
      </x:c>
      <x:c r="F105" s="86" t="str">
        <x:v>L4</x:v>
      </x:c>
      <x:c r="G105" s="86" t="str">
        <x:v>PHO long-CAL-4</x:v>
      </x:c>
      <x:c r="H105" s="86" t="str">
        <x:v>T4</x:v>
      </x:c>
      <x:c r="I105" s="91" t="str">
        <x:v>OPEN</x:v>
      </x:c>
    </x:row>
    <x:row r="106">
      <x:c r="A106" s="86" t="str">
        <x:v>CH-0101</x:v>
      </x:c>
      <x:c r="B106" s="86" t="str">
        <x:v>PHO long</x:v>
      </x:c>
      <x:c r="C106" s="108" t="n">
        <x:v>37</x:v>
      </x:c>
      <x:c r="D106" s="86" t="str">
        <x:v>Z05</x:v>
      </x:c>
      <x:c r="E106" s="86" t="str">
        <x:v>intermediate</x:v>
      </x:c>
      <x:c r="F106" s="86" t="str">
        <x:v>L1</x:v>
      </x:c>
      <x:c r="G106" s="86" t="str">
        <x:v>PHO long-CAL-1</x:v>
      </x:c>
      <x:c r="H106" s="86" t="str">
        <x:v>T1</x:v>
      </x:c>
      <x:c r="I106" s="91" t="str">
        <x:v>OPEN</x:v>
      </x:c>
    </x:row>
    <x:row r="107">
      <x:c r="A107" s="86" t="str">
        <x:v>CH-0102</x:v>
      </x:c>
      <x:c r="B107" s="86" t="str">
        <x:v>PHO long</x:v>
      </x:c>
      <x:c r="C107" s="108" t="n">
        <x:v>38</x:v>
      </x:c>
      <x:c r="D107" s="86" t="str">
        <x:v>Z06</x:v>
      </x:c>
      <x:c r="E107" s="86" t="str">
        <x:v>intermediate</x:v>
      </x:c>
      <x:c r="F107" s="86" t="str">
        <x:v>L2</x:v>
      </x:c>
      <x:c r="G107" s="86" t="str">
        <x:v>PHO long-CAL-2</x:v>
      </x:c>
      <x:c r="H107" s="86" t="str">
        <x:v>T2</x:v>
      </x:c>
      <x:c r="I107" s="91" t="str">
        <x:v>OPEN</x:v>
      </x:c>
    </x:row>
    <x:row r="108">
      <x:c r="A108" s="86" t="str">
        <x:v>CH-0103</x:v>
      </x:c>
      <x:c r="B108" s="86" t="str">
        <x:v>PHO long</x:v>
      </x:c>
      <x:c r="C108" s="108" t="n">
        <x:v>39</x:v>
      </x:c>
      <x:c r="D108" s="86" t="str">
        <x:v>Z07</x:v>
      </x:c>
      <x:c r="E108" s="86" t="str">
        <x:v>intermediate</x:v>
      </x:c>
      <x:c r="F108" s="86" t="str">
        <x:v>L3</x:v>
      </x:c>
      <x:c r="G108" s="86" t="str">
        <x:v>PHO long-CAL-3</x:v>
      </x:c>
      <x:c r="H108" s="86" t="str">
        <x:v>T3</x:v>
      </x:c>
      <x:c r="I108" s="91" t="str">
        <x:v>OPEN</x:v>
      </x:c>
    </x:row>
    <x:row r="109">
      <x:c r="A109" s="86" t="str">
        <x:v>CH-0104</x:v>
      </x:c>
      <x:c r="B109" s="86" t="str">
        <x:v>PHO long</x:v>
      </x:c>
      <x:c r="C109" s="108" t="n">
        <x:v>40</x:v>
      </x:c>
      <x:c r="D109" s="86" t="str">
        <x:v>Z08</x:v>
      </x:c>
      <x:c r="E109" s="86" t="str">
        <x:v>intermediate</x:v>
      </x:c>
      <x:c r="F109" s="86" t="str">
        <x:v>L4</x:v>
      </x:c>
      <x:c r="G109" s="86" t="str">
        <x:v>PHO long-CAL-4</x:v>
      </x:c>
      <x:c r="H109" s="86" t="str">
        <x:v>T4</x:v>
      </x:c>
      <x:c r="I109" s="91" t="str">
        <x:v>OPEN</x:v>
      </x:c>
    </x:row>
    <x:row r="110">
      <x:c r="A110" s="86" t="str">
        <x:v>CH-0105</x:v>
      </x:c>
      <x:c r="B110" s="86" t="str">
        <x:v>PHO long</x:v>
      </x:c>
      <x:c r="C110" s="108" t="n">
        <x:v>41</x:v>
      </x:c>
      <x:c r="D110" s="86" t="str">
        <x:v>Z09</x:v>
      </x:c>
      <x:c r="E110" s="86" t="str">
        <x:v>intermediate</x:v>
      </x:c>
      <x:c r="F110" s="86" t="str">
        <x:v>L1</x:v>
      </x:c>
      <x:c r="G110" s="86" t="str">
        <x:v>PHO long-CAL-1</x:v>
      </x:c>
      <x:c r="H110" s="86" t="str">
        <x:v>T1</x:v>
      </x:c>
      <x:c r="I110" s="91" t="str">
        <x:v>OPEN</x:v>
      </x:c>
    </x:row>
    <x:row r="111">
      <x:c r="A111" s="86" t="str">
        <x:v>CH-0106</x:v>
      </x:c>
      <x:c r="B111" s="86" t="str">
        <x:v>PHO long</x:v>
      </x:c>
      <x:c r="C111" s="108" t="n">
        <x:v>42</x:v>
      </x:c>
      <x:c r="D111" s="86" t="str">
        <x:v>Z10</x:v>
      </x:c>
      <x:c r="E111" s="86" t="str">
        <x:v>intermediate</x:v>
      </x:c>
      <x:c r="F111" s="86" t="str">
        <x:v>L2</x:v>
      </x:c>
      <x:c r="G111" s="86" t="str">
        <x:v>PHO long-CAL-2</x:v>
      </x:c>
      <x:c r="H111" s="86" t="str">
        <x:v>T2</x:v>
      </x:c>
      <x:c r="I111" s="91" t="str">
        <x:v>OPEN</x:v>
      </x:c>
    </x:row>
    <x:row r="112">
      <x:c r="A112" s="86" t="str">
        <x:v>CH-0107</x:v>
      </x:c>
      <x:c r="B112" s="86" t="str">
        <x:v>PHO long</x:v>
      </x:c>
      <x:c r="C112" s="108" t="n">
        <x:v>43</x:v>
      </x:c>
      <x:c r="D112" s="86" t="str">
        <x:v>Z11</x:v>
      </x:c>
      <x:c r="E112" s="86" t="str">
        <x:v>intermediate</x:v>
      </x:c>
      <x:c r="F112" s="86" t="str">
        <x:v>L3</x:v>
      </x:c>
      <x:c r="G112" s="86" t="str">
        <x:v>PHO long-CAL-3</x:v>
      </x:c>
      <x:c r="H112" s="86" t="str">
        <x:v>T3</x:v>
      </x:c>
      <x:c r="I112" s="91" t="str">
        <x:v>OPEN</x:v>
      </x:c>
    </x:row>
    <x:row r="113">
      <x:c r="A113" s="86" t="str">
        <x:v>CH-0108</x:v>
      </x:c>
      <x:c r="B113" s="86" t="str">
        <x:v>PHO long</x:v>
      </x:c>
      <x:c r="C113" s="108" t="n">
        <x:v>44</x:v>
      </x:c>
      <x:c r="D113" s="86" t="str">
        <x:v>Z12</x:v>
      </x:c>
      <x:c r="E113" s="86" t="str">
        <x:v>intermediate</x:v>
      </x:c>
      <x:c r="F113" s="86" t="str">
        <x:v>L4</x:v>
      </x:c>
      <x:c r="G113" s="86" t="str">
        <x:v>PHO long-CAL-4</x:v>
      </x:c>
      <x:c r="H113" s="86" t="str">
        <x:v>T4</x:v>
      </x:c>
      <x:c r="I113" s="91" t="str">
        <x:v>OPEN</x:v>
      </x:c>
    </x:row>
    <x:row r="114">
      <x:c r="A114" s="86" t="str">
        <x:v>CH-0109</x:v>
      </x:c>
      <x:c r="B114" s="86" t="str">
        <x:v>PHO long</x:v>
      </x:c>
      <x:c r="C114" s="108" t="n">
        <x:v>45</x:v>
      </x:c>
      <x:c r="D114" s="86" t="str">
        <x:v>Z13</x:v>
      </x:c>
      <x:c r="E114" s="86" t="str">
        <x:v>intermediate</x:v>
      </x:c>
      <x:c r="F114" s="86" t="str">
        <x:v>L1</x:v>
      </x:c>
      <x:c r="G114" s="86" t="str">
        <x:v>PHO long-CAL-1</x:v>
      </x:c>
      <x:c r="H114" s="86" t="str">
        <x:v>T1</x:v>
      </x:c>
      <x:c r="I114" s="91" t="str">
        <x:v>OPEN</x:v>
      </x:c>
    </x:row>
    <x:row r="115">
      <x:c r="A115" s="86" t="str">
        <x:v>CH-0110</x:v>
      </x:c>
      <x:c r="B115" s="86" t="str">
        <x:v>PHO long</x:v>
      </x:c>
      <x:c r="C115" s="108" t="n">
        <x:v>46</x:v>
      </x:c>
      <x:c r="D115" s="86" t="str">
        <x:v>Z14</x:v>
      </x:c>
      <x:c r="E115" s="86" t="str">
        <x:v>intermediate</x:v>
      </x:c>
      <x:c r="F115" s="86" t="str">
        <x:v>L2</x:v>
      </x:c>
      <x:c r="G115" s="86" t="str">
        <x:v>PHO long-CAL-2</x:v>
      </x:c>
      <x:c r="H115" s="86" t="str">
        <x:v>T2</x:v>
      </x:c>
      <x:c r="I115" s="91" t="str">
        <x:v>OPEN</x:v>
      </x:c>
    </x:row>
    <x:row r="116">
      <x:c r="A116" s="86" t="str">
        <x:v>CH-0111</x:v>
      </x:c>
      <x:c r="B116" s="86" t="str">
        <x:v>PHO long</x:v>
      </x:c>
      <x:c r="C116" s="108" t="n">
        <x:v>47</x:v>
      </x:c>
      <x:c r="D116" s="86" t="str">
        <x:v>Z15</x:v>
      </x:c>
      <x:c r="E116" s="86" t="str">
        <x:v>intermediate</x:v>
      </x:c>
      <x:c r="F116" s="86" t="str">
        <x:v>L3</x:v>
      </x:c>
      <x:c r="G116" s="86" t="str">
        <x:v>PHO long-CAL-3</x:v>
      </x:c>
      <x:c r="H116" s="86" t="str">
        <x:v>T3</x:v>
      </x:c>
      <x:c r="I116" s="91" t="str">
        <x:v>OPEN</x:v>
      </x:c>
    </x:row>
    <x:row r="117">
      <x:c r="A117" s="86" t="str">
        <x:v>CH-0112</x:v>
      </x:c>
      <x:c r="B117" s="86" t="str">
        <x:v>PHO long</x:v>
      </x:c>
      <x:c r="C117" s="108" t="n">
        <x:v>48</x:v>
      </x:c>
      <x:c r="D117" s="86" t="str">
        <x:v>Z16</x:v>
      </x:c>
      <x:c r="E117" s="86" t="str">
        <x:v>intermediate</x:v>
      </x:c>
      <x:c r="F117" s="86" t="str">
        <x:v>L4</x:v>
      </x:c>
      <x:c r="G117" s="86" t="str">
        <x:v>PHO long-CAL-4</x:v>
      </x:c>
      <x:c r="H117" s="86" t="str">
        <x:v>T4</x:v>
      </x:c>
      <x:c r="I117" s="91" t="str">
        <x:v>OPEN</x:v>
      </x:c>
    </x:row>
    <x:row r="118">
      <x:c r="A118" s="86" t="str">
        <x:v>CH-0113</x:v>
      </x:c>
      <x:c r="B118" s="86" t="str">
        <x:v>PHO long</x:v>
      </x:c>
      <x:c r="C118" s="108" t="n">
        <x:v>49</x:v>
      </x:c>
      <x:c r="D118" s="86" t="str">
        <x:v>Z01</x:v>
      </x:c>
      <x:c r="E118" s="86" t="str">
        <x:v>return</x:v>
      </x:c>
      <x:c r="F118" s="86" t="str">
        <x:v>L1</x:v>
      </x:c>
      <x:c r="G118" s="86" t="str">
        <x:v>PHO long-CAL-1</x:v>
      </x:c>
      <x:c r="H118" s="86" t="str">
        <x:v>T1</x:v>
      </x:c>
      <x:c r="I118" s="91" t="str">
        <x:v>OPEN</x:v>
      </x:c>
    </x:row>
    <x:row r="119">
      <x:c r="A119" s="86" t="str">
        <x:v>CH-0114</x:v>
      </x:c>
      <x:c r="B119" s="86" t="str">
        <x:v>PHO long</x:v>
      </x:c>
      <x:c r="C119" s="108" t="n">
        <x:v>50</x:v>
      </x:c>
      <x:c r="D119" s="86" t="str">
        <x:v>Z02</x:v>
      </x:c>
      <x:c r="E119" s="86" t="str">
        <x:v>return</x:v>
      </x:c>
      <x:c r="F119" s="86" t="str">
        <x:v>L2</x:v>
      </x:c>
      <x:c r="G119" s="86" t="str">
        <x:v>PHO long-CAL-2</x:v>
      </x:c>
      <x:c r="H119" s="86" t="str">
        <x:v>T2</x:v>
      </x:c>
      <x:c r="I119" s="91" t="str">
        <x:v>OPEN</x:v>
      </x:c>
    </x:row>
    <x:row r="120">
      <x:c r="A120" s="86" t="str">
        <x:v>CH-0115</x:v>
      </x:c>
      <x:c r="B120" s="86" t="str">
        <x:v>PHO long</x:v>
      </x:c>
      <x:c r="C120" s="108" t="n">
        <x:v>51</x:v>
      </x:c>
      <x:c r="D120" s="86" t="str">
        <x:v>Z03</x:v>
      </x:c>
      <x:c r="E120" s="86" t="str">
        <x:v>return</x:v>
      </x:c>
      <x:c r="F120" s="86" t="str">
        <x:v>L3</x:v>
      </x:c>
      <x:c r="G120" s="86" t="str">
        <x:v>PHO long-CAL-3</x:v>
      </x:c>
      <x:c r="H120" s="86" t="str">
        <x:v>T3</x:v>
      </x:c>
      <x:c r="I120" s="91" t="str">
        <x:v>OPEN</x:v>
      </x:c>
    </x:row>
    <x:row r="121">
      <x:c r="A121" s="86" t="str">
        <x:v>CH-0116</x:v>
      </x:c>
      <x:c r="B121" s="86" t="str">
        <x:v>PHO long</x:v>
      </x:c>
      <x:c r="C121" s="108" t="n">
        <x:v>52</x:v>
      </x:c>
      <x:c r="D121" s="86" t="str">
        <x:v>Z04</x:v>
      </x:c>
      <x:c r="E121" s="86" t="str">
        <x:v>return</x:v>
      </x:c>
      <x:c r="F121" s="86" t="str">
        <x:v>L4</x:v>
      </x:c>
      <x:c r="G121" s="86" t="str">
        <x:v>PHO long-CAL-4</x:v>
      </x:c>
      <x:c r="H121" s="86" t="str">
        <x:v>T4</x:v>
      </x:c>
      <x:c r="I121" s="91" t="str">
        <x:v>OPEN</x:v>
      </x:c>
    </x:row>
    <x:row r="122">
      <x:c r="A122" s="86" t="str">
        <x:v>CH-0117</x:v>
      </x:c>
      <x:c r="B122" s="86" t="str">
        <x:v>PHO long</x:v>
      </x:c>
      <x:c r="C122" s="108" t="n">
        <x:v>53</x:v>
      </x:c>
      <x:c r="D122" s="86" t="str">
        <x:v>Z05</x:v>
      </x:c>
      <x:c r="E122" s="86" t="str">
        <x:v>return</x:v>
      </x:c>
      <x:c r="F122" s="86" t="str">
        <x:v>L1</x:v>
      </x:c>
      <x:c r="G122" s="86" t="str">
        <x:v>PHO long-CAL-1</x:v>
      </x:c>
      <x:c r="H122" s="86" t="str">
        <x:v>T1</x:v>
      </x:c>
      <x:c r="I122" s="91" t="str">
        <x:v>OPEN</x:v>
      </x:c>
    </x:row>
    <x:row r="123">
      <x:c r="A123" s="86" t="str">
        <x:v>CH-0118</x:v>
      </x:c>
      <x:c r="B123" s="86" t="str">
        <x:v>PHO long</x:v>
      </x:c>
      <x:c r="C123" s="108" t="n">
        <x:v>54</x:v>
      </x:c>
      <x:c r="D123" s="86" t="str">
        <x:v>Z06</x:v>
      </x:c>
      <x:c r="E123" s="86" t="str">
        <x:v>return</x:v>
      </x:c>
      <x:c r="F123" s="86" t="str">
        <x:v>L2</x:v>
      </x:c>
      <x:c r="G123" s="86" t="str">
        <x:v>PHO long-CAL-2</x:v>
      </x:c>
      <x:c r="H123" s="86" t="str">
        <x:v>T2</x:v>
      </x:c>
      <x:c r="I123" s="91" t="str">
        <x:v>OPEN</x:v>
      </x:c>
    </x:row>
    <x:row r="124">
      <x:c r="A124" s="86" t="str">
        <x:v>CH-0119</x:v>
      </x:c>
      <x:c r="B124" s="86" t="str">
        <x:v>PHO long</x:v>
      </x:c>
      <x:c r="C124" s="108" t="n">
        <x:v>55</x:v>
      </x:c>
      <x:c r="D124" s="86" t="str">
        <x:v>Z07</x:v>
      </x:c>
      <x:c r="E124" s="86" t="str">
        <x:v>return</x:v>
      </x:c>
      <x:c r="F124" s="86" t="str">
        <x:v>L3</x:v>
      </x:c>
      <x:c r="G124" s="86" t="str">
        <x:v>PHO long-CAL-3</x:v>
      </x:c>
      <x:c r="H124" s="86" t="str">
        <x:v>T3</x:v>
      </x:c>
      <x:c r="I124" s="91" t="str">
        <x:v>OPEN</x:v>
      </x:c>
    </x:row>
    <x:row r="125">
      <x:c r="A125" s="86" t="str">
        <x:v>CH-0120</x:v>
      </x:c>
      <x:c r="B125" s="86" t="str">
        <x:v>PHO long</x:v>
      </x:c>
      <x:c r="C125" s="108" t="n">
        <x:v>56</x:v>
      </x:c>
      <x:c r="D125" s="86" t="str">
        <x:v>Z08</x:v>
      </x:c>
      <x:c r="E125" s="86" t="str">
        <x:v>return</x:v>
      </x:c>
      <x:c r="F125" s="86" t="str">
        <x:v>L4</x:v>
      </x:c>
      <x:c r="G125" s="86" t="str">
        <x:v>PHO long-CAL-4</x:v>
      </x:c>
      <x:c r="H125" s="86" t="str">
        <x:v>T4</x:v>
      </x:c>
      <x:c r="I125" s="91" t="str">
        <x:v>OPEN</x:v>
      </x:c>
    </x:row>
    <x:row r="126">
      <x:c r="A126" s="86" t="str">
        <x:v>CH-0121</x:v>
      </x:c>
      <x:c r="B126" s="86" t="str">
        <x:v>PHO long</x:v>
      </x:c>
      <x:c r="C126" s="108" t="n">
        <x:v>57</x:v>
      </x:c>
      <x:c r="D126" s="86" t="str">
        <x:v>Z09</x:v>
      </x:c>
      <x:c r="E126" s="86" t="str">
        <x:v>return</x:v>
      </x:c>
      <x:c r="F126" s="86" t="str">
        <x:v>L1</x:v>
      </x:c>
      <x:c r="G126" s="86" t="str">
        <x:v>PHO long-CAL-1</x:v>
      </x:c>
      <x:c r="H126" s="86" t="str">
        <x:v>T1</x:v>
      </x:c>
      <x:c r="I126" s="91" t="str">
        <x:v>OPEN</x:v>
      </x:c>
    </x:row>
    <x:row r="127">
      <x:c r="A127" s="86" t="str">
        <x:v>CH-0122</x:v>
      </x:c>
      <x:c r="B127" s="86" t="str">
        <x:v>PHO long</x:v>
      </x:c>
      <x:c r="C127" s="108" t="n">
        <x:v>58</x:v>
      </x:c>
      <x:c r="D127" s="86" t="str">
        <x:v>Z10</x:v>
      </x:c>
      <x:c r="E127" s="86" t="str">
        <x:v>return</x:v>
      </x:c>
      <x:c r="F127" s="86" t="str">
        <x:v>L2</x:v>
      </x:c>
      <x:c r="G127" s="86" t="str">
        <x:v>PHO long-CAL-2</x:v>
      </x:c>
      <x:c r="H127" s="86" t="str">
        <x:v>T2</x:v>
      </x:c>
      <x:c r="I127" s="91" t="str">
        <x:v>OPEN</x:v>
      </x:c>
    </x:row>
    <x:row r="128">
      <x:c r="A128" s="86" t="str">
        <x:v>CH-0123</x:v>
      </x:c>
      <x:c r="B128" s="86" t="str">
        <x:v>PHO long</x:v>
      </x:c>
      <x:c r="C128" s="108" t="n">
        <x:v>59</x:v>
      </x:c>
      <x:c r="D128" s="86" t="str">
        <x:v>Z11</x:v>
      </x:c>
      <x:c r="E128" s="86" t="str">
        <x:v>return</x:v>
      </x:c>
      <x:c r="F128" s="86" t="str">
        <x:v>L3</x:v>
      </x:c>
      <x:c r="G128" s="86" t="str">
        <x:v>PHO long-CAL-3</x:v>
      </x:c>
      <x:c r="H128" s="86" t="str">
        <x:v>T3</x:v>
      </x:c>
      <x:c r="I128" s="91" t="str">
        <x:v>OPEN</x:v>
      </x:c>
    </x:row>
    <x:row r="129">
      <x:c r="A129" s="86" t="str">
        <x:v>CH-0124</x:v>
      </x:c>
      <x:c r="B129" s="86" t="str">
        <x:v>PHO long</x:v>
      </x:c>
      <x:c r="C129" s="108" t="n">
        <x:v>60</x:v>
      </x:c>
      <x:c r="D129" s="86" t="str">
        <x:v>Z12</x:v>
      </x:c>
      <x:c r="E129" s="86" t="str">
        <x:v>return</x:v>
      </x:c>
      <x:c r="F129" s="86" t="str">
        <x:v>L4</x:v>
      </x:c>
      <x:c r="G129" s="86" t="str">
        <x:v>PHO long-CAL-4</x:v>
      </x:c>
      <x:c r="H129" s="86" t="str">
        <x:v>T4</x:v>
      </x:c>
      <x:c r="I129" s="91" t="str">
        <x:v>OPEN</x:v>
      </x:c>
    </x:row>
    <x:row r="130">
      <x:c r="A130" s="86" t="str">
        <x:v>CH-0125</x:v>
      </x:c>
      <x:c r="B130" s="86" t="str">
        <x:v>PHO long</x:v>
      </x:c>
      <x:c r="C130" s="108" t="n">
        <x:v>61</x:v>
      </x:c>
      <x:c r="D130" s="86" t="str">
        <x:v>Z13</x:v>
      </x:c>
      <x:c r="E130" s="86" t="str">
        <x:v>return</x:v>
      </x:c>
      <x:c r="F130" s="86" t="str">
        <x:v>L1</x:v>
      </x:c>
      <x:c r="G130" s="86" t="str">
        <x:v>PHO long-CAL-1</x:v>
      </x:c>
      <x:c r="H130" s="86" t="str">
        <x:v>T1</x:v>
      </x:c>
      <x:c r="I130" s="91" t="str">
        <x:v>OPEN</x:v>
      </x:c>
    </x:row>
    <x:row r="131">
      <x:c r="A131" s="86" t="str">
        <x:v>CH-0126</x:v>
      </x:c>
      <x:c r="B131" s="86" t="str">
        <x:v>PHO long</x:v>
      </x:c>
      <x:c r="C131" s="108" t="n">
        <x:v>62</x:v>
      </x:c>
      <x:c r="D131" s="86" t="str">
        <x:v>Z14</x:v>
      </x:c>
      <x:c r="E131" s="86" t="str">
        <x:v>return</x:v>
      </x:c>
      <x:c r="F131" s="86" t="str">
        <x:v>L2</x:v>
      </x:c>
      <x:c r="G131" s="86" t="str">
        <x:v>PHO long-CAL-2</x:v>
      </x:c>
      <x:c r="H131" s="86" t="str">
        <x:v>T2</x:v>
      </x:c>
      <x:c r="I131" s="91" t="str">
        <x:v>OPEN</x:v>
      </x:c>
    </x:row>
    <x:row r="132">
      <x:c r="A132" s="86" t="str">
        <x:v>CH-0127</x:v>
      </x:c>
      <x:c r="B132" s="86" t="str">
        <x:v>PHO long</x:v>
      </x:c>
      <x:c r="C132" s="108" t="n">
        <x:v>63</x:v>
      </x:c>
      <x:c r="D132" s="86" t="str">
        <x:v>Z15</x:v>
      </x:c>
      <x:c r="E132" s="86" t="str">
        <x:v>return</x:v>
      </x:c>
      <x:c r="F132" s="86" t="str">
        <x:v>L3</x:v>
      </x:c>
      <x:c r="G132" s="86" t="str">
        <x:v>PHO long-CAL-3</x:v>
      </x:c>
      <x:c r="H132" s="86" t="str">
        <x:v>T3</x:v>
      </x:c>
      <x:c r="I132" s="91" t="str">
        <x:v>OPEN</x:v>
      </x:c>
    </x:row>
    <x:row r="133">
      <x:c r="A133" s="86" t="str">
        <x:v>CH-0128</x:v>
      </x:c>
      <x:c r="B133" s="86" t="str">
        <x:v>PHO long</x:v>
      </x:c>
      <x:c r="C133" s="108" t="n">
        <x:v>64</x:v>
      </x:c>
      <x:c r="D133" s="86" t="str">
        <x:v>Z16</x:v>
      </x:c>
      <x:c r="E133" s="86" t="str">
        <x:v>return</x:v>
      </x:c>
      <x:c r="F133" s="86" t="str">
        <x:v>L4</x:v>
      </x:c>
      <x:c r="G133" s="86" t="str">
        <x:v>PHO long-CAL-4</x:v>
      </x:c>
      <x:c r="H133" s="86" t="str">
        <x:v>T4</x:v>
      </x:c>
      <x:c r="I133" s="91" t="str">
        <x:v>OPEN</x:v>
      </x:c>
    </x:row>
    <x:row r="134">
      <x:c r="A134" s="86" t="str">
        <x:v>CH-0129</x:v>
      </x:c>
      <x:c r="B134" s="86" t="str">
        <x:v>ION surface</x:v>
      </x:c>
      <x:c r="C134" s="108" t="n">
        <x:v>1</x:v>
      </x:c>
      <x:c r="D134" s="86" t="str">
        <x:v>Z01</x:v>
      </x:c>
      <x:c r="E134" s="86" t="str">
        <x:v>full</x:v>
      </x:c>
      <x:c r="F134" s="86" t="str">
        <x:v>L1</x:v>
      </x:c>
      <x:c r="G134" s="86" t="str">
        <x:v>ION surface-CAL-1</x:v>
      </x:c>
      <x:c r="H134" s="86" t="str">
        <x:v>T1</x:v>
      </x:c>
      <x:c r="I134" s="91" t="str">
        <x:v>OPEN</x:v>
      </x:c>
    </x:row>
    <x:row r="135">
      <x:c r="A135" s="86" t="str">
        <x:v>CH-0130</x:v>
      </x:c>
      <x:c r="B135" s="86" t="str">
        <x:v>ION surface</x:v>
      </x:c>
      <x:c r="C135" s="108" t="n">
        <x:v>2</x:v>
      </x:c>
      <x:c r="D135" s="86" t="str">
        <x:v>Z02</x:v>
      </x:c>
      <x:c r="E135" s="86" t="str">
        <x:v>full</x:v>
      </x:c>
      <x:c r="F135" s="86" t="str">
        <x:v>L2</x:v>
      </x:c>
      <x:c r="G135" s="86" t="str">
        <x:v>ION surface-CAL-2</x:v>
      </x:c>
      <x:c r="H135" s="86" t="str">
        <x:v>T2</x:v>
      </x:c>
      <x:c r="I135" s="91" t="str">
        <x:v>OPEN</x:v>
      </x:c>
    </x:row>
    <x:row r="136">
      <x:c r="A136" s="86" t="str">
        <x:v>CH-0131</x:v>
      </x:c>
      <x:c r="B136" s="86" t="str">
        <x:v>ION surface</x:v>
      </x:c>
      <x:c r="C136" s="108" t="n">
        <x:v>3</x:v>
      </x:c>
      <x:c r="D136" s="86" t="str">
        <x:v>Z03</x:v>
      </x:c>
      <x:c r="E136" s="86" t="str">
        <x:v>full</x:v>
      </x:c>
      <x:c r="F136" s="86" t="str">
        <x:v>L3</x:v>
      </x:c>
      <x:c r="G136" s="86" t="str">
        <x:v>ION surface-CAL-3</x:v>
      </x:c>
      <x:c r="H136" s="86" t="str">
        <x:v>T3</x:v>
      </x:c>
      <x:c r="I136" s="91" t="str">
        <x:v>OPEN</x:v>
      </x:c>
    </x:row>
    <x:row r="137">
      <x:c r="A137" s="86" t="str">
        <x:v>CH-0132</x:v>
      </x:c>
      <x:c r="B137" s="86" t="str">
        <x:v>ION surface</x:v>
      </x:c>
      <x:c r="C137" s="108" t="n">
        <x:v>4</x:v>
      </x:c>
      <x:c r="D137" s="86" t="str">
        <x:v>Z04</x:v>
      </x:c>
      <x:c r="E137" s="86" t="str">
        <x:v>full</x:v>
      </x:c>
      <x:c r="F137" s="86" t="str">
        <x:v>L4</x:v>
      </x:c>
      <x:c r="G137" s="86" t="str">
        <x:v>ION surface-CAL-4</x:v>
      </x:c>
      <x:c r="H137" s="86" t="str">
        <x:v>T4</x:v>
      </x:c>
      <x:c r="I137" s="91" t="str">
        <x:v>OPEN</x:v>
      </x:c>
    </x:row>
    <x:row r="138">
      <x:c r="A138" s="86" t="str">
        <x:v>CH-0133</x:v>
      </x:c>
      <x:c r="B138" s="86" t="str">
        <x:v>ION surface</x:v>
      </x:c>
      <x:c r="C138" s="108" t="n">
        <x:v>5</x:v>
      </x:c>
      <x:c r="D138" s="86" t="str">
        <x:v>Z05</x:v>
      </x:c>
      <x:c r="E138" s="86" t="str">
        <x:v>full</x:v>
      </x:c>
      <x:c r="F138" s="86" t="str">
        <x:v>L1</x:v>
      </x:c>
      <x:c r="G138" s="86" t="str">
        <x:v>ION surface-CAL-1</x:v>
      </x:c>
      <x:c r="H138" s="86" t="str">
        <x:v>T1</x:v>
      </x:c>
      <x:c r="I138" s="91" t="str">
        <x:v>OPEN</x:v>
      </x:c>
    </x:row>
    <x:row r="139">
      <x:c r="A139" s="86" t="str">
        <x:v>CH-0134</x:v>
      </x:c>
      <x:c r="B139" s="86" t="str">
        <x:v>ION surface</x:v>
      </x:c>
      <x:c r="C139" s="108" t="n">
        <x:v>6</x:v>
      </x:c>
      <x:c r="D139" s="86" t="str">
        <x:v>Z06</x:v>
      </x:c>
      <x:c r="E139" s="86" t="str">
        <x:v>full</x:v>
      </x:c>
      <x:c r="F139" s="86" t="str">
        <x:v>L2</x:v>
      </x:c>
      <x:c r="G139" s="86" t="str">
        <x:v>ION surface-CAL-2</x:v>
      </x:c>
      <x:c r="H139" s="86" t="str">
        <x:v>T2</x:v>
      </x:c>
      <x:c r="I139" s="91" t="str">
        <x:v>OPEN</x:v>
      </x:c>
    </x:row>
    <x:row r="140">
      <x:c r="A140" s="86" t="str">
        <x:v>CH-0135</x:v>
      </x:c>
      <x:c r="B140" s="86" t="str">
        <x:v>ION surface</x:v>
      </x:c>
      <x:c r="C140" s="108" t="n">
        <x:v>7</x:v>
      </x:c>
      <x:c r="D140" s="86" t="str">
        <x:v>Z07</x:v>
      </x:c>
      <x:c r="E140" s="86" t="str">
        <x:v>full</x:v>
      </x:c>
      <x:c r="F140" s="86" t="str">
        <x:v>L3</x:v>
      </x:c>
      <x:c r="G140" s="86" t="str">
        <x:v>ION surface-CAL-3</x:v>
      </x:c>
      <x:c r="H140" s="86" t="str">
        <x:v>T3</x:v>
      </x:c>
      <x:c r="I140" s="91" t="str">
        <x:v>OPEN</x:v>
      </x:c>
    </x:row>
    <x:row r="141">
      <x:c r="A141" s="86" t="str">
        <x:v>CH-0136</x:v>
      </x:c>
      <x:c r="B141" s="86" t="str">
        <x:v>ION surface</x:v>
      </x:c>
      <x:c r="C141" s="108" t="n">
        <x:v>8</x:v>
      </x:c>
      <x:c r="D141" s="86" t="str">
        <x:v>Z08</x:v>
      </x:c>
      <x:c r="E141" s="86" t="str">
        <x:v>full</x:v>
      </x:c>
      <x:c r="F141" s="86" t="str">
        <x:v>L4</x:v>
      </x:c>
      <x:c r="G141" s="86" t="str">
        <x:v>ION surface-CAL-4</x:v>
      </x:c>
      <x:c r="H141" s="86" t="str">
        <x:v>T4</x:v>
      </x:c>
      <x:c r="I141" s="91" t="str">
        <x:v>OPEN</x:v>
      </x:c>
    </x:row>
    <x:row r="142">
      <x:c r="A142" s="86" t="str">
        <x:v>CH-0137</x:v>
      </x:c>
      <x:c r="B142" s="86" t="str">
        <x:v>ION surface</x:v>
      </x:c>
      <x:c r="C142" s="108" t="n">
        <x:v>9</x:v>
      </x:c>
      <x:c r="D142" s="86" t="str">
        <x:v>Z09</x:v>
      </x:c>
      <x:c r="E142" s="86" t="str">
        <x:v>full</x:v>
      </x:c>
      <x:c r="F142" s="86" t="str">
        <x:v>L1</x:v>
      </x:c>
      <x:c r="G142" s="86" t="str">
        <x:v>ION surface-CAL-1</x:v>
      </x:c>
      <x:c r="H142" s="86" t="str">
        <x:v>T1</x:v>
      </x:c>
      <x:c r="I142" s="91" t="str">
        <x:v>OPEN</x:v>
      </x:c>
    </x:row>
    <x:row r="143">
      <x:c r="A143" s="86" t="str">
        <x:v>CH-0138</x:v>
      </x:c>
      <x:c r="B143" s="86" t="str">
        <x:v>ION surface</x:v>
      </x:c>
      <x:c r="C143" s="108" t="n">
        <x:v>10</x:v>
      </x:c>
      <x:c r="D143" s="86" t="str">
        <x:v>Z10</x:v>
      </x:c>
      <x:c r="E143" s="86" t="str">
        <x:v>full</x:v>
      </x:c>
      <x:c r="F143" s="86" t="str">
        <x:v>L2</x:v>
      </x:c>
      <x:c r="G143" s="86" t="str">
        <x:v>ION surface-CAL-2</x:v>
      </x:c>
      <x:c r="H143" s="86" t="str">
        <x:v>T2</x:v>
      </x:c>
      <x:c r="I143" s="91" t="str">
        <x:v>OPEN</x:v>
      </x:c>
    </x:row>
    <x:row r="144">
      <x:c r="A144" s="86" t="str">
        <x:v>CH-0139</x:v>
      </x:c>
      <x:c r="B144" s="86" t="str">
        <x:v>ION surface</x:v>
      </x:c>
      <x:c r="C144" s="108" t="n">
        <x:v>11</x:v>
      </x:c>
      <x:c r="D144" s="86" t="str">
        <x:v>Z11</x:v>
      </x:c>
      <x:c r="E144" s="86" t="str">
        <x:v>full</x:v>
      </x:c>
      <x:c r="F144" s="86" t="str">
        <x:v>L3</x:v>
      </x:c>
      <x:c r="G144" s="86" t="str">
        <x:v>ION surface-CAL-3</x:v>
      </x:c>
      <x:c r="H144" s="86" t="str">
        <x:v>T3</x:v>
      </x:c>
      <x:c r="I144" s="91" t="str">
        <x:v>OPEN</x:v>
      </x:c>
    </x:row>
    <x:row r="145">
      <x:c r="A145" s="86" t="str">
        <x:v>CH-0140</x:v>
      </x:c>
      <x:c r="B145" s="86" t="str">
        <x:v>ION surface</x:v>
      </x:c>
      <x:c r="C145" s="108" t="n">
        <x:v>12</x:v>
      </x:c>
      <x:c r="D145" s="86" t="str">
        <x:v>Z12</x:v>
      </x:c>
      <x:c r="E145" s="86" t="str">
        <x:v>full</x:v>
      </x:c>
      <x:c r="F145" s="86" t="str">
        <x:v>L4</x:v>
      </x:c>
      <x:c r="G145" s="86" t="str">
        <x:v>ION surface-CAL-4</x:v>
      </x:c>
      <x:c r="H145" s="86" t="str">
        <x:v>T4</x:v>
      </x:c>
      <x:c r="I145" s="91" t="str">
        <x:v>OPEN</x:v>
      </x:c>
    </x:row>
    <x:row r="146">
      <x:c r="A146" s="86" t="str">
        <x:v>CH-0141</x:v>
      </x:c>
      <x:c r="B146" s="86" t="str">
        <x:v>ION surface</x:v>
      </x:c>
      <x:c r="C146" s="108" t="n">
        <x:v>13</x:v>
      </x:c>
      <x:c r="D146" s="86" t="str">
        <x:v>Z13</x:v>
      </x:c>
      <x:c r="E146" s="86" t="str">
        <x:v>full</x:v>
      </x:c>
      <x:c r="F146" s="86" t="str">
        <x:v>L1</x:v>
      </x:c>
      <x:c r="G146" s="86" t="str">
        <x:v>ION surface-CAL-1</x:v>
      </x:c>
      <x:c r="H146" s="86" t="str">
        <x:v>T1</x:v>
      </x:c>
      <x:c r="I146" s="91" t="str">
        <x:v>OPEN</x:v>
      </x:c>
    </x:row>
    <x:row r="147">
      <x:c r="A147" s="86" t="str">
        <x:v>CH-0142</x:v>
      </x:c>
      <x:c r="B147" s="86" t="str">
        <x:v>ION surface</x:v>
      </x:c>
      <x:c r="C147" s="108" t="n">
        <x:v>14</x:v>
      </x:c>
      <x:c r="D147" s="86" t="str">
        <x:v>Z14</x:v>
      </x:c>
      <x:c r="E147" s="86" t="str">
        <x:v>full</x:v>
      </x:c>
      <x:c r="F147" s="86" t="str">
        <x:v>L2</x:v>
      </x:c>
      <x:c r="G147" s="86" t="str">
        <x:v>ION surface-CAL-2</x:v>
      </x:c>
      <x:c r="H147" s="86" t="str">
        <x:v>T2</x:v>
      </x:c>
      <x:c r="I147" s="91" t="str">
        <x:v>OPEN</x:v>
      </x:c>
    </x:row>
    <x:row r="148">
      <x:c r="A148" s="86" t="str">
        <x:v>CH-0143</x:v>
      </x:c>
      <x:c r="B148" s="86" t="str">
        <x:v>ION surface</x:v>
      </x:c>
      <x:c r="C148" s="108" t="n">
        <x:v>15</x:v>
      </x:c>
      <x:c r="D148" s="86" t="str">
        <x:v>Z15</x:v>
      </x:c>
      <x:c r="E148" s="86" t="str">
        <x:v>full</x:v>
      </x:c>
      <x:c r="F148" s="86" t="str">
        <x:v>L3</x:v>
      </x:c>
      <x:c r="G148" s="86" t="str">
        <x:v>ION surface-CAL-3</x:v>
      </x:c>
      <x:c r="H148" s="86" t="str">
        <x:v>T3</x:v>
      </x:c>
      <x:c r="I148" s="91" t="str">
        <x:v>OPEN</x:v>
      </x:c>
    </x:row>
    <x:row r="149">
      <x:c r="A149" s="86" t="str">
        <x:v>CH-0144</x:v>
      </x:c>
      <x:c r="B149" s="86" t="str">
        <x:v>ION surface</x:v>
      </x:c>
      <x:c r="C149" s="108" t="n">
        <x:v>16</x:v>
      </x:c>
      <x:c r="D149" s="86" t="str">
        <x:v>Z16</x:v>
      </x:c>
      <x:c r="E149" s="86" t="str">
        <x:v>full</x:v>
      </x:c>
      <x:c r="F149" s="86" t="str">
        <x:v>L4</x:v>
      </x:c>
      <x:c r="G149" s="86" t="str">
        <x:v>ION surface-CAL-4</x:v>
      </x:c>
      <x:c r="H149" s="86" t="str">
        <x:v>T4</x:v>
      </x:c>
      <x:c r="I149" s="91" t="str">
        <x:v>OPEN</x:v>
      </x:c>
    </x:row>
    <x:row r="150">
      <x:c r="A150" s="86" t="str">
        <x:v>CH-0145</x:v>
      </x:c>
      <x:c r="B150" s="86" t="str">
        <x:v>ION surface</x:v>
      </x:c>
      <x:c r="C150" s="108" t="n">
        <x:v>17</x:v>
      </x:c>
      <x:c r="D150" s="86" t="str">
        <x:v>Z01</x:v>
      </x:c>
      <x:c r="E150" s="86" t="str">
        <x:v>full</x:v>
      </x:c>
      <x:c r="F150" s="86" t="str">
        <x:v>L1</x:v>
      </x:c>
      <x:c r="G150" s="86" t="str">
        <x:v>ION surface-CAL-1</x:v>
      </x:c>
      <x:c r="H150" s="86" t="str">
        <x:v>T1</x:v>
      </x:c>
      <x:c r="I150" s="91" t="str">
        <x:v>OPEN</x:v>
      </x:c>
    </x:row>
    <x:row r="151">
      <x:c r="A151" s="86" t="str">
        <x:v>CH-0146</x:v>
      </x:c>
      <x:c r="B151" s="86" t="str">
        <x:v>ION surface</x:v>
      </x:c>
      <x:c r="C151" s="108" t="n">
        <x:v>18</x:v>
      </x:c>
      <x:c r="D151" s="86" t="str">
        <x:v>Z02</x:v>
      </x:c>
      <x:c r="E151" s="86" t="str">
        <x:v>full</x:v>
      </x:c>
      <x:c r="F151" s="86" t="str">
        <x:v>L2</x:v>
      </x:c>
      <x:c r="G151" s="86" t="str">
        <x:v>ION surface-CAL-2</x:v>
      </x:c>
      <x:c r="H151" s="86" t="str">
        <x:v>T2</x:v>
      </x:c>
      <x:c r="I151" s="91" t="str">
        <x:v>OPEN</x:v>
      </x:c>
    </x:row>
    <x:row r="152">
      <x:c r="A152" s="86" t="str">
        <x:v>CH-0147</x:v>
      </x:c>
      <x:c r="B152" s="86" t="str">
        <x:v>ION surface</x:v>
      </x:c>
      <x:c r="C152" s="108" t="n">
        <x:v>19</x:v>
      </x:c>
      <x:c r="D152" s="86" t="str">
        <x:v>Z03</x:v>
      </x:c>
      <x:c r="E152" s="86" t="str">
        <x:v>full</x:v>
      </x:c>
      <x:c r="F152" s="86" t="str">
        <x:v>L3</x:v>
      </x:c>
      <x:c r="G152" s="86" t="str">
        <x:v>ION surface-CAL-3</x:v>
      </x:c>
      <x:c r="H152" s="86" t="str">
        <x:v>T3</x:v>
      </x:c>
      <x:c r="I152" s="91" t="str">
        <x:v>OPEN</x:v>
      </x:c>
    </x:row>
    <x:row r="153">
      <x:c r="A153" s="86" t="str">
        <x:v>CH-0148</x:v>
      </x:c>
      <x:c r="B153" s="86" t="str">
        <x:v>ION surface</x:v>
      </x:c>
      <x:c r="C153" s="108" t="n">
        <x:v>20</x:v>
      </x:c>
      <x:c r="D153" s="86" t="str">
        <x:v>Z04</x:v>
      </x:c>
      <x:c r="E153" s="86" t="str">
        <x:v>full</x:v>
      </x:c>
      <x:c r="F153" s="86" t="str">
        <x:v>L4</x:v>
      </x:c>
      <x:c r="G153" s="86" t="str">
        <x:v>ION surface-CAL-4</x:v>
      </x:c>
      <x:c r="H153" s="86" t="str">
        <x:v>T4</x:v>
      </x:c>
      <x:c r="I153" s="91" t="str">
        <x:v>OPEN</x:v>
      </x:c>
    </x:row>
    <x:row r="154">
      <x:c r="A154" s="86" t="str">
        <x:v>CH-0149</x:v>
      </x:c>
      <x:c r="B154" s="86" t="str">
        <x:v>ION surface</x:v>
      </x:c>
      <x:c r="C154" s="108" t="n">
        <x:v>21</x:v>
      </x:c>
      <x:c r="D154" s="86" t="str">
        <x:v>Z05</x:v>
      </x:c>
      <x:c r="E154" s="86" t="str">
        <x:v>full</x:v>
      </x:c>
      <x:c r="F154" s="86" t="str">
        <x:v>L1</x:v>
      </x:c>
      <x:c r="G154" s="86" t="str">
        <x:v>ION surface-CAL-1</x:v>
      </x:c>
      <x:c r="H154" s="86" t="str">
        <x:v>T1</x:v>
      </x:c>
      <x:c r="I154" s="91" t="str">
        <x:v>OPEN</x:v>
      </x:c>
    </x:row>
    <x:row r="155">
      <x:c r="A155" s="86" t="str">
        <x:v>CH-0150</x:v>
      </x:c>
      <x:c r="B155" s="86" t="str">
        <x:v>ION surface</x:v>
      </x:c>
      <x:c r="C155" s="108" t="n">
        <x:v>22</x:v>
      </x:c>
      <x:c r="D155" s="86" t="str">
        <x:v>Z06</x:v>
      </x:c>
      <x:c r="E155" s="86" t="str">
        <x:v>full</x:v>
      </x:c>
      <x:c r="F155" s="86" t="str">
        <x:v>L2</x:v>
      </x:c>
      <x:c r="G155" s="86" t="str">
        <x:v>ION surface-CAL-2</x:v>
      </x:c>
      <x:c r="H155" s="86" t="str">
        <x:v>T2</x:v>
      </x:c>
      <x:c r="I155" s="91" t="str">
        <x:v>OPEN</x:v>
      </x:c>
    </x:row>
    <x:row r="156">
      <x:c r="A156" s="86" t="str">
        <x:v>CH-0151</x:v>
      </x:c>
      <x:c r="B156" s="86" t="str">
        <x:v>ION surface</x:v>
      </x:c>
      <x:c r="C156" s="108" t="n">
        <x:v>23</x:v>
      </x:c>
      <x:c r="D156" s="86" t="str">
        <x:v>Z07</x:v>
      </x:c>
      <x:c r="E156" s="86" t="str">
        <x:v>full</x:v>
      </x:c>
      <x:c r="F156" s="86" t="str">
        <x:v>L3</x:v>
      </x:c>
      <x:c r="G156" s="86" t="str">
        <x:v>ION surface-CAL-3</x:v>
      </x:c>
      <x:c r="H156" s="86" t="str">
        <x:v>T3</x:v>
      </x:c>
      <x:c r="I156" s="91" t="str">
        <x:v>OPEN</x:v>
      </x:c>
    </x:row>
    <x:row r="157">
      <x:c r="A157" s="86" t="str">
        <x:v>CH-0152</x:v>
      </x:c>
      <x:c r="B157" s="86" t="str">
        <x:v>ION surface</x:v>
      </x:c>
      <x:c r="C157" s="108" t="n">
        <x:v>24</x:v>
      </x:c>
      <x:c r="D157" s="86" t="str">
        <x:v>Z08</x:v>
      </x:c>
      <x:c r="E157" s="86" t="str">
        <x:v>full</x:v>
      </x:c>
      <x:c r="F157" s="86" t="str">
        <x:v>L4</x:v>
      </x:c>
      <x:c r="G157" s="86" t="str">
        <x:v>ION surface-CAL-4</x:v>
      </x:c>
      <x:c r="H157" s="86" t="str">
        <x:v>T4</x:v>
      </x:c>
      <x:c r="I157" s="91" t="str">
        <x:v>OPEN</x:v>
      </x:c>
    </x:row>
    <x:row r="158">
      <x:c r="A158" s="86" t="str">
        <x:v>CH-0153</x:v>
      </x:c>
      <x:c r="B158" s="86" t="str">
        <x:v>ION surface</x:v>
      </x:c>
      <x:c r="C158" s="108" t="n">
        <x:v>25</x:v>
      </x:c>
      <x:c r="D158" s="86" t="str">
        <x:v>Z09</x:v>
      </x:c>
      <x:c r="E158" s="86" t="str">
        <x:v>full</x:v>
      </x:c>
      <x:c r="F158" s="86" t="str">
        <x:v>L1</x:v>
      </x:c>
      <x:c r="G158" s="86" t="str">
        <x:v>ION surface-CAL-1</x:v>
      </x:c>
      <x:c r="H158" s="86" t="str">
        <x:v>T1</x:v>
      </x:c>
      <x:c r="I158" s="91" t="str">
        <x:v>OPEN</x:v>
      </x:c>
    </x:row>
    <x:row r="159">
      <x:c r="A159" s="86" t="str">
        <x:v>CH-0154</x:v>
      </x:c>
      <x:c r="B159" s="86" t="str">
        <x:v>ION surface</x:v>
      </x:c>
      <x:c r="C159" s="108" t="n">
        <x:v>26</x:v>
      </x:c>
      <x:c r="D159" s="86" t="str">
        <x:v>Z10</x:v>
      </x:c>
      <x:c r="E159" s="86" t="str">
        <x:v>full</x:v>
      </x:c>
      <x:c r="F159" s="86" t="str">
        <x:v>L2</x:v>
      </x:c>
      <x:c r="G159" s="86" t="str">
        <x:v>ION surface-CAL-2</x:v>
      </x:c>
      <x:c r="H159" s="86" t="str">
        <x:v>T2</x:v>
      </x:c>
      <x:c r="I159" s="91" t="str">
        <x:v>OPEN</x:v>
      </x:c>
    </x:row>
    <x:row r="160">
      <x:c r="A160" s="86" t="str">
        <x:v>CH-0155</x:v>
      </x:c>
      <x:c r="B160" s="86" t="str">
        <x:v>ION surface</x:v>
      </x:c>
      <x:c r="C160" s="108" t="n">
        <x:v>27</x:v>
      </x:c>
      <x:c r="D160" s="86" t="str">
        <x:v>Z11</x:v>
      </x:c>
      <x:c r="E160" s="86" t="str">
        <x:v>full</x:v>
      </x:c>
      <x:c r="F160" s="86" t="str">
        <x:v>L3</x:v>
      </x:c>
      <x:c r="G160" s="86" t="str">
        <x:v>ION surface-CAL-3</x:v>
      </x:c>
      <x:c r="H160" s="86" t="str">
        <x:v>T3</x:v>
      </x:c>
      <x:c r="I160" s="91" t="str">
        <x:v>OPEN</x:v>
      </x:c>
    </x:row>
    <x:row r="161">
      <x:c r="A161" s="86" t="str">
        <x:v>CH-0156</x:v>
      </x:c>
      <x:c r="B161" s="86" t="str">
        <x:v>ION surface</x:v>
      </x:c>
      <x:c r="C161" s="108" t="n">
        <x:v>28</x:v>
      </x:c>
      <x:c r="D161" s="86" t="str">
        <x:v>Z12</x:v>
      </x:c>
      <x:c r="E161" s="86" t="str">
        <x:v>full</x:v>
      </x:c>
      <x:c r="F161" s="86" t="str">
        <x:v>L4</x:v>
      </x:c>
      <x:c r="G161" s="86" t="str">
        <x:v>ION surface-CAL-4</x:v>
      </x:c>
      <x:c r="H161" s="86" t="str">
        <x:v>T4</x:v>
      </x:c>
      <x:c r="I161" s="91" t="str">
        <x:v>OPEN</x:v>
      </x:c>
    </x:row>
    <x:row r="162">
      <x:c r="A162" s="86" t="str">
        <x:v>CH-0157</x:v>
      </x:c>
      <x:c r="B162" s="86" t="str">
        <x:v>ION surface</x:v>
      </x:c>
      <x:c r="C162" s="108" t="n">
        <x:v>29</x:v>
      </x:c>
      <x:c r="D162" s="86" t="str">
        <x:v>Z13</x:v>
      </x:c>
      <x:c r="E162" s="86" t="str">
        <x:v>full</x:v>
      </x:c>
      <x:c r="F162" s="86" t="str">
        <x:v>L1</x:v>
      </x:c>
      <x:c r="G162" s="86" t="str">
        <x:v>ION surface-CAL-1</x:v>
      </x:c>
      <x:c r="H162" s="86" t="str">
        <x:v>T1</x:v>
      </x:c>
      <x:c r="I162" s="91" t="str">
        <x:v>OPEN</x:v>
      </x:c>
    </x:row>
    <x:row r="163">
      <x:c r="A163" s="86" t="str">
        <x:v>CH-0158</x:v>
      </x:c>
      <x:c r="B163" s="86" t="str">
        <x:v>ION surface</x:v>
      </x:c>
      <x:c r="C163" s="108" t="n">
        <x:v>30</x:v>
      </x:c>
      <x:c r="D163" s="86" t="str">
        <x:v>Z14</x:v>
      </x:c>
      <x:c r="E163" s="86" t="str">
        <x:v>full</x:v>
      </x:c>
      <x:c r="F163" s="86" t="str">
        <x:v>L2</x:v>
      </x:c>
      <x:c r="G163" s="86" t="str">
        <x:v>ION surface-CAL-2</x:v>
      </x:c>
      <x:c r="H163" s="86" t="str">
        <x:v>T2</x:v>
      </x:c>
      <x:c r="I163" s="91" t="str">
        <x:v>OPEN</x:v>
      </x:c>
    </x:row>
    <x:row r="164">
      <x:c r="A164" s="86" t="str">
        <x:v>CH-0159</x:v>
      </x:c>
      <x:c r="B164" s="86" t="str">
        <x:v>ION surface</x:v>
      </x:c>
      <x:c r="C164" s="108" t="n">
        <x:v>31</x:v>
      </x:c>
      <x:c r="D164" s="86" t="str">
        <x:v>Z15</x:v>
      </x:c>
      <x:c r="E164" s="86" t="str">
        <x:v>full</x:v>
      </x:c>
      <x:c r="F164" s="86" t="str">
        <x:v>L3</x:v>
      </x:c>
      <x:c r="G164" s="86" t="str">
        <x:v>ION surface-CAL-3</x:v>
      </x:c>
      <x:c r="H164" s="86" t="str">
        <x:v>T3</x:v>
      </x:c>
      <x:c r="I164" s="91" t="str">
        <x:v>OPEN</x:v>
      </x:c>
    </x:row>
    <x:row r="165">
      <x:c r="A165" s="86" t="str">
        <x:v>CH-0160</x:v>
      </x:c>
      <x:c r="B165" s="86" t="str">
        <x:v>ION surface</x:v>
      </x:c>
      <x:c r="C165" s="108" t="n">
        <x:v>32</x:v>
      </x:c>
      <x:c r="D165" s="86" t="str">
        <x:v>Z16</x:v>
      </x:c>
      <x:c r="E165" s="86" t="str">
        <x:v>full</x:v>
      </x:c>
      <x:c r="F165" s="86" t="str">
        <x:v>L4</x:v>
      </x:c>
      <x:c r="G165" s="86" t="str">
        <x:v>ION surface-CAL-4</x:v>
      </x:c>
      <x:c r="H165" s="86" t="str">
        <x:v>T4</x:v>
      </x:c>
      <x:c r="I165" s="91" t="str">
        <x:v>OPEN</x:v>
      </x:c>
    </x:row>
    <x:row r="166">
      <x:c r="A166" s="86" t="str">
        <x:v>CH-0161</x:v>
      </x:c>
      <x:c r="B166" s="86" t="str">
        <x:v>ION surface</x:v>
      </x:c>
      <x:c r="C166" s="108" t="n">
        <x:v>33</x:v>
      </x:c>
      <x:c r="D166" s="86" t="str">
        <x:v>Z01</x:v>
      </x:c>
      <x:c r="E166" s="86" t="str">
        <x:v>intermediate</x:v>
      </x:c>
      <x:c r="F166" s="86" t="str">
        <x:v>L1</x:v>
      </x:c>
      <x:c r="G166" s="86" t="str">
        <x:v>ION surface-CAL-1</x:v>
      </x:c>
      <x:c r="H166" s="86" t="str">
        <x:v>T1</x:v>
      </x:c>
      <x:c r="I166" s="91" t="str">
        <x:v>OPEN</x:v>
      </x:c>
    </x:row>
    <x:row r="167">
      <x:c r="A167" s="86" t="str">
        <x:v>CH-0162</x:v>
      </x:c>
      <x:c r="B167" s="86" t="str">
        <x:v>ION surface</x:v>
      </x:c>
      <x:c r="C167" s="108" t="n">
        <x:v>34</x:v>
      </x:c>
      <x:c r="D167" s="86" t="str">
        <x:v>Z02</x:v>
      </x:c>
      <x:c r="E167" s="86" t="str">
        <x:v>intermediate</x:v>
      </x:c>
      <x:c r="F167" s="86" t="str">
        <x:v>L2</x:v>
      </x:c>
      <x:c r="G167" s="86" t="str">
        <x:v>ION surface-CAL-2</x:v>
      </x:c>
      <x:c r="H167" s="86" t="str">
        <x:v>T2</x:v>
      </x:c>
      <x:c r="I167" s="91" t="str">
        <x:v>OPEN</x:v>
      </x:c>
    </x:row>
    <x:row r="168">
      <x:c r="A168" s="86" t="str">
        <x:v>CH-0163</x:v>
      </x:c>
      <x:c r="B168" s="86" t="str">
        <x:v>ION surface</x:v>
      </x:c>
      <x:c r="C168" s="108" t="n">
        <x:v>35</x:v>
      </x:c>
      <x:c r="D168" s="86" t="str">
        <x:v>Z03</x:v>
      </x:c>
      <x:c r="E168" s="86" t="str">
        <x:v>intermediate</x:v>
      </x:c>
      <x:c r="F168" s="86" t="str">
        <x:v>L3</x:v>
      </x:c>
      <x:c r="G168" s="86" t="str">
        <x:v>ION surface-CAL-3</x:v>
      </x:c>
      <x:c r="H168" s="86" t="str">
        <x:v>T3</x:v>
      </x:c>
      <x:c r="I168" s="91" t="str">
        <x:v>OPEN</x:v>
      </x:c>
    </x:row>
    <x:row r="169">
      <x:c r="A169" s="86" t="str">
        <x:v>CH-0164</x:v>
      </x:c>
      <x:c r="B169" s="86" t="str">
        <x:v>ION surface</x:v>
      </x:c>
      <x:c r="C169" s="108" t="n">
        <x:v>36</x:v>
      </x:c>
      <x:c r="D169" s="86" t="str">
        <x:v>Z04</x:v>
      </x:c>
      <x:c r="E169" s="86" t="str">
        <x:v>intermediate</x:v>
      </x:c>
      <x:c r="F169" s="86" t="str">
        <x:v>L4</x:v>
      </x:c>
      <x:c r="G169" s="86" t="str">
        <x:v>ION surface-CAL-4</x:v>
      </x:c>
      <x:c r="H169" s="86" t="str">
        <x:v>T4</x:v>
      </x:c>
      <x:c r="I169" s="91" t="str">
        <x:v>OPEN</x:v>
      </x:c>
    </x:row>
    <x:row r="170">
      <x:c r="A170" s="86" t="str">
        <x:v>CH-0165</x:v>
      </x:c>
      <x:c r="B170" s="86" t="str">
        <x:v>ION surface</x:v>
      </x:c>
      <x:c r="C170" s="108" t="n">
        <x:v>37</x:v>
      </x:c>
      <x:c r="D170" s="86" t="str">
        <x:v>Z05</x:v>
      </x:c>
      <x:c r="E170" s="86" t="str">
        <x:v>intermediate</x:v>
      </x:c>
      <x:c r="F170" s="86" t="str">
        <x:v>L1</x:v>
      </x:c>
      <x:c r="G170" s="86" t="str">
        <x:v>ION surface-CAL-1</x:v>
      </x:c>
      <x:c r="H170" s="86" t="str">
        <x:v>T1</x:v>
      </x:c>
      <x:c r="I170" s="91" t="str">
        <x:v>OPEN</x:v>
      </x:c>
    </x:row>
    <x:row r="171">
      <x:c r="A171" s="86" t="str">
        <x:v>CH-0166</x:v>
      </x:c>
      <x:c r="B171" s="86" t="str">
        <x:v>ION surface</x:v>
      </x:c>
      <x:c r="C171" s="108" t="n">
        <x:v>38</x:v>
      </x:c>
      <x:c r="D171" s="86" t="str">
        <x:v>Z06</x:v>
      </x:c>
      <x:c r="E171" s="86" t="str">
        <x:v>intermediate</x:v>
      </x:c>
      <x:c r="F171" s="86" t="str">
        <x:v>L2</x:v>
      </x:c>
      <x:c r="G171" s="86" t="str">
        <x:v>ION surface-CAL-2</x:v>
      </x:c>
      <x:c r="H171" s="86" t="str">
        <x:v>T2</x:v>
      </x:c>
      <x:c r="I171" s="91" t="str">
        <x:v>OPEN</x:v>
      </x:c>
    </x:row>
    <x:row r="172">
      <x:c r="A172" s="86" t="str">
        <x:v>CH-0167</x:v>
      </x:c>
      <x:c r="B172" s="86" t="str">
        <x:v>ION surface</x:v>
      </x:c>
      <x:c r="C172" s="108" t="n">
        <x:v>39</x:v>
      </x:c>
      <x:c r="D172" s="86" t="str">
        <x:v>Z07</x:v>
      </x:c>
      <x:c r="E172" s="86" t="str">
        <x:v>intermediate</x:v>
      </x:c>
      <x:c r="F172" s="86" t="str">
        <x:v>L3</x:v>
      </x:c>
      <x:c r="G172" s="86" t="str">
        <x:v>ION surface-CAL-3</x:v>
      </x:c>
      <x:c r="H172" s="86" t="str">
        <x:v>T3</x:v>
      </x:c>
      <x:c r="I172" s="91" t="str">
        <x:v>OPEN</x:v>
      </x:c>
    </x:row>
    <x:row r="173">
      <x:c r="A173" s="86" t="str">
        <x:v>CH-0168</x:v>
      </x:c>
      <x:c r="B173" s="86" t="str">
        <x:v>ION surface</x:v>
      </x:c>
      <x:c r="C173" s="108" t="n">
        <x:v>40</x:v>
      </x:c>
      <x:c r="D173" s="86" t="str">
        <x:v>Z08</x:v>
      </x:c>
      <x:c r="E173" s="86" t="str">
        <x:v>intermediate</x:v>
      </x:c>
      <x:c r="F173" s="86" t="str">
        <x:v>L4</x:v>
      </x:c>
      <x:c r="G173" s="86" t="str">
        <x:v>ION surface-CAL-4</x:v>
      </x:c>
      <x:c r="H173" s="86" t="str">
        <x:v>T4</x:v>
      </x:c>
      <x:c r="I173" s="91" t="str">
        <x:v>OPEN</x:v>
      </x:c>
    </x:row>
    <x:row r="174">
      <x:c r="A174" s="86" t="str">
        <x:v>CH-0169</x:v>
      </x:c>
      <x:c r="B174" s="86" t="str">
        <x:v>ION surface</x:v>
      </x:c>
      <x:c r="C174" s="108" t="n">
        <x:v>41</x:v>
      </x:c>
      <x:c r="D174" s="86" t="str">
        <x:v>Z09</x:v>
      </x:c>
      <x:c r="E174" s="86" t="str">
        <x:v>intermediate</x:v>
      </x:c>
      <x:c r="F174" s="86" t="str">
        <x:v>L1</x:v>
      </x:c>
      <x:c r="G174" s="86" t="str">
        <x:v>ION surface-CAL-1</x:v>
      </x:c>
      <x:c r="H174" s="86" t="str">
        <x:v>T1</x:v>
      </x:c>
      <x:c r="I174" s="91" t="str">
        <x:v>OPEN</x:v>
      </x:c>
    </x:row>
    <x:row r="175">
      <x:c r="A175" s="86" t="str">
        <x:v>CH-0170</x:v>
      </x:c>
      <x:c r="B175" s="86" t="str">
        <x:v>ION surface</x:v>
      </x:c>
      <x:c r="C175" s="108" t="n">
        <x:v>42</x:v>
      </x:c>
      <x:c r="D175" s="86" t="str">
        <x:v>Z10</x:v>
      </x:c>
      <x:c r="E175" s="86" t="str">
        <x:v>intermediate</x:v>
      </x:c>
      <x:c r="F175" s="86" t="str">
        <x:v>L2</x:v>
      </x:c>
      <x:c r="G175" s="86" t="str">
        <x:v>ION surface-CAL-2</x:v>
      </x:c>
      <x:c r="H175" s="86" t="str">
        <x:v>T2</x:v>
      </x:c>
      <x:c r="I175" s="91" t="str">
        <x:v>OPEN</x:v>
      </x:c>
    </x:row>
    <x:row r="176">
      <x:c r="A176" s="86" t="str">
        <x:v>CH-0171</x:v>
      </x:c>
      <x:c r="B176" s="86" t="str">
        <x:v>ION surface</x:v>
      </x:c>
      <x:c r="C176" s="108" t="n">
        <x:v>43</x:v>
      </x:c>
      <x:c r="D176" s="86" t="str">
        <x:v>Z11</x:v>
      </x:c>
      <x:c r="E176" s="86" t="str">
        <x:v>intermediate</x:v>
      </x:c>
      <x:c r="F176" s="86" t="str">
        <x:v>L3</x:v>
      </x:c>
      <x:c r="G176" s="86" t="str">
        <x:v>ION surface-CAL-3</x:v>
      </x:c>
      <x:c r="H176" s="86" t="str">
        <x:v>T3</x:v>
      </x:c>
      <x:c r="I176" s="91" t="str">
        <x:v>OPEN</x:v>
      </x:c>
    </x:row>
    <x:row r="177">
      <x:c r="A177" s="86" t="str">
        <x:v>CH-0172</x:v>
      </x:c>
      <x:c r="B177" s="86" t="str">
        <x:v>ION surface</x:v>
      </x:c>
      <x:c r="C177" s="108" t="n">
        <x:v>44</x:v>
      </x:c>
      <x:c r="D177" s="86" t="str">
        <x:v>Z12</x:v>
      </x:c>
      <x:c r="E177" s="86" t="str">
        <x:v>intermediate</x:v>
      </x:c>
      <x:c r="F177" s="86" t="str">
        <x:v>L4</x:v>
      </x:c>
      <x:c r="G177" s="86" t="str">
        <x:v>ION surface-CAL-4</x:v>
      </x:c>
      <x:c r="H177" s="86" t="str">
        <x:v>T4</x:v>
      </x:c>
      <x:c r="I177" s="91" t="str">
        <x:v>OPEN</x:v>
      </x:c>
    </x:row>
    <x:row r="178">
      <x:c r="A178" s="86" t="str">
        <x:v>CH-0173</x:v>
      </x:c>
      <x:c r="B178" s="86" t="str">
        <x:v>ION surface</x:v>
      </x:c>
      <x:c r="C178" s="108" t="n">
        <x:v>45</x:v>
      </x:c>
      <x:c r="D178" s="86" t="str">
        <x:v>Z13</x:v>
      </x:c>
      <x:c r="E178" s="86" t="str">
        <x:v>intermediate</x:v>
      </x:c>
      <x:c r="F178" s="86" t="str">
        <x:v>L1</x:v>
      </x:c>
      <x:c r="G178" s="86" t="str">
        <x:v>ION surface-CAL-1</x:v>
      </x:c>
      <x:c r="H178" s="86" t="str">
        <x:v>T1</x:v>
      </x:c>
      <x:c r="I178" s="91" t="str">
        <x:v>OPEN</x:v>
      </x:c>
    </x:row>
    <x:row r="179">
      <x:c r="A179" s="86" t="str">
        <x:v>CH-0174</x:v>
      </x:c>
      <x:c r="B179" s="86" t="str">
        <x:v>ION surface</x:v>
      </x:c>
      <x:c r="C179" s="108" t="n">
        <x:v>46</x:v>
      </x:c>
      <x:c r="D179" s="86" t="str">
        <x:v>Z14</x:v>
      </x:c>
      <x:c r="E179" s="86" t="str">
        <x:v>intermediate</x:v>
      </x:c>
      <x:c r="F179" s="86" t="str">
        <x:v>L2</x:v>
      </x:c>
      <x:c r="G179" s="86" t="str">
        <x:v>ION surface-CAL-2</x:v>
      </x:c>
      <x:c r="H179" s="86" t="str">
        <x:v>T2</x:v>
      </x:c>
      <x:c r="I179" s="91" t="str">
        <x:v>OPEN</x:v>
      </x:c>
    </x:row>
    <x:row r="180">
      <x:c r="A180" s="86" t="str">
        <x:v>CH-0175</x:v>
      </x:c>
      <x:c r="B180" s="86" t="str">
        <x:v>ION surface</x:v>
      </x:c>
      <x:c r="C180" s="108" t="n">
        <x:v>47</x:v>
      </x:c>
      <x:c r="D180" s="86" t="str">
        <x:v>Z15</x:v>
      </x:c>
      <x:c r="E180" s="86" t="str">
        <x:v>intermediate</x:v>
      </x:c>
      <x:c r="F180" s="86" t="str">
        <x:v>L3</x:v>
      </x:c>
      <x:c r="G180" s="86" t="str">
        <x:v>ION surface-CAL-3</x:v>
      </x:c>
      <x:c r="H180" s="86" t="str">
        <x:v>T3</x:v>
      </x:c>
      <x:c r="I180" s="91" t="str">
        <x:v>OPEN</x:v>
      </x:c>
    </x:row>
    <x:row r="181">
      <x:c r="A181" s="86" t="str">
        <x:v>CH-0176</x:v>
      </x:c>
      <x:c r="B181" s="86" t="str">
        <x:v>ION surface</x:v>
      </x:c>
      <x:c r="C181" s="108" t="n">
        <x:v>48</x:v>
      </x:c>
      <x:c r="D181" s="86" t="str">
        <x:v>Z16</x:v>
      </x:c>
      <x:c r="E181" s="86" t="str">
        <x:v>intermediate</x:v>
      </x:c>
      <x:c r="F181" s="86" t="str">
        <x:v>L4</x:v>
      </x:c>
      <x:c r="G181" s="86" t="str">
        <x:v>ION surface-CAL-4</x:v>
      </x:c>
      <x:c r="H181" s="86" t="str">
        <x:v>T4</x:v>
      </x:c>
      <x:c r="I181" s="91" t="str">
        <x:v>OPEN</x:v>
      </x:c>
    </x:row>
    <x:row r="182">
      <x:c r="A182" s="86" t="str">
        <x:v>CH-0177</x:v>
      </x:c>
      <x:c r="B182" s="86" t="str">
        <x:v>ION surface</x:v>
      </x:c>
      <x:c r="C182" s="108" t="n">
        <x:v>49</x:v>
      </x:c>
      <x:c r="D182" s="86" t="str">
        <x:v>Z01</x:v>
      </x:c>
      <x:c r="E182" s="86" t="str">
        <x:v>return</x:v>
      </x:c>
      <x:c r="F182" s="86" t="str">
        <x:v>L1</x:v>
      </x:c>
      <x:c r="G182" s="86" t="str">
        <x:v>ION surface-CAL-1</x:v>
      </x:c>
      <x:c r="H182" s="86" t="str">
        <x:v>T1</x:v>
      </x:c>
      <x:c r="I182" s="91" t="str">
        <x:v>OPEN</x:v>
      </x:c>
    </x:row>
    <x:row r="183">
      <x:c r="A183" s="86" t="str">
        <x:v>CH-0178</x:v>
      </x:c>
      <x:c r="B183" s="86" t="str">
        <x:v>ION surface</x:v>
      </x:c>
      <x:c r="C183" s="108" t="n">
        <x:v>50</x:v>
      </x:c>
      <x:c r="D183" s="86" t="str">
        <x:v>Z02</x:v>
      </x:c>
      <x:c r="E183" s="86" t="str">
        <x:v>return</x:v>
      </x:c>
      <x:c r="F183" s="86" t="str">
        <x:v>L2</x:v>
      </x:c>
      <x:c r="G183" s="86" t="str">
        <x:v>ION surface-CAL-2</x:v>
      </x:c>
      <x:c r="H183" s="86" t="str">
        <x:v>T2</x:v>
      </x:c>
      <x:c r="I183" s="91" t="str">
        <x:v>OPEN</x:v>
      </x:c>
    </x:row>
    <x:row r="184">
      <x:c r="A184" s="86" t="str">
        <x:v>CH-0179</x:v>
      </x:c>
      <x:c r="B184" s="86" t="str">
        <x:v>ION surface</x:v>
      </x:c>
      <x:c r="C184" s="108" t="n">
        <x:v>51</x:v>
      </x:c>
      <x:c r="D184" s="86" t="str">
        <x:v>Z03</x:v>
      </x:c>
      <x:c r="E184" s="86" t="str">
        <x:v>return</x:v>
      </x:c>
      <x:c r="F184" s="86" t="str">
        <x:v>L3</x:v>
      </x:c>
      <x:c r="G184" s="86" t="str">
        <x:v>ION surface-CAL-3</x:v>
      </x:c>
      <x:c r="H184" s="86" t="str">
        <x:v>T3</x:v>
      </x:c>
      <x:c r="I184" s="91" t="str">
        <x:v>OPEN</x:v>
      </x:c>
    </x:row>
    <x:row r="185">
      <x:c r="A185" s="86" t="str">
        <x:v>CH-0180</x:v>
      </x:c>
      <x:c r="B185" s="86" t="str">
        <x:v>ION surface</x:v>
      </x:c>
      <x:c r="C185" s="108" t="n">
        <x:v>52</x:v>
      </x:c>
      <x:c r="D185" s="86" t="str">
        <x:v>Z04</x:v>
      </x:c>
      <x:c r="E185" s="86" t="str">
        <x:v>return</x:v>
      </x:c>
      <x:c r="F185" s="86" t="str">
        <x:v>L4</x:v>
      </x:c>
      <x:c r="G185" s="86" t="str">
        <x:v>ION surface-CAL-4</x:v>
      </x:c>
      <x:c r="H185" s="86" t="str">
        <x:v>T4</x:v>
      </x:c>
      <x:c r="I185" s="91" t="str">
        <x:v>OPEN</x:v>
      </x:c>
    </x:row>
    <x:row r="186">
      <x:c r="A186" s="86" t="str">
        <x:v>CH-0181</x:v>
      </x:c>
      <x:c r="B186" s="86" t="str">
        <x:v>ION surface</x:v>
      </x:c>
      <x:c r="C186" s="108" t="n">
        <x:v>53</x:v>
      </x:c>
      <x:c r="D186" s="86" t="str">
        <x:v>Z05</x:v>
      </x:c>
      <x:c r="E186" s="86" t="str">
        <x:v>return</x:v>
      </x:c>
      <x:c r="F186" s="86" t="str">
        <x:v>L1</x:v>
      </x:c>
      <x:c r="G186" s="86" t="str">
        <x:v>ION surface-CAL-1</x:v>
      </x:c>
      <x:c r="H186" s="86" t="str">
        <x:v>T1</x:v>
      </x:c>
      <x:c r="I186" s="91" t="str">
        <x:v>OPEN</x:v>
      </x:c>
    </x:row>
    <x:row r="187">
      <x:c r="A187" s="86" t="str">
        <x:v>CH-0182</x:v>
      </x:c>
      <x:c r="B187" s="86" t="str">
        <x:v>ION surface</x:v>
      </x:c>
      <x:c r="C187" s="108" t="n">
        <x:v>54</x:v>
      </x:c>
      <x:c r="D187" s="86" t="str">
        <x:v>Z06</x:v>
      </x:c>
      <x:c r="E187" s="86" t="str">
        <x:v>return</x:v>
      </x:c>
      <x:c r="F187" s="86" t="str">
        <x:v>L2</x:v>
      </x:c>
      <x:c r="G187" s="86" t="str">
        <x:v>ION surface-CAL-2</x:v>
      </x:c>
      <x:c r="H187" s="86" t="str">
        <x:v>T2</x:v>
      </x:c>
      <x:c r="I187" s="91" t="str">
        <x:v>OPEN</x:v>
      </x:c>
    </x:row>
    <x:row r="188">
      <x:c r="A188" s="86" t="str">
        <x:v>CH-0183</x:v>
      </x:c>
      <x:c r="B188" s="86" t="str">
        <x:v>ION surface</x:v>
      </x:c>
      <x:c r="C188" s="108" t="n">
        <x:v>55</x:v>
      </x:c>
      <x:c r="D188" s="86" t="str">
        <x:v>Z07</x:v>
      </x:c>
      <x:c r="E188" s="86" t="str">
        <x:v>return</x:v>
      </x:c>
      <x:c r="F188" s="86" t="str">
        <x:v>L3</x:v>
      </x:c>
      <x:c r="G188" s="86" t="str">
        <x:v>ION surface-CAL-3</x:v>
      </x:c>
      <x:c r="H188" s="86" t="str">
        <x:v>T3</x:v>
      </x:c>
      <x:c r="I188" s="91" t="str">
        <x:v>OPEN</x:v>
      </x:c>
    </x:row>
    <x:row r="189">
      <x:c r="A189" s="86" t="str">
        <x:v>CH-0184</x:v>
      </x:c>
      <x:c r="B189" s="86" t="str">
        <x:v>ION surface</x:v>
      </x:c>
      <x:c r="C189" s="108" t="n">
        <x:v>56</x:v>
      </x:c>
      <x:c r="D189" s="86" t="str">
        <x:v>Z08</x:v>
      </x:c>
      <x:c r="E189" s="86" t="str">
        <x:v>return</x:v>
      </x:c>
      <x:c r="F189" s="86" t="str">
        <x:v>L4</x:v>
      </x:c>
      <x:c r="G189" s="86" t="str">
        <x:v>ION surface-CAL-4</x:v>
      </x:c>
      <x:c r="H189" s="86" t="str">
        <x:v>T4</x:v>
      </x:c>
      <x:c r="I189" s="91" t="str">
        <x:v>OPEN</x:v>
      </x:c>
    </x:row>
    <x:row r="190">
      <x:c r="A190" s="86" t="str">
        <x:v>CH-0185</x:v>
      </x:c>
      <x:c r="B190" s="86" t="str">
        <x:v>ION surface</x:v>
      </x:c>
      <x:c r="C190" s="108" t="n">
        <x:v>57</x:v>
      </x:c>
      <x:c r="D190" s="86" t="str">
        <x:v>Z09</x:v>
      </x:c>
      <x:c r="E190" s="86" t="str">
        <x:v>return</x:v>
      </x:c>
      <x:c r="F190" s="86" t="str">
        <x:v>L1</x:v>
      </x:c>
      <x:c r="G190" s="86" t="str">
        <x:v>ION surface-CAL-1</x:v>
      </x:c>
      <x:c r="H190" s="86" t="str">
        <x:v>T1</x:v>
      </x:c>
      <x:c r="I190" s="91" t="str">
        <x:v>OPEN</x:v>
      </x:c>
    </x:row>
    <x:row r="191">
      <x:c r="A191" s="86" t="str">
        <x:v>CH-0186</x:v>
      </x:c>
      <x:c r="B191" s="86" t="str">
        <x:v>ION surface</x:v>
      </x:c>
      <x:c r="C191" s="108" t="n">
        <x:v>58</x:v>
      </x:c>
      <x:c r="D191" s="86" t="str">
        <x:v>Z10</x:v>
      </x:c>
      <x:c r="E191" s="86" t="str">
        <x:v>return</x:v>
      </x:c>
      <x:c r="F191" s="86" t="str">
        <x:v>L2</x:v>
      </x:c>
      <x:c r="G191" s="86" t="str">
        <x:v>ION surface-CAL-2</x:v>
      </x:c>
      <x:c r="H191" s="86" t="str">
        <x:v>T2</x:v>
      </x:c>
      <x:c r="I191" s="91" t="str">
        <x:v>OPEN</x:v>
      </x:c>
    </x:row>
    <x:row r="192">
      <x:c r="A192" s="86" t="str">
        <x:v>CH-0187</x:v>
      </x:c>
      <x:c r="B192" s="86" t="str">
        <x:v>ION surface</x:v>
      </x:c>
      <x:c r="C192" s="108" t="n">
        <x:v>59</x:v>
      </x:c>
      <x:c r="D192" s="86" t="str">
        <x:v>Z11</x:v>
      </x:c>
      <x:c r="E192" s="86" t="str">
        <x:v>return</x:v>
      </x:c>
      <x:c r="F192" s="86" t="str">
        <x:v>L3</x:v>
      </x:c>
      <x:c r="G192" s="86" t="str">
        <x:v>ION surface-CAL-3</x:v>
      </x:c>
      <x:c r="H192" s="86" t="str">
        <x:v>T3</x:v>
      </x:c>
      <x:c r="I192" s="91" t="str">
        <x:v>OPEN</x:v>
      </x:c>
    </x:row>
    <x:row r="193">
      <x:c r="A193" s="86" t="str">
        <x:v>CH-0188</x:v>
      </x:c>
      <x:c r="B193" s="86" t="str">
        <x:v>ION surface</x:v>
      </x:c>
      <x:c r="C193" s="108" t="n">
        <x:v>60</x:v>
      </x:c>
      <x:c r="D193" s="86" t="str">
        <x:v>Z12</x:v>
      </x:c>
      <x:c r="E193" s="86" t="str">
        <x:v>return</x:v>
      </x:c>
      <x:c r="F193" s="86" t="str">
        <x:v>L4</x:v>
      </x:c>
      <x:c r="G193" s="86" t="str">
        <x:v>ION surface-CAL-4</x:v>
      </x:c>
      <x:c r="H193" s="86" t="str">
        <x:v>T4</x:v>
      </x:c>
      <x:c r="I193" s="91" t="str">
        <x:v>OPEN</x:v>
      </x:c>
    </x:row>
    <x:row r="194">
      <x:c r="A194" s="86" t="str">
        <x:v>CH-0189</x:v>
      </x:c>
      <x:c r="B194" s="86" t="str">
        <x:v>ION surface</x:v>
      </x:c>
      <x:c r="C194" s="108" t="n">
        <x:v>61</x:v>
      </x:c>
      <x:c r="D194" s="86" t="str">
        <x:v>Z13</x:v>
      </x:c>
      <x:c r="E194" s="86" t="str">
        <x:v>return</x:v>
      </x:c>
      <x:c r="F194" s="86" t="str">
        <x:v>L1</x:v>
      </x:c>
      <x:c r="G194" s="86" t="str">
        <x:v>ION surface-CAL-1</x:v>
      </x:c>
      <x:c r="H194" s="86" t="str">
        <x:v>T1</x:v>
      </x:c>
      <x:c r="I194" s="91" t="str">
        <x:v>OPEN</x:v>
      </x:c>
    </x:row>
    <x:row r="195">
      <x:c r="A195" s="86" t="str">
        <x:v>CH-0190</x:v>
      </x:c>
      <x:c r="B195" s="86" t="str">
        <x:v>ION surface</x:v>
      </x:c>
      <x:c r="C195" s="108" t="n">
        <x:v>62</x:v>
      </x:c>
      <x:c r="D195" s="86" t="str">
        <x:v>Z14</x:v>
      </x:c>
      <x:c r="E195" s="86" t="str">
        <x:v>return</x:v>
      </x:c>
      <x:c r="F195" s="86" t="str">
        <x:v>L2</x:v>
      </x:c>
      <x:c r="G195" s="86" t="str">
        <x:v>ION surface-CAL-2</x:v>
      </x:c>
      <x:c r="H195" s="86" t="str">
        <x:v>T2</x:v>
      </x:c>
      <x:c r="I195" s="91" t="str">
        <x:v>OPEN</x:v>
      </x:c>
    </x:row>
    <x:row r="196">
      <x:c r="A196" s="86" t="str">
        <x:v>CH-0191</x:v>
      </x:c>
      <x:c r="B196" s="86" t="str">
        <x:v>ION surface</x:v>
      </x:c>
      <x:c r="C196" s="108" t="n">
        <x:v>63</x:v>
      </x:c>
      <x:c r="D196" s="86" t="str">
        <x:v>Z15</x:v>
      </x:c>
      <x:c r="E196" s="86" t="str">
        <x:v>return</x:v>
      </x:c>
      <x:c r="F196" s="86" t="str">
        <x:v>L3</x:v>
      </x:c>
      <x:c r="G196" s="86" t="str">
        <x:v>ION surface-CAL-3</x:v>
      </x:c>
      <x:c r="H196" s="86" t="str">
        <x:v>T3</x:v>
      </x:c>
      <x:c r="I196" s="91" t="str">
        <x:v>OPEN</x:v>
      </x:c>
    </x:row>
    <x:row r="197">
      <x:c r="A197" s="86" t="str">
        <x:v>CH-0192</x:v>
      </x:c>
      <x:c r="B197" s="86" t="str">
        <x:v>ION surface</x:v>
      </x:c>
      <x:c r="C197" s="108" t="n">
        <x:v>64</x:v>
      </x:c>
      <x:c r="D197" s="86" t="str">
        <x:v>Z16</x:v>
      </x:c>
      <x:c r="E197" s="86" t="str">
        <x:v>return</x:v>
      </x:c>
      <x:c r="F197" s="86" t="str">
        <x:v>L4</x:v>
      </x:c>
      <x:c r="G197" s="86" t="str">
        <x:v>ION surface-CAL-4</x:v>
      </x:c>
      <x:c r="H197" s="86" t="str">
        <x:v>T4</x:v>
      </x:c>
      <x:c r="I197" s="91" t="str">
        <x:v>OPEN</x:v>
      </x:c>
    </x:row>
    <x:row r="198">
      <x:c r="A198" s="86" t="str">
        <x:v>CH-0193</x:v>
      </x:c>
      <x:c r="B198" s="86" t="str">
        <x:v>ION depth</x:v>
      </x:c>
      <x:c r="C198" s="108" t="n">
        <x:v>1</x:v>
      </x:c>
      <x:c r="D198" s="86" t="str">
        <x:v>Z01</x:v>
      </x:c>
      <x:c r="E198" s="86" t="str">
        <x:v>full</x:v>
      </x:c>
      <x:c r="F198" s="86" t="str">
        <x:v>L1</x:v>
      </x:c>
      <x:c r="G198" s="86" t="str">
        <x:v>ION depth-CAL-1</x:v>
      </x:c>
      <x:c r="H198" s="86" t="str">
        <x:v>T1</x:v>
      </x:c>
      <x:c r="I198" s="91" t="str">
        <x:v>OPEN</x:v>
      </x:c>
    </x:row>
    <x:row r="199">
      <x:c r="A199" s="86" t="str">
        <x:v>CH-0194</x:v>
      </x:c>
      <x:c r="B199" s="86" t="str">
        <x:v>ION depth</x:v>
      </x:c>
      <x:c r="C199" s="108" t="n">
        <x:v>2</x:v>
      </x:c>
      <x:c r="D199" s="86" t="str">
        <x:v>Z02</x:v>
      </x:c>
      <x:c r="E199" s="86" t="str">
        <x:v>full</x:v>
      </x:c>
      <x:c r="F199" s="86" t="str">
        <x:v>L2</x:v>
      </x:c>
      <x:c r="G199" s="86" t="str">
        <x:v>ION depth-CAL-2</x:v>
      </x:c>
      <x:c r="H199" s="86" t="str">
        <x:v>T2</x:v>
      </x:c>
      <x:c r="I199" s="91" t="str">
        <x:v>OPEN</x:v>
      </x:c>
    </x:row>
    <x:row r="200">
      <x:c r="A200" s="86" t="str">
        <x:v>CH-0195</x:v>
      </x:c>
      <x:c r="B200" s="86" t="str">
        <x:v>ION depth</x:v>
      </x:c>
      <x:c r="C200" s="108" t="n">
        <x:v>3</x:v>
      </x:c>
      <x:c r="D200" s="86" t="str">
        <x:v>Z03</x:v>
      </x:c>
      <x:c r="E200" s="86" t="str">
        <x:v>full</x:v>
      </x:c>
      <x:c r="F200" s="86" t="str">
        <x:v>L3</x:v>
      </x:c>
      <x:c r="G200" s="86" t="str">
        <x:v>ION depth-CAL-3</x:v>
      </x:c>
      <x:c r="H200" s="86" t="str">
        <x:v>T3</x:v>
      </x:c>
      <x:c r="I200" s="91" t="str">
        <x:v>OPEN</x:v>
      </x:c>
    </x:row>
    <x:row r="201">
      <x:c r="A201" s="86" t="str">
        <x:v>CH-0196</x:v>
      </x:c>
      <x:c r="B201" s="86" t="str">
        <x:v>ION depth</x:v>
      </x:c>
      <x:c r="C201" s="108" t="n">
        <x:v>4</x:v>
      </x:c>
      <x:c r="D201" s="86" t="str">
        <x:v>Z04</x:v>
      </x:c>
      <x:c r="E201" s="86" t="str">
        <x:v>full</x:v>
      </x:c>
      <x:c r="F201" s="86" t="str">
        <x:v>L4</x:v>
      </x:c>
      <x:c r="G201" s="86" t="str">
        <x:v>ION depth-CAL-4</x:v>
      </x:c>
      <x:c r="H201" s="86" t="str">
        <x:v>T4</x:v>
      </x:c>
      <x:c r="I201" s="91" t="str">
        <x:v>OPEN</x:v>
      </x:c>
    </x:row>
    <x:row r="202">
      <x:c r="A202" s="86" t="str">
        <x:v>CH-0197</x:v>
      </x:c>
      <x:c r="B202" s="86" t="str">
        <x:v>ION depth</x:v>
      </x:c>
      <x:c r="C202" s="108" t="n">
        <x:v>5</x:v>
      </x:c>
      <x:c r="D202" s="86" t="str">
        <x:v>Z05</x:v>
      </x:c>
      <x:c r="E202" s="86" t="str">
        <x:v>full</x:v>
      </x:c>
      <x:c r="F202" s="86" t="str">
        <x:v>L1</x:v>
      </x:c>
      <x:c r="G202" s="86" t="str">
        <x:v>ION depth-CAL-1</x:v>
      </x:c>
      <x:c r="H202" s="86" t="str">
        <x:v>T1</x:v>
      </x:c>
      <x:c r="I202" s="91" t="str">
        <x:v>OPEN</x:v>
      </x:c>
    </x:row>
    <x:row r="203">
      <x:c r="A203" s="86" t="str">
        <x:v>CH-0198</x:v>
      </x:c>
      <x:c r="B203" s="86" t="str">
        <x:v>ION depth</x:v>
      </x:c>
      <x:c r="C203" s="108" t="n">
        <x:v>6</x:v>
      </x:c>
      <x:c r="D203" s="86" t="str">
        <x:v>Z06</x:v>
      </x:c>
      <x:c r="E203" s="86" t="str">
        <x:v>full</x:v>
      </x:c>
      <x:c r="F203" s="86" t="str">
        <x:v>L2</x:v>
      </x:c>
      <x:c r="G203" s="86" t="str">
        <x:v>ION depth-CAL-2</x:v>
      </x:c>
      <x:c r="H203" s="86" t="str">
        <x:v>T2</x:v>
      </x:c>
      <x:c r="I203" s="91" t="str">
        <x:v>OPEN</x:v>
      </x:c>
    </x:row>
    <x:row r="204">
      <x:c r="A204" s="86" t="str">
        <x:v>CH-0199</x:v>
      </x:c>
      <x:c r="B204" s="86" t="str">
        <x:v>ION depth</x:v>
      </x:c>
      <x:c r="C204" s="108" t="n">
        <x:v>7</x:v>
      </x:c>
      <x:c r="D204" s="86" t="str">
        <x:v>Z07</x:v>
      </x:c>
      <x:c r="E204" s="86" t="str">
        <x:v>full</x:v>
      </x:c>
      <x:c r="F204" s="86" t="str">
        <x:v>L3</x:v>
      </x:c>
      <x:c r="G204" s="86" t="str">
        <x:v>ION depth-CAL-3</x:v>
      </x:c>
      <x:c r="H204" s="86" t="str">
        <x:v>T3</x:v>
      </x:c>
      <x:c r="I204" s="91" t="str">
        <x:v>OPEN</x:v>
      </x:c>
    </x:row>
    <x:row r="205">
      <x:c r="A205" s="86" t="str">
        <x:v>CH-0200</x:v>
      </x:c>
      <x:c r="B205" s="86" t="str">
        <x:v>ION depth</x:v>
      </x:c>
      <x:c r="C205" s="108" t="n">
        <x:v>8</x:v>
      </x:c>
      <x:c r="D205" s="86" t="str">
        <x:v>Z08</x:v>
      </x:c>
      <x:c r="E205" s="86" t="str">
        <x:v>full</x:v>
      </x:c>
      <x:c r="F205" s="86" t="str">
        <x:v>L4</x:v>
      </x:c>
      <x:c r="G205" s="86" t="str">
        <x:v>ION depth-CAL-4</x:v>
      </x:c>
      <x:c r="H205" s="86" t="str">
        <x:v>T4</x:v>
      </x:c>
      <x:c r="I205" s="91" t="str">
        <x:v>OPEN</x:v>
      </x:c>
    </x:row>
    <x:row r="206">
      <x:c r="A206" s="86" t="str">
        <x:v>CH-0201</x:v>
      </x:c>
      <x:c r="B206" s="86" t="str">
        <x:v>ION depth</x:v>
      </x:c>
      <x:c r="C206" s="108" t="n">
        <x:v>9</x:v>
      </x:c>
      <x:c r="D206" s="86" t="str">
        <x:v>Z09</x:v>
      </x:c>
      <x:c r="E206" s="86" t="str">
        <x:v>full</x:v>
      </x:c>
      <x:c r="F206" s="86" t="str">
        <x:v>L1</x:v>
      </x:c>
      <x:c r="G206" s="86" t="str">
        <x:v>ION depth-CAL-1</x:v>
      </x:c>
      <x:c r="H206" s="86" t="str">
        <x:v>T1</x:v>
      </x:c>
      <x:c r="I206" s="91" t="str">
        <x:v>OPEN</x:v>
      </x:c>
    </x:row>
    <x:row r="207">
      <x:c r="A207" s="86" t="str">
        <x:v>CH-0202</x:v>
      </x:c>
      <x:c r="B207" s="86" t="str">
        <x:v>ION depth</x:v>
      </x:c>
      <x:c r="C207" s="108" t="n">
        <x:v>10</x:v>
      </x:c>
      <x:c r="D207" s="86" t="str">
        <x:v>Z10</x:v>
      </x:c>
      <x:c r="E207" s="86" t="str">
        <x:v>full</x:v>
      </x:c>
      <x:c r="F207" s="86" t="str">
        <x:v>L2</x:v>
      </x:c>
      <x:c r="G207" s="86" t="str">
        <x:v>ION depth-CAL-2</x:v>
      </x:c>
      <x:c r="H207" s="86" t="str">
        <x:v>T2</x:v>
      </x:c>
      <x:c r="I207" s="91" t="str">
        <x:v>OPEN</x:v>
      </x:c>
    </x:row>
    <x:row r="208">
      <x:c r="A208" s="86" t="str">
        <x:v>CH-0203</x:v>
      </x:c>
      <x:c r="B208" s="86" t="str">
        <x:v>ION depth</x:v>
      </x:c>
      <x:c r="C208" s="108" t="n">
        <x:v>11</x:v>
      </x:c>
      <x:c r="D208" s="86" t="str">
        <x:v>Z11</x:v>
      </x:c>
      <x:c r="E208" s="86" t="str">
        <x:v>full</x:v>
      </x:c>
      <x:c r="F208" s="86" t="str">
        <x:v>L3</x:v>
      </x:c>
      <x:c r="G208" s="86" t="str">
        <x:v>ION depth-CAL-3</x:v>
      </x:c>
      <x:c r="H208" s="86" t="str">
        <x:v>T3</x:v>
      </x:c>
      <x:c r="I208" s="91" t="str">
        <x:v>OPEN</x:v>
      </x:c>
    </x:row>
    <x:row r="209">
      <x:c r="A209" s="86" t="str">
        <x:v>CH-0204</x:v>
      </x:c>
      <x:c r="B209" s="86" t="str">
        <x:v>ION depth</x:v>
      </x:c>
      <x:c r="C209" s="108" t="n">
        <x:v>12</x:v>
      </x:c>
      <x:c r="D209" s="86" t="str">
        <x:v>Z12</x:v>
      </x:c>
      <x:c r="E209" s="86" t="str">
        <x:v>full</x:v>
      </x:c>
      <x:c r="F209" s="86" t="str">
        <x:v>L4</x:v>
      </x:c>
      <x:c r="G209" s="86" t="str">
        <x:v>ION depth-CAL-4</x:v>
      </x:c>
      <x:c r="H209" s="86" t="str">
        <x:v>T4</x:v>
      </x:c>
      <x:c r="I209" s="91" t="str">
        <x:v>OPEN</x:v>
      </x:c>
    </x:row>
    <x:row r="210">
      <x:c r="A210" s="86" t="str">
        <x:v>CH-0205</x:v>
      </x:c>
      <x:c r="B210" s="86" t="str">
        <x:v>ION depth</x:v>
      </x:c>
      <x:c r="C210" s="108" t="n">
        <x:v>13</x:v>
      </x:c>
      <x:c r="D210" s="86" t="str">
        <x:v>Z13</x:v>
      </x:c>
      <x:c r="E210" s="86" t="str">
        <x:v>full</x:v>
      </x:c>
      <x:c r="F210" s="86" t="str">
        <x:v>L1</x:v>
      </x:c>
      <x:c r="G210" s="86" t="str">
        <x:v>ION depth-CAL-1</x:v>
      </x:c>
      <x:c r="H210" s="86" t="str">
        <x:v>T1</x:v>
      </x:c>
      <x:c r="I210" s="91" t="str">
        <x:v>OPEN</x:v>
      </x:c>
    </x:row>
    <x:row r="211">
      <x:c r="A211" s="86" t="str">
        <x:v>CH-0206</x:v>
      </x:c>
      <x:c r="B211" s="86" t="str">
        <x:v>ION depth</x:v>
      </x:c>
      <x:c r="C211" s="108" t="n">
        <x:v>14</x:v>
      </x:c>
      <x:c r="D211" s="86" t="str">
        <x:v>Z14</x:v>
      </x:c>
      <x:c r="E211" s="86" t="str">
        <x:v>full</x:v>
      </x:c>
      <x:c r="F211" s="86" t="str">
        <x:v>L2</x:v>
      </x:c>
      <x:c r="G211" s="86" t="str">
        <x:v>ION depth-CAL-2</x:v>
      </x:c>
      <x:c r="H211" s="86" t="str">
        <x:v>T2</x:v>
      </x:c>
      <x:c r="I211" s="91" t="str">
        <x:v>OPEN</x:v>
      </x:c>
    </x:row>
    <x:row r="212">
      <x:c r="A212" s="86" t="str">
        <x:v>CH-0207</x:v>
      </x:c>
      <x:c r="B212" s="86" t="str">
        <x:v>ION depth</x:v>
      </x:c>
      <x:c r="C212" s="108" t="n">
        <x:v>15</x:v>
      </x:c>
      <x:c r="D212" s="86" t="str">
        <x:v>Z15</x:v>
      </x:c>
      <x:c r="E212" s="86" t="str">
        <x:v>full</x:v>
      </x:c>
      <x:c r="F212" s="86" t="str">
        <x:v>L3</x:v>
      </x:c>
      <x:c r="G212" s="86" t="str">
        <x:v>ION depth-CAL-3</x:v>
      </x:c>
      <x:c r="H212" s="86" t="str">
        <x:v>T3</x:v>
      </x:c>
      <x:c r="I212" s="91" t="str">
        <x:v>OPEN</x:v>
      </x:c>
    </x:row>
    <x:row r="213">
      <x:c r="A213" s="86" t="str">
        <x:v>CH-0208</x:v>
      </x:c>
      <x:c r="B213" s="86" t="str">
        <x:v>ION depth</x:v>
      </x:c>
      <x:c r="C213" s="108" t="n">
        <x:v>16</x:v>
      </x:c>
      <x:c r="D213" s="86" t="str">
        <x:v>Z16</x:v>
      </x:c>
      <x:c r="E213" s="86" t="str">
        <x:v>full</x:v>
      </x:c>
      <x:c r="F213" s="86" t="str">
        <x:v>L4</x:v>
      </x:c>
      <x:c r="G213" s="86" t="str">
        <x:v>ION depth-CAL-4</x:v>
      </x:c>
      <x:c r="H213" s="86" t="str">
        <x:v>T4</x:v>
      </x:c>
      <x:c r="I213" s="91" t="str">
        <x:v>OPEN</x:v>
      </x:c>
    </x:row>
    <x:row r="214">
      <x:c r="A214" s="86" t="str">
        <x:v>CH-0209</x:v>
      </x:c>
      <x:c r="B214" s="86" t="str">
        <x:v>ION depth</x:v>
      </x:c>
      <x:c r="C214" s="108" t="n">
        <x:v>17</x:v>
      </x:c>
      <x:c r="D214" s="86" t="str">
        <x:v>Z01</x:v>
      </x:c>
      <x:c r="E214" s="86" t="str">
        <x:v>full</x:v>
      </x:c>
      <x:c r="F214" s="86" t="str">
        <x:v>L1</x:v>
      </x:c>
      <x:c r="G214" s="86" t="str">
        <x:v>ION depth-CAL-1</x:v>
      </x:c>
      <x:c r="H214" s="86" t="str">
        <x:v>T1</x:v>
      </x:c>
      <x:c r="I214" s="91" t="str">
        <x:v>OPEN</x:v>
      </x:c>
    </x:row>
    <x:row r="215">
      <x:c r="A215" s="86" t="str">
        <x:v>CH-0210</x:v>
      </x:c>
      <x:c r="B215" s="86" t="str">
        <x:v>ION depth</x:v>
      </x:c>
      <x:c r="C215" s="108" t="n">
        <x:v>18</x:v>
      </x:c>
      <x:c r="D215" s="86" t="str">
        <x:v>Z02</x:v>
      </x:c>
      <x:c r="E215" s="86" t="str">
        <x:v>full</x:v>
      </x:c>
      <x:c r="F215" s="86" t="str">
        <x:v>L2</x:v>
      </x:c>
      <x:c r="G215" s="86" t="str">
        <x:v>ION depth-CAL-2</x:v>
      </x:c>
      <x:c r="H215" s="86" t="str">
        <x:v>T2</x:v>
      </x:c>
      <x:c r="I215" s="91" t="str">
        <x:v>OPEN</x:v>
      </x:c>
    </x:row>
    <x:row r="216">
      <x:c r="A216" s="86" t="str">
        <x:v>CH-0211</x:v>
      </x:c>
      <x:c r="B216" s="86" t="str">
        <x:v>ION depth</x:v>
      </x:c>
      <x:c r="C216" s="108" t="n">
        <x:v>19</x:v>
      </x:c>
      <x:c r="D216" s="86" t="str">
        <x:v>Z03</x:v>
      </x:c>
      <x:c r="E216" s="86" t="str">
        <x:v>full</x:v>
      </x:c>
      <x:c r="F216" s="86" t="str">
        <x:v>L3</x:v>
      </x:c>
      <x:c r="G216" s="86" t="str">
        <x:v>ION depth-CAL-3</x:v>
      </x:c>
      <x:c r="H216" s="86" t="str">
        <x:v>T3</x:v>
      </x:c>
      <x:c r="I216" s="91" t="str">
        <x:v>OPEN</x:v>
      </x:c>
    </x:row>
    <x:row r="217">
      <x:c r="A217" s="86" t="str">
        <x:v>CH-0212</x:v>
      </x:c>
      <x:c r="B217" s="86" t="str">
        <x:v>ION depth</x:v>
      </x:c>
      <x:c r="C217" s="108" t="n">
        <x:v>20</x:v>
      </x:c>
      <x:c r="D217" s="86" t="str">
        <x:v>Z04</x:v>
      </x:c>
      <x:c r="E217" s="86" t="str">
        <x:v>full</x:v>
      </x:c>
      <x:c r="F217" s="86" t="str">
        <x:v>L4</x:v>
      </x:c>
      <x:c r="G217" s="86" t="str">
        <x:v>ION depth-CAL-4</x:v>
      </x:c>
      <x:c r="H217" s="86" t="str">
        <x:v>T4</x:v>
      </x:c>
      <x:c r="I217" s="91" t="str">
        <x:v>OPEN</x:v>
      </x:c>
    </x:row>
    <x:row r="218">
      <x:c r="A218" s="86" t="str">
        <x:v>CH-0213</x:v>
      </x:c>
      <x:c r="B218" s="86" t="str">
        <x:v>ION depth</x:v>
      </x:c>
      <x:c r="C218" s="108" t="n">
        <x:v>21</x:v>
      </x:c>
      <x:c r="D218" s="86" t="str">
        <x:v>Z05</x:v>
      </x:c>
      <x:c r="E218" s="86" t="str">
        <x:v>full</x:v>
      </x:c>
      <x:c r="F218" s="86" t="str">
        <x:v>L1</x:v>
      </x:c>
      <x:c r="G218" s="86" t="str">
        <x:v>ION depth-CAL-1</x:v>
      </x:c>
      <x:c r="H218" s="86" t="str">
        <x:v>T1</x:v>
      </x:c>
      <x:c r="I218" s="91" t="str">
        <x:v>OPEN</x:v>
      </x:c>
    </x:row>
    <x:row r="219">
      <x:c r="A219" s="86" t="str">
        <x:v>CH-0214</x:v>
      </x:c>
      <x:c r="B219" s="86" t="str">
        <x:v>ION depth</x:v>
      </x:c>
      <x:c r="C219" s="108" t="n">
        <x:v>22</x:v>
      </x:c>
      <x:c r="D219" s="86" t="str">
        <x:v>Z06</x:v>
      </x:c>
      <x:c r="E219" s="86" t="str">
        <x:v>full</x:v>
      </x:c>
      <x:c r="F219" s="86" t="str">
        <x:v>L2</x:v>
      </x:c>
      <x:c r="G219" s="86" t="str">
        <x:v>ION depth-CAL-2</x:v>
      </x:c>
      <x:c r="H219" s="86" t="str">
        <x:v>T2</x:v>
      </x:c>
      <x:c r="I219" s="91" t="str">
        <x:v>OPEN</x:v>
      </x:c>
    </x:row>
    <x:row r="220">
      <x:c r="A220" s="86" t="str">
        <x:v>CH-0215</x:v>
      </x:c>
      <x:c r="B220" s="86" t="str">
        <x:v>ION depth</x:v>
      </x:c>
      <x:c r="C220" s="108" t="n">
        <x:v>23</x:v>
      </x:c>
      <x:c r="D220" s="86" t="str">
        <x:v>Z07</x:v>
      </x:c>
      <x:c r="E220" s="86" t="str">
        <x:v>full</x:v>
      </x:c>
      <x:c r="F220" s="86" t="str">
        <x:v>L3</x:v>
      </x:c>
      <x:c r="G220" s="86" t="str">
        <x:v>ION depth-CAL-3</x:v>
      </x:c>
      <x:c r="H220" s="86" t="str">
        <x:v>T3</x:v>
      </x:c>
      <x:c r="I220" s="91" t="str">
        <x:v>OPEN</x:v>
      </x:c>
    </x:row>
    <x:row r="221">
      <x:c r="A221" s="86" t="str">
        <x:v>CH-0216</x:v>
      </x:c>
      <x:c r="B221" s="86" t="str">
        <x:v>ION depth</x:v>
      </x:c>
      <x:c r="C221" s="108" t="n">
        <x:v>24</x:v>
      </x:c>
      <x:c r="D221" s="86" t="str">
        <x:v>Z08</x:v>
      </x:c>
      <x:c r="E221" s="86" t="str">
        <x:v>full</x:v>
      </x:c>
      <x:c r="F221" s="86" t="str">
        <x:v>L4</x:v>
      </x:c>
      <x:c r="G221" s="86" t="str">
        <x:v>ION depth-CAL-4</x:v>
      </x:c>
      <x:c r="H221" s="86" t="str">
        <x:v>T4</x:v>
      </x:c>
      <x:c r="I221" s="91" t="str">
        <x:v>OPEN</x:v>
      </x:c>
    </x:row>
    <x:row r="222">
      <x:c r="A222" s="86" t="str">
        <x:v>CH-0217</x:v>
      </x:c>
      <x:c r="B222" s="86" t="str">
        <x:v>ION depth</x:v>
      </x:c>
      <x:c r="C222" s="108" t="n">
        <x:v>25</x:v>
      </x:c>
      <x:c r="D222" s="86" t="str">
        <x:v>Z09</x:v>
      </x:c>
      <x:c r="E222" s="86" t="str">
        <x:v>full</x:v>
      </x:c>
      <x:c r="F222" s="86" t="str">
        <x:v>L1</x:v>
      </x:c>
      <x:c r="G222" s="86" t="str">
        <x:v>ION depth-CAL-1</x:v>
      </x:c>
      <x:c r="H222" s="86" t="str">
        <x:v>T1</x:v>
      </x:c>
      <x:c r="I222" s="91" t="str">
        <x:v>OPEN</x:v>
      </x:c>
    </x:row>
    <x:row r="223">
      <x:c r="A223" s="86" t="str">
        <x:v>CH-0218</x:v>
      </x:c>
      <x:c r="B223" s="86" t="str">
        <x:v>ION depth</x:v>
      </x:c>
      <x:c r="C223" s="108" t="n">
        <x:v>26</x:v>
      </x:c>
      <x:c r="D223" s="86" t="str">
        <x:v>Z10</x:v>
      </x:c>
      <x:c r="E223" s="86" t="str">
        <x:v>full</x:v>
      </x:c>
      <x:c r="F223" s="86" t="str">
        <x:v>L2</x:v>
      </x:c>
      <x:c r="G223" s="86" t="str">
        <x:v>ION depth-CAL-2</x:v>
      </x:c>
      <x:c r="H223" s="86" t="str">
        <x:v>T2</x:v>
      </x:c>
      <x:c r="I223" s="91" t="str">
        <x:v>OPEN</x:v>
      </x:c>
    </x:row>
    <x:row r="224">
      <x:c r="A224" s="86" t="str">
        <x:v>CH-0219</x:v>
      </x:c>
      <x:c r="B224" s="86" t="str">
        <x:v>ION depth</x:v>
      </x:c>
      <x:c r="C224" s="108" t="n">
        <x:v>27</x:v>
      </x:c>
      <x:c r="D224" s="86" t="str">
        <x:v>Z11</x:v>
      </x:c>
      <x:c r="E224" s="86" t="str">
        <x:v>full</x:v>
      </x:c>
      <x:c r="F224" s="86" t="str">
        <x:v>L3</x:v>
      </x:c>
      <x:c r="G224" s="86" t="str">
        <x:v>ION depth-CAL-3</x:v>
      </x:c>
      <x:c r="H224" s="86" t="str">
        <x:v>T3</x:v>
      </x:c>
      <x:c r="I224" s="91" t="str">
        <x:v>OPEN</x:v>
      </x:c>
    </x:row>
    <x:row r="225">
      <x:c r="A225" s="86" t="str">
        <x:v>CH-0220</x:v>
      </x:c>
      <x:c r="B225" s="86" t="str">
        <x:v>ION depth</x:v>
      </x:c>
      <x:c r="C225" s="108" t="n">
        <x:v>28</x:v>
      </x:c>
      <x:c r="D225" s="86" t="str">
        <x:v>Z12</x:v>
      </x:c>
      <x:c r="E225" s="86" t="str">
        <x:v>full</x:v>
      </x:c>
      <x:c r="F225" s="86" t="str">
        <x:v>L4</x:v>
      </x:c>
      <x:c r="G225" s="86" t="str">
        <x:v>ION depth-CAL-4</x:v>
      </x:c>
      <x:c r="H225" s="86" t="str">
        <x:v>T4</x:v>
      </x:c>
      <x:c r="I225" s="91" t="str">
        <x:v>OPEN</x:v>
      </x:c>
    </x:row>
    <x:row r="226">
      <x:c r="A226" s="86" t="str">
        <x:v>CH-0221</x:v>
      </x:c>
      <x:c r="B226" s="86" t="str">
        <x:v>ION depth</x:v>
      </x:c>
      <x:c r="C226" s="108" t="n">
        <x:v>29</x:v>
      </x:c>
      <x:c r="D226" s="86" t="str">
        <x:v>Z13</x:v>
      </x:c>
      <x:c r="E226" s="86" t="str">
        <x:v>full</x:v>
      </x:c>
      <x:c r="F226" s="86" t="str">
        <x:v>L1</x:v>
      </x:c>
      <x:c r="G226" s="86" t="str">
        <x:v>ION depth-CAL-1</x:v>
      </x:c>
      <x:c r="H226" s="86" t="str">
        <x:v>T1</x:v>
      </x:c>
      <x:c r="I226" s="91" t="str">
        <x:v>OPEN</x:v>
      </x:c>
    </x:row>
    <x:row r="227">
      <x:c r="A227" s="86" t="str">
        <x:v>CH-0222</x:v>
      </x:c>
      <x:c r="B227" s="86" t="str">
        <x:v>ION depth</x:v>
      </x:c>
      <x:c r="C227" s="108" t="n">
        <x:v>30</x:v>
      </x:c>
      <x:c r="D227" s="86" t="str">
        <x:v>Z14</x:v>
      </x:c>
      <x:c r="E227" s="86" t="str">
        <x:v>full</x:v>
      </x:c>
      <x:c r="F227" s="86" t="str">
        <x:v>L2</x:v>
      </x:c>
      <x:c r="G227" s="86" t="str">
        <x:v>ION depth-CAL-2</x:v>
      </x:c>
      <x:c r="H227" s="86" t="str">
        <x:v>T2</x:v>
      </x:c>
      <x:c r="I227" s="91" t="str">
        <x:v>OPEN</x:v>
      </x:c>
    </x:row>
    <x:row r="228">
      <x:c r="A228" s="86" t="str">
        <x:v>CH-0223</x:v>
      </x:c>
      <x:c r="B228" s="86" t="str">
        <x:v>ION depth</x:v>
      </x:c>
      <x:c r="C228" s="108" t="n">
        <x:v>31</x:v>
      </x:c>
      <x:c r="D228" s="86" t="str">
        <x:v>Z15</x:v>
      </x:c>
      <x:c r="E228" s="86" t="str">
        <x:v>full</x:v>
      </x:c>
      <x:c r="F228" s="86" t="str">
        <x:v>L3</x:v>
      </x:c>
      <x:c r="G228" s="86" t="str">
        <x:v>ION depth-CAL-3</x:v>
      </x:c>
      <x:c r="H228" s="86" t="str">
        <x:v>T3</x:v>
      </x:c>
      <x:c r="I228" s="91" t="str">
        <x:v>OPEN</x:v>
      </x:c>
    </x:row>
    <x:row r="229">
      <x:c r="A229" s="86" t="str">
        <x:v>CH-0224</x:v>
      </x:c>
      <x:c r="B229" s="86" t="str">
        <x:v>ION depth</x:v>
      </x:c>
      <x:c r="C229" s="108" t="n">
        <x:v>32</x:v>
      </x:c>
      <x:c r="D229" s="86" t="str">
        <x:v>Z16</x:v>
      </x:c>
      <x:c r="E229" s="86" t="str">
        <x:v>full</x:v>
      </x:c>
      <x:c r="F229" s="86" t="str">
        <x:v>L4</x:v>
      </x:c>
      <x:c r="G229" s="86" t="str">
        <x:v>ION depth-CAL-4</x:v>
      </x:c>
      <x:c r="H229" s="86" t="str">
        <x:v>T4</x:v>
      </x:c>
      <x:c r="I229" s="91" t="str">
        <x:v>OPEN</x:v>
      </x:c>
    </x:row>
    <x:row r="230">
      <x:c r="A230" s="86" t="str">
        <x:v>CH-0225</x:v>
      </x:c>
      <x:c r="B230" s="86" t="str">
        <x:v>ION depth</x:v>
      </x:c>
      <x:c r="C230" s="108" t="n">
        <x:v>33</x:v>
      </x:c>
      <x:c r="D230" s="86" t="str">
        <x:v>Z01</x:v>
      </x:c>
      <x:c r="E230" s="86" t="str">
        <x:v>intermediate</x:v>
      </x:c>
      <x:c r="F230" s="86" t="str">
        <x:v>L1</x:v>
      </x:c>
      <x:c r="G230" s="86" t="str">
        <x:v>ION depth-CAL-1</x:v>
      </x:c>
      <x:c r="H230" s="86" t="str">
        <x:v>T1</x:v>
      </x:c>
      <x:c r="I230" s="91" t="str">
        <x:v>OPEN</x:v>
      </x:c>
    </x:row>
    <x:row r="231">
      <x:c r="A231" s="86" t="str">
        <x:v>CH-0226</x:v>
      </x:c>
      <x:c r="B231" s="86" t="str">
        <x:v>ION depth</x:v>
      </x:c>
      <x:c r="C231" s="108" t="n">
        <x:v>34</x:v>
      </x:c>
      <x:c r="D231" s="86" t="str">
        <x:v>Z02</x:v>
      </x:c>
      <x:c r="E231" s="86" t="str">
        <x:v>intermediate</x:v>
      </x:c>
      <x:c r="F231" s="86" t="str">
        <x:v>L2</x:v>
      </x:c>
      <x:c r="G231" s="86" t="str">
        <x:v>ION depth-CAL-2</x:v>
      </x:c>
      <x:c r="H231" s="86" t="str">
        <x:v>T2</x:v>
      </x:c>
      <x:c r="I231" s="91" t="str">
        <x:v>OPEN</x:v>
      </x:c>
    </x:row>
    <x:row r="232">
      <x:c r="A232" s="86" t="str">
        <x:v>CH-0227</x:v>
      </x:c>
      <x:c r="B232" s="86" t="str">
        <x:v>ION depth</x:v>
      </x:c>
      <x:c r="C232" s="108" t="n">
        <x:v>35</x:v>
      </x:c>
      <x:c r="D232" s="86" t="str">
        <x:v>Z03</x:v>
      </x:c>
      <x:c r="E232" s="86" t="str">
        <x:v>intermediate</x:v>
      </x:c>
      <x:c r="F232" s="86" t="str">
        <x:v>L3</x:v>
      </x:c>
      <x:c r="G232" s="86" t="str">
        <x:v>ION depth-CAL-3</x:v>
      </x:c>
      <x:c r="H232" s="86" t="str">
        <x:v>T3</x:v>
      </x:c>
      <x:c r="I232" s="91" t="str">
        <x:v>OPEN</x:v>
      </x:c>
    </x:row>
    <x:row r="233">
      <x:c r="A233" s="86" t="str">
        <x:v>CH-0228</x:v>
      </x:c>
      <x:c r="B233" s="86" t="str">
        <x:v>ION depth</x:v>
      </x:c>
      <x:c r="C233" s="108" t="n">
        <x:v>36</x:v>
      </x:c>
      <x:c r="D233" s="86" t="str">
        <x:v>Z04</x:v>
      </x:c>
      <x:c r="E233" s="86" t="str">
        <x:v>intermediate</x:v>
      </x:c>
      <x:c r="F233" s="86" t="str">
        <x:v>L4</x:v>
      </x:c>
      <x:c r="G233" s="86" t="str">
        <x:v>ION depth-CAL-4</x:v>
      </x:c>
      <x:c r="H233" s="86" t="str">
        <x:v>T4</x:v>
      </x:c>
      <x:c r="I233" s="91" t="str">
        <x:v>OPEN</x:v>
      </x:c>
    </x:row>
    <x:row r="234">
      <x:c r="A234" s="86" t="str">
        <x:v>CH-0229</x:v>
      </x:c>
      <x:c r="B234" s="86" t="str">
        <x:v>ION depth</x:v>
      </x:c>
      <x:c r="C234" s="108" t="n">
        <x:v>37</x:v>
      </x:c>
      <x:c r="D234" s="86" t="str">
        <x:v>Z05</x:v>
      </x:c>
      <x:c r="E234" s="86" t="str">
        <x:v>intermediate</x:v>
      </x:c>
      <x:c r="F234" s="86" t="str">
        <x:v>L1</x:v>
      </x:c>
      <x:c r="G234" s="86" t="str">
        <x:v>ION depth-CAL-1</x:v>
      </x:c>
      <x:c r="H234" s="86" t="str">
        <x:v>T1</x:v>
      </x:c>
      <x:c r="I234" s="91" t="str">
        <x:v>OPEN</x:v>
      </x:c>
    </x:row>
    <x:row r="235">
      <x:c r="A235" s="86" t="str">
        <x:v>CH-0230</x:v>
      </x:c>
      <x:c r="B235" s="86" t="str">
        <x:v>ION depth</x:v>
      </x:c>
      <x:c r="C235" s="108" t="n">
        <x:v>38</x:v>
      </x:c>
      <x:c r="D235" s="86" t="str">
        <x:v>Z06</x:v>
      </x:c>
      <x:c r="E235" s="86" t="str">
        <x:v>intermediate</x:v>
      </x:c>
      <x:c r="F235" s="86" t="str">
        <x:v>L2</x:v>
      </x:c>
      <x:c r="G235" s="86" t="str">
        <x:v>ION depth-CAL-2</x:v>
      </x:c>
      <x:c r="H235" s="86" t="str">
        <x:v>T2</x:v>
      </x:c>
      <x:c r="I235" s="91" t="str">
        <x:v>OPEN</x:v>
      </x:c>
    </x:row>
    <x:row r="236">
      <x:c r="A236" s="86" t="str">
        <x:v>CH-0231</x:v>
      </x:c>
      <x:c r="B236" s="86" t="str">
        <x:v>ION depth</x:v>
      </x:c>
      <x:c r="C236" s="108" t="n">
        <x:v>39</x:v>
      </x:c>
      <x:c r="D236" s="86" t="str">
        <x:v>Z07</x:v>
      </x:c>
      <x:c r="E236" s="86" t="str">
        <x:v>intermediate</x:v>
      </x:c>
      <x:c r="F236" s="86" t="str">
        <x:v>L3</x:v>
      </x:c>
      <x:c r="G236" s="86" t="str">
        <x:v>ION depth-CAL-3</x:v>
      </x:c>
      <x:c r="H236" s="86" t="str">
        <x:v>T3</x:v>
      </x:c>
      <x:c r="I236" s="91" t="str">
        <x:v>OPEN</x:v>
      </x:c>
    </x:row>
    <x:row r="237">
      <x:c r="A237" s="86" t="str">
        <x:v>CH-0232</x:v>
      </x:c>
      <x:c r="B237" s="86" t="str">
        <x:v>ION depth</x:v>
      </x:c>
      <x:c r="C237" s="108" t="n">
        <x:v>40</x:v>
      </x:c>
      <x:c r="D237" s="86" t="str">
        <x:v>Z08</x:v>
      </x:c>
      <x:c r="E237" s="86" t="str">
        <x:v>intermediate</x:v>
      </x:c>
      <x:c r="F237" s="86" t="str">
        <x:v>L4</x:v>
      </x:c>
      <x:c r="G237" s="86" t="str">
        <x:v>ION depth-CAL-4</x:v>
      </x:c>
      <x:c r="H237" s="86" t="str">
        <x:v>T4</x:v>
      </x:c>
      <x:c r="I237" s="91" t="str">
        <x:v>OPEN</x:v>
      </x:c>
    </x:row>
    <x:row r="238">
      <x:c r="A238" s="86" t="str">
        <x:v>CH-0233</x:v>
      </x:c>
      <x:c r="B238" s="86" t="str">
        <x:v>ION depth</x:v>
      </x:c>
      <x:c r="C238" s="108" t="n">
        <x:v>41</x:v>
      </x:c>
      <x:c r="D238" s="86" t="str">
        <x:v>Z09</x:v>
      </x:c>
      <x:c r="E238" s="86" t="str">
        <x:v>intermediate</x:v>
      </x:c>
      <x:c r="F238" s="86" t="str">
        <x:v>L1</x:v>
      </x:c>
      <x:c r="G238" s="86" t="str">
        <x:v>ION depth-CAL-1</x:v>
      </x:c>
      <x:c r="H238" s="86" t="str">
        <x:v>T1</x:v>
      </x:c>
      <x:c r="I238" s="91" t="str">
        <x:v>OPEN</x:v>
      </x:c>
    </x:row>
    <x:row r="239">
      <x:c r="A239" s="86" t="str">
        <x:v>CH-0234</x:v>
      </x:c>
      <x:c r="B239" s="86" t="str">
        <x:v>ION depth</x:v>
      </x:c>
      <x:c r="C239" s="108" t="n">
        <x:v>42</x:v>
      </x:c>
      <x:c r="D239" s="86" t="str">
        <x:v>Z10</x:v>
      </x:c>
      <x:c r="E239" s="86" t="str">
        <x:v>intermediate</x:v>
      </x:c>
      <x:c r="F239" s="86" t="str">
        <x:v>L2</x:v>
      </x:c>
      <x:c r="G239" s="86" t="str">
        <x:v>ION depth-CAL-2</x:v>
      </x:c>
      <x:c r="H239" s="86" t="str">
        <x:v>T2</x:v>
      </x:c>
      <x:c r="I239" s="91" t="str">
        <x:v>OPEN</x:v>
      </x:c>
    </x:row>
    <x:row r="240">
      <x:c r="A240" s="86" t="str">
        <x:v>CH-0235</x:v>
      </x:c>
      <x:c r="B240" s="86" t="str">
        <x:v>ION depth</x:v>
      </x:c>
      <x:c r="C240" s="108" t="n">
        <x:v>43</x:v>
      </x:c>
      <x:c r="D240" s="86" t="str">
        <x:v>Z11</x:v>
      </x:c>
      <x:c r="E240" s="86" t="str">
        <x:v>intermediate</x:v>
      </x:c>
      <x:c r="F240" s="86" t="str">
        <x:v>L3</x:v>
      </x:c>
      <x:c r="G240" s="86" t="str">
        <x:v>ION depth-CAL-3</x:v>
      </x:c>
      <x:c r="H240" s="86" t="str">
        <x:v>T3</x:v>
      </x:c>
      <x:c r="I240" s="91" t="str">
        <x:v>OPEN</x:v>
      </x:c>
    </x:row>
    <x:row r="241">
      <x:c r="A241" s="86" t="str">
        <x:v>CH-0236</x:v>
      </x:c>
      <x:c r="B241" s="86" t="str">
        <x:v>ION depth</x:v>
      </x:c>
      <x:c r="C241" s="108" t="n">
        <x:v>44</x:v>
      </x:c>
      <x:c r="D241" s="86" t="str">
        <x:v>Z12</x:v>
      </x:c>
      <x:c r="E241" s="86" t="str">
        <x:v>intermediate</x:v>
      </x:c>
      <x:c r="F241" s="86" t="str">
        <x:v>L4</x:v>
      </x:c>
      <x:c r="G241" s="86" t="str">
        <x:v>ION depth-CAL-4</x:v>
      </x:c>
      <x:c r="H241" s="86" t="str">
        <x:v>T4</x:v>
      </x:c>
      <x:c r="I241" s="91" t="str">
        <x:v>OPEN</x:v>
      </x:c>
    </x:row>
    <x:row r="242">
      <x:c r="A242" s="86" t="str">
        <x:v>CH-0237</x:v>
      </x:c>
      <x:c r="B242" s="86" t="str">
        <x:v>ION depth</x:v>
      </x:c>
      <x:c r="C242" s="108" t="n">
        <x:v>45</x:v>
      </x:c>
      <x:c r="D242" s="86" t="str">
        <x:v>Z13</x:v>
      </x:c>
      <x:c r="E242" s="86" t="str">
        <x:v>intermediate</x:v>
      </x:c>
      <x:c r="F242" s="86" t="str">
        <x:v>L1</x:v>
      </x:c>
      <x:c r="G242" s="86" t="str">
        <x:v>ION depth-CAL-1</x:v>
      </x:c>
      <x:c r="H242" s="86" t="str">
        <x:v>T1</x:v>
      </x:c>
      <x:c r="I242" s="91" t="str">
        <x:v>OPEN</x:v>
      </x:c>
    </x:row>
    <x:row r="243">
      <x:c r="A243" s="86" t="str">
        <x:v>CH-0238</x:v>
      </x:c>
      <x:c r="B243" s="86" t="str">
        <x:v>ION depth</x:v>
      </x:c>
      <x:c r="C243" s="108" t="n">
        <x:v>46</x:v>
      </x:c>
      <x:c r="D243" s="86" t="str">
        <x:v>Z14</x:v>
      </x:c>
      <x:c r="E243" s="86" t="str">
        <x:v>intermediate</x:v>
      </x:c>
      <x:c r="F243" s="86" t="str">
        <x:v>L2</x:v>
      </x:c>
      <x:c r="G243" s="86" t="str">
        <x:v>ION depth-CAL-2</x:v>
      </x:c>
      <x:c r="H243" s="86" t="str">
        <x:v>T2</x:v>
      </x:c>
      <x:c r="I243" s="91" t="str">
        <x:v>OPEN</x:v>
      </x:c>
    </x:row>
    <x:row r="244">
      <x:c r="A244" s="86" t="str">
        <x:v>CH-0239</x:v>
      </x:c>
      <x:c r="B244" s="86" t="str">
        <x:v>ION depth</x:v>
      </x:c>
      <x:c r="C244" s="108" t="n">
        <x:v>47</x:v>
      </x:c>
      <x:c r="D244" s="86" t="str">
        <x:v>Z15</x:v>
      </x:c>
      <x:c r="E244" s="86" t="str">
        <x:v>intermediate</x:v>
      </x:c>
      <x:c r="F244" s="86" t="str">
        <x:v>L3</x:v>
      </x:c>
      <x:c r="G244" s="86" t="str">
        <x:v>ION depth-CAL-3</x:v>
      </x:c>
      <x:c r="H244" s="86" t="str">
        <x:v>T3</x:v>
      </x:c>
      <x:c r="I244" s="91" t="str">
        <x:v>OPEN</x:v>
      </x:c>
    </x:row>
    <x:row r="245">
      <x:c r="A245" s="86" t="str">
        <x:v>CH-0240</x:v>
      </x:c>
      <x:c r="B245" s="86" t="str">
        <x:v>ION depth</x:v>
      </x:c>
      <x:c r="C245" s="108" t="n">
        <x:v>48</x:v>
      </x:c>
      <x:c r="D245" s="86" t="str">
        <x:v>Z16</x:v>
      </x:c>
      <x:c r="E245" s="86" t="str">
        <x:v>intermediate</x:v>
      </x:c>
      <x:c r="F245" s="86" t="str">
        <x:v>L4</x:v>
      </x:c>
      <x:c r="G245" s="86" t="str">
        <x:v>ION depth-CAL-4</x:v>
      </x:c>
      <x:c r="H245" s="86" t="str">
        <x:v>T4</x:v>
      </x:c>
      <x:c r="I245" s="91" t="str">
        <x:v>OPEN</x:v>
      </x:c>
    </x:row>
    <x:row r="246">
      <x:c r="A246" s="86" t="str">
        <x:v>CH-0241</x:v>
      </x:c>
      <x:c r="B246" s="86" t="str">
        <x:v>ION depth</x:v>
      </x:c>
      <x:c r="C246" s="108" t="n">
        <x:v>49</x:v>
      </x:c>
      <x:c r="D246" s="86" t="str">
        <x:v>Z01</x:v>
      </x:c>
      <x:c r="E246" s="86" t="str">
        <x:v>return</x:v>
      </x:c>
      <x:c r="F246" s="86" t="str">
        <x:v>L1</x:v>
      </x:c>
      <x:c r="G246" s="86" t="str">
        <x:v>ION depth-CAL-1</x:v>
      </x:c>
      <x:c r="H246" s="86" t="str">
        <x:v>T1</x:v>
      </x:c>
      <x:c r="I246" s="91" t="str">
        <x:v>OPEN</x:v>
      </x:c>
    </x:row>
    <x:row r="247">
      <x:c r="A247" s="86" t="str">
        <x:v>CH-0242</x:v>
      </x:c>
      <x:c r="B247" s="86" t="str">
        <x:v>ION depth</x:v>
      </x:c>
      <x:c r="C247" s="108" t="n">
        <x:v>50</x:v>
      </x:c>
      <x:c r="D247" s="86" t="str">
        <x:v>Z02</x:v>
      </x:c>
      <x:c r="E247" s="86" t="str">
        <x:v>return</x:v>
      </x:c>
      <x:c r="F247" s="86" t="str">
        <x:v>L2</x:v>
      </x:c>
      <x:c r="G247" s="86" t="str">
        <x:v>ION depth-CAL-2</x:v>
      </x:c>
      <x:c r="H247" s="86" t="str">
        <x:v>T2</x:v>
      </x:c>
      <x:c r="I247" s="91" t="str">
        <x:v>OPEN</x:v>
      </x:c>
    </x:row>
    <x:row r="248">
      <x:c r="A248" s="86" t="str">
        <x:v>CH-0243</x:v>
      </x:c>
      <x:c r="B248" s="86" t="str">
        <x:v>ION depth</x:v>
      </x:c>
      <x:c r="C248" s="108" t="n">
        <x:v>51</x:v>
      </x:c>
      <x:c r="D248" s="86" t="str">
        <x:v>Z03</x:v>
      </x:c>
      <x:c r="E248" s="86" t="str">
        <x:v>return</x:v>
      </x:c>
      <x:c r="F248" s="86" t="str">
        <x:v>L3</x:v>
      </x:c>
      <x:c r="G248" s="86" t="str">
        <x:v>ION depth-CAL-3</x:v>
      </x:c>
      <x:c r="H248" s="86" t="str">
        <x:v>T3</x:v>
      </x:c>
      <x:c r="I248" s="91" t="str">
        <x:v>OPEN</x:v>
      </x:c>
    </x:row>
    <x:row r="249">
      <x:c r="A249" s="86" t="str">
        <x:v>CH-0244</x:v>
      </x:c>
      <x:c r="B249" s="86" t="str">
        <x:v>ION depth</x:v>
      </x:c>
      <x:c r="C249" s="108" t="n">
        <x:v>52</x:v>
      </x:c>
      <x:c r="D249" s="86" t="str">
        <x:v>Z04</x:v>
      </x:c>
      <x:c r="E249" s="86" t="str">
        <x:v>return</x:v>
      </x:c>
      <x:c r="F249" s="86" t="str">
        <x:v>L4</x:v>
      </x:c>
      <x:c r="G249" s="86" t="str">
        <x:v>ION depth-CAL-4</x:v>
      </x:c>
      <x:c r="H249" s="86" t="str">
        <x:v>T4</x:v>
      </x:c>
      <x:c r="I249" s="91" t="str">
        <x:v>OPEN</x:v>
      </x:c>
    </x:row>
    <x:row r="250">
      <x:c r="A250" s="86" t="str">
        <x:v>CH-0245</x:v>
      </x:c>
      <x:c r="B250" s="86" t="str">
        <x:v>ION depth</x:v>
      </x:c>
      <x:c r="C250" s="108" t="n">
        <x:v>53</x:v>
      </x:c>
      <x:c r="D250" s="86" t="str">
        <x:v>Z05</x:v>
      </x:c>
      <x:c r="E250" s="86" t="str">
        <x:v>return</x:v>
      </x:c>
      <x:c r="F250" s="86" t="str">
        <x:v>L1</x:v>
      </x:c>
      <x:c r="G250" s="86" t="str">
        <x:v>ION depth-CAL-1</x:v>
      </x:c>
      <x:c r="H250" s="86" t="str">
        <x:v>T1</x:v>
      </x:c>
      <x:c r="I250" s="91" t="str">
        <x:v>OPEN</x:v>
      </x:c>
    </x:row>
    <x:row r="251">
      <x:c r="A251" s="86" t="str">
        <x:v>CH-0246</x:v>
      </x:c>
      <x:c r="B251" s="86" t="str">
        <x:v>ION depth</x:v>
      </x:c>
      <x:c r="C251" s="108" t="n">
        <x:v>54</x:v>
      </x:c>
      <x:c r="D251" s="86" t="str">
        <x:v>Z06</x:v>
      </x:c>
      <x:c r="E251" s="86" t="str">
        <x:v>return</x:v>
      </x:c>
      <x:c r="F251" s="86" t="str">
        <x:v>L2</x:v>
      </x:c>
      <x:c r="G251" s="86" t="str">
        <x:v>ION depth-CAL-2</x:v>
      </x:c>
      <x:c r="H251" s="86" t="str">
        <x:v>T2</x:v>
      </x:c>
      <x:c r="I251" s="91" t="str">
        <x:v>OPEN</x:v>
      </x:c>
    </x:row>
    <x:row r="252">
      <x:c r="A252" s="86" t="str">
        <x:v>CH-0247</x:v>
      </x:c>
      <x:c r="B252" s="86" t="str">
        <x:v>ION depth</x:v>
      </x:c>
      <x:c r="C252" s="108" t="n">
        <x:v>55</x:v>
      </x:c>
      <x:c r="D252" s="86" t="str">
        <x:v>Z07</x:v>
      </x:c>
      <x:c r="E252" s="86" t="str">
        <x:v>return</x:v>
      </x:c>
      <x:c r="F252" s="86" t="str">
        <x:v>L3</x:v>
      </x:c>
      <x:c r="G252" s="86" t="str">
        <x:v>ION depth-CAL-3</x:v>
      </x:c>
      <x:c r="H252" s="86" t="str">
        <x:v>T3</x:v>
      </x:c>
      <x:c r="I252" s="91" t="str">
        <x:v>OPEN</x:v>
      </x:c>
    </x:row>
    <x:row r="253">
      <x:c r="A253" s="86" t="str">
        <x:v>CH-0248</x:v>
      </x:c>
      <x:c r="B253" s="86" t="str">
        <x:v>ION depth</x:v>
      </x:c>
      <x:c r="C253" s="108" t="n">
        <x:v>56</x:v>
      </x:c>
      <x:c r="D253" s="86" t="str">
        <x:v>Z08</x:v>
      </x:c>
      <x:c r="E253" s="86" t="str">
        <x:v>return</x:v>
      </x:c>
      <x:c r="F253" s="86" t="str">
        <x:v>L4</x:v>
      </x:c>
      <x:c r="G253" s="86" t="str">
        <x:v>ION depth-CAL-4</x:v>
      </x:c>
      <x:c r="H253" s="86" t="str">
        <x:v>T4</x:v>
      </x:c>
      <x:c r="I253" s="91" t="str">
        <x:v>OPEN</x:v>
      </x:c>
    </x:row>
    <x:row r="254">
      <x:c r="A254" s="86" t="str">
        <x:v>CH-0249</x:v>
      </x:c>
      <x:c r="B254" s="86" t="str">
        <x:v>ION depth</x:v>
      </x:c>
      <x:c r="C254" s="108" t="n">
        <x:v>57</x:v>
      </x:c>
      <x:c r="D254" s="86" t="str">
        <x:v>Z09</x:v>
      </x:c>
      <x:c r="E254" s="86" t="str">
        <x:v>return</x:v>
      </x:c>
      <x:c r="F254" s="86" t="str">
        <x:v>L1</x:v>
      </x:c>
      <x:c r="G254" s="86" t="str">
        <x:v>ION depth-CAL-1</x:v>
      </x:c>
      <x:c r="H254" s="86" t="str">
        <x:v>T1</x:v>
      </x:c>
      <x:c r="I254" s="91" t="str">
        <x:v>OPEN</x:v>
      </x:c>
    </x:row>
    <x:row r="255">
      <x:c r="A255" s="86" t="str">
        <x:v>CH-0250</x:v>
      </x:c>
      <x:c r="B255" s="86" t="str">
        <x:v>ION depth</x:v>
      </x:c>
      <x:c r="C255" s="108" t="n">
        <x:v>58</x:v>
      </x:c>
      <x:c r="D255" s="86" t="str">
        <x:v>Z10</x:v>
      </x:c>
      <x:c r="E255" s="86" t="str">
        <x:v>return</x:v>
      </x:c>
      <x:c r="F255" s="86" t="str">
        <x:v>L2</x:v>
      </x:c>
      <x:c r="G255" s="86" t="str">
        <x:v>ION depth-CAL-2</x:v>
      </x:c>
      <x:c r="H255" s="86" t="str">
        <x:v>T2</x:v>
      </x:c>
      <x:c r="I255" s="91" t="str">
        <x:v>OPEN</x:v>
      </x:c>
    </x:row>
    <x:row r="256">
      <x:c r="A256" s="86" t="str">
        <x:v>CH-0251</x:v>
      </x:c>
      <x:c r="B256" s="86" t="str">
        <x:v>ION depth</x:v>
      </x:c>
      <x:c r="C256" s="108" t="n">
        <x:v>59</x:v>
      </x:c>
      <x:c r="D256" s="86" t="str">
        <x:v>Z11</x:v>
      </x:c>
      <x:c r="E256" s="86" t="str">
        <x:v>return</x:v>
      </x:c>
      <x:c r="F256" s="86" t="str">
        <x:v>L3</x:v>
      </x:c>
      <x:c r="G256" s="86" t="str">
        <x:v>ION depth-CAL-3</x:v>
      </x:c>
      <x:c r="H256" s="86" t="str">
        <x:v>T3</x:v>
      </x:c>
      <x:c r="I256" s="91" t="str">
        <x:v>OPEN</x:v>
      </x:c>
    </x:row>
    <x:row r="257">
      <x:c r="A257" s="86" t="str">
        <x:v>CH-0252</x:v>
      </x:c>
      <x:c r="B257" s="86" t="str">
        <x:v>ION depth</x:v>
      </x:c>
      <x:c r="C257" s="108" t="n">
        <x:v>60</x:v>
      </x:c>
      <x:c r="D257" s="86" t="str">
        <x:v>Z12</x:v>
      </x:c>
      <x:c r="E257" s="86" t="str">
        <x:v>return</x:v>
      </x:c>
      <x:c r="F257" s="86" t="str">
        <x:v>L4</x:v>
      </x:c>
      <x:c r="G257" s="86" t="str">
        <x:v>ION depth-CAL-4</x:v>
      </x:c>
      <x:c r="H257" s="86" t="str">
        <x:v>T4</x:v>
      </x:c>
      <x:c r="I257" s="91" t="str">
        <x:v>OPEN</x:v>
      </x:c>
    </x:row>
    <x:row r="258">
      <x:c r="A258" s="86" t="str">
        <x:v>CH-0253</x:v>
      </x:c>
      <x:c r="B258" s="86" t="str">
        <x:v>ION depth</x:v>
      </x:c>
      <x:c r="C258" s="108" t="n">
        <x:v>61</x:v>
      </x:c>
      <x:c r="D258" s="86" t="str">
        <x:v>Z13</x:v>
      </x:c>
      <x:c r="E258" s="86" t="str">
        <x:v>return</x:v>
      </x:c>
      <x:c r="F258" s="86" t="str">
        <x:v>L1</x:v>
      </x:c>
      <x:c r="G258" s="86" t="str">
        <x:v>ION depth-CAL-1</x:v>
      </x:c>
      <x:c r="H258" s="86" t="str">
        <x:v>T1</x:v>
      </x:c>
      <x:c r="I258" s="91" t="str">
        <x:v>OPEN</x:v>
      </x:c>
    </x:row>
    <x:row r="259">
      <x:c r="A259" s="86" t="str">
        <x:v>CH-0254</x:v>
      </x:c>
      <x:c r="B259" s="86" t="str">
        <x:v>ION depth</x:v>
      </x:c>
      <x:c r="C259" s="108" t="n">
        <x:v>62</x:v>
      </x:c>
      <x:c r="D259" s="86" t="str">
        <x:v>Z14</x:v>
      </x:c>
      <x:c r="E259" s="86" t="str">
        <x:v>return</x:v>
      </x:c>
      <x:c r="F259" s="86" t="str">
        <x:v>L2</x:v>
      </x:c>
      <x:c r="G259" s="86" t="str">
        <x:v>ION depth-CAL-2</x:v>
      </x:c>
      <x:c r="H259" s="86" t="str">
        <x:v>T2</x:v>
      </x:c>
      <x:c r="I259" s="91" t="str">
        <x:v>OPEN</x:v>
      </x:c>
    </x:row>
    <x:row r="260">
      <x:c r="A260" s="86" t="str">
        <x:v>CH-0255</x:v>
      </x:c>
      <x:c r="B260" s="86" t="str">
        <x:v>ION depth</x:v>
      </x:c>
      <x:c r="C260" s="108" t="n">
        <x:v>63</x:v>
      </x:c>
      <x:c r="D260" s="86" t="str">
        <x:v>Z15</x:v>
      </x:c>
      <x:c r="E260" s="86" t="str">
        <x:v>return</x:v>
      </x:c>
      <x:c r="F260" s="86" t="str">
        <x:v>L3</x:v>
      </x:c>
      <x:c r="G260" s="86" t="str">
        <x:v>ION depth-CAL-3</x:v>
      </x:c>
      <x:c r="H260" s="86" t="str">
        <x:v>T3</x:v>
      </x:c>
      <x:c r="I260" s="91" t="str">
        <x:v>OPEN</x:v>
      </x:c>
    </x:row>
    <x:row r="261">
      <x:c r="A261" s="86" t="str">
        <x:v>CH-0256</x:v>
      </x:c>
      <x:c r="B261" s="86" t="str">
        <x:v>ION depth</x:v>
      </x:c>
      <x:c r="C261" s="108" t="n">
        <x:v>64</x:v>
      </x:c>
      <x:c r="D261" s="86" t="str">
        <x:v>Z16</x:v>
      </x:c>
      <x:c r="E261" s="86" t="str">
        <x:v>return</x:v>
      </x:c>
      <x:c r="F261" s="86" t="str">
        <x:v>L4</x:v>
      </x:c>
      <x:c r="G261" s="86" t="str">
        <x:v>ION depth-CAL-4</x:v>
      </x:c>
      <x:c r="H261" s="86" t="str">
        <x:v>T4</x:v>
      </x:c>
      <x:c r="I261" s="91" t="str">
        <x:v>OPEN</x:v>
      </x:c>
    </x:row>
    <x:row r="262">
      <x:c r="A262" s="86" t="str">
        <x:v>CH-0257</x:v>
      </x:c>
      <x:c r="B262" s="86" t="str">
        <x:v>TOP surface</x:v>
      </x:c>
      <x:c r="C262" s="108" t="n">
        <x:v>1</x:v>
      </x:c>
      <x:c r="D262" s="86" t="str">
        <x:v>Z01</x:v>
      </x:c>
      <x:c r="E262" s="86" t="str">
        <x:v>full</x:v>
      </x:c>
      <x:c r="F262" s="86" t="str">
        <x:v>L1</x:v>
      </x:c>
      <x:c r="G262" s="86" t="str">
        <x:v>TOP surface-CAL-1</x:v>
      </x:c>
      <x:c r="H262" s="86" t="str">
        <x:v>T1</x:v>
      </x:c>
      <x:c r="I262" s="91" t="str">
        <x:v>OPEN</x:v>
      </x:c>
    </x:row>
    <x:row r="263">
      <x:c r="A263" s="86" t="str">
        <x:v>CH-0258</x:v>
      </x:c>
      <x:c r="B263" s="86" t="str">
        <x:v>TOP surface</x:v>
      </x:c>
      <x:c r="C263" s="108" t="n">
        <x:v>2</x:v>
      </x:c>
      <x:c r="D263" s="86" t="str">
        <x:v>Z02</x:v>
      </x:c>
      <x:c r="E263" s="86" t="str">
        <x:v>full</x:v>
      </x:c>
      <x:c r="F263" s="86" t="str">
        <x:v>L2</x:v>
      </x:c>
      <x:c r="G263" s="86" t="str">
        <x:v>TOP surface-CAL-2</x:v>
      </x:c>
      <x:c r="H263" s="86" t="str">
        <x:v>T2</x:v>
      </x:c>
      <x:c r="I263" s="91" t="str">
        <x:v>OPEN</x:v>
      </x:c>
    </x:row>
    <x:row r="264">
      <x:c r="A264" s="86" t="str">
        <x:v>CH-0259</x:v>
      </x:c>
      <x:c r="B264" s="86" t="str">
        <x:v>TOP surface</x:v>
      </x:c>
      <x:c r="C264" s="108" t="n">
        <x:v>3</x:v>
      </x:c>
      <x:c r="D264" s="86" t="str">
        <x:v>Z03</x:v>
      </x:c>
      <x:c r="E264" s="86" t="str">
        <x:v>full</x:v>
      </x:c>
      <x:c r="F264" s="86" t="str">
        <x:v>L3</x:v>
      </x:c>
      <x:c r="G264" s="86" t="str">
        <x:v>TOP surface-CAL-3</x:v>
      </x:c>
      <x:c r="H264" s="86" t="str">
        <x:v>T3</x:v>
      </x:c>
      <x:c r="I264" s="91" t="str">
        <x:v>OPEN</x:v>
      </x:c>
    </x:row>
    <x:row r="265">
      <x:c r="A265" s="86" t="str">
        <x:v>CH-0260</x:v>
      </x:c>
      <x:c r="B265" s="86" t="str">
        <x:v>TOP surface</x:v>
      </x:c>
      <x:c r="C265" s="108" t="n">
        <x:v>4</x:v>
      </x:c>
      <x:c r="D265" s="86" t="str">
        <x:v>Z04</x:v>
      </x:c>
      <x:c r="E265" s="86" t="str">
        <x:v>full</x:v>
      </x:c>
      <x:c r="F265" s="86" t="str">
        <x:v>L4</x:v>
      </x:c>
      <x:c r="G265" s="86" t="str">
        <x:v>TOP surface-CAL-4</x:v>
      </x:c>
      <x:c r="H265" s="86" t="str">
        <x:v>T4</x:v>
      </x:c>
      <x:c r="I265" s="91" t="str">
        <x:v>OPEN</x:v>
      </x:c>
    </x:row>
    <x:row r="266">
      <x:c r="A266" s="86" t="str">
        <x:v>CH-0261</x:v>
      </x:c>
      <x:c r="B266" s="86" t="str">
        <x:v>TOP surface</x:v>
      </x:c>
      <x:c r="C266" s="108" t="n">
        <x:v>5</x:v>
      </x:c>
      <x:c r="D266" s="86" t="str">
        <x:v>Z05</x:v>
      </x:c>
      <x:c r="E266" s="86" t="str">
        <x:v>full</x:v>
      </x:c>
      <x:c r="F266" s="86" t="str">
        <x:v>L1</x:v>
      </x:c>
      <x:c r="G266" s="86" t="str">
        <x:v>TOP surface-CAL-1</x:v>
      </x:c>
      <x:c r="H266" s="86" t="str">
        <x:v>T1</x:v>
      </x:c>
      <x:c r="I266" s="91" t="str">
        <x:v>OPEN</x:v>
      </x:c>
    </x:row>
    <x:row r="267">
      <x:c r="A267" s="86" t="str">
        <x:v>CH-0262</x:v>
      </x:c>
      <x:c r="B267" s="86" t="str">
        <x:v>TOP surface</x:v>
      </x:c>
      <x:c r="C267" s="108" t="n">
        <x:v>6</x:v>
      </x:c>
      <x:c r="D267" s="86" t="str">
        <x:v>Z06</x:v>
      </x:c>
      <x:c r="E267" s="86" t="str">
        <x:v>full</x:v>
      </x:c>
      <x:c r="F267" s="86" t="str">
        <x:v>L2</x:v>
      </x:c>
      <x:c r="G267" s="86" t="str">
        <x:v>TOP surface-CAL-2</x:v>
      </x:c>
      <x:c r="H267" s="86" t="str">
        <x:v>T2</x:v>
      </x:c>
      <x:c r="I267" s="91" t="str">
        <x:v>OPEN</x:v>
      </x:c>
    </x:row>
    <x:row r="268">
      <x:c r="A268" s="86" t="str">
        <x:v>CH-0263</x:v>
      </x:c>
      <x:c r="B268" s="86" t="str">
        <x:v>TOP surface</x:v>
      </x:c>
      <x:c r="C268" s="108" t="n">
        <x:v>7</x:v>
      </x:c>
      <x:c r="D268" s="86" t="str">
        <x:v>Z07</x:v>
      </x:c>
      <x:c r="E268" s="86" t="str">
        <x:v>full</x:v>
      </x:c>
      <x:c r="F268" s="86" t="str">
        <x:v>L3</x:v>
      </x:c>
      <x:c r="G268" s="86" t="str">
        <x:v>TOP surface-CAL-3</x:v>
      </x:c>
      <x:c r="H268" s="86" t="str">
        <x:v>T3</x:v>
      </x:c>
      <x:c r="I268" s="91" t="str">
        <x:v>OPEN</x:v>
      </x:c>
    </x:row>
    <x:row r="269">
      <x:c r="A269" s="86" t="str">
        <x:v>CH-0264</x:v>
      </x:c>
      <x:c r="B269" s="86" t="str">
        <x:v>TOP surface</x:v>
      </x:c>
      <x:c r="C269" s="108" t="n">
        <x:v>8</x:v>
      </x:c>
      <x:c r="D269" s="86" t="str">
        <x:v>Z08</x:v>
      </x:c>
      <x:c r="E269" s="86" t="str">
        <x:v>full</x:v>
      </x:c>
      <x:c r="F269" s="86" t="str">
        <x:v>L4</x:v>
      </x:c>
      <x:c r="G269" s="86" t="str">
        <x:v>TOP surface-CAL-4</x:v>
      </x:c>
      <x:c r="H269" s="86" t="str">
        <x:v>T4</x:v>
      </x:c>
      <x:c r="I269" s="91" t="str">
        <x:v>OPEN</x:v>
      </x:c>
    </x:row>
    <x:row r="270">
      <x:c r="A270" s="86" t="str">
        <x:v>CH-0265</x:v>
      </x:c>
      <x:c r="B270" s="86" t="str">
        <x:v>TOP surface</x:v>
      </x:c>
      <x:c r="C270" s="108" t="n">
        <x:v>9</x:v>
      </x:c>
      <x:c r="D270" s="86" t="str">
        <x:v>Z09</x:v>
      </x:c>
      <x:c r="E270" s="86" t="str">
        <x:v>full</x:v>
      </x:c>
      <x:c r="F270" s="86" t="str">
        <x:v>L1</x:v>
      </x:c>
      <x:c r="G270" s="86" t="str">
        <x:v>TOP surface-CAL-1</x:v>
      </x:c>
      <x:c r="H270" s="86" t="str">
        <x:v>T1</x:v>
      </x:c>
      <x:c r="I270" s="91" t="str">
        <x:v>OPEN</x:v>
      </x:c>
    </x:row>
    <x:row r="271">
      <x:c r="A271" s="86" t="str">
        <x:v>CH-0266</x:v>
      </x:c>
      <x:c r="B271" s="86" t="str">
        <x:v>TOP surface</x:v>
      </x:c>
      <x:c r="C271" s="108" t="n">
        <x:v>10</x:v>
      </x:c>
      <x:c r="D271" s="86" t="str">
        <x:v>Z10</x:v>
      </x:c>
      <x:c r="E271" s="86" t="str">
        <x:v>full</x:v>
      </x:c>
      <x:c r="F271" s="86" t="str">
        <x:v>L2</x:v>
      </x:c>
      <x:c r="G271" s="86" t="str">
        <x:v>TOP surface-CAL-2</x:v>
      </x:c>
      <x:c r="H271" s="86" t="str">
        <x:v>T2</x:v>
      </x:c>
      <x:c r="I271" s="91" t="str">
        <x:v>OPEN</x:v>
      </x:c>
    </x:row>
    <x:row r="272">
      <x:c r="A272" s="86" t="str">
        <x:v>CH-0267</x:v>
      </x:c>
      <x:c r="B272" s="86" t="str">
        <x:v>TOP surface</x:v>
      </x:c>
      <x:c r="C272" s="108" t="n">
        <x:v>11</x:v>
      </x:c>
      <x:c r="D272" s="86" t="str">
        <x:v>Z11</x:v>
      </x:c>
      <x:c r="E272" s="86" t="str">
        <x:v>full</x:v>
      </x:c>
      <x:c r="F272" s="86" t="str">
        <x:v>L3</x:v>
      </x:c>
      <x:c r="G272" s="86" t="str">
        <x:v>TOP surface-CAL-3</x:v>
      </x:c>
      <x:c r="H272" s="86" t="str">
        <x:v>T3</x:v>
      </x:c>
      <x:c r="I272" s="91" t="str">
        <x:v>OPEN</x:v>
      </x:c>
    </x:row>
    <x:row r="273">
      <x:c r="A273" s="86" t="str">
        <x:v>CH-0268</x:v>
      </x:c>
      <x:c r="B273" s="86" t="str">
        <x:v>TOP surface</x:v>
      </x:c>
      <x:c r="C273" s="108" t="n">
        <x:v>12</x:v>
      </x:c>
      <x:c r="D273" s="86" t="str">
        <x:v>Z12</x:v>
      </x:c>
      <x:c r="E273" s="86" t="str">
        <x:v>full</x:v>
      </x:c>
      <x:c r="F273" s="86" t="str">
        <x:v>L4</x:v>
      </x:c>
      <x:c r="G273" s="86" t="str">
        <x:v>TOP surface-CAL-4</x:v>
      </x:c>
      <x:c r="H273" s="86" t="str">
        <x:v>T4</x:v>
      </x:c>
      <x:c r="I273" s="91" t="str">
        <x:v>OPEN</x:v>
      </x:c>
    </x:row>
    <x:row r="274">
      <x:c r="A274" s="86" t="str">
        <x:v>CH-0269</x:v>
      </x:c>
      <x:c r="B274" s="86" t="str">
        <x:v>TOP surface</x:v>
      </x:c>
      <x:c r="C274" s="108" t="n">
        <x:v>13</x:v>
      </x:c>
      <x:c r="D274" s="86" t="str">
        <x:v>Z13</x:v>
      </x:c>
      <x:c r="E274" s="86" t="str">
        <x:v>full</x:v>
      </x:c>
      <x:c r="F274" s="86" t="str">
        <x:v>L1</x:v>
      </x:c>
      <x:c r="G274" s="86" t="str">
        <x:v>TOP surface-CAL-1</x:v>
      </x:c>
      <x:c r="H274" s="86" t="str">
        <x:v>T1</x:v>
      </x:c>
      <x:c r="I274" s="91" t="str">
        <x:v>OPEN</x:v>
      </x:c>
    </x:row>
    <x:row r="275">
      <x:c r="A275" s="86" t="str">
        <x:v>CH-0270</x:v>
      </x:c>
      <x:c r="B275" s="86" t="str">
        <x:v>TOP surface</x:v>
      </x:c>
      <x:c r="C275" s="108" t="n">
        <x:v>14</x:v>
      </x:c>
      <x:c r="D275" s="86" t="str">
        <x:v>Z14</x:v>
      </x:c>
      <x:c r="E275" s="86" t="str">
        <x:v>full</x:v>
      </x:c>
      <x:c r="F275" s="86" t="str">
        <x:v>L2</x:v>
      </x:c>
      <x:c r="G275" s="86" t="str">
        <x:v>TOP surface-CAL-2</x:v>
      </x:c>
      <x:c r="H275" s="86" t="str">
        <x:v>T2</x:v>
      </x:c>
      <x:c r="I275" s="91" t="str">
        <x:v>OPEN</x:v>
      </x:c>
    </x:row>
    <x:row r="276">
      <x:c r="A276" s="86" t="str">
        <x:v>CH-0271</x:v>
      </x:c>
      <x:c r="B276" s="86" t="str">
        <x:v>TOP surface</x:v>
      </x:c>
      <x:c r="C276" s="108" t="n">
        <x:v>15</x:v>
      </x:c>
      <x:c r="D276" s="86" t="str">
        <x:v>Z15</x:v>
      </x:c>
      <x:c r="E276" s="86" t="str">
        <x:v>full</x:v>
      </x:c>
      <x:c r="F276" s="86" t="str">
        <x:v>L3</x:v>
      </x:c>
      <x:c r="G276" s="86" t="str">
        <x:v>TOP surface-CAL-3</x:v>
      </x:c>
      <x:c r="H276" s="86" t="str">
        <x:v>T3</x:v>
      </x:c>
      <x:c r="I276" s="91" t="str">
        <x:v>OPEN</x:v>
      </x:c>
    </x:row>
    <x:row r="277">
      <x:c r="A277" s="86" t="str">
        <x:v>CH-0272</x:v>
      </x:c>
      <x:c r="B277" s="86" t="str">
        <x:v>TOP surface</x:v>
      </x:c>
      <x:c r="C277" s="108" t="n">
        <x:v>16</x:v>
      </x:c>
      <x:c r="D277" s="86" t="str">
        <x:v>Z16</x:v>
      </x:c>
      <x:c r="E277" s="86" t="str">
        <x:v>full</x:v>
      </x:c>
      <x:c r="F277" s="86" t="str">
        <x:v>L4</x:v>
      </x:c>
      <x:c r="G277" s="86" t="str">
        <x:v>TOP surface-CAL-4</x:v>
      </x:c>
      <x:c r="H277" s="86" t="str">
        <x:v>T4</x:v>
      </x:c>
      <x:c r="I277" s="91" t="str">
        <x:v>OPEN</x:v>
      </x:c>
    </x:row>
    <x:row r="278">
      <x:c r="A278" s="86" t="str">
        <x:v>CH-0273</x:v>
      </x:c>
      <x:c r="B278" s="86" t="str">
        <x:v>TOP surface</x:v>
      </x:c>
      <x:c r="C278" s="108" t="n">
        <x:v>17</x:v>
      </x:c>
      <x:c r="D278" s="86" t="str">
        <x:v>Z01</x:v>
      </x:c>
      <x:c r="E278" s="86" t="str">
        <x:v>full</x:v>
      </x:c>
      <x:c r="F278" s="86" t="str">
        <x:v>L1</x:v>
      </x:c>
      <x:c r="G278" s="86" t="str">
        <x:v>TOP surface-CAL-1</x:v>
      </x:c>
      <x:c r="H278" s="86" t="str">
        <x:v>T1</x:v>
      </x:c>
      <x:c r="I278" s="91" t="str">
        <x:v>OPEN</x:v>
      </x:c>
    </x:row>
    <x:row r="279">
      <x:c r="A279" s="86" t="str">
        <x:v>CH-0274</x:v>
      </x:c>
      <x:c r="B279" s="86" t="str">
        <x:v>TOP surface</x:v>
      </x:c>
      <x:c r="C279" s="108" t="n">
        <x:v>18</x:v>
      </x:c>
      <x:c r="D279" s="86" t="str">
        <x:v>Z02</x:v>
      </x:c>
      <x:c r="E279" s="86" t="str">
        <x:v>full</x:v>
      </x:c>
      <x:c r="F279" s="86" t="str">
        <x:v>L2</x:v>
      </x:c>
      <x:c r="G279" s="86" t="str">
        <x:v>TOP surface-CAL-2</x:v>
      </x:c>
      <x:c r="H279" s="86" t="str">
        <x:v>T2</x:v>
      </x:c>
      <x:c r="I279" s="91" t="str">
        <x:v>OPEN</x:v>
      </x:c>
    </x:row>
    <x:row r="280">
      <x:c r="A280" s="86" t="str">
        <x:v>CH-0275</x:v>
      </x:c>
      <x:c r="B280" s="86" t="str">
        <x:v>TOP surface</x:v>
      </x:c>
      <x:c r="C280" s="108" t="n">
        <x:v>19</x:v>
      </x:c>
      <x:c r="D280" s="86" t="str">
        <x:v>Z03</x:v>
      </x:c>
      <x:c r="E280" s="86" t="str">
        <x:v>full</x:v>
      </x:c>
      <x:c r="F280" s="86" t="str">
        <x:v>L3</x:v>
      </x:c>
      <x:c r="G280" s="86" t="str">
        <x:v>TOP surface-CAL-3</x:v>
      </x:c>
      <x:c r="H280" s="86" t="str">
        <x:v>T3</x:v>
      </x:c>
      <x:c r="I280" s="91" t="str">
        <x:v>OPEN</x:v>
      </x:c>
    </x:row>
    <x:row r="281">
      <x:c r="A281" s="86" t="str">
        <x:v>CH-0276</x:v>
      </x:c>
      <x:c r="B281" s="86" t="str">
        <x:v>TOP surface</x:v>
      </x:c>
      <x:c r="C281" s="108" t="n">
        <x:v>20</x:v>
      </x:c>
      <x:c r="D281" s="86" t="str">
        <x:v>Z04</x:v>
      </x:c>
      <x:c r="E281" s="86" t="str">
        <x:v>full</x:v>
      </x:c>
      <x:c r="F281" s="86" t="str">
        <x:v>L4</x:v>
      </x:c>
      <x:c r="G281" s="86" t="str">
        <x:v>TOP surface-CAL-4</x:v>
      </x:c>
      <x:c r="H281" s="86" t="str">
        <x:v>T4</x:v>
      </x:c>
      <x:c r="I281" s="91" t="str">
        <x:v>OPEN</x:v>
      </x:c>
    </x:row>
    <x:row r="282">
      <x:c r="A282" s="86" t="str">
        <x:v>CH-0277</x:v>
      </x:c>
      <x:c r="B282" s="86" t="str">
        <x:v>TOP surface</x:v>
      </x:c>
      <x:c r="C282" s="108" t="n">
        <x:v>21</x:v>
      </x:c>
      <x:c r="D282" s="86" t="str">
        <x:v>Z05</x:v>
      </x:c>
      <x:c r="E282" s="86" t="str">
        <x:v>full</x:v>
      </x:c>
      <x:c r="F282" s="86" t="str">
        <x:v>L1</x:v>
      </x:c>
      <x:c r="G282" s="86" t="str">
        <x:v>TOP surface-CAL-1</x:v>
      </x:c>
      <x:c r="H282" s="86" t="str">
        <x:v>T1</x:v>
      </x:c>
      <x:c r="I282" s="91" t="str">
        <x:v>OPEN</x:v>
      </x:c>
    </x:row>
    <x:row r="283">
      <x:c r="A283" s="86" t="str">
        <x:v>CH-0278</x:v>
      </x:c>
      <x:c r="B283" s="86" t="str">
        <x:v>TOP surface</x:v>
      </x:c>
      <x:c r="C283" s="108" t="n">
        <x:v>22</x:v>
      </x:c>
      <x:c r="D283" s="86" t="str">
        <x:v>Z06</x:v>
      </x:c>
      <x:c r="E283" s="86" t="str">
        <x:v>full</x:v>
      </x:c>
      <x:c r="F283" s="86" t="str">
        <x:v>L2</x:v>
      </x:c>
      <x:c r="G283" s="86" t="str">
        <x:v>TOP surface-CAL-2</x:v>
      </x:c>
      <x:c r="H283" s="86" t="str">
        <x:v>T2</x:v>
      </x:c>
      <x:c r="I283" s="91" t="str">
        <x:v>OPEN</x:v>
      </x:c>
    </x:row>
    <x:row r="284">
      <x:c r="A284" s="86" t="str">
        <x:v>CH-0279</x:v>
      </x:c>
      <x:c r="B284" s="86" t="str">
        <x:v>TOP surface</x:v>
      </x:c>
      <x:c r="C284" s="108" t="n">
        <x:v>23</x:v>
      </x:c>
      <x:c r="D284" s="86" t="str">
        <x:v>Z07</x:v>
      </x:c>
      <x:c r="E284" s="86" t="str">
        <x:v>full</x:v>
      </x:c>
      <x:c r="F284" s="86" t="str">
        <x:v>L3</x:v>
      </x:c>
      <x:c r="G284" s="86" t="str">
        <x:v>TOP surface-CAL-3</x:v>
      </x:c>
      <x:c r="H284" s="86" t="str">
        <x:v>T3</x:v>
      </x:c>
      <x:c r="I284" s="91" t="str">
        <x:v>OPEN</x:v>
      </x:c>
    </x:row>
    <x:row r="285">
      <x:c r="A285" s="86" t="str">
        <x:v>CH-0280</x:v>
      </x:c>
      <x:c r="B285" s="86" t="str">
        <x:v>TOP surface</x:v>
      </x:c>
      <x:c r="C285" s="108" t="n">
        <x:v>24</x:v>
      </x:c>
      <x:c r="D285" s="86" t="str">
        <x:v>Z08</x:v>
      </x:c>
      <x:c r="E285" s="86" t="str">
        <x:v>full</x:v>
      </x:c>
      <x:c r="F285" s="86" t="str">
        <x:v>L4</x:v>
      </x:c>
      <x:c r="G285" s="86" t="str">
        <x:v>TOP surface-CAL-4</x:v>
      </x:c>
      <x:c r="H285" s="86" t="str">
        <x:v>T4</x:v>
      </x:c>
      <x:c r="I285" s="91" t="str">
        <x:v>OPEN</x:v>
      </x:c>
    </x:row>
    <x:row r="286">
      <x:c r="A286" s="86" t="str">
        <x:v>CH-0281</x:v>
      </x:c>
      <x:c r="B286" s="86" t="str">
        <x:v>TOP surface</x:v>
      </x:c>
      <x:c r="C286" s="108" t="n">
        <x:v>25</x:v>
      </x:c>
      <x:c r="D286" s="86" t="str">
        <x:v>Z09</x:v>
      </x:c>
      <x:c r="E286" s="86" t="str">
        <x:v>full</x:v>
      </x:c>
      <x:c r="F286" s="86" t="str">
        <x:v>L1</x:v>
      </x:c>
      <x:c r="G286" s="86" t="str">
        <x:v>TOP surface-CAL-1</x:v>
      </x:c>
      <x:c r="H286" s="86" t="str">
        <x:v>T1</x:v>
      </x:c>
      <x:c r="I286" s="91" t="str">
        <x:v>OPEN</x:v>
      </x:c>
    </x:row>
    <x:row r="287">
      <x:c r="A287" s="86" t="str">
        <x:v>CH-0282</x:v>
      </x:c>
      <x:c r="B287" s="86" t="str">
        <x:v>TOP surface</x:v>
      </x:c>
      <x:c r="C287" s="108" t="n">
        <x:v>26</x:v>
      </x:c>
      <x:c r="D287" s="86" t="str">
        <x:v>Z10</x:v>
      </x:c>
      <x:c r="E287" s="86" t="str">
        <x:v>full</x:v>
      </x:c>
      <x:c r="F287" s="86" t="str">
        <x:v>L2</x:v>
      </x:c>
      <x:c r="G287" s="86" t="str">
        <x:v>TOP surface-CAL-2</x:v>
      </x:c>
      <x:c r="H287" s="86" t="str">
        <x:v>T2</x:v>
      </x:c>
      <x:c r="I287" s="91" t="str">
        <x:v>OPEN</x:v>
      </x:c>
    </x:row>
    <x:row r="288">
      <x:c r="A288" s="86" t="str">
        <x:v>CH-0283</x:v>
      </x:c>
      <x:c r="B288" s="86" t="str">
        <x:v>TOP surface</x:v>
      </x:c>
      <x:c r="C288" s="108" t="n">
        <x:v>27</x:v>
      </x:c>
      <x:c r="D288" s="86" t="str">
        <x:v>Z11</x:v>
      </x:c>
      <x:c r="E288" s="86" t="str">
        <x:v>full</x:v>
      </x:c>
      <x:c r="F288" s="86" t="str">
        <x:v>L3</x:v>
      </x:c>
      <x:c r="G288" s="86" t="str">
        <x:v>TOP surface-CAL-3</x:v>
      </x:c>
      <x:c r="H288" s="86" t="str">
        <x:v>T3</x:v>
      </x:c>
      <x:c r="I288" s="91" t="str">
        <x:v>OPEN</x:v>
      </x:c>
    </x:row>
    <x:row r="289">
      <x:c r="A289" s="86" t="str">
        <x:v>CH-0284</x:v>
      </x:c>
      <x:c r="B289" s="86" t="str">
        <x:v>TOP surface</x:v>
      </x:c>
      <x:c r="C289" s="108" t="n">
        <x:v>28</x:v>
      </x:c>
      <x:c r="D289" s="86" t="str">
        <x:v>Z12</x:v>
      </x:c>
      <x:c r="E289" s="86" t="str">
        <x:v>full</x:v>
      </x:c>
      <x:c r="F289" s="86" t="str">
        <x:v>L4</x:v>
      </x:c>
      <x:c r="G289" s="86" t="str">
        <x:v>TOP surface-CAL-4</x:v>
      </x:c>
      <x:c r="H289" s="86" t="str">
        <x:v>T4</x:v>
      </x:c>
      <x:c r="I289" s="91" t="str">
        <x:v>OPEN</x:v>
      </x:c>
    </x:row>
    <x:row r="290">
      <x:c r="A290" s="86" t="str">
        <x:v>CH-0285</x:v>
      </x:c>
      <x:c r="B290" s="86" t="str">
        <x:v>TOP surface</x:v>
      </x:c>
      <x:c r="C290" s="108" t="n">
        <x:v>29</x:v>
      </x:c>
      <x:c r="D290" s="86" t="str">
        <x:v>Z13</x:v>
      </x:c>
      <x:c r="E290" s="86" t="str">
        <x:v>full</x:v>
      </x:c>
      <x:c r="F290" s="86" t="str">
        <x:v>L1</x:v>
      </x:c>
      <x:c r="G290" s="86" t="str">
        <x:v>TOP surface-CAL-1</x:v>
      </x:c>
      <x:c r="H290" s="86" t="str">
        <x:v>T1</x:v>
      </x:c>
      <x:c r="I290" s="91" t="str">
        <x:v>OPEN</x:v>
      </x:c>
    </x:row>
    <x:row r="291">
      <x:c r="A291" s="86" t="str">
        <x:v>CH-0286</x:v>
      </x:c>
      <x:c r="B291" s="86" t="str">
        <x:v>TOP surface</x:v>
      </x:c>
      <x:c r="C291" s="108" t="n">
        <x:v>30</x:v>
      </x:c>
      <x:c r="D291" s="86" t="str">
        <x:v>Z14</x:v>
      </x:c>
      <x:c r="E291" s="86" t="str">
        <x:v>full</x:v>
      </x:c>
      <x:c r="F291" s="86" t="str">
        <x:v>L2</x:v>
      </x:c>
      <x:c r="G291" s="86" t="str">
        <x:v>TOP surface-CAL-2</x:v>
      </x:c>
      <x:c r="H291" s="86" t="str">
        <x:v>T2</x:v>
      </x:c>
      <x:c r="I291" s="91" t="str">
        <x:v>OPEN</x:v>
      </x:c>
    </x:row>
    <x:row r="292">
      <x:c r="A292" s="86" t="str">
        <x:v>CH-0287</x:v>
      </x:c>
      <x:c r="B292" s="86" t="str">
        <x:v>TOP surface</x:v>
      </x:c>
      <x:c r="C292" s="108" t="n">
        <x:v>31</x:v>
      </x:c>
      <x:c r="D292" s="86" t="str">
        <x:v>Z15</x:v>
      </x:c>
      <x:c r="E292" s="86" t="str">
        <x:v>full</x:v>
      </x:c>
      <x:c r="F292" s="86" t="str">
        <x:v>L3</x:v>
      </x:c>
      <x:c r="G292" s="86" t="str">
        <x:v>TOP surface-CAL-3</x:v>
      </x:c>
      <x:c r="H292" s="86" t="str">
        <x:v>T3</x:v>
      </x:c>
      <x:c r="I292" s="91" t="str">
        <x:v>OPEN</x:v>
      </x:c>
    </x:row>
    <x:row r="293">
      <x:c r="A293" s="86" t="str">
        <x:v>CH-0288</x:v>
      </x:c>
      <x:c r="B293" s="86" t="str">
        <x:v>TOP surface</x:v>
      </x:c>
      <x:c r="C293" s="108" t="n">
        <x:v>32</x:v>
      </x:c>
      <x:c r="D293" s="86" t="str">
        <x:v>Z16</x:v>
      </x:c>
      <x:c r="E293" s="86" t="str">
        <x:v>full</x:v>
      </x:c>
      <x:c r="F293" s="86" t="str">
        <x:v>L4</x:v>
      </x:c>
      <x:c r="G293" s="86" t="str">
        <x:v>TOP surface-CAL-4</x:v>
      </x:c>
      <x:c r="H293" s="86" t="str">
        <x:v>T4</x:v>
      </x:c>
      <x:c r="I293" s="91" t="str">
        <x:v>OPEN</x:v>
      </x:c>
    </x:row>
    <x:row r="294">
      <x:c r="A294" s="86" t="str">
        <x:v>CH-0289</x:v>
      </x:c>
      <x:c r="B294" s="86" t="str">
        <x:v>TOP surface</x:v>
      </x:c>
      <x:c r="C294" s="108" t="n">
        <x:v>33</x:v>
      </x:c>
      <x:c r="D294" s="86" t="str">
        <x:v>Z01</x:v>
      </x:c>
      <x:c r="E294" s="86" t="str">
        <x:v>intermediate</x:v>
      </x:c>
      <x:c r="F294" s="86" t="str">
        <x:v>L1</x:v>
      </x:c>
      <x:c r="G294" s="86" t="str">
        <x:v>TOP surface-CAL-1</x:v>
      </x:c>
      <x:c r="H294" s="86" t="str">
        <x:v>T1</x:v>
      </x:c>
      <x:c r="I294" s="91" t="str">
        <x:v>OPEN</x:v>
      </x:c>
    </x:row>
    <x:row r="295">
      <x:c r="A295" s="86" t="str">
        <x:v>CH-0290</x:v>
      </x:c>
      <x:c r="B295" s="86" t="str">
        <x:v>TOP surface</x:v>
      </x:c>
      <x:c r="C295" s="108" t="n">
        <x:v>34</x:v>
      </x:c>
      <x:c r="D295" s="86" t="str">
        <x:v>Z02</x:v>
      </x:c>
      <x:c r="E295" s="86" t="str">
        <x:v>intermediate</x:v>
      </x:c>
      <x:c r="F295" s="86" t="str">
        <x:v>L2</x:v>
      </x:c>
      <x:c r="G295" s="86" t="str">
        <x:v>TOP surface-CAL-2</x:v>
      </x:c>
      <x:c r="H295" s="86" t="str">
        <x:v>T2</x:v>
      </x:c>
      <x:c r="I295" s="91" t="str">
        <x:v>OPEN</x:v>
      </x:c>
    </x:row>
    <x:row r="296">
      <x:c r="A296" s="86" t="str">
        <x:v>CH-0291</x:v>
      </x:c>
      <x:c r="B296" s="86" t="str">
        <x:v>TOP surface</x:v>
      </x:c>
      <x:c r="C296" s="108" t="n">
        <x:v>35</x:v>
      </x:c>
      <x:c r="D296" s="86" t="str">
        <x:v>Z03</x:v>
      </x:c>
      <x:c r="E296" s="86" t="str">
        <x:v>intermediate</x:v>
      </x:c>
      <x:c r="F296" s="86" t="str">
        <x:v>L3</x:v>
      </x:c>
      <x:c r="G296" s="86" t="str">
        <x:v>TOP surface-CAL-3</x:v>
      </x:c>
      <x:c r="H296" s="86" t="str">
        <x:v>T3</x:v>
      </x:c>
      <x:c r="I296" s="91" t="str">
        <x:v>OPEN</x:v>
      </x:c>
    </x:row>
    <x:row r="297">
      <x:c r="A297" s="86" t="str">
        <x:v>CH-0292</x:v>
      </x:c>
      <x:c r="B297" s="86" t="str">
        <x:v>TOP surface</x:v>
      </x:c>
      <x:c r="C297" s="108" t="n">
        <x:v>36</x:v>
      </x:c>
      <x:c r="D297" s="86" t="str">
        <x:v>Z04</x:v>
      </x:c>
      <x:c r="E297" s="86" t="str">
        <x:v>intermediate</x:v>
      </x:c>
      <x:c r="F297" s="86" t="str">
        <x:v>L4</x:v>
      </x:c>
      <x:c r="G297" s="86" t="str">
        <x:v>TOP surface-CAL-4</x:v>
      </x:c>
      <x:c r="H297" s="86" t="str">
        <x:v>T4</x:v>
      </x:c>
      <x:c r="I297" s="91" t="str">
        <x:v>OPEN</x:v>
      </x:c>
    </x:row>
    <x:row r="298">
      <x:c r="A298" s="86" t="str">
        <x:v>CH-0293</x:v>
      </x:c>
      <x:c r="B298" s="86" t="str">
        <x:v>TOP surface</x:v>
      </x:c>
      <x:c r="C298" s="108" t="n">
        <x:v>37</x:v>
      </x:c>
      <x:c r="D298" s="86" t="str">
        <x:v>Z05</x:v>
      </x:c>
      <x:c r="E298" s="86" t="str">
        <x:v>intermediate</x:v>
      </x:c>
      <x:c r="F298" s="86" t="str">
        <x:v>L1</x:v>
      </x:c>
      <x:c r="G298" s="86" t="str">
        <x:v>TOP surface-CAL-1</x:v>
      </x:c>
      <x:c r="H298" s="86" t="str">
        <x:v>T1</x:v>
      </x:c>
      <x:c r="I298" s="91" t="str">
        <x:v>OPEN</x:v>
      </x:c>
    </x:row>
    <x:row r="299">
      <x:c r="A299" s="86" t="str">
        <x:v>CH-0294</x:v>
      </x:c>
      <x:c r="B299" s="86" t="str">
        <x:v>TOP surface</x:v>
      </x:c>
      <x:c r="C299" s="108" t="n">
        <x:v>38</x:v>
      </x:c>
      <x:c r="D299" s="86" t="str">
        <x:v>Z06</x:v>
      </x:c>
      <x:c r="E299" s="86" t="str">
        <x:v>intermediate</x:v>
      </x:c>
      <x:c r="F299" s="86" t="str">
        <x:v>L2</x:v>
      </x:c>
      <x:c r="G299" s="86" t="str">
        <x:v>TOP surface-CAL-2</x:v>
      </x:c>
      <x:c r="H299" s="86" t="str">
        <x:v>T2</x:v>
      </x:c>
      <x:c r="I299" s="91" t="str">
        <x:v>OPEN</x:v>
      </x:c>
    </x:row>
    <x:row r="300">
      <x:c r="A300" s="86" t="str">
        <x:v>CH-0295</x:v>
      </x:c>
      <x:c r="B300" s="86" t="str">
        <x:v>TOP surface</x:v>
      </x:c>
      <x:c r="C300" s="108" t="n">
        <x:v>39</x:v>
      </x:c>
      <x:c r="D300" s="86" t="str">
        <x:v>Z07</x:v>
      </x:c>
      <x:c r="E300" s="86" t="str">
        <x:v>intermediate</x:v>
      </x:c>
      <x:c r="F300" s="86" t="str">
        <x:v>L3</x:v>
      </x:c>
      <x:c r="G300" s="86" t="str">
        <x:v>TOP surface-CAL-3</x:v>
      </x:c>
      <x:c r="H300" s="86" t="str">
        <x:v>T3</x:v>
      </x:c>
      <x:c r="I300" s="91" t="str">
        <x:v>OPEN</x:v>
      </x:c>
    </x:row>
    <x:row r="301">
      <x:c r="A301" s="86" t="str">
        <x:v>CH-0296</x:v>
      </x:c>
      <x:c r="B301" s="86" t="str">
        <x:v>TOP surface</x:v>
      </x:c>
      <x:c r="C301" s="108" t="n">
        <x:v>40</x:v>
      </x:c>
      <x:c r="D301" s="86" t="str">
        <x:v>Z08</x:v>
      </x:c>
      <x:c r="E301" s="86" t="str">
        <x:v>intermediate</x:v>
      </x:c>
      <x:c r="F301" s="86" t="str">
        <x:v>L4</x:v>
      </x:c>
      <x:c r="G301" s="86" t="str">
        <x:v>TOP surface-CAL-4</x:v>
      </x:c>
      <x:c r="H301" s="86" t="str">
        <x:v>T4</x:v>
      </x:c>
      <x:c r="I301" s="91" t="str">
        <x:v>OPEN</x:v>
      </x:c>
    </x:row>
    <x:row r="302">
      <x:c r="A302" s="86" t="str">
        <x:v>CH-0297</x:v>
      </x:c>
      <x:c r="B302" s="86" t="str">
        <x:v>TOP surface</x:v>
      </x:c>
      <x:c r="C302" s="108" t="n">
        <x:v>41</x:v>
      </x:c>
      <x:c r="D302" s="86" t="str">
        <x:v>Z09</x:v>
      </x:c>
      <x:c r="E302" s="86" t="str">
        <x:v>intermediate</x:v>
      </x:c>
      <x:c r="F302" s="86" t="str">
        <x:v>L1</x:v>
      </x:c>
      <x:c r="G302" s="86" t="str">
        <x:v>TOP surface-CAL-1</x:v>
      </x:c>
      <x:c r="H302" s="86" t="str">
        <x:v>T1</x:v>
      </x:c>
      <x:c r="I302" s="91" t="str">
        <x:v>OPEN</x:v>
      </x:c>
    </x:row>
    <x:row r="303">
      <x:c r="A303" s="86" t="str">
        <x:v>CH-0298</x:v>
      </x:c>
      <x:c r="B303" s="86" t="str">
        <x:v>TOP surface</x:v>
      </x:c>
      <x:c r="C303" s="108" t="n">
        <x:v>42</x:v>
      </x:c>
      <x:c r="D303" s="86" t="str">
        <x:v>Z10</x:v>
      </x:c>
      <x:c r="E303" s="86" t="str">
        <x:v>intermediate</x:v>
      </x:c>
      <x:c r="F303" s="86" t="str">
        <x:v>L2</x:v>
      </x:c>
      <x:c r="G303" s="86" t="str">
        <x:v>TOP surface-CAL-2</x:v>
      </x:c>
      <x:c r="H303" s="86" t="str">
        <x:v>T2</x:v>
      </x:c>
      <x:c r="I303" s="91" t="str">
        <x:v>OPEN</x:v>
      </x:c>
    </x:row>
    <x:row r="304">
      <x:c r="A304" s="86" t="str">
        <x:v>CH-0299</x:v>
      </x:c>
      <x:c r="B304" s="86" t="str">
        <x:v>TOP surface</x:v>
      </x:c>
      <x:c r="C304" s="108" t="n">
        <x:v>43</x:v>
      </x:c>
      <x:c r="D304" s="86" t="str">
        <x:v>Z11</x:v>
      </x:c>
      <x:c r="E304" s="86" t="str">
        <x:v>intermediate</x:v>
      </x:c>
      <x:c r="F304" s="86" t="str">
        <x:v>L3</x:v>
      </x:c>
      <x:c r="G304" s="86" t="str">
        <x:v>TOP surface-CAL-3</x:v>
      </x:c>
      <x:c r="H304" s="86" t="str">
        <x:v>T3</x:v>
      </x:c>
      <x:c r="I304" s="91" t="str">
        <x:v>OPEN</x:v>
      </x:c>
    </x:row>
    <x:row r="305">
      <x:c r="A305" s="86" t="str">
        <x:v>CH-0300</x:v>
      </x:c>
      <x:c r="B305" s="86" t="str">
        <x:v>TOP surface</x:v>
      </x:c>
      <x:c r="C305" s="108" t="n">
        <x:v>44</x:v>
      </x:c>
      <x:c r="D305" s="86" t="str">
        <x:v>Z12</x:v>
      </x:c>
      <x:c r="E305" s="86" t="str">
        <x:v>intermediate</x:v>
      </x:c>
      <x:c r="F305" s="86" t="str">
        <x:v>L4</x:v>
      </x:c>
      <x:c r="G305" s="86" t="str">
        <x:v>TOP surface-CAL-4</x:v>
      </x:c>
      <x:c r="H305" s="86" t="str">
        <x:v>T4</x:v>
      </x:c>
      <x:c r="I305" s="91" t="str">
        <x:v>OPEN</x:v>
      </x:c>
    </x:row>
    <x:row r="306">
      <x:c r="A306" s="86" t="str">
        <x:v>CH-0301</x:v>
      </x:c>
      <x:c r="B306" s="86" t="str">
        <x:v>TOP surface</x:v>
      </x:c>
      <x:c r="C306" s="108" t="n">
        <x:v>45</x:v>
      </x:c>
      <x:c r="D306" s="86" t="str">
        <x:v>Z13</x:v>
      </x:c>
      <x:c r="E306" s="86" t="str">
        <x:v>intermediate</x:v>
      </x:c>
      <x:c r="F306" s="86" t="str">
        <x:v>L1</x:v>
      </x:c>
      <x:c r="G306" s="86" t="str">
        <x:v>TOP surface-CAL-1</x:v>
      </x:c>
      <x:c r="H306" s="86" t="str">
        <x:v>T1</x:v>
      </x:c>
      <x:c r="I306" s="91" t="str">
        <x:v>OPEN</x:v>
      </x:c>
    </x:row>
    <x:row r="307">
      <x:c r="A307" s="86" t="str">
        <x:v>CH-0302</x:v>
      </x:c>
      <x:c r="B307" s="86" t="str">
        <x:v>TOP surface</x:v>
      </x:c>
      <x:c r="C307" s="108" t="n">
        <x:v>46</x:v>
      </x:c>
      <x:c r="D307" s="86" t="str">
        <x:v>Z14</x:v>
      </x:c>
      <x:c r="E307" s="86" t="str">
        <x:v>intermediate</x:v>
      </x:c>
      <x:c r="F307" s="86" t="str">
        <x:v>L2</x:v>
      </x:c>
      <x:c r="G307" s="86" t="str">
        <x:v>TOP surface-CAL-2</x:v>
      </x:c>
      <x:c r="H307" s="86" t="str">
        <x:v>T2</x:v>
      </x:c>
      <x:c r="I307" s="91" t="str">
        <x:v>OPEN</x:v>
      </x:c>
    </x:row>
    <x:row r="308">
      <x:c r="A308" s="86" t="str">
        <x:v>CH-0303</x:v>
      </x:c>
      <x:c r="B308" s="86" t="str">
        <x:v>TOP surface</x:v>
      </x:c>
      <x:c r="C308" s="108" t="n">
        <x:v>47</x:v>
      </x:c>
      <x:c r="D308" s="86" t="str">
        <x:v>Z15</x:v>
      </x:c>
      <x:c r="E308" s="86" t="str">
        <x:v>intermediate</x:v>
      </x:c>
      <x:c r="F308" s="86" t="str">
        <x:v>L3</x:v>
      </x:c>
      <x:c r="G308" s="86" t="str">
        <x:v>TOP surface-CAL-3</x:v>
      </x:c>
      <x:c r="H308" s="86" t="str">
        <x:v>T3</x:v>
      </x:c>
      <x:c r="I308" s="91" t="str">
        <x:v>OPEN</x:v>
      </x:c>
    </x:row>
    <x:row r="309">
      <x:c r="A309" s="86" t="str">
        <x:v>CH-0304</x:v>
      </x:c>
      <x:c r="B309" s="86" t="str">
        <x:v>TOP surface</x:v>
      </x:c>
      <x:c r="C309" s="108" t="n">
        <x:v>48</x:v>
      </x:c>
      <x:c r="D309" s="86" t="str">
        <x:v>Z16</x:v>
      </x:c>
      <x:c r="E309" s="86" t="str">
        <x:v>intermediate</x:v>
      </x:c>
      <x:c r="F309" s="86" t="str">
        <x:v>L4</x:v>
      </x:c>
      <x:c r="G309" s="86" t="str">
        <x:v>TOP surface-CAL-4</x:v>
      </x:c>
      <x:c r="H309" s="86" t="str">
        <x:v>T4</x:v>
      </x:c>
      <x:c r="I309" s="91" t="str">
        <x:v>OPEN</x:v>
      </x:c>
    </x:row>
    <x:row r="310">
      <x:c r="A310" s="86" t="str">
        <x:v>CH-0305</x:v>
      </x:c>
      <x:c r="B310" s="86" t="str">
        <x:v>TOP surface</x:v>
      </x:c>
      <x:c r="C310" s="108" t="n">
        <x:v>49</x:v>
      </x:c>
      <x:c r="D310" s="86" t="str">
        <x:v>Z01</x:v>
      </x:c>
      <x:c r="E310" s="86" t="str">
        <x:v>return</x:v>
      </x:c>
      <x:c r="F310" s="86" t="str">
        <x:v>L1</x:v>
      </x:c>
      <x:c r="G310" s="86" t="str">
        <x:v>TOP surface-CAL-1</x:v>
      </x:c>
      <x:c r="H310" s="86" t="str">
        <x:v>T1</x:v>
      </x:c>
      <x:c r="I310" s="91" t="str">
        <x:v>OPEN</x:v>
      </x:c>
    </x:row>
    <x:row r="311">
      <x:c r="A311" s="86" t="str">
        <x:v>CH-0306</x:v>
      </x:c>
      <x:c r="B311" s="86" t="str">
        <x:v>TOP surface</x:v>
      </x:c>
      <x:c r="C311" s="108" t="n">
        <x:v>50</x:v>
      </x:c>
      <x:c r="D311" s="86" t="str">
        <x:v>Z02</x:v>
      </x:c>
      <x:c r="E311" s="86" t="str">
        <x:v>return</x:v>
      </x:c>
      <x:c r="F311" s="86" t="str">
        <x:v>L2</x:v>
      </x:c>
      <x:c r="G311" s="86" t="str">
        <x:v>TOP surface-CAL-2</x:v>
      </x:c>
      <x:c r="H311" s="86" t="str">
        <x:v>T2</x:v>
      </x:c>
      <x:c r="I311" s="91" t="str">
        <x:v>OPEN</x:v>
      </x:c>
    </x:row>
    <x:row r="312">
      <x:c r="A312" s="86" t="str">
        <x:v>CH-0307</x:v>
      </x:c>
      <x:c r="B312" s="86" t="str">
        <x:v>TOP surface</x:v>
      </x:c>
      <x:c r="C312" s="108" t="n">
        <x:v>51</x:v>
      </x:c>
      <x:c r="D312" s="86" t="str">
        <x:v>Z03</x:v>
      </x:c>
      <x:c r="E312" s="86" t="str">
        <x:v>return</x:v>
      </x:c>
      <x:c r="F312" s="86" t="str">
        <x:v>L3</x:v>
      </x:c>
      <x:c r="G312" s="86" t="str">
        <x:v>TOP surface-CAL-3</x:v>
      </x:c>
      <x:c r="H312" s="86" t="str">
        <x:v>T3</x:v>
      </x:c>
      <x:c r="I312" s="91" t="str">
        <x:v>OPEN</x:v>
      </x:c>
    </x:row>
    <x:row r="313">
      <x:c r="A313" s="86" t="str">
        <x:v>CH-0308</x:v>
      </x:c>
      <x:c r="B313" s="86" t="str">
        <x:v>TOP surface</x:v>
      </x:c>
      <x:c r="C313" s="108" t="n">
        <x:v>52</x:v>
      </x:c>
      <x:c r="D313" s="86" t="str">
        <x:v>Z04</x:v>
      </x:c>
      <x:c r="E313" s="86" t="str">
        <x:v>return</x:v>
      </x:c>
      <x:c r="F313" s="86" t="str">
        <x:v>L4</x:v>
      </x:c>
      <x:c r="G313" s="86" t="str">
        <x:v>TOP surface-CAL-4</x:v>
      </x:c>
      <x:c r="H313" s="86" t="str">
        <x:v>T4</x:v>
      </x:c>
      <x:c r="I313" s="91" t="str">
        <x:v>OPEN</x:v>
      </x:c>
    </x:row>
    <x:row r="314">
      <x:c r="A314" s="86" t="str">
        <x:v>CH-0309</x:v>
      </x:c>
      <x:c r="B314" s="86" t="str">
        <x:v>TOP surface</x:v>
      </x:c>
      <x:c r="C314" s="108" t="n">
        <x:v>53</x:v>
      </x:c>
      <x:c r="D314" s="86" t="str">
        <x:v>Z05</x:v>
      </x:c>
      <x:c r="E314" s="86" t="str">
        <x:v>return</x:v>
      </x:c>
      <x:c r="F314" s="86" t="str">
        <x:v>L1</x:v>
      </x:c>
      <x:c r="G314" s="86" t="str">
        <x:v>TOP surface-CAL-1</x:v>
      </x:c>
      <x:c r="H314" s="86" t="str">
        <x:v>T1</x:v>
      </x:c>
      <x:c r="I314" s="91" t="str">
        <x:v>OPEN</x:v>
      </x:c>
    </x:row>
    <x:row r="315">
      <x:c r="A315" s="86" t="str">
        <x:v>CH-0310</x:v>
      </x:c>
      <x:c r="B315" s="86" t="str">
        <x:v>TOP surface</x:v>
      </x:c>
      <x:c r="C315" s="108" t="n">
        <x:v>54</x:v>
      </x:c>
      <x:c r="D315" s="86" t="str">
        <x:v>Z06</x:v>
      </x:c>
      <x:c r="E315" s="86" t="str">
        <x:v>return</x:v>
      </x:c>
      <x:c r="F315" s="86" t="str">
        <x:v>L2</x:v>
      </x:c>
      <x:c r="G315" s="86" t="str">
        <x:v>TOP surface-CAL-2</x:v>
      </x:c>
      <x:c r="H315" s="86" t="str">
        <x:v>T2</x:v>
      </x:c>
      <x:c r="I315" s="91" t="str">
        <x:v>OPEN</x:v>
      </x:c>
    </x:row>
    <x:row r="316">
      <x:c r="A316" s="86" t="str">
        <x:v>CH-0311</x:v>
      </x:c>
      <x:c r="B316" s="86" t="str">
        <x:v>TOP surface</x:v>
      </x:c>
      <x:c r="C316" s="108" t="n">
        <x:v>55</x:v>
      </x:c>
      <x:c r="D316" s="86" t="str">
        <x:v>Z07</x:v>
      </x:c>
      <x:c r="E316" s="86" t="str">
        <x:v>return</x:v>
      </x:c>
      <x:c r="F316" s="86" t="str">
        <x:v>L3</x:v>
      </x:c>
      <x:c r="G316" s="86" t="str">
        <x:v>TOP surface-CAL-3</x:v>
      </x:c>
      <x:c r="H316" s="86" t="str">
        <x:v>T3</x:v>
      </x:c>
      <x:c r="I316" s="91" t="str">
        <x:v>OPEN</x:v>
      </x:c>
    </x:row>
    <x:row r="317">
      <x:c r="A317" s="86" t="str">
        <x:v>CH-0312</x:v>
      </x:c>
      <x:c r="B317" s="86" t="str">
        <x:v>TOP surface</x:v>
      </x:c>
      <x:c r="C317" s="108" t="n">
        <x:v>56</x:v>
      </x:c>
      <x:c r="D317" s="86" t="str">
        <x:v>Z08</x:v>
      </x:c>
      <x:c r="E317" s="86" t="str">
        <x:v>return</x:v>
      </x:c>
      <x:c r="F317" s="86" t="str">
        <x:v>L4</x:v>
      </x:c>
      <x:c r="G317" s="86" t="str">
        <x:v>TOP surface-CAL-4</x:v>
      </x:c>
      <x:c r="H317" s="86" t="str">
        <x:v>T4</x:v>
      </x:c>
      <x:c r="I317" s="91" t="str">
        <x:v>OPEN</x:v>
      </x:c>
    </x:row>
    <x:row r="318">
      <x:c r="A318" s="86" t="str">
        <x:v>CH-0313</x:v>
      </x:c>
      <x:c r="B318" s="86" t="str">
        <x:v>TOP surface</x:v>
      </x:c>
      <x:c r="C318" s="108" t="n">
        <x:v>57</x:v>
      </x:c>
      <x:c r="D318" s="86" t="str">
        <x:v>Z09</x:v>
      </x:c>
      <x:c r="E318" s="86" t="str">
        <x:v>return</x:v>
      </x:c>
      <x:c r="F318" s="86" t="str">
        <x:v>L1</x:v>
      </x:c>
      <x:c r="G318" s="86" t="str">
        <x:v>TOP surface-CAL-1</x:v>
      </x:c>
      <x:c r="H318" s="86" t="str">
        <x:v>T1</x:v>
      </x:c>
      <x:c r="I318" s="91" t="str">
        <x:v>OPEN</x:v>
      </x:c>
    </x:row>
    <x:row r="319">
      <x:c r="A319" s="86" t="str">
        <x:v>CH-0314</x:v>
      </x:c>
      <x:c r="B319" s="86" t="str">
        <x:v>TOP surface</x:v>
      </x:c>
      <x:c r="C319" s="108" t="n">
        <x:v>58</x:v>
      </x:c>
      <x:c r="D319" s="86" t="str">
        <x:v>Z10</x:v>
      </x:c>
      <x:c r="E319" s="86" t="str">
        <x:v>return</x:v>
      </x:c>
      <x:c r="F319" s="86" t="str">
        <x:v>L2</x:v>
      </x:c>
      <x:c r="G319" s="86" t="str">
        <x:v>TOP surface-CAL-2</x:v>
      </x:c>
      <x:c r="H319" s="86" t="str">
        <x:v>T2</x:v>
      </x:c>
      <x:c r="I319" s="91" t="str">
        <x:v>OPEN</x:v>
      </x:c>
    </x:row>
    <x:row r="320">
      <x:c r="A320" s="86" t="str">
        <x:v>CH-0315</x:v>
      </x:c>
      <x:c r="B320" s="86" t="str">
        <x:v>TOP surface</x:v>
      </x:c>
      <x:c r="C320" s="108" t="n">
        <x:v>59</x:v>
      </x:c>
      <x:c r="D320" s="86" t="str">
        <x:v>Z11</x:v>
      </x:c>
      <x:c r="E320" s="86" t="str">
        <x:v>return</x:v>
      </x:c>
      <x:c r="F320" s="86" t="str">
        <x:v>L3</x:v>
      </x:c>
      <x:c r="G320" s="86" t="str">
        <x:v>TOP surface-CAL-3</x:v>
      </x:c>
      <x:c r="H320" s="86" t="str">
        <x:v>T3</x:v>
      </x:c>
      <x:c r="I320" s="91" t="str">
        <x:v>OPEN</x:v>
      </x:c>
    </x:row>
    <x:row r="321">
      <x:c r="A321" s="86" t="str">
        <x:v>CH-0316</x:v>
      </x:c>
      <x:c r="B321" s="86" t="str">
        <x:v>TOP surface</x:v>
      </x:c>
      <x:c r="C321" s="108" t="n">
        <x:v>60</x:v>
      </x:c>
      <x:c r="D321" s="86" t="str">
        <x:v>Z12</x:v>
      </x:c>
      <x:c r="E321" s="86" t="str">
        <x:v>return</x:v>
      </x:c>
      <x:c r="F321" s="86" t="str">
        <x:v>L4</x:v>
      </x:c>
      <x:c r="G321" s="86" t="str">
        <x:v>TOP surface-CAL-4</x:v>
      </x:c>
      <x:c r="H321" s="86" t="str">
        <x:v>T4</x:v>
      </x:c>
      <x:c r="I321" s="91" t="str">
        <x:v>OPEN</x:v>
      </x:c>
    </x:row>
    <x:row r="322">
      <x:c r="A322" s="86" t="str">
        <x:v>CH-0317</x:v>
      </x:c>
      <x:c r="B322" s="86" t="str">
        <x:v>TOP surface</x:v>
      </x:c>
      <x:c r="C322" s="108" t="n">
        <x:v>61</x:v>
      </x:c>
      <x:c r="D322" s="86" t="str">
        <x:v>Z13</x:v>
      </x:c>
      <x:c r="E322" s="86" t="str">
        <x:v>return</x:v>
      </x:c>
      <x:c r="F322" s="86" t="str">
        <x:v>L1</x:v>
      </x:c>
      <x:c r="G322" s="86" t="str">
        <x:v>TOP surface-CAL-1</x:v>
      </x:c>
      <x:c r="H322" s="86" t="str">
        <x:v>T1</x:v>
      </x:c>
      <x:c r="I322" s="91" t="str">
        <x:v>OPEN</x:v>
      </x:c>
    </x:row>
    <x:row r="323">
      <x:c r="A323" s="86" t="str">
        <x:v>CH-0318</x:v>
      </x:c>
      <x:c r="B323" s="86" t="str">
        <x:v>TOP surface</x:v>
      </x:c>
      <x:c r="C323" s="108" t="n">
        <x:v>62</x:v>
      </x:c>
      <x:c r="D323" s="86" t="str">
        <x:v>Z14</x:v>
      </x:c>
      <x:c r="E323" s="86" t="str">
        <x:v>return</x:v>
      </x:c>
      <x:c r="F323" s="86" t="str">
        <x:v>L2</x:v>
      </x:c>
      <x:c r="G323" s="86" t="str">
        <x:v>TOP surface-CAL-2</x:v>
      </x:c>
      <x:c r="H323" s="86" t="str">
        <x:v>T2</x:v>
      </x:c>
      <x:c r="I323" s="91" t="str">
        <x:v>OPEN</x:v>
      </x:c>
    </x:row>
    <x:row r="324">
      <x:c r="A324" s="86" t="str">
        <x:v>CH-0319</x:v>
      </x:c>
      <x:c r="B324" s="86" t="str">
        <x:v>TOP surface</x:v>
      </x:c>
      <x:c r="C324" s="108" t="n">
        <x:v>63</x:v>
      </x:c>
      <x:c r="D324" s="86" t="str">
        <x:v>Z15</x:v>
      </x:c>
      <x:c r="E324" s="86" t="str">
        <x:v>return</x:v>
      </x:c>
      <x:c r="F324" s="86" t="str">
        <x:v>L3</x:v>
      </x:c>
      <x:c r="G324" s="86" t="str">
        <x:v>TOP surface-CAL-3</x:v>
      </x:c>
      <x:c r="H324" s="86" t="str">
        <x:v>T3</x:v>
      </x:c>
      <x:c r="I324" s="91" t="str">
        <x:v>OPEN</x:v>
      </x:c>
    </x:row>
    <x:row r="325">
      <x:c r="A325" s="86" t="str">
        <x:v>CH-0320</x:v>
      </x:c>
      <x:c r="B325" s="86" t="str">
        <x:v>TOP surface</x:v>
      </x:c>
      <x:c r="C325" s="108" t="n">
        <x:v>64</x:v>
      </x:c>
      <x:c r="D325" s="86" t="str">
        <x:v>Z16</x:v>
      </x:c>
      <x:c r="E325" s="86" t="str">
        <x:v>return</x:v>
      </x:c>
      <x:c r="F325" s="86" t="str">
        <x:v>L4</x:v>
      </x:c>
      <x:c r="G325" s="86" t="str">
        <x:v>TOP surface-CAL-4</x:v>
      </x:c>
      <x:c r="H325" s="86" t="str">
        <x:v>T4</x:v>
      </x:c>
      <x:c r="I325" s="91" t="str">
        <x:v>OPEN</x:v>
      </x:c>
    </x:row>
    <x:row r="326">
      <x:c r="A326" s="86" t="str">
        <x:v>CH-0321</x:v>
      </x:c>
      <x:c r="B326" s="86" t="str">
        <x:v>TOP depth</x:v>
      </x:c>
      <x:c r="C326" s="108" t="n">
        <x:v>1</x:v>
      </x:c>
      <x:c r="D326" s="86" t="str">
        <x:v>Z01</x:v>
      </x:c>
      <x:c r="E326" s="86" t="str">
        <x:v>full</x:v>
      </x:c>
      <x:c r="F326" s="86" t="str">
        <x:v>L1</x:v>
      </x:c>
      <x:c r="G326" s="86" t="str">
        <x:v>TOP depth-CAL-1</x:v>
      </x:c>
      <x:c r="H326" s="86" t="str">
        <x:v>T1</x:v>
      </x:c>
      <x:c r="I326" s="91" t="str">
        <x:v>OPEN</x:v>
      </x:c>
    </x:row>
    <x:row r="327">
      <x:c r="A327" s="86" t="str">
        <x:v>CH-0322</x:v>
      </x:c>
      <x:c r="B327" s="86" t="str">
        <x:v>TOP depth</x:v>
      </x:c>
      <x:c r="C327" s="108" t="n">
        <x:v>2</x:v>
      </x:c>
      <x:c r="D327" s="86" t="str">
        <x:v>Z02</x:v>
      </x:c>
      <x:c r="E327" s="86" t="str">
        <x:v>full</x:v>
      </x:c>
      <x:c r="F327" s="86" t="str">
        <x:v>L2</x:v>
      </x:c>
      <x:c r="G327" s="86" t="str">
        <x:v>TOP depth-CAL-2</x:v>
      </x:c>
      <x:c r="H327" s="86" t="str">
        <x:v>T2</x:v>
      </x:c>
      <x:c r="I327" s="91" t="str">
        <x:v>OPEN</x:v>
      </x:c>
    </x:row>
    <x:row r="328">
      <x:c r="A328" s="86" t="str">
        <x:v>CH-0323</x:v>
      </x:c>
      <x:c r="B328" s="86" t="str">
        <x:v>TOP depth</x:v>
      </x:c>
      <x:c r="C328" s="108" t="n">
        <x:v>3</x:v>
      </x:c>
      <x:c r="D328" s="86" t="str">
        <x:v>Z03</x:v>
      </x:c>
      <x:c r="E328" s="86" t="str">
        <x:v>full</x:v>
      </x:c>
      <x:c r="F328" s="86" t="str">
        <x:v>L3</x:v>
      </x:c>
      <x:c r="G328" s="86" t="str">
        <x:v>TOP depth-CAL-3</x:v>
      </x:c>
      <x:c r="H328" s="86" t="str">
        <x:v>T3</x:v>
      </x:c>
      <x:c r="I328" s="91" t="str">
        <x:v>OPEN</x:v>
      </x:c>
    </x:row>
    <x:row r="329">
      <x:c r="A329" s="86" t="str">
        <x:v>CH-0324</x:v>
      </x:c>
      <x:c r="B329" s="86" t="str">
        <x:v>TOP depth</x:v>
      </x:c>
      <x:c r="C329" s="108" t="n">
        <x:v>4</x:v>
      </x:c>
      <x:c r="D329" s="86" t="str">
        <x:v>Z04</x:v>
      </x:c>
      <x:c r="E329" s="86" t="str">
        <x:v>full</x:v>
      </x:c>
      <x:c r="F329" s="86" t="str">
        <x:v>L4</x:v>
      </x:c>
      <x:c r="G329" s="86" t="str">
        <x:v>TOP depth-CAL-4</x:v>
      </x:c>
      <x:c r="H329" s="86" t="str">
        <x:v>T4</x:v>
      </x:c>
      <x:c r="I329" s="91" t="str">
        <x:v>OPEN</x:v>
      </x:c>
    </x:row>
    <x:row r="330">
      <x:c r="A330" s="86" t="str">
        <x:v>CH-0325</x:v>
      </x:c>
      <x:c r="B330" s="86" t="str">
        <x:v>TOP depth</x:v>
      </x:c>
      <x:c r="C330" s="108" t="n">
        <x:v>5</x:v>
      </x:c>
      <x:c r="D330" s="86" t="str">
        <x:v>Z05</x:v>
      </x:c>
      <x:c r="E330" s="86" t="str">
        <x:v>full</x:v>
      </x:c>
      <x:c r="F330" s="86" t="str">
        <x:v>L1</x:v>
      </x:c>
      <x:c r="G330" s="86" t="str">
        <x:v>TOP depth-CAL-1</x:v>
      </x:c>
      <x:c r="H330" s="86" t="str">
        <x:v>T1</x:v>
      </x:c>
      <x:c r="I330" s="91" t="str">
        <x:v>OPEN</x:v>
      </x:c>
    </x:row>
    <x:row r="331">
      <x:c r="A331" s="86" t="str">
        <x:v>CH-0326</x:v>
      </x:c>
      <x:c r="B331" s="86" t="str">
        <x:v>TOP depth</x:v>
      </x:c>
      <x:c r="C331" s="108" t="n">
        <x:v>6</x:v>
      </x:c>
      <x:c r="D331" s="86" t="str">
        <x:v>Z06</x:v>
      </x:c>
      <x:c r="E331" s="86" t="str">
        <x:v>full</x:v>
      </x:c>
      <x:c r="F331" s="86" t="str">
        <x:v>L2</x:v>
      </x:c>
      <x:c r="G331" s="86" t="str">
        <x:v>TOP depth-CAL-2</x:v>
      </x:c>
      <x:c r="H331" s="86" t="str">
        <x:v>T2</x:v>
      </x:c>
      <x:c r="I331" s="91" t="str">
        <x:v>OPEN</x:v>
      </x:c>
    </x:row>
    <x:row r="332">
      <x:c r="A332" s="86" t="str">
        <x:v>CH-0327</x:v>
      </x:c>
      <x:c r="B332" s="86" t="str">
        <x:v>TOP depth</x:v>
      </x:c>
      <x:c r="C332" s="108" t="n">
        <x:v>7</x:v>
      </x:c>
      <x:c r="D332" s="86" t="str">
        <x:v>Z07</x:v>
      </x:c>
      <x:c r="E332" s="86" t="str">
        <x:v>full</x:v>
      </x:c>
      <x:c r="F332" s="86" t="str">
        <x:v>L3</x:v>
      </x:c>
      <x:c r="G332" s="86" t="str">
        <x:v>TOP depth-CAL-3</x:v>
      </x:c>
      <x:c r="H332" s="86" t="str">
        <x:v>T3</x:v>
      </x:c>
      <x:c r="I332" s="91" t="str">
        <x:v>OPEN</x:v>
      </x:c>
    </x:row>
    <x:row r="333">
      <x:c r="A333" s="86" t="str">
        <x:v>CH-0328</x:v>
      </x:c>
      <x:c r="B333" s="86" t="str">
        <x:v>TOP depth</x:v>
      </x:c>
      <x:c r="C333" s="108" t="n">
        <x:v>8</x:v>
      </x:c>
      <x:c r="D333" s="86" t="str">
        <x:v>Z08</x:v>
      </x:c>
      <x:c r="E333" s="86" t="str">
        <x:v>full</x:v>
      </x:c>
      <x:c r="F333" s="86" t="str">
        <x:v>L4</x:v>
      </x:c>
      <x:c r="G333" s="86" t="str">
        <x:v>TOP depth-CAL-4</x:v>
      </x:c>
      <x:c r="H333" s="86" t="str">
        <x:v>T4</x:v>
      </x:c>
      <x:c r="I333" s="91" t="str">
        <x:v>OPEN</x:v>
      </x:c>
    </x:row>
    <x:row r="334">
      <x:c r="A334" s="86" t="str">
        <x:v>CH-0329</x:v>
      </x:c>
      <x:c r="B334" s="86" t="str">
        <x:v>TOP depth</x:v>
      </x:c>
      <x:c r="C334" s="108" t="n">
        <x:v>9</x:v>
      </x:c>
      <x:c r="D334" s="86" t="str">
        <x:v>Z09</x:v>
      </x:c>
      <x:c r="E334" s="86" t="str">
        <x:v>full</x:v>
      </x:c>
      <x:c r="F334" s="86" t="str">
        <x:v>L1</x:v>
      </x:c>
      <x:c r="G334" s="86" t="str">
        <x:v>TOP depth-CAL-1</x:v>
      </x:c>
      <x:c r="H334" s="86" t="str">
        <x:v>T1</x:v>
      </x:c>
      <x:c r="I334" s="91" t="str">
        <x:v>OPEN</x:v>
      </x:c>
    </x:row>
    <x:row r="335">
      <x:c r="A335" s="86" t="str">
        <x:v>CH-0330</x:v>
      </x:c>
      <x:c r="B335" s="86" t="str">
        <x:v>TOP depth</x:v>
      </x:c>
      <x:c r="C335" s="108" t="n">
        <x:v>10</x:v>
      </x:c>
      <x:c r="D335" s="86" t="str">
        <x:v>Z10</x:v>
      </x:c>
      <x:c r="E335" s="86" t="str">
        <x:v>full</x:v>
      </x:c>
      <x:c r="F335" s="86" t="str">
        <x:v>L2</x:v>
      </x:c>
      <x:c r="G335" s="86" t="str">
        <x:v>TOP depth-CAL-2</x:v>
      </x:c>
      <x:c r="H335" s="86" t="str">
        <x:v>T2</x:v>
      </x:c>
      <x:c r="I335" s="91" t="str">
        <x:v>OPEN</x:v>
      </x:c>
    </x:row>
    <x:row r="336">
      <x:c r="A336" s="86" t="str">
        <x:v>CH-0331</x:v>
      </x:c>
      <x:c r="B336" s="86" t="str">
        <x:v>TOP depth</x:v>
      </x:c>
      <x:c r="C336" s="108" t="n">
        <x:v>11</x:v>
      </x:c>
      <x:c r="D336" s="86" t="str">
        <x:v>Z11</x:v>
      </x:c>
      <x:c r="E336" s="86" t="str">
        <x:v>full</x:v>
      </x:c>
      <x:c r="F336" s="86" t="str">
        <x:v>L3</x:v>
      </x:c>
      <x:c r="G336" s="86" t="str">
        <x:v>TOP depth-CAL-3</x:v>
      </x:c>
      <x:c r="H336" s="86" t="str">
        <x:v>T3</x:v>
      </x:c>
      <x:c r="I336" s="91" t="str">
        <x:v>OPEN</x:v>
      </x:c>
    </x:row>
    <x:row r="337">
      <x:c r="A337" s="86" t="str">
        <x:v>CH-0332</x:v>
      </x:c>
      <x:c r="B337" s="86" t="str">
        <x:v>TOP depth</x:v>
      </x:c>
      <x:c r="C337" s="108" t="n">
        <x:v>12</x:v>
      </x:c>
      <x:c r="D337" s="86" t="str">
        <x:v>Z12</x:v>
      </x:c>
      <x:c r="E337" s="86" t="str">
        <x:v>full</x:v>
      </x:c>
      <x:c r="F337" s="86" t="str">
        <x:v>L4</x:v>
      </x:c>
      <x:c r="G337" s="86" t="str">
        <x:v>TOP depth-CAL-4</x:v>
      </x:c>
      <x:c r="H337" s="86" t="str">
        <x:v>T4</x:v>
      </x:c>
      <x:c r="I337" s="91" t="str">
        <x:v>OPEN</x:v>
      </x:c>
    </x:row>
    <x:row r="338">
      <x:c r="A338" s="86" t="str">
        <x:v>CH-0333</x:v>
      </x:c>
      <x:c r="B338" s="86" t="str">
        <x:v>TOP depth</x:v>
      </x:c>
      <x:c r="C338" s="108" t="n">
        <x:v>13</x:v>
      </x:c>
      <x:c r="D338" s="86" t="str">
        <x:v>Z13</x:v>
      </x:c>
      <x:c r="E338" s="86" t="str">
        <x:v>full</x:v>
      </x:c>
      <x:c r="F338" s="86" t="str">
        <x:v>L1</x:v>
      </x:c>
      <x:c r="G338" s="86" t="str">
        <x:v>TOP depth-CAL-1</x:v>
      </x:c>
      <x:c r="H338" s="86" t="str">
        <x:v>T1</x:v>
      </x:c>
      <x:c r="I338" s="91" t="str">
        <x:v>OPEN</x:v>
      </x:c>
    </x:row>
    <x:row r="339">
      <x:c r="A339" s="86" t="str">
        <x:v>CH-0334</x:v>
      </x:c>
      <x:c r="B339" s="86" t="str">
        <x:v>TOP depth</x:v>
      </x:c>
      <x:c r="C339" s="108" t="n">
        <x:v>14</x:v>
      </x:c>
      <x:c r="D339" s="86" t="str">
        <x:v>Z14</x:v>
      </x:c>
      <x:c r="E339" s="86" t="str">
        <x:v>full</x:v>
      </x:c>
      <x:c r="F339" s="86" t="str">
        <x:v>L2</x:v>
      </x:c>
      <x:c r="G339" s="86" t="str">
        <x:v>TOP depth-CAL-2</x:v>
      </x:c>
      <x:c r="H339" s="86" t="str">
        <x:v>T2</x:v>
      </x:c>
      <x:c r="I339" s="91" t="str">
        <x:v>OPEN</x:v>
      </x:c>
    </x:row>
    <x:row r="340">
      <x:c r="A340" s="86" t="str">
        <x:v>CH-0335</x:v>
      </x:c>
      <x:c r="B340" s="86" t="str">
        <x:v>TOP depth</x:v>
      </x:c>
      <x:c r="C340" s="108" t="n">
        <x:v>15</x:v>
      </x:c>
      <x:c r="D340" s="86" t="str">
        <x:v>Z15</x:v>
      </x:c>
      <x:c r="E340" s="86" t="str">
        <x:v>full</x:v>
      </x:c>
      <x:c r="F340" s="86" t="str">
        <x:v>L3</x:v>
      </x:c>
      <x:c r="G340" s="86" t="str">
        <x:v>TOP depth-CAL-3</x:v>
      </x:c>
      <x:c r="H340" s="86" t="str">
        <x:v>T3</x:v>
      </x:c>
      <x:c r="I340" s="91" t="str">
        <x:v>OPEN</x:v>
      </x:c>
    </x:row>
    <x:row r="341">
      <x:c r="A341" s="86" t="str">
        <x:v>CH-0336</x:v>
      </x:c>
      <x:c r="B341" s="86" t="str">
        <x:v>TOP depth</x:v>
      </x:c>
      <x:c r="C341" s="108" t="n">
        <x:v>16</x:v>
      </x:c>
      <x:c r="D341" s="86" t="str">
        <x:v>Z16</x:v>
      </x:c>
      <x:c r="E341" s="86" t="str">
        <x:v>full</x:v>
      </x:c>
      <x:c r="F341" s="86" t="str">
        <x:v>L4</x:v>
      </x:c>
      <x:c r="G341" s="86" t="str">
        <x:v>TOP depth-CAL-4</x:v>
      </x:c>
      <x:c r="H341" s="86" t="str">
        <x:v>T4</x:v>
      </x:c>
      <x:c r="I341" s="91" t="str">
        <x:v>OPEN</x:v>
      </x:c>
    </x:row>
    <x:row r="342">
      <x:c r="A342" s="86" t="str">
        <x:v>CH-0337</x:v>
      </x:c>
      <x:c r="B342" s="86" t="str">
        <x:v>TOP depth</x:v>
      </x:c>
      <x:c r="C342" s="108" t="n">
        <x:v>17</x:v>
      </x:c>
      <x:c r="D342" s="86" t="str">
        <x:v>Z01</x:v>
      </x:c>
      <x:c r="E342" s="86" t="str">
        <x:v>full</x:v>
      </x:c>
      <x:c r="F342" s="86" t="str">
        <x:v>L1</x:v>
      </x:c>
      <x:c r="G342" s="86" t="str">
        <x:v>TOP depth-CAL-1</x:v>
      </x:c>
      <x:c r="H342" s="86" t="str">
        <x:v>T1</x:v>
      </x:c>
      <x:c r="I342" s="91" t="str">
        <x:v>OPEN</x:v>
      </x:c>
    </x:row>
    <x:row r="343">
      <x:c r="A343" s="86" t="str">
        <x:v>CH-0338</x:v>
      </x:c>
      <x:c r="B343" s="86" t="str">
        <x:v>TOP depth</x:v>
      </x:c>
      <x:c r="C343" s="108" t="n">
        <x:v>18</x:v>
      </x:c>
      <x:c r="D343" s="86" t="str">
        <x:v>Z02</x:v>
      </x:c>
      <x:c r="E343" s="86" t="str">
        <x:v>full</x:v>
      </x:c>
      <x:c r="F343" s="86" t="str">
        <x:v>L2</x:v>
      </x:c>
      <x:c r="G343" s="86" t="str">
        <x:v>TOP depth-CAL-2</x:v>
      </x:c>
      <x:c r="H343" s="86" t="str">
        <x:v>T2</x:v>
      </x:c>
      <x:c r="I343" s="91" t="str">
        <x:v>OPEN</x:v>
      </x:c>
    </x:row>
    <x:row r="344">
      <x:c r="A344" s="86" t="str">
        <x:v>CH-0339</x:v>
      </x:c>
      <x:c r="B344" s="86" t="str">
        <x:v>TOP depth</x:v>
      </x:c>
      <x:c r="C344" s="108" t="n">
        <x:v>19</x:v>
      </x:c>
      <x:c r="D344" s="86" t="str">
        <x:v>Z03</x:v>
      </x:c>
      <x:c r="E344" s="86" t="str">
        <x:v>full</x:v>
      </x:c>
      <x:c r="F344" s="86" t="str">
        <x:v>L3</x:v>
      </x:c>
      <x:c r="G344" s="86" t="str">
        <x:v>TOP depth-CAL-3</x:v>
      </x:c>
      <x:c r="H344" s="86" t="str">
        <x:v>T3</x:v>
      </x:c>
      <x:c r="I344" s="91" t="str">
        <x:v>OPEN</x:v>
      </x:c>
    </x:row>
    <x:row r="345">
      <x:c r="A345" s="86" t="str">
        <x:v>CH-0340</x:v>
      </x:c>
      <x:c r="B345" s="86" t="str">
        <x:v>TOP depth</x:v>
      </x:c>
      <x:c r="C345" s="108" t="n">
        <x:v>20</x:v>
      </x:c>
      <x:c r="D345" s="86" t="str">
        <x:v>Z04</x:v>
      </x:c>
      <x:c r="E345" s="86" t="str">
        <x:v>full</x:v>
      </x:c>
      <x:c r="F345" s="86" t="str">
        <x:v>L4</x:v>
      </x:c>
      <x:c r="G345" s="86" t="str">
        <x:v>TOP depth-CAL-4</x:v>
      </x:c>
      <x:c r="H345" s="86" t="str">
        <x:v>T4</x:v>
      </x:c>
      <x:c r="I345" s="91" t="str">
        <x:v>OPEN</x:v>
      </x:c>
    </x:row>
    <x:row r="346">
      <x:c r="A346" s="86" t="str">
        <x:v>CH-0341</x:v>
      </x:c>
      <x:c r="B346" s="86" t="str">
        <x:v>TOP depth</x:v>
      </x:c>
      <x:c r="C346" s="108" t="n">
        <x:v>21</x:v>
      </x:c>
      <x:c r="D346" s="86" t="str">
        <x:v>Z05</x:v>
      </x:c>
      <x:c r="E346" s="86" t="str">
        <x:v>full</x:v>
      </x:c>
      <x:c r="F346" s="86" t="str">
        <x:v>L1</x:v>
      </x:c>
      <x:c r="G346" s="86" t="str">
        <x:v>TOP depth-CAL-1</x:v>
      </x:c>
      <x:c r="H346" s="86" t="str">
        <x:v>T1</x:v>
      </x:c>
      <x:c r="I346" s="91" t="str">
        <x:v>OPEN</x:v>
      </x:c>
    </x:row>
    <x:row r="347">
      <x:c r="A347" s="86" t="str">
        <x:v>CH-0342</x:v>
      </x:c>
      <x:c r="B347" s="86" t="str">
        <x:v>TOP depth</x:v>
      </x:c>
      <x:c r="C347" s="108" t="n">
        <x:v>22</x:v>
      </x:c>
      <x:c r="D347" s="86" t="str">
        <x:v>Z06</x:v>
      </x:c>
      <x:c r="E347" s="86" t="str">
        <x:v>full</x:v>
      </x:c>
      <x:c r="F347" s="86" t="str">
        <x:v>L2</x:v>
      </x:c>
      <x:c r="G347" s="86" t="str">
        <x:v>TOP depth-CAL-2</x:v>
      </x:c>
      <x:c r="H347" s="86" t="str">
        <x:v>T2</x:v>
      </x:c>
      <x:c r="I347" s="91" t="str">
        <x:v>OPEN</x:v>
      </x:c>
    </x:row>
    <x:row r="348">
      <x:c r="A348" s="86" t="str">
        <x:v>CH-0343</x:v>
      </x:c>
      <x:c r="B348" s="86" t="str">
        <x:v>TOP depth</x:v>
      </x:c>
      <x:c r="C348" s="108" t="n">
        <x:v>23</x:v>
      </x:c>
      <x:c r="D348" s="86" t="str">
        <x:v>Z07</x:v>
      </x:c>
      <x:c r="E348" s="86" t="str">
        <x:v>full</x:v>
      </x:c>
      <x:c r="F348" s="86" t="str">
        <x:v>L3</x:v>
      </x:c>
      <x:c r="G348" s="86" t="str">
        <x:v>TOP depth-CAL-3</x:v>
      </x:c>
      <x:c r="H348" s="86" t="str">
        <x:v>T3</x:v>
      </x:c>
      <x:c r="I348" s="91" t="str">
        <x:v>OPEN</x:v>
      </x:c>
    </x:row>
    <x:row r="349">
      <x:c r="A349" s="86" t="str">
        <x:v>CH-0344</x:v>
      </x:c>
      <x:c r="B349" s="86" t="str">
        <x:v>TOP depth</x:v>
      </x:c>
      <x:c r="C349" s="108" t="n">
        <x:v>24</x:v>
      </x:c>
      <x:c r="D349" s="86" t="str">
        <x:v>Z08</x:v>
      </x:c>
      <x:c r="E349" s="86" t="str">
        <x:v>full</x:v>
      </x:c>
      <x:c r="F349" s="86" t="str">
        <x:v>L4</x:v>
      </x:c>
      <x:c r="G349" s="86" t="str">
        <x:v>TOP depth-CAL-4</x:v>
      </x:c>
      <x:c r="H349" s="86" t="str">
        <x:v>T4</x:v>
      </x:c>
      <x:c r="I349" s="91" t="str">
        <x:v>OPEN</x:v>
      </x:c>
    </x:row>
    <x:row r="350">
      <x:c r="A350" s="86" t="str">
        <x:v>CH-0345</x:v>
      </x:c>
      <x:c r="B350" s="86" t="str">
        <x:v>TOP depth</x:v>
      </x:c>
      <x:c r="C350" s="108" t="n">
        <x:v>25</x:v>
      </x:c>
      <x:c r="D350" s="86" t="str">
        <x:v>Z09</x:v>
      </x:c>
      <x:c r="E350" s="86" t="str">
        <x:v>full</x:v>
      </x:c>
      <x:c r="F350" s="86" t="str">
        <x:v>L1</x:v>
      </x:c>
      <x:c r="G350" s="86" t="str">
        <x:v>TOP depth-CAL-1</x:v>
      </x:c>
      <x:c r="H350" s="86" t="str">
        <x:v>T1</x:v>
      </x:c>
      <x:c r="I350" s="91" t="str">
        <x:v>OPEN</x:v>
      </x:c>
    </x:row>
    <x:row r="351">
      <x:c r="A351" s="86" t="str">
        <x:v>CH-0346</x:v>
      </x:c>
      <x:c r="B351" s="86" t="str">
        <x:v>TOP depth</x:v>
      </x:c>
      <x:c r="C351" s="108" t="n">
        <x:v>26</x:v>
      </x:c>
      <x:c r="D351" s="86" t="str">
        <x:v>Z10</x:v>
      </x:c>
      <x:c r="E351" s="86" t="str">
        <x:v>full</x:v>
      </x:c>
      <x:c r="F351" s="86" t="str">
        <x:v>L2</x:v>
      </x:c>
      <x:c r="G351" s="86" t="str">
        <x:v>TOP depth-CAL-2</x:v>
      </x:c>
      <x:c r="H351" s="86" t="str">
        <x:v>T2</x:v>
      </x:c>
      <x:c r="I351" s="91" t="str">
        <x:v>OPEN</x:v>
      </x:c>
    </x:row>
    <x:row r="352">
      <x:c r="A352" s="86" t="str">
        <x:v>CH-0347</x:v>
      </x:c>
      <x:c r="B352" s="86" t="str">
        <x:v>TOP depth</x:v>
      </x:c>
      <x:c r="C352" s="108" t="n">
        <x:v>27</x:v>
      </x:c>
      <x:c r="D352" s="86" t="str">
        <x:v>Z11</x:v>
      </x:c>
      <x:c r="E352" s="86" t="str">
        <x:v>full</x:v>
      </x:c>
      <x:c r="F352" s="86" t="str">
        <x:v>L3</x:v>
      </x:c>
      <x:c r="G352" s="86" t="str">
        <x:v>TOP depth-CAL-3</x:v>
      </x:c>
      <x:c r="H352" s="86" t="str">
        <x:v>T3</x:v>
      </x:c>
      <x:c r="I352" s="91" t="str">
        <x:v>OPEN</x:v>
      </x:c>
    </x:row>
    <x:row r="353">
      <x:c r="A353" s="86" t="str">
        <x:v>CH-0348</x:v>
      </x:c>
      <x:c r="B353" s="86" t="str">
        <x:v>TOP depth</x:v>
      </x:c>
      <x:c r="C353" s="108" t="n">
        <x:v>28</x:v>
      </x:c>
      <x:c r="D353" s="86" t="str">
        <x:v>Z12</x:v>
      </x:c>
      <x:c r="E353" s="86" t="str">
        <x:v>full</x:v>
      </x:c>
      <x:c r="F353" s="86" t="str">
        <x:v>L4</x:v>
      </x:c>
      <x:c r="G353" s="86" t="str">
        <x:v>TOP depth-CAL-4</x:v>
      </x:c>
      <x:c r="H353" s="86" t="str">
        <x:v>T4</x:v>
      </x:c>
      <x:c r="I353" s="91" t="str">
        <x:v>OPEN</x:v>
      </x:c>
    </x:row>
    <x:row r="354">
      <x:c r="A354" s="86" t="str">
        <x:v>CH-0349</x:v>
      </x:c>
      <x:c r="B354" s="86" t="str">
        <x:v>TOP depth</x:v>
      </x:c>
      <x:c r="C354" s="108" t="n">
        <x:v>29</x:v>
      </x:c>
      <x:c r="D354" s="86" t="str">
        <x:v>Z13</x:v>
      </x:c>
      <x:c r="E354" s="86" t="str">
        <x:v>full</x:v>
      </x:c>
      <x:c r="F354" s="86" t="str">
        <x:v>L1</x:v>
      </x:c>
      <x:c r="G354" s="86" t="str">
        <x:v>TOP depth-CAL-1</x:v>
      </x:c>
      <x:c r="H354" s="86" t="str">
        <x:v>T1</x:v>
      </x:c>
      <x:c r="I354" s="91" t="str">
        <x:v>OPEN</x:v>
      </x:c>
    </x:row>
    <x:row r="355">
      <x:c r="A355" s="86" t="str">
        <x:v>CH-0350</x:v>
      </x:c>
      <x:c r="B355" s="86" t="str">
        <x:v>TOP depth</x:v>
      </x:c>
      <x:c r="C355" s="108" t="n">
        <x:v>30</x:v>
      </x:c>
      <x:c r="D355" s="86" t="str">
        <x:v>Z14</x:v>
      </x:c>
      <x:c r="E355" s="86" t="str">
        <x:v>full</x:v>
      </x:c>
      <x:c r="F355" s="86" t="str">
        <x:v>L2</x:v>
      </x:c>
      <x:c r="G355" s="86" t="str">
        <x:v>TOP depth-CAL-2</x:v>
      </x:c>
      <x:c r="H355" s="86" t="str">
        <x:v>T2</x:v>
      </x:c>
      <x:c r="I355" s="91" t="str">
        <x:v>OPEN</x:v>
      </x:c>
    </x:row>
    <x:row r="356">
      <x:c r="A356" s="86" t="str">
        <x:v>CH-0351</x:v>
      </x:c>
      <x:c r="B356" s="86" t="str">
        <x:v>TOP depth</x:v>
      </x:c>
      <x:c r="C356" s="108" t="n">
        <x:v>31</x:v>
      </x:c>
      <x:c r="D356" s="86" t="str">
        <x:v>Z15</x:v>
      </x:c>
      <x:c r="E356" s="86" t="str">
        <x:v>full</x:v>
      </x:c>
      <x:c r="F356" s="86" t="str">
        <x:v>L3</x:v>
      </x:c>
      <x:c r="G356" s="86" t="str">
        <x:v>TOP depth-CAL-3</x:v>
      </x:c>
      <x:c r="H356" s="86" t="str">
        <x:v>T3</x:v>
      </x:c>
      <x:c r="I356" s="91" t="str">
        <x:v>OPEN</x:v>
      </x:c>
    </x:row>
    <x:row r="357">
      <x:c r="A357" s="86" t="str">
        <x:v>CH-0352</x:v>
      </x:c>
      <x:c r="B357" s="86" t="str">
        <x:v>TOP depth</x:v>
      </x:c>
      <x:c r="C357" s="108" t="n">
        <x:v>32</x:v>
      </x:c>
      <x:c r="D357" s="86" t="str">
        <x:v>Z16</x:v>
      </x:c>
      <x:c r="E357" s="86" t="str">
        <x:v>full</x:v>
      </x:c>
      <x:c r="F357" s="86" t="str">
        <x:v>L4</x:v>
      </x:c>
      <x:c r="G357" s="86" t="str">
        <x:v>TOP depth-CAL-4</x:v>
      </x:c>
      <x:c r="H357" s="86" t="str">
        <x:v>T4</x:v>
      </x:c>
      <x:c r="I357" s="91" t="str">
        <x:v>OPEN</x:v>
      </x:c>
    </x:row>
    <x:row r="358">
      <x:c r="A358" s="86" t="str">
        <x:v>CH-0353</x:v>
      </x:c>
      <x:c r="B358" s="86" t="str">
        <x:v>TOP depth</x:v>
      </x:c>
      <x:c r="C358" s="108" t="n">
        <x:v>33</x:v>
      </x:c>
      <x:c r="D358" s="86" t="str">
        <x:v>Z01</x:v>
      </x:c>
      <x:c r="E358" s="86" t="str">
        <x:v>intermediate</x:v>
      </x:c>
      <x:c r="F358" s="86" t="str">
        <x:v>L1</x:v>
      </x:c>
      <x:c r="G358" s="86" t="str">
        <x:v>TOP depth-CAL-1</x:v>
      </x:c>
      <x:c r="H358" s="86" t="str">
        <x:v>T1</x:v>
      </x:c>
      <x:c r="I358" s="91" t="str">
        <x:v>OPEN</x:v>
      </x:c>
    </x:row>
    <x:row r="359">
      <x:c r="A359" s="86" t="str">
        <x:v>CH-0354</x:v>
      </x:c>
      <x:c r="B359" s="86" t="str">
        <x:v>TOP depth</x:v>
      </x:c>
      <x:c r="C359" s="108" t="n">
        <x:v>34</x:v>
      </x:c>
      <x:c r="D359" s="86" t="str">
        <x:v>Z02</x:v>
      </x:c>
      <x:c r="E359" s="86" t="str">
        <x:v>intermediate</x:v>
      </x:c>
      <x:c r="F359" s="86" t="str">
        <x:v>L2</x:v>
      </x:c>
      <x:c r="G359" s="86" t="str">
        <x:v>TOP depth-CAL-2</x:v>
      </x:c>
      <x:c r="H359" s="86" t="str">
        <x:v>T2</x:v>
      </x:c>
      <x:c r="I359" s="91" t="str">
        <x:v>OPEN</x:v>
      </x:c>
    </x:row>
    <x:row r="360">
      <x:c r="A360" s="86" t="str">
        <x:v>CH-0355</x:v>
      </x:c>
      <x:c r="B360" s="86" t="str">
        <x:v>TOP depth</x:v>
      </x:c>
      <x:c r="C360" s="108" t="n">
        <x:v>35</x:v>
      </x:c>
      <x:c r="D360" s="86" t="str">
        <x:v>Z03</x:v>
      </x:c>
      <x:c r="E360" s="86" t="str">
        <x:v>intermediate</x:v>
      </x:c>
      <x:c r="F360" s="86" t="str">
        <x:v>L3</x:v>
      </x:c>
      <x:c r="G360" s="86" t="str">
        <x:v>TOP depth-CAL-3</x:v>
      </x:c>
      <x:c r="H360" s="86" t="str">
        <x:v>T3</x:v>
      </x:c>
      <x:c r="I360" s="91" t="str">
        <x:v>OPEN</x:v>
      </x:c>
    </x:row>
    <x:row r="361">
      <x:c r="A361" s="86" t="str">
        <x:v>CH-0356</x:v>
      </x:c>
      <x:c r="B361" s="86" t="str">
        <x:v>TOP depth</x:v>
      </x:c>
      <x:c r="C361" s="108" t="n">
        <x:v>36</x:v>
      </x:c>
      <x:c r="D361" s="86" t="str">
        <x:v>Z04</x:v>
      </x:c>
      <x:c r="E361" s="86" t="str">
        <x:v>intermediate</x:v>
      </x:c>
      <x:c r="F361" s="86" t="str">
        <x:v>L4</x:v>
      </x:c>
      <x:c r="G361" s="86" t="str">
        <x:v>TOP depth-CAL-4</x:v>
      </x:c>
      <x:c r="H361" s="86" t="str">
        <x:v>T4</x:v>
      </x:c>
      <x:c r="I361" s="91" t="str">
        <x:v>OPEN</x:v>
      </x:c>
    </x:row>
    <x:row r="362">
      <x:c r="A362" s="86" t="str">
        <x:v>CH-0357</x:v>
      </x:c>
      <x:c r="B362" s="86" t="str">
        <x:v>TOP depth</x:v>
      </x:c>
      <x:c r="C362" s="108" t="n">
        <x:v>37</x:v>
      </x:c>
      <x:c r="D362" s="86" t="str">
        <x:v>Z05</x:v>
      </x:c>
      <x:c r="E362" s="86" t="str">
        <x:v>intermediate</x:v>
      </x:c>
      <x:c r="F362" s="86" t="str">
        <x:v>L1</x:v>
      </x:c>
      <x:c r="G362" s="86" t="str">
        <x:v>TOP depth-CAL-1</x:v>
      </x:c>
      <x:c r="H362" s="86" t="str">
        <x:v>T1</x:v>
      </x:c>
      <x:c r="I362" s="91" t="str">
        <x:v>OPEN</x:v>
      </x:c>
    </x:row>
    <x:row r="363">
      <x:c r="A363" s="86" t="str">
        <x:v>CH-0358</x:v>
      </x:c>
      <x:c r="B363" s="86" t="str">
        <x:v>TOP depth</x:v>
      </x:c>
      <x:c r="C363" s="108" t="n">
        <x:v>38</x:v>
      </x:c>
      <x:c r="D363" s="86" t="str">
        <x:v>Z06</x:v>
      </x:c>
      <x:c r="E363" s="86" t="str">
        <x:v>intermediate</x:v>
      </x:c>
      <x:c r="F363" s="86" t="str">
        <x:v>L2</x:v>
      </x:c>
      <x:c r="G363" s="86" t="str">
        <x:v>TOP depth-CAL-2</x:v>
      </x:c>
      <x:c r="H363" s="86" t="str">
        <x:v>T2</x:v>
      </x:c>
      <x:c r="I363" s="91" t="str">
        <x:v>OPEN</x:v>
      </x:c>
    </x:row>
    <x:row r="364">
      <x:c r="A364" s="86" t="str">
        <x:v>CH-0359</x:v>
      </x:c>
      <x:c r="B364" s="86" t="str">
        <x:v>TOP depth</x:v>
      </x:c>
      <x:c r="C364" s="108" t="n">
        <x:v>39</x:v>
      </x:c>
      <x:c r="D364" s="86" t="str">
        <x:v>Z07</x:v>
      </x:c>
      <x:c r="E364" s="86" t="str">
        <x:v>intermediate</x:v>
      </x:c>
      <x:c r="F364" s="86" t="str">
        <x:v>L3</x:v>
      </x:c>
      <x:c r="G364" s="86" t="str">
        <x:v>TOP depth-CAL-3</x:v>
      </x:c>
      <x:c r="H364" s="86" t="str">
        <x:v>T3</x:v>
      </x:c>
      <x:c r="I364" s="91" t="str">
        <x:v>OPEN</x:v>
      </x:c>
    </x:row>
    <x:row r="365">
      <x:c r="A365" s="86" t="str">
        <x:v>CH-0360</x:v>
      </x:c>
      <x:c r="B365" s="86" t="str">
        <x:v>TOP depth</x:v>
      </x:c>
      <x:c r="C365" s="108" t="n">
        <x:v>40</x:v>
      </x:c>
      <x:c r="D365" s="86" t="str">
        <x:v>Z08</x:v>
      </x:c>
      <x:c r="E365" s="86" t="str">
        <x:v>intermediate</x:v>
      </x:c>
      <x:c r="F365" s="86" t="str">
        <x:v>L4</x:v>
      </x:c>
      <x:c r="G365" s="86" t="str">
        <x:v>TOP depth-CAL-4</x:v>
      </x:c>
      <x:c r="H365" s="86" t="str">
        <x:v>T4</x:v>
      </x:c>
      <x:c r="I365" s="91" t="str">
        <x:v>OPEN</x:v>
      </x:c>
    </x:row>
    <x:row r="366">
      <x:c r="A366" s="86" t="str">
        <x:v>CH-0361</x:v>
      </x:c>
      <x:c r="B366" s="86" t="str">
        <x:v>TOP depth</x:v>
      </x:c>
      <x:c r="C366" s="108" t="n">
        <x:v>41</x:v>
      </x:c>
      <x:c r="D366" s="86" t="str">
        <x:v>Z09</x:v>
      </x:c>
      <x:c r="E366" s="86" t="str">
        <x:v>intermediate</x:v>
      </x:c>
      <x:c r="F366" s="86" t="str">
        <x:v>L1</x:v>
      </x:c>
      <x:c r="G366" s="86" t="str">
        <x:v>TOP depth-CAL-1</x:v>
      </x:c>
      <x:c r="H366" s="86" t="str">
        <x:v>T1</x:v>
      </x:c>
      <x:c r="I366" s="91" t="str">
        <x:v>OPEN</x:v>
      </x:c>
    </x:row>
    <x:row r="367">
      <x:c r="A367" s="86" t="str">
        <x:v>CH-0362</x:v>
      </x:c>
      <x:c r="B367" s="86" t="str">
        <x:v>TOP depth</x:v>
      </x:c>
      <x:c r="C367" s="108" t="n">
        <x:v>42</x:v>
      </x:c>
      <x:c r="D367" s="86" t="str">
        <x:v>Z10</x:v>
      </x:c>
      <x:c r="E367" s="86" t="str">
        <x:v>intermediate</x:v>
      </x:c>
      <x:c r="F367" s="86" t="str">
        <x:v>L2</x:v>
      </x:c>
      <x:c r="G367" s="86" t="str">
        <x:v>TOP depth-CAL-2</x:v>
      </x:c>
      <x:c r="H367" s="86" t="str">
        <x:v>T2</x:v>
      </x:c>
      <x:c r="I367" s="91" t="str">
        <x:v>OPEN</x:v>
      </x:c>
    </x:row>
    <x:row r="368">
      <x:c r="A368" s="86" t="str">
        <x:v>CH-0363</x:v>
      </x:c>
      <x:c r="B368" s="86" t="str">
        <x:v>TOP depth</x:v>
      </x:c>
      <x:c r="C368" s="108" t="n">
        <x:v>43</x:v>
      </x:c>
      <x:c r="D368" s="86" t="str">
        <x:v>Z11</x:v>
      </x:c>
      <x:c r="E368" s="86" t="str">
        <x:v>intermediate</x:v>
      </x:c>
      <x:c r="F368" s="86" t="str">
        <x:v>L3</x:v>
      </x:c>
      <x:c r="G368" s="86" t="str">
        <x:v>TOP depth-CAL-3</x:v>
      </x:c>
      <x:c r="H368" s="86" t="str">
        <x:v>T3</x:v>
      </x:c>
      <x:c r="I368" s="91" t="str">
        <x:v>OPEN</x:v>
      </x:c>
    </x:row>
    <x:row r="369">
      <x:c r="A369" s="86" t="str">
        <x:v>CH-0364</x:v>
      </x:c>
      <x:c r="B369" s="86" t="str">
        <x:v>TOP depth</x:v>
      </x:c>
      <x:c r="C369" s="108" t="n">
        <x:v>44</x:v>
      </x:c>
      <x:c r="D369" s="86" t="str">
        <x:v>Z12</x:v>
      </x:c>
      <x:c r="E369" s="86" t="str">
        <x:v>intermediate</x:v>
      </x:c>
      <x:c r="F369" s="86" t="str">
        <x:v>L4</x:v>
      </x:c>
      <x:c r="G369" s="86" t="str">
        <x:v>TOP depth-CAL-4</x:v>
      </x:c>
      <x:c r="H369" s="86" t="str">
        <x:v>T4</x:v>
      </x:c>
      <x:c r="I369" s="91" t="str">
        <x:v>OPEN</x:v>
      </x:c>
    </x:row>
    <x:row r="370">
      <x:c r="A370" s="86" t="str">
        <x:v>CH-0365</x:v>
      </x:c>
      <x:c r="B370" s="86" t="str">
        <x:v>TOP depth</x:v>
      </x:c>
      <x:c r="C370" s="108" t="n">
        <x:v>45</x:v>
      </x:c>
      <x:c r="D370" s="86" t="str">
        <x:v>Z13</x:v>
      </x:c>
      <x:c r="E370" s="86" t="str">
        <x:v>intermediate</x:v>
      </x:c>
      <x:c r="F370" s="86" t="str">
        <x:v>L1</x:v>
      </x:c>
      <x:c r="G370" s="86" t="str">
        <x:v>TOP depth-CAL-1</x:v>
      </x:c>
      <x:c r="H370" s="86" t="str">
        <x:v>T1</x:v>
      </x:c>
      <x:c r="I370" s="91" t="str">
        <x:v>OPEN</x:v>
      </x:c>
    </x:row>
    <x:row r="371">
      <x:c r="A371" s="86" t="str">
        <x:v>CH-0366</x:v>
      </x:c>
      <x:c r="B371" s="86" t="str">
        <x:v>TOP depth</x:v>
      </x:c>
      <x:c r="C371" s="108" t="n">
        <x:v>46</x:v>
      </x:c>
      <x:c r="D371" s="86" t="str">
        <x:v>Z14</x:v>
      </x:c>
      <x:c r="E371" s="86" t="str">
        <x:v>intermediate</x:v>
      </x:c>
      <x:c r="F371" s="86" t="str">
        <x:v>L2</x:v>
      </x:c>
      <x:c r="G371" s="86" t="str">
        <x:v>TOP depth-CAL-2</x:v>
      </x:c>
      <x:c r="H371" s="86" t="str">
        <x:v>T2</x:v>
      </x:c>
      <x:c r="I371" s="91" t="str">
        <x:v>OPEN</x:v>
      </x:c>
    </x:row>
    <x:row r="372">
      <x:c r="A372" s="86" t="str">
        <x:v>CH-0367</x:v>
      </x:c>
      <x:c r="B372" s="86" t="str">
        <x:v>TOP depth</x:v>
      </x:c>
      <x:c r="C372" s="108" t="n">
        <x:v>47</x:v>
      </x:c>
      <x:c r="D372" s="86" t="str">
        <x:v>Z15</x:v>
      </x:c>
      <x:c r="E372" s="86" t="str">
        <x:v>intermediate</x:v>
      </x:c>
      <x:c r="F372" s="86" t="str">
        <x:v>L3</x:v>
      </x:c>
      <x:c r="G372" s="86" t="str">
        <x:v>TOP depth-CAL-3</x:v>
      </x:c>
      <x:c r="H372" s="86" t="str">
        <x:v>T3</x:v>
      </x:c>
      <x:c r="I372" s="91" t="str">
        <x:v>OPEN</x:v>
      </x:c>
    </x:row>
    <x:row r="373">
      <x:c r="A373" s="86" t="str">
        <x:v>CH-0368</x:v>
      </x:c>
      <x:c r="B373" s="86" t="str">
        <x:v>TOP depth</x:v>
      </x:c>
      <x:c r="C373" s="108" t="n">
        <x:v>48</x:v>
      </x:c>
      <x:c r="D373" s="86" t="str">
        <x:v>Z16</x:v>
      </x:c>
      <x:c r="E373" s="86" t="str">
        <x:v>intermediate</x:v>
      </x:c>
      <x:c r="F373" s="86" t="str">
        <x:v>L4</x:v>
      </x:c>
      <x:c r="G373" s="86" t="str">
        <x:v>TOP depth-CAL-4</x:v>
      </x:c>
      <x:c r="H373" s="86" t="str">
        <x:v>T4</x:v>
      </x:c>
      <x:c r="I373" s="91" t="str">
        <x:v>OPEN</x:v>
      </x:c>
    </x:row>
    <x:row r="374">
      <x:c r="A374" s="86" t="str">
        <x:v>CH-0369</x:v>
      </x:c>
      <x:c r="B374" s="86" t="str">
        <x:v>TOP depth</x:v>
      </x:c>
      <x:c r="C374" s="108" t="n">
        <x:v>49</x:v>
      </x:c>
      <x:c r="D374" s="86" t="str">
        <x:v>Z01</x:v>
      </x:c>
      <x:c r="E374" s="86" t="str">
        <x:v>return</x:v>
      </x:c>
      <x:c r="F374" s="86" t="str">
        <x:v>L1</x:v>
      </x:c>
      <x:c r="G374" s="86" t="str">
        <x:v>TOP depth-CAL-1</x:v>
      </x:c>
      <x:c r="H374" s="86" t="str">
        <x:v>T1</x:v>
      </x:c>
      <x:c r="I374" s="91" t="str">
        <x:v>OPEN</x:v>
      </x:c>
    </x:row>
    <x:row r="375">
      <x:c r="A375" s="86" t="str">
        <x:v>CH-0370</x:v>
      </x:c>
      <x:c r="B375" s="86" t="str">
        <x:v>TOP depth</x:v>
      </x:c>
      <x:c r="C375" s="108" t="n">
        <x:v>50</x:v>
      </x:c>
      <x:c r="D375" s="86" t="str">
        <x:v>Z02</x:v>
      </x:c>
      <x:c r="E375" s="86" t="str">
        <x:v>return</x:v>
      </x:c>
      <x:c r="F375" s="86" t="str">
        <x:v>L2</x:v>
      </x:c>
      <x:c r="G375" s="86" t="str">
        <x:v>TOP depth-CAL-2</x:v>
      </x:c>
      <x:c r="H375" s="86" t="str">
        <x:v>T2</x:v>
      </x:c>
      <x:c r="I375" s="91" t="str">
        <x:v>OPEN</x:v>
      </x:c>
    </x:row>
    <x:row r="376">
      <x:c r="A376" s="86" t="str">
        <x:v>CH-0371</x:v>
      </x:c>
      <x:c r="B376" s="86" t="str">
        <x:v>TOP depth</x:v>
      </x:c>
      <x:c r="C376" s="108" t="n">
        <x:v>51</x:v>
      </x:c>
      <x:c r="D376" s="86" t="str">
        <x:v>Z03</x:v>
      </x:c>
      <x:c r="E376" s="86" t="str">
        <x:v>return</x:v>
      </x:c>
      <x:c r="F376" s="86" t="str">
        <x:v>L3</x:v>
      </x:c>
      <x:c r="G376" s="86" t="str">
        <x:v>TOP depth-CAL-3</x:v>
      </x:c>
      <x:c r="H376" s="86" t="str">
        <x:v>T3</x:v>
      </x:c>
      <x:c r="I376" s="91" t="str">
        <x:v>OPEN</x:v>
      </x:c>
    </x:row>
    <x:row r="377">
      <x:c r="A377" s="86" t="str">
        <x:v>CH-0372</x:v>
      </x:c>
      <x:c r="B377" s="86" t="str">
        <x:v>TOP depth</x:v>
      </x:c>
      <x:c r="C377" s="108" t="n">
        <x:v>52</x:v>
      </x:c>
      <x:c r="D377" s="86" t="str">
        <x:v>Z04</x:v>
      </x:c>
      <x:c r="E377" s="86" t="str">
        <x:v>return</x:v>
      </x:c>
      <x:c r="F377" s="86" t="str">
        <x:v>L4</x:v>
      </x:c>
      <x:c r="G377" s="86" t="str">
        <x:v>TOP depth-CAL-4</x:v>
      </x:c>
      <x:c r="H377" s="86" t="str">
        <x:v>T4</x:v>
      </x:c>
      <x:c r="I377" s="91" t="str">
        <x:v>OPEN</x:v>
      </x:c>
    </x:row>
    <x:row r="378">
      <x:c r="A378" s="86" t="str">
        <x:v>CH-0373</x:v>
      </x:c>
      <x:c r="B378" s="86" t="str">
        <x:v>TOP depth</x:v>
      </x:c>
      <x:c r="C378" s="108" t="n">
        <x:v>53</x:v>
      </x:c>
      <x:c r="D378" s="86" t="str">
        <x:v>Z05</x:v>
      </x:c>
      <x:c r="E378" s="86" t="str">
        <x:v>return</x:v>
      </x:c>
      <x:c r="F378" s="86" t="str">
        <x:v>L1</x:v>
      </x:c>
      <x:c r="G378" s="86" t="str">
        <x:v>TOP depth-CAL-1</x:v>
      </x:c>
      <x:c r="H378" s="86" t="str">
        <x:v>T1</x:v>
      </x:c>
      <x:c r="I378" s="91" t="str">
        <x:v>OPEN</x:v>
      </x:c>
    </x:row>
    <x:row r="379">
      <x:c r="A379" s="86" t="str">
        <x:v>CH-0374</x:v>
      </x:c>
      <x:c r="B379" s="86" t="str">
        <x:v>TOP depth</x:v>
      </x:c>
      <x:c r="C379" s="108" t="n">
        <x:v>54</x:v>
      </x:c>
      <x:c r="D379" s="86" t="str">
        <x:v>Z06</x:v>
      </x:c>
      <x:c r="E379" s="86" t="str">
        <x:v>return</x:v>
      </x:c>
      <x:c r="F379" s="86" t="str">
        <x:v>L2</x:v>
      </x:c>
      <x:c r="G379" s="86" t="str">
        <x:v>TOP depth-CAL-2</x:v>
      </x:c>
      <x:c r="H379" s="86" t="str">
        <x:v>T2</x:v>
      </x:c>
      <x:c r="I379" s="91" t="str">
        <x:v>OPEN</x:v>
      </x:c>
    </x:row>
    <x:row r="380">
      <x:c r="A380" s="86" t="str">
        <x:v>CH-0375</x:v>
      </x:c>
      <x:c r="B380" s="86" t="str">
        <x:v>TOP depth</x:v>
      </x:c>
      <x:c r="C380" s="108" t="n">
        <x:v>55</x:v>
      </x:c>
      <x:c r="D380" s="86" t="str">
        <x:v>Z07</x:v>
      </x:c>
      <x:c r="E380" s="86" t="str">
        <x:v>return</x:v>
      </x:c>
      <x:c r="F380" s="86" t="str">
        <x:v>L3</x:v>
      </x:c>
      <x:c r="G380" s="86" t="str">
        <x:v>TOP depth-CAL-3</x:v>
      </x:c>
      <x:c r="H380" s="86" t="str">
        <x:v>T3</x:v>
      </x:c>
      <x:c r="I380" s="91" t="str">
        <x:v>OPEN</x:v>
      </x:c>
    </x:row>
    <x:row r="381">
      <x:c r="A381" s="86" t="str">
        <x:v>CH-0376</x:v>
      </x:c>
      <x:c r="B381" s="86" t="str">
        <x:v>TOP depth</x:v>
      </x:c>
      <x:c r="C381" s="108" t="n">
        <x:v>56</x:v>
      </x:c>
      <x:c r="D381" s="86" t="str">
        <x:v>Z08</x:v>
      </x:c>
      <x:c r="E381" s="86" t="str">
        <x:v>return</x:v>
      </x:c>
      <x:c r="F381" s="86" t="str">
        <x:v>L4</x:v>
      </x:c>
      <x:c r="G381" s="86" t="str">
        <x:v>TOP depth-CAL-4</x:v>
      </x:c>
      <x:c r="H381" s="86" t="str">
        <x:v>T4</x:v>
      </x:c>
      <x:c r="I381" s="91" t="str">
        <x:v>OPEN</x:v>
      </x:c>
    </x:row>
    <x:row r="382">
      <x:c r="A382" s="86" t="str">
        <x:v>CH-0377</x:v>
      </x:c>
      <x:c r="B382" s="86" t="str">
        <x:v>TOP depth</x:v>
      </x:c>
      <x:c r="C382" s="108" t="n">
        <x:v>57</x:v>
      </x:c>
      <x:c r="D382" s="86" t="str">
        <x:v>Z09</x:v>
      </x:c>
      <x:c r="E382" s="86" t="str">
        <x:v>return</x:v>
      </x:c>
      <x:c r="F382" s="86" t="str">
        <x:v>L1</x:v>
      </x:c>
      <x:c r="G382" s="86" t="str">
        <x:v>TOP depth-CAL-1</x:v>
      </x:c>
      <x:c r="H382" s="86" t="str">
        <x:v>T1</x:v>
      </x:c>
      <x:c r="I382" s="91" t="str">
        <x:v>OPEN</x:v>
      </x:c>
    </x:row>
    <x:row r="383">
      <x:c r="A383" s="86" t="str">
        <x:v>CH-0378</x:v>
      </x:c>
      <x:c r="B383" s="86" t="str">
        <x:v>TOP depth</x:v>
      </x:c>
      <x:c r="C383" s="108" t="n">
        <x:v>58</x:v>
      </x:c>
      <x:c r="D383" s="86" t="str">
        <x:v>Z10</x:v>
      </x:c>
      <x:c r="E383" s="86" t="str">
        <x:v>return</x:v>
      </x:c>
      <x:c r="F383" s="86" t="str">
        <x:v>L2</x:v>
      </x:c>
      <x:c r="G383" s="86" t="str">
        <x:v>TOP depth-CAL-2</x:v>
      </x:c>
      <x:c r="H383" s="86" t="str">
        <x:v>T2</x:v>
      </x:c>
      <x:c r="I383" s="91" t="str">
        <x:v>OPEN</x:v>
      </x:c>
    </x:row>
    <x:row r="384">
      <x:c r="A384" s="86" t="str">
        <x:v>CH-0379</x:v>
      </x:c>
      <x:c r="B384" s="86" t="str">
        <x:v>TOP depth</x:v>
      </x:c>
      <x:c r="C384" s="108" t="n">
        <x:v>59</x:v>
      </x:c>
      <x:c r="D384" s="86" t="str">
        <x:v>Z11</x:v>
      </x:c>
      <x:c r="E384" s="86" t="str">
        <x:v>return</x:v>
      </x:c>
      <x:c r="F384" s="86" t="str">
        <x:v>L3</x:v>
      </x:c>
      <x:c r="G384" s="86" t="str">
        <x:v>TOP depth-CAL-3</x:v>
      </x:c>
      <x:c r="H384" s="86" t="str">
        <x:v>T3</x:v>
      </x:c>
      <x:c r="I384" s="91" t="str">
        <x:v>OPEN</x:v>
      </x:c>
    </x:row>
    <x:row r="385">
      <x:c r="A385" s="86" t="str">
        <x:v>CH-0380</x:v>
      </x:c>
      <x:c r="B385" s="86" t="str">
        <x:v>TOP depth</x:v>
      </x:c>
      <x:c r="C385" s="108" t="n">
        <x:v>60</x:v>
      </x:c>
      <x:c r="D385" s="86" t="str">
        <x:v>Z12</x:v>
      </x:c>
      <x:c r="E385" s="86" t="str">
        <x:v>return</x:v>
      </x:c>
      <x:c r="F385" s="86" t="str">
        <x:v>L4</x:v>
      </x:c>
      <x:c r="G385" s="86" t="str">
        <x:v>TOP depth-CAL-4</x:v>
      </x:c>
      <x:c r="H385" s="86" t="str">
        <x:v>T4</x:v>
      </x:c>
      <x:c r="I385" s="91" t="str">
        <x:v>OPEN</x:v>
      </x:c>
    </x:row>
    <x:row r="386">
      <x:c r="A386" s="86" t="str">
        <x:v>CH-0381</x:v>
      </x:c>
      <x:c r="B386" s="86" t="str">
        <x:v>TOP depth</x:v>
      </x:c>
      <x:c r="C386" s="108" t="n">
        <x:v>61</x:v>
      </x:c>
      <x:c r="D386" s="86" t="str">
        <x:v>Z13</x:v>
      </x:c>
      <x:c r="E386" s="86" t="str">
        <x:v>return</x:v>
      </x:c>
      <x:c r="F386" s="86" t="str">
        <x:v>L1</x:v>
      </x:c>
      <x:c r="G386" s="86" t="str">
        <x:v>TOP depth-CAL-1</x:v>
      </x:c>
      <x:c r="H386" s="86" t="str">
        <x:v>T1</x:v>
      </x:c>
      <x:c r="I386" s="91" t="str">
        <x:v>OPEN</x:v>
      </x:c>
    </x:row>
    <x:row r="387">
      <x:c r="A387" s="86" t="str">
        <x:v>CH-0382</x:v>
      </x:c>
      <x:c r="B387" s="86" t="str">
        <x:v>TOP depth</x:v>
      </x:c>
      <x:c r="C387" s="108" t="n">
        <x:v>62</x:v>
      </x:c>
      <x:c r="D387" s="86" t="str">
        <x:v>Z14</x:v>
      </x:c>
      <x:c r="E387" s="86" t="str">
        <x:v>return</x:v>
      </x:c>
      <x:c r="F387" s="86" t="str">
        <x:v>L2</x:v>
      </x:c>
      <x:c r="G387" s="86" t="str">
        <x:v>TOP depth-CAL-2</x:v>
      </x:c>
      <x:c r="H387" s="86" t="str">
        <x:v>T2</x:v>
      </x:c>
      <x:c r="I387" s="91" t="str">
        <x:v>OPEN</x:v>
      </x:c>
    </x:row>
    <x:row r="388">
      <x:c r="A388" s="86" t="str">
        <x:v>CH-0383</x:v>
      </x:c>
      <x:c r="B388" s="86" t="str">
        <x:v>TOP depth</x:v>
      </x:c>
      <x:c r="C388" s="108" t="n">
        <x:v>63</x:v>
      </x:c>
      <x:c r="D388" s="86" t="str">
        <x:v>Z15</x:v>
      </x:c>
      <x:c r="E388" s="86" t="str">
        <x:v>return</x:v>
      </x:c>
      <x:c r="F388" s="86" t="str">
        <x:v>L3</x:v>
      </x:c>
      <x:c r="G388" s="86" t="str">
        <x:v>TOP depth-CAL-3</x:v>
      </x:c>
      <x:c r="H388" s="86" t="str">
        <x:v>T3</x:v>
      </x:c>
      <x:c r="I388" s="91" t="str">
        <x:v>OPEN</x:v>
      </x:c>
    </x:row>
    <x:row r="389">
      <x:c r="A389" s="86" t="str">
        <x:v>CH-0384</x:v>
      </x:c>
      <x:c r="B389" s="86" t="str">
        <x:v>TOP depth</x:v>
      </x:c>
      <x:c r="C389" s="108" t="n">
        <x:v>64</x:v>
      </x:c>
      <x:c r="D389" s="86" t="str">
        <x:v>Z16</x:v>
      </x:c>
      <x:c r="E389" s="86" t="str">
        <x:v>return</x:v>
      </x:c>
      <x:c r="F389" s="86" t="str">
        <x:v>L4</x:v>
      </x:c>
      <x:c r="G389" s="86" t="str">
        <x:v>TOP depth-CAL-4</x:v>
      </x:c>
      <x:c r="H389" s="86" t="str">
        <x:v>T4</x:v>
      </x:c>
      <x:c r="I389" s="91" t="str">
        <x:v>OPEN</x:v>
      </x:c>
    </x:row>
    <x:row r="390">
      <x:c r="A390" s="86" t="str">
        <x:v>CH-0385</x:v>
      </x:c>
      <x:c r="B390" s="86" t="str">
        <x:v>MOL gas</x:v>
      </x:c>
      <x:c r="C390" s="108" t="n">
        <x:v>1</x:v>
      </x:c>
      <x:c r="D390" s="86" t="str">
        <x:v>Z01</x:v>
      </x:c>
      <x:c r="E390" s="86" t="str">
        <x:v>full</x:v>
      </x:c>
      <x:c r="F390" s="86" t="str">
        <x:v>L1</x:v>
      </x:c>
      <x:c r="G390" s="86" t="str">
        <x:v>MOL gas-CAL-1</x:v>
      </x:c>
      <x:c r="H390" s="86" t="str">
        <x:v>T1</x:v>
      </x:c>
      <x:c r="I390" s="91" t="str">
        <x:v>OPEN</x:v>
      </x:c>
    </x:row>
    <x:row r="391">
      <x:c r="A391" s="86" t="str">
        <x:v>CH-0386</x:v>
      </x:c>
      <x:c r="B391" s="86" t="str">
        <x:v>MOL gas</x:v>
      </x:c>
      <x:c r="C391" s="108" t="n">
        <x:v>2</x:v>
      </x:c>
      <x:c r="D391" s="86" t="str">
        <x:v>Z02</x:v>
      </x:c>
      <x:c r="E391" s="86" t="str">
        <x:v>full</x:v>
      </x:c>
      <x:c r="F391" s="86" t="str">
        <x:v>L2</x:v>
      </x:c>
      <x:c r="G391" s="86" t="str">
        <x:v>MOL gas-CAL-2</x:v>
      </x:c>
      <x:c r="H391" s="86" t="str">
        <x:v>T2</x:v>
      </x:c>
      <x:c r="I391" s="91" t="str">
        <x:v>OPEN</x:v>
      </x:c>
    </x:row>
    <x:row r="392">
      <x:c r="A392" s="86" t="str">
        <x:v>CH-0387</x:v>
      </x:c>
      <x:c r="B392" s="86" t="str">
        <x:v>MOL gas</x:v>
      </x:c>
      <x:c r="C392" s="108" t="n">
        <x:v>3</x:v>
      </x:c>
      <x:c r="D392" s="86" t="str">
        <x:v>Z03</x:v>
      </x:c>
      <x:c r="E392" s="86" t="str">
        <x:v>full</x:v>
      </x:c>
      <x:c r="F392" s="86" t="str">
        <x:v>L3</x:v>
      </x:c>
      <x:c r="G392" s="86" t="str">
        <x:v>MOL gas-CAL-3</x:v>
      </x:c>
      <x:c r="H392" s="86" t="str">
        <x:v>T3</x:v>
      </x:c>
      <x:c r="I392" s="91" t="str">
        <x:v>OPEN</x:v>
      </x:c>
    </x:row>
    <x:row r="393">
      <x:c r="A393" s="86" t="str">
        <x:v>CH-0388</x:v>
      </x:c>
      <x:c r="B393" s="86" t="str">
        <x:v>MOL gas</x:v>
      </x:c>
      <x:c r="C393" s="108" t="n">
        <x:v>4</x:v>
      </x:c>
      <x:c r="D393" s="86" t="str">
        <x:v>Z04</x:v>
      </x:c>
      <x:c r="E393" s="86" t="str">
        <x:v>full</x:v>
      </x:c>
      <x:c r="F393" s="86" t="str">
        <x:v>L4</x:v>
      </x:c>
      <x:c r="G393" s="86" t="str">
        <x:v>MOL gas-CAL-4</x:v>
      </x:c>
      <x:c r="H393" s="86" t="str">
        <x:v>T4</x:v>
      </x:c>
      <x:c r="I393" s="91" t="str">
        <x:v>OPEN</x:v>
      </x:c>
    </x:row>
    <x:row r="394">
      <x:c r="A394" s="86" t="str">
        <x:v>CH-0389</x:v>
      </x:c>
      <x:c r="B394" s="86" t="str">
        <x:v>MOL gas</x:v>
      </x:c>
      <x:c r="C394" s="108" t="n">
        <x:v>5</x:v>
      </x:c>
      <x:c r="D394" s="86" t="str">
        <x:v>Z05</x:v>
      </x:c>
      <x:c r="E394" s="86" t="str">
        <x:v>full</x:v>
      </x:c>
      <x:c r="F394" s="86" t="str">
        <x:v>L1</x:v>
      </x:c>
      <x:c r="G394" s="86" t="str">
        <x:v>MOL gas-CAL-1</x:v>
      </x:c>
      <x:c r="H394" s="86" t="str">
        <x:v>T1</x:v>
      </x:c>
      <x:c r="I394" s="91" t="str">
        <x:v>OPEN</x:v>
      </x:c>
    </x:row>
    <x:row r="395">
      <x:c r="A395" s="86" t="str">
        <x:v>CH-0390</x:v>
      </x:c>
      <x:c r="B395" s="86" t="str">
        <x:v>MOL gas</x:v>
      </x:c>
      <x:c r="C395" s="108" t="n">
        <x:v>6</x:v>
      </x:c>
      <x:c r="D395" s="86" t="str">
        <x:v>Z06</x:v>
      </x:c>
      <x:c r="E395" s="86" t="str">
        <x:v>full</x:v>
      </x:c>
      <x:c r="F395" s="86" t="str">
        <x:v>L2</x:v>
      </x:c>
      <x:c r="G395" s="86" t="str">
        <x:v>MOL gas-CAL-2</x:v>
      </x:c>
      <x:c r="H395" s="86" t="str">
        <x:v>T2</x:v>
      </x:c>
      <x:c r="I395" s="91" t="str">
        <x:v>OPEN</x:v>
      </x:c>
    </x:row>
    <x:row r="396">
      <x:c r="A396" s="86" t="str">
        <x:v>CH-0391</x:v>
      </x:c>
      <x:c r="B396" s="86" t="str">
        <x:v>MOL gas</x:v>
      </x:c>
      <x:c r="C396" s="108" t="n">
        <x:v>7</x:v>
      </x:c>
      <x:c r="D396" s="86" t="str">
        <x:v>Z07</x:v>
      </x:c>
      <x:c r="E396" s="86" t="str">
        <x:v>full</x:v>
      </x:c>
      <x:c r="F396" s="86" t="str">
        <x:v>L3</x:v>
      </x:c>
      <x:c r="G396" s="86" t="str">
        <x:v>MOL gas-CAL-3</x:v>
      </x:c>
      <x:c r="H396" s="86" t="str">
        <x:v>T3</x:v>
      </x:c>
      <x:c r="I396" s="91" t="str">
        <x:v>OPEN</x:v>
      </x:c>
    </x:row>
    <x:row r="397">
      <x:c r="A397" s="86" t="str">
        <x:v>CH-0392</x:v>
      </x:c>
      <x:c r="B397" s="86" t="str">
        <x:v>MOL gas</x:v>
      </x:c>
      <x:c r="C397" s="108" t="n">
        <x:v>8</x:v>
      </x:c>
      <x:c r="D397" s="86" t="str">
        <x:v>Z08</x:v>
      </x:c>
      <x:c r="E397" s="86" t="str">
        <x:v>full</x:v>
      </x:c>
      <x:c r="F397" s="86" t="str">
        <x:v>L4</x:v>
      </x:c>
      <x:c r="G397" s="86" t="str">
        <x:v>MOL gas-CAL-4</x:v>
      </x:c>
      <x:c r="H397" s="86" t="str">
        <x:v>T4</x:v>
      </x:c>
      <x:c r="I397" s="91" t="str">
        <x:v>OPEN</x:v>
      </x:c>
    </x:row>
    <x:row r="398">
      <x:c r="A398" s="86" t="str">
        <x:v>CH-0393</x:v>
      </x:c>
      <x:c r="B398" s="86" t="str">
        <x:v>MOL gas</x:v>
      </x:c>
      <x:c r="C398" s="108" t="n">
        <x:v>9</x:v>
      </x:c>
      <x:c r="D398" s="86" t="str">
        <x:v>Z09</x:v>
      </x:c>
      <x:c r="E398" s="86" t="str">
        <x:v>full</x:v>
      </x:c>
      <x:c r="F398" s="86" t="str">
        <x:v>L1</x:v>
      </x:c>
      <x:c r="G398" s="86" t="str">
        <x:v>MOL gas-CAL-1</x:v>
      </x:c>
      <x:c r="H398" s="86" t="str">
        <x:v>T1</x:v>
      </x:c>
      <x:c r="I398" s="91" t="str">
        <x:v>OPEN</x:v>
      </x:c>
    </x:row>
    <x:row r="399">
      <x:c r="A399" s="86" t="str">
        <x:v>CH-0394</x:v>
      </x:c>
      <x:c r="B399" s="86" t="str">
        <x:v>MOL gas</x:v>
      </x:c>
      <x:c r="C399" s="108" t="n">
        <x:v>10</x:v>
      </x:c>
      <x:c r="D399" s="86" t="str">
        <x:v>Z10</x:v>
      </x:c>
      <x:c r="E399" s="86" t="str">
        <x:v>full</x:v>
      </x:c>
      <x:c r="F399" s="86" t="str">
        <x:v>L2</x:v>
      </x:c>
      <x:c r="G399" s="86" t="str">
        <x:v>MOL gas-CAL-2</x:v>
      </x:c>
      <x:c r="H399" s="86" t="str">
        <x:v>T2</x:v>
      </x:c>
      <x:c r="I399" s="91" t="str">
        <x:v>OPEN</x:v>
      </x:c>
    </x:row>
    <x:row r="400">
      <x:c r="A400" s="86" t="str">
        <x:v>CH-0395</x:v>
      </x:c>
      <x:c r="B400" s="86" t="str">
        <x:v>MOL gas</x:v>
      </x:c>
      <x:c r="C400" s="108" t="n">
        <x:v>11</x:v>
      </x:c>
      <x:c r="D400" s="86" t="str">
        <x:v>Z11</x:v>
      </x:c>
      <x:c r="E400" s="86" t="str">
        <x:v>full</x:v>
      </x:c>
      <x:c r="F400" s="86" t="str">
        <x:v>L3</x:v>
      </x:c>
      <x:c r="G400" s="86" t="str">
        <x:v>MOL gas-CAL-3</x:v>
      </x:c>
      <x:c r="H400" s="86" t="str">
        <x:v>T3</x:v>
      </x:c>
      <x:c r="I400" s="91" t="str">
        <x:v>OPEN</x:v>
      </x:c>
    </x:row>
    <x:row r="401">
      <x:c r="A401" s="86" t="str">
        <x:v>CH-0396</x:v>
      </x:c>
      <x:c r="B401" s="86" t="str">
        <x:v>MOL gas</x:v>
      </x:c>
      <x:c r="C401" s="108" t="n">
        <x:v>12</x:v>
      </x:c>
      <x:c r="D401" s="86" t="str">
        <x:v>Z12</x:v>
      </x:c>
      <x:c r="E401" s="86" t="str">
        <x:v>full</x:v>
      </x:c>
      <x:c r="F401" s="86" t="str">
        <x:v>L4</x:v>
      </x:c>
      <x:c r="G401" s="86" t="str">
        <x:v>MOL gas-CAL-4</x:v>
      </x:c>
      <x:c r="H401" s="86" t="str">
        <x:v>T4</x:v>
      </x:c>
      <x:c r="I401" s="91" t="str">
        <x:v>OPEN</x:v>
      </x:c>
    </x:row>
    <x:row r="402">
      <x:c r="A402" s="86" t="str">
        <x:v>CH-0397</x:v>
      </x:c>
      <x:c r="B402" s="86" t="str">
        <x:v>MOL gas</x:v>
      </x:c>
      <x:c r="C402" s="108" t="n">
        <x:v>13</x:v>
      </x:c>
      <x:c r="D402" s="86" t="str">
        <x:v>Z13</x:v>
      </x:c>
      <x:c r="E402" s="86" t="str">
        <x:v>full</x:v>
      </x:c>
      <x:c r="F402" s="86" t="str">
        <x:v>L1</x:v>
      </x:c>
      <x:c r="G402" s="86" t="str">
        <x:v>MOL gas-CAL-1</x:v>
      </x:c>
      <x:c r="H402" s="86" t="str">
        <x:v>T1</x:v>
      </x:c>
      <x:c r="I402" s="91" t="str">
        <x:v>OPEN</x:v>
      </x:c>
    </x:row>
    <x:row r="403">
      <x:c r="A403" s="86" t="str">
        <x:v>CH-0398</x:v>
      </x:c>
      <x:c r="B403" s="86" t="str">
        <x:v>MOL gas</x:v>
      </x:c>
      <x:c r="C403" s="108" t="n">
        <x:v>14</x:v>
      </x:c>
      <x:c r="D403" s="86" t="str">
        <x:v>Z14</x:v>
      </x:c>
      <x:c r="E403" s="86" t="str">
        <x:v>full</x:v>
      </x:c>
      <x:c r="F403" s="86" t="str">
        <x:v>L2</x:v>
      </x:c>
      <x:c r="G403" s="86" t="str">
        <x:v>MOL gas-CAL-2</x:v>
      </x:c>
      <x:c r="H403" s="86" t="str">
        <x:v>T2</x:v>
      </x:c>
      <x:c r="I403" s="91" t="str">
        <x:v>OPEN</x:v>
      </x:c>
    </x:row>
    <x:row r="404">
      <x:c r="A404" s="86" t="str">
        <x:v>CH-0399</x:v>
      </x:c>
      <x:c r="B404" s="86" t="str">
        <x:v>MOL gas</x:v>
      </x:c>
      <x:c r="C404" s="108" t="n">
        <x:v>15</x:v>
      </x:c>
      <x:c r="D404" s="86" t="str">
        <x:v>Z15</x:v>
      </x:c>
      <x:c r="E404" s="86" t="str">
        <x:v>full</x:v>
      </x:c>
      <x:c r="F404" s="86" t="str">
        <x:v>L3</x:v>
      </x:c>
      <x:c r="G404" s="86" t="str">
        <x:v>MOL gas-CAL-3</x:v>
      </x:c>
      <x:c r="H404" s="86" t="str">
        <x:v>T3</x:v>
      </x:c>
      <x:c r="I404" s="91" t="str">
        <x:v>OPEN</x:v>
      </x:c>
    </x:row>
    <x:row r="405">
      <x:c r="A405" s="86" t="str">
        <x:v>CH-0400</x:v>
      </x:c>
      <x:c r="B405" s="86" t="str">
        <x:v>MOL gas</x:v>
      </x:c>
      <x:c r="C405" s="108" t="n">
        <x:v>16</x:v>
      </x:c>
      <x:c r="D405" s="86" t="str">
        <x:v>Z16</x:v>
      </x:c>
      <x:c r="E405" s="86" t="str">
        <x:v>full</x:v>
      </x:c>
      <x:c r="F405" s="86" t="str">
        <x:v>L4</x:v>
      </x:c>
      <x:c r="G405" s="86" t="str">
        <x:v>MOL gas-CAL-4</x:v>
      </x:c>
      <x:c r="H405" s="86" t="str">
        <x:v>T4</x:v>
      </x:c>
      <x:c r="I405" s="91" t="str">
        <x:v>OPEN</x:v>
      </x:c>
    </x:row>
    <x:row r="406">
      <x:c r="A406" s="86" t="str">
        <x:v>CH-0401</x:v>
      </x:c>
      <x:c r="B406" s="86" t="str">
        <x:v>MOL gas</x:v>
      </x:c>
      <x:c r="C406" s="108" t="n">
        <x:v>17</x:v>
      </x:c>
      <x:c r="D406" s="86" t="str">
        <x:v>Z01</x:v>
      </x:c>
      <x:c r="E406" s="86" t="str">
        <x:v>full</x:v>
      </x:c>
      <x:c r="F406" s="86" t="str">
        <x:v>L1</x:v>
      </x:c>
      <x:c r="G406" s="86" t="str">
        <x:v>MOL gas-CAL-1</x:v>
      </x:c>
      <x:c r="H406" s="86" t="str">
        <x:v>T1</x:v>
      </x:c>
      <x:c r="I406" s="91" t="str">
        <x:v>OPEN</x:v>
      </x:c>
    </x:row>
    <x:row r="407">
      <x:c r="A407" s="86" t="str">
        <x:v>CH-0402</x:v>
      </x:c>
      <x:c r="B407" s="86" t="str">
        <x:v>MOL gas</x:v>
      </x:c>
      <x:c r="C407" s="108" t="n">
        <x:v>18</x:v>
      </x:c>
      <x:c r="D407" s="86" t="str">
        <x:v>Z02</x:v>
      </x:c>
      <x:c r="E407" s="86" t="str">
        <x:v>full</x:v>
      </x:c>
      <x:c r="F407" s="86" t="str">
        <x:v>L2</x:v>
      </x:c>
      <x:c r="G407" s="86" t="str">
        <x:v>MOL gas-CAL-2</x:v>
      </x:c>
      <x:c r="H407" s="86" t="str">
        <x:v>T2</x:v>
      </x:c>
      <x:c r="I407" s="91" t="str">
        <x:v>OPEN</x:v>
      </x:c>
    </x:row>
    <x:row r="408">
      <x:c r="A408" s="86" t="str">
        <x:v>CH-0403</x:v>
      </x:c>
      <x:c r="B408" s="86" t="str">
        <x:v>MOL gas</x:v>
      </x:c>
      <x:c r="C408" s="108" t="n">
        <x:v>19</x:v>
      </x:c>
      <x:c r="D408" s="86" t="str">
        <x:v>Z03</x:v>
      </x:c>
      <x:c r="E408" s="86" t="str">
        <x:v>full</x:v>
      </x:c>
      <x:c r="F408" s="86" t="str">
        <x:v>L3</x:v>
      </x:c>
      <x:c r="G408" s="86" t="str">
        <x:v>MOL gas-CAL-3</x:v>
      </x:c>
      <x:c r="H408" s="86" t="str">
        <x:v>T3</x:v>
      </x:c>
      <x:c r="I408" s="91" t="str">
        <x:v>OPEN</x:v>
      </x:c>
    </x:row>
    <x:row r="409">
      <x:c r="A409" s="86" t="str">
        <x:v>CH-0404</x:v>
      </x:c>
      <x:c r="B409" s="86" t="str">
        <x:v>MOL gas</x:v>
      </x:c>
      <x:c r="C409" s="108" t="n">
        <x:v>20</x:v>
      </x:c>
      <x:c r="D409" s="86" t="str">
        <x:v>Z04</x:v>
      </x:c>
      <x:c r="E409" s="86" t="str">
        <x:v>full</x:v>
      </x:c>
      <x:c r="F409" s="86" t="str">
        <x:v>L4</x:v>
      </x:c>
      <x:c r="G409" s="86" t="str">
        <x:v>MOL gas-CAL-4</x:v>
      </x:c>
      <x:c r="H409" s="86" t="str">
        <x:v>T4</x:v>
      </x:c>
      <x:c r="I409" s="91" t="str">
        <x:v>OPEN</x:v>
      </x:c>
    </x:row>
    <x:row r="410">
      <x:c r="A410" s="86" t="str">
        <x:v>CH-0405</x:v>
      </x:c>
      <x:c r="B410" s="86" t="str">
        <x:v>MOL gas</x:v>
      </x:c>
      <x:c r="C410" s="108" t="n">
        <x:v>21</x:v>
      </x:c>
      <x:c r="D410" s="86" t="str">
        <x:v>Z05</x:v>
      </x:c>
      <x:c r="E410" s="86" t="str">
        <x:v>full</x:v>
      </x:c>
      <x:c r="F410" s="86" t="str">
        <x:v>L1</x:v>
      </x:c>
      <x:c r="G410" s="86" t="str">
        <x:v>MOL gas-CAL-1</x:v>
      </x:c>
      <x:c r="H410" s="86" t="str">
        <x:v>T1</x:v>
      </x:c>
      <x:c r="I410" s="91" t="str">
        <x:v>OPEN</x:v>
      </x:c>
    </x:row>
    <x:row r="411">
      <x:c r="A411" s="86" t="str">
        <x:v>CH-0406</x:v>
      </x:c>
      <x:c r="B411" s="86" t="str">
        <x:v>MOL gas</x:v>
      </x:c>
      <x:c r="C411" s="108" t="n">
        <x:v>22</x:v>
      </x:c>
      <x:c r="D411" s="86" t="str">
        <x:v>Z06</x:v>
      </x:c>
      <x:c r="E411" s="86" t="str">
        <x:v>full</x:v>
      </x:c>
      <x:c r="F411" s="86" t="str">
        <x:v>L2</x:v>
      </x:c>
      <x:c r="G411" s="86" t="str">
        <x:v>MOL gas-CAL-2</x:v>
      </x:c>
      <x:c r="H411" s="86" t="str">
        <x:v>T2</x:v>
      </x:c>
      <x:c r="I411" s="91" t="str">
        <x:v>OPEN</x:v>
      </x:c>
    </x:row>
    <x:row r="412">
      <x:c r="A412" s="86" t="str">
        <x:v>CH-0407</x:v>
      </x:c>
      <x:c r="B412" s="86" t="str">
        <x:v>MOL gas</x:v>
      </x:c>
      <x:c r="C412" s="108" t="n">
        <x:v>23</x:v>
      </x:c>
      <x:c r="D412" s="86" t="str">
        <x:v>Z07</x:v>
      </x:c>
      <x:c r="E412" s="86" t="str">
        <x:v>full</x:v>
      </x:c>
      <x:c r="F412" s="86" t="str">
        <x:v>L3</x:v>
      </x:c>
      <x:c r="G412" s="86" t="str">
        <x:v>MOL gas-CAL-3</x:v>
      </x:c>
      <x:c r="H412" s="86" t="str">
        <x:v>T3</x:v>
      </x:c>
      <x:c r="I412" s="91" t="str">
        <x:v>OPEN</x:v>
      </x:c>
    </x:row>
    <x:row r="413">
      <x:c r="A413" s="86" t="str">
        <x:v>CH-0408</x:v>
      </x:c>
      <x:c r="B413" s="86" t="str">
        <x:v>MOL gas</x:v>
      </x:c>
      <x:c r="C413" s="108" t="n">
        <x:v>24</x:v>
      </x:c>
      <x:c r="D413" s="86" t="str">
        <x:v>Z08</x:v>
      </x:c>
      <x:c r="E413" s="86" t="str">
        <x:v>full</x:v>
      </x:c>
      <x:c r="F413" s="86" t="str">
        <x:v>L4</x:v>
      </x:c>
      <x:c r="G413" s="86" t="str">
        <x:v>MOL gas-CAL-4</x:v>
      </x:c>
      <x:c r="H413" s="86" t="str">
        <x:v>T4</x:v>
      </x:c>
      <x:c r="I413" s="91" t="str">
        <x:v>OPEN</x:v>
      </x:c>
    </x:row>
    <x:row r="414">
      <x:c r="A414" s="86" t="str">
        <x:v>CH-0409</x:v>
      </x:c>
      <x:c r="B414" s="86" t="str">
        <x:v>MOL gas</x:v>
      </x:c>
      <x:c r="C414" s="108" t="n">
        <x:v>25</x:v>
      </x:c>
      <x:c r="D414" s="86" t="str">
        <x:v>Z09</x:v>
      </x:c>
      <x:c r="E414" s="86" t="str">
        <x:v>full</x:v>
      </x:c>
      <x:c r="F414" s="86" t="str">
        <x:v>L1</x:v>
      </x:c>
      <x:c r="G414" s="86" t="str">
        <x:v>MOL gas-CAL-1</x:v>
      </x:c>
      <x:c r="H414" s="86" t="str">
        <x:v>T1</x:v>
      </x:c>
      <x:c r="I414" s="91" t="str">
        <x:v>OPEN</x:v>
      </x:c>
    </x:row>
    <x:row r="415">
      <x:c r="A415" s="86" t="str">
        <x:v>CH-0410</x:v>
      </x:c>
      <x:c r="B415" s="86" t="str">
        <x:v>MOL gas</x:v>
      </x:c>
      <x:c r="C415" s="108" t="n">
        <x:v>26</x:v>
      </x:c>
      <x:c r="D415" s="86" t="str">
        <x:v>Z10</x:v>
      </x:c>
      <x:c r="E415" s="86" t="str">
        <x:v>full</x:v>
      </x:c>
      <x:c r="F415" s="86" t="str">
        <x:v>L2</x:v>
      </x:c>
      <x:c r="G415" s="86" t="str">
        <x:v>MOL gas-CAL-2</x:v>
      </x:c>
      <x:c r="H415" s="86" t="str">
        <x:v>T2</x:v>
      </x:c>
      <x:c r="I415" s="91" t="str">
        <x:v>OPEN</x:v>
      </x:c>
    </x:row>
    <x:row r="416">
      <x:c r="A416" s="86" t="str">
        <x:v>CH-0411</x:v>
      </x:c>
      <x:c r="B416" s="86" t="str">
        <x:v>MOL gas</x:v>
      </x:c>
      <x:c r="C416" s="108" t="n">
        <x:v>27</x:v>
      </x:c>
      <x:c r="D416" s="86" t="str">
        <x:v>Z11</x:v>
      </x:c>
      <x:c r="E416" s="86" t="str">
        <x:v>full</x:v>
      </x:c>
      <x:c r="F416" s="86" t="str">
        <x:v>L3</x:v>
      </x:c>
      <x:c r="G416" s="86" t="str">
        <x:v>MOL gas-CAL-3</x:v>
      </x:c>
      <x:c r="H416" s="86" t="str">
        <x:v>T3</x:v>
      </x:c>
      <x:c r="I416" s="91" t="str">
        <x:v>OPEN</x:v>
      </x:c>
    </x:row>
    <x:row r="417">
      <x:c r="A417" s="86" t="str">
        <x:v>CH-0412</x:v>
      </x:c>
      <x:c r="B417" s="86" t="str">
        <x:v>MOL gas</x:v>
      </x:c>
      <x:c r="C417" s="108" t="n">
        <x:v>28</x:v>
      </x:c>
      <x:c r="D417" s="86" t="str">
        <x:v>Z12</x:v>
      </x:c>
      <x:c r="E417" s="86" t="str">
        <x:v>full</x:v>
      </x:c>
      <x:c r="F417" s="86" t="str">
        <x:v>L4</x:v>
      </x:c>
      <x:c r="G417" s="86" t="str">
        <x:v>MOL gas-CAL-4</x:v>
      </x:c>
      <x:c r="H417" s="86" t="str">
        <x:v>T4</x:v>
      </x:c>
      <x:c r="I417" s="91" t="str">
        <x:v>OPEN</x:v>
      </x:c>
    </x:row>
    <x:row r="418">
      <x:c r="A418" s="86" t="str">
        <x:v>CH-0413</x:v>
      </x:c>
      <x:c r="B418" s="86" t="str">
        <x:v>MOL gas</x:v>
      </x:c>
      <x:c r="C418" s="108" t="n">
        <x:v>29</x:v>
      </x:c>
      <x:c r="D418" s="86" t="str">
        <x:v>Z13</x:v>
      </x:c>
      <x:c r="E418" s="86" t="str">
        <x:v>full</x:v>
      </x:c>
      <x:c r="F418" s="86" t="str">
        <x:v>L1</x:v>
      </x:c>
      <x:c r="G418" s="86" t="str">
        <x:v>MOL gas-CAL-1</x:v>
      </x:c>
      <x:c r="H418" s="86" t="str">
        <x:v>T1</x:v>
      </x:c>
      <x:c r="I418" s="91" t="str">
        <x:v>OPEN</x:v>
      </x:c>
    </x:row>
    <x:row r="419">
      <x:c r="A419" s="86" t="str">
        <x:v>CH-0414</x:v>
      </x:c>
      <x:c r="B419" s="86" t="str">
        <x:v>MOL gas</x:v>
      </x:c>
      <x:c r="C419" s="108" t="n">
        <x:v>30</x:v>
      </x:c>
      <x:c r="D419" s="86" t="str">
        <x:v>Z14</x:v>
      </x:c>
      <x:c r="E419" s="86" t="str">
        <x:v>full</x:v>
      </x:c>
      <x:c r="F419" s="86" t="str">
        <x:v>L2</x:v>
      </x:c>
      <x:c r="G419" s="86" t="str">
        <x:v>MOL gas-CAL-2</x:v>
      </x:c>
      <x:c r="H419" s="86" t="str">
        <x:v>T2</x:v>
      </x:c>
      <x:c r="I419" s="91" t="str">
        <x:v>OPEN</x:v>
      </x:c>
    </x:row>
    <x:row r="420">
      <x:c r="A420" s="86" t="str">
        <x:v>CH-0415</x:v>
      </x:c>
      <x:c r="B420" s="86" t="str">
        <x:v>MOL gas</x:v>
      </x:c>
      <x:c r="C420" s="108" t="n">
        <x:v>31</x:v>
      </x:c>
      <x:c r="D420" s="86" t="str">
        <x:v>Z15</x:v>
      </x:c>
      <x:c r="E420" s="86" t="str">
        <x:v>full</x:v>
      </x:c>
      <x:c r="F420" s="86" t="str">
        <x:v>L3</x:v>
      </x:c>
      <x:c r="G420" s="86" t="str">
        <x:v>MOL gas-CAL-3</x:v>
      </x:c>
      <x:c r="H420" s="86" t="str">
        <x:v>T3</x:v>
      </x:c>
      <x:c r="I420" s="91" t="str">
        <x:v>OPEN</x:v>
      </x:c>
    </x:row>
    <x:row r="421">
      <x:c r="A421" s="86" t="str">
        <x:v>CH-0416</x:v>
      </x:c>
      <x:c r="B421" s="86" t="str">
        <x:v>MOL gas</x:v>
      </x:c>
      <x:c r="C421" s="108" t="n">
        <x:v>32</x:v>
      </x:c>
      <x:c r="D421" s="86" t="str">
        <x:v>Z16</x:v>
      </x:c>
      <x:c r="E421" s="86" t="str">
        <x:v>full</x:v>
      </x:c>
      <x:c r="F421" s="86" t="str">
        <x:v>L4</x:v>
      </x:c>
      <x:c r="G421" s="86" t="str">
        <x:v>MOL gas-CAL-4</x:v>
      </x:c>
      <x:c r="H421" s="86" t="str">
        <x:v>T4</x:v>
      </x:c>
      <x:c r="I421" s="91" t="str">
        <x:v>OPEN</x:v>
      </x:c>
    </x:row>
    <x:row r="422">
      <x:c r="A422" s="86" t="str">
        <x:v>CH-0417</x:v>
      </x:c>
      <x:c r="B422" s="86" t="str">
        <x:v>MOL gas</x:v>
      </x:c>
      <x:c r="C422" s="108" t="n">
        <x:v>33</x:v>
      </x:c>
      <x:c r="D422" s="86" t="str">
        <x:v>Z01</x:v>
      </x:c>
      <x:c r="E422" s="86" t="str">
        <x:v>intermediate</x:v>
      </x:c>
      <x:c r="F422" s="86" t="str">
        <x:v>L1</x:v>
      </x:c>
      <x:c r="G422" s="86" t="str">
        <x:v>MOL gas-CAL-1</x:v>
      </x:c>
      <x:c r="H422" s="86" t="str">
        <x:v>T1</x:v>
      </x:c>
      <x:c r="I422" s="91" t="str">
        <x:v>OPEN</x:v>
      </x:c>
    </x:row>
    <x:row r="423">
      <x:c r="A423" s="86" t="str">
        <x:v>CH-0418</x:v>
      </x:c>
      <x:c r="B423" s="86" t="str">
        <x:v>MOL gas</x:v>
      </x:c>
      <x:c r="C423" s="108" t="n">
        <x:v>34</x:v>
      </x:c>
      <x:c r="D423" s="86" t="str">
        <x:v>Z02</x:v>
      </x:c>
      <x:c r="E423" s="86" t="str">
        <x:v>intermediate</x:v>
      </x:c>
      <x:c r="F423" s="86" t="str">
        <x:v>L2</x:v>
      </x:c>
      <x:c r="G423" s="86" t="str">
        <x:v>MOL gas-CAL-2</x:v>
      </x:c>
      <x:c r="H423" s="86" t="str">
        <x:v>T2</x:v>
      </x:c>
      <x:c r="I423" s="91" t="str">
        <x:v>OPEN</x:v>
      </x:c>
    </x:row>
    <x:row r="424">
      <x:c r="A424" s="86" t="str">
        <x:v>CH-0419</x:v>
      </x:c>
      <x:c r="B424" s="86" t="str">
        <x:v>MOL gas</x:v>
      </x:c>
      <x:c r="C424" s="108" t="n">
        <x:v>35</x:v>
      </x:c>
      <x:c r="D424" s="86" t="str">
        <x:v>Z03</x:v>
      </x:c>
      <x:c r="E424" s="86" t="str">
        <x:v>intermediate</x:v>
      </x:c>
      <x:c r="F424" s="86" t="str">
        <x:v>L3</x:v>
      </x:c>
      <x:c r="G424" s="86" t="str">
        <x:v>MOL gas-CAL-3</x:v>
      </x:c>
      <x:c r="H424" s="86" t="str">
        <x:v>T3</x:v>
      </x:c>
      <x:c r="I424" s="91" t="str">
        <x:v>OPEN</x:v>
      </x:c>
    </x:row>
    <x:row r="425">
      <x:c r="A425" s="86" t="str">
        <x:v>CH-0420</x:v>
      </x:c>
      <x:c r="B425" s="86" t="str">
        <x:v>MOL gas</x:v>
      </x:c>
      <x:c r="C425" s="108" t="n">
        <x:v>36</x:v>
      </x:c>
      <x:c r="D425" s="86" t="str">
        <x:v>Z04</x:v>
      </x:c>
      <x:c r="E425" s="86" t="str">
        <x:v>intermediate</x:v>
      </x:c>
      <x:c r="F425" s="86" t="str">
        <x:v>L4</x:v>
      </x:c>
      <x:c r="G425" s="86" t="str">
        <x:v>MOL gas-CAL-4</x:v>
      </x:c>
      <x:c r="H425" s="86" t="str">
        <x:v>T4</x:v>
      </x:c>
      <x:c r="I425" s="91" t="str">
        <x:v>OPEN</x:v>
      </x:c>
    </x:row>
    <x:row r="426">
      <x:c r="A426" s="86" t="str">
        <x:v>CH-0421</x:v>
      </x:c>
      <x:c r="B426" s="86" t="str">
        <x:v>MOL gas</x:v>
      </x:c>
      <x:c r="C426" s="108" t="n">
        <x:v>37</x:v>
      </x:c>
      <x:c r="D426" s="86" t="str">
        <x:v>Z05</x:v>
      </x:c>
      <x:c r="E426" s="86" t="str">
        <x:v>intermediate</x:v>
      </x:c>
      <x:c r="F426" s="86" t="str">
        <x:v>L1</x:v>
      </x:c>
      <x:c r="G426" s="86" t="str">
        <x:v>MOL gas-CAL-1</x:v>
      </x:c>
      <x:c r="H426" s="86" t="str">
        <x:v>T1</x:v>
      </x:c>
      <x:c r="I426" s="91" t="str">
        <x:v>OPEN</x:v>
      </x:c>
    </x:row>
    <x:row r="427">
      <x:c r="A427" s="86" t="str">
        <x:v>CH-0422</x:v>
      </x:c>
      <x:c r="B427" s="86" t="str">
        <x:v>MOL gas</x:v>
      </x:c>
      <x:c r="C427" s="108" t="n">
        <x:v>38</x:v>
      </x:c>
      <x:c r="D427" s="86" t="str">
        <x:v>Z06</x:v>
      </x:c>
      <x:c r="E427" s="86" t="str">
        <x:v>intermediate</x:v>
      </x:c>
      <x:c r="F427" s="86" t="str">
        <x:v>L2</x:v>
      </x:c>
      <x:c r="G427" s="86" t="str">
        <x:v>MOL gas-CAL-2</x:v>
      </x:c>
      <x:c r="H427" s="86" t="str">
        <x:v>T2</x:v>
      </x:c>
      <x:c r="I427" s="91" t="str">
        <x:v>OPEN</x:v>
      </x:c>
    </x:row>
    <x:row r="428">
      <x:c r="A428" s="86" t="str">
        <x:v>CH-0423</x:v>
      </x:c>
      <x:c r="B428" s="86" t="str">
        <x:v>MOL gas</x:v>
      </x:c>
      <x:c r="C428" s="108" t="n">
        <x:v>39</x:v>
      </x:c>
      <x:c r="D428" s="86" t="str">
        <x:v>Z07</x:v>
      </x:c>
      <x:c r="E428" s="86" t="str">
        <x:v>intermediate</x:v>
      </x:c>
      <x:c r="F428" s="86" t="str">
        <x:v>L3</x:v>
      </x:c>
      <x:c r="G428" s="86" t="str">
        <x:v>MOL gas-CAL-3</x:v>
      </x:c>
      <x:c r="H428" s="86" t="str">
        <x:v>T3</x:v>
      </x:c>
      <x:c r="I428" s="91" t="str">
        <x:v>OPEN</x:v>
      </x:c>
    </x:row>
    <x:row r="429">
      <x:c r="A429" s="86" t="str">
        <x:v>CH-0424</x:v>
      </x:c>
      <x:c r="B429" s="86" t="str">
        <x:v>MOL gas</x:v>
      </x:c>
      <x:c r="C429" s="108" t="n">
        <x:v>40</x:v>
      </x:c>
      <x:c r="D429" s="86" t="str">
        <x:v>Z08</x:v>
      </x:c>
      <x:c r="E429" s="86" t="str">
        <x:v>intermediate</x:v>
      </x:c>
      <x:c r="F429" s="86" t="str">
        <x:v>L4</x:v>
      </x:c>
      <x:c r="G429" s="86" t="str">
        <x:v>MOL gas-CAL-4</x:v>
      </x:c>
      <x:c r="H429" s="86" t="str">
        <x:v>T4</x:v>
      </x:c>
      <x:c r="I429" s="91" t="str">
        <x:v>OPEN</x:v>
      </x:c>
    </x:row>
    <x:row r="430">
      <x:c r="A430" s="86" t="str">
        <x:v>CH-0425</x:v>
      </x:c>
      <x:c r="B430" s="86" t="str">
        <x:v>MOL gas</x:v>
      </x:c>
      <x:c r="C430" s="108" t="n">
        <x:v>41</x:v>
      </x:c>
      <x:c r="D430" s="86" t="str">
        <x:v>Z09</x:v>
      </x:c>
      <x:c r="E430" s="86" t="str">
        <x:v>intermediate</x:v>
      </x:c>
      <x:c r="F430" s="86" t="str">
        <x:v>L1</x:v>
      </x:c>
      <x:c r="G430" s="86" t="str">
        <x:v>MOL gas-CAL-1</x:v>
      </x:c>
      <x:c r="H430" s="86" t="str">
        <x:v>T1</x:v>
      </x:c>
      <x:c r="I430" s="91" t="str">
        <x:v>OPEN</x:v>
      </x:c>
    </x:row>
    <x:row r="431">
      <x:c r="A431" s="86" t="str">
        <x:v>CH-0426</x:v>
      </x:c>
      <x:c r="B431" s="86" t="str">
        <x:v>MOL gas</x:v>
      </x:c>
      <x:c r="C431" s="108" t="n">
        <x:v>42</x:v>
      </x:c>
      <x:c r="D431" s="86" t="str">
        <x:v>Z10</x:v>
      </x:c>
      <x:c r="E431" s="86" t="str">
        <x:v>intermediate</x:v>
      </x:c>
      <x:c r="F431" s="86" t="str">
        <x:v>L2</x:v>
      </x:c>
      <x:c r="G431" s="86" t="str">
        <x:v>MOL gas-CAL-2</x:v>
      </x:c>
      <x:c r="H431" s="86" t="str">
        <x:v>T2</x:v>
      </x:c>
      <x:c r="I431" s="91" t="str">
        <x:v>OPEN</x:v>
      </x:c>
    </x:row>
    <x:row r="432">
      <x:c r="A432" s="86" t="str">
        <x:v>CH-0427</x:v>
      </x:c>
      <x:c r="B432" s="86" t="str">
        <x:v>MOL gas</x:v>
      </x:c>
      <x:c r="C432" s="108" t="n">
        <x:v>43</x:v>
      </x:c>
      <x:c r="D432" s="86" t="str">
        <x:v>Z11</x:v>
      </x:c>
      <x:c r="E432" s="86" t="str">
        <x:v>intermediate</x:v>
      </x:c>
      <x:c r="F432" s="86" t="str">
        <x:v>L3</x:v>
      </x:c>
      <x:c r="G432" s="86" t="str">
        <x:v>MOL gas-CAL-3</x:v>
      </x:c>
      <x:c r="H432" s="86" t="str">
        <x:v>T3</x:v>
      </x:c>
      <x:c r="I432" s="91" t="str">
        <x:v>OPEN</x:v>
      </x:c>
    </x:row>
    <x:row r="433">
      <x:c r="A433" s="86" t="str">
        <x:v>CH-0428</x:v>
      </x:c>
      <x:c r="B433" s="86" t="str">
        <x:v>MOL gas</x:v>
      </x:c>
      <x:c r="C433" s="108" t="n">
        <x:v>44</x:v>
      </x:c>
      <x:c r="D433" s="86" t="str">
        <x:v>Z12</x:v>
      </x:c>
      <x:c r="E433" s="86" t="str">
        <x:v>intermediate</x:v>
      </x:c>
      <x:c r="F433" s="86" t="str">
        <x:v>L4</x:v>
      </x:c>
      <x:c r="G433" s="86" t="str">
        <x:v>MOL gas-CAL-4</x:v>
      </x:c>
      <x:c r="H433" s="86" t="str">
        <x:v>T4</x:v>
      </x:c>
      <x:c r="I433" s="91" t="str">
        <x:v>OPEN</x:v>
      </x:c>
    </x:row>
    <x:row r="434">
      <x:c r="A434" s="86" t="str">
        <x:v>CH-0429</x:v>
      </x:c>
      <x:c r="B434" s="86" t="str">
        <x:v>MOL gas</x:v>
      </x:c>
      <x:c r="C434" s="108" t="n">
        <x:v>45</x:v>
      </x:c>
      <x:c r="D434" s="86" t="str">
        <x:v>Z13</x:v>
      </x:c>
      <x:c r="E434" s="86" t="str">
        <x:v>intermediate</x:v>
      </x:c>
      <x:c r="F434" s="86" t="str">
        <x:v>L1</x:v>
      </x:c>
      <x:c r="G434" s="86" t="str">
        <x:v>MOL gas-CAL-1</x:v>
      </x:c>
      <x:c r="H434" s="86" t="str">
        <x:v>T1</x:v>
      </x:c>
      <x:c r="I434" s="91" t="str">
        <x:v>OPEN</x:v>
      </x:c>
    </x:row>
    <x:row r="435">
      <x:c r="A435" s="86" t="str">
        <x:v>CH-0430</x:v>
      </x:c>
      <x:c r="B435" s="86" t="str">
        <x:v>MOL gas</x:v>
      </x:c>
      <x:c r="C435" s="108" t="n">
        <x:v>46</x:v>
      </x:c>
      <x:c r="D435" s="86" t="str">
        <x:v>Z14</x:v>
      </x:c>
      <x:c r="E435" s="86" t="str">
        <x:v>intermediate</x:v>
      </x:c>
      <x:c r="F435" s="86" t="str">
        <x:v>L2</x:v>
      </x:c>
      <x:c r="G435" s="86" t="str">
        <x:v>MOL gas-CAL-2</x:v>
      </x:c>
      <x:c r="H435" s="86" t="str">
        <x:v>T2</x:v>
      </x:c>
      <x:c r="I435" s="91" t="str">
        <x:v>OPEN</x:v>
      </x:c>
    </x:row>
    <x:row r="436">
      <x:c r="A436" s="86" t="str">
        <x:v>CH-0431</x:v>
      </x:c>
      <x:c r="B436" s="86" t="str">
        <x:v>MOL gas</x:v>
      </x:c>
      <x:c r="C436" s="108" t="n">
        <x:v>47</x:v>
      </x:c>
      <x:c r="D436" s="86" t="str">
        <x:v>Z15</x:v>
      </x:c>
      <x:c r="E436" s="86" t="str">
        <x:v>intermediate</x:v>
      </x:c>
      <x:c r="F436" s="86" t="str">
        <x:v>L3</x:v>
      </x:c>
      <x:c r="G436" s="86" t="str">
        <x:v>MOL gas-CAL-3</x:v>
      </x:c>
      <x:c r="H436" s="86" t="str">
        <x:v>T3</x:v>
      </x:c>
      <x:c r="I436" s="91" t="str">
        <x:v>OPEN</x:v>
      </x:c>
    </x:row>
    <x:row r="437">
      <x:c r="A437" s="86" t="str">
        <x:v>CH-0432</x:v>
      </x:c>
      <x:c r="B437" s="86" t="str">
        <x:v>MOL gas</x:v>
      </x:c>
      <x:c r="C437" s="108" t="n">
        <x:v>48</x:v>
      </x:c>
      <x:c r="D437" s="86" t="str">
        <x:v>Z16</x:v>
      </x:c>
      <x:c r="E437" s="86" t="str">
        <x:v>intermediate</x:v>
      </x:c>
      <x:c r="F437" s="86" t="str">
        <x:v>L4</x:v>
      </x:c>
      <x:c r="G437" s="86" t="str">
        <x:v>MOL gas-CAL-4</x:v>
      </x:c>
      <x:c r="H437" s="86" t="str">
        <x:v>T4</x:v>
      </x:c>
      <x:c r="I437" s="91" t="str">
        <x:v>OPEN</x:v>
      </x:c>
    </x:row>
    <x:row r="438">
      <x:c r="A438" s="86" t="str">
        <x:v>CH-0433</x:v>
      </x:c>
      <x:c r="B438" s="86" t="str">
        <x:v>MOL gas</x:v>
      </x:c>
      <x:c r="C438" s="108" t="n">
        <x:v>49</x:v>
      </x:c>
      <x:c r="D438" s="86" t="str">
        <x:v>Z01</x:v>
      </x:c>
      <x:c r="E438" s="86" t="str">
        <x:v>return</x:v>
      </x:c>
      <x:c r="F438" s="86" t="str">
        <x:v>L1</x:v>
      </x:c>
      <x:c r="G438" s="86" t="str">
        <x:v>MOL gas-CAL-1</x:v>
      </x:c>
      <x:c r="H438" s="86" t="str">
        <x:v>T1</x:v>
      </x:c>
      <x:c r="I438" s="91" t="str">
        <x:v>OPEN</x:v>
      </x:c>
    </x:row>
    <x:row r="439">
      <x:c r="A439" s="86" t="str">
        <x:v>CH-0434</x:v>
      </x:c>
      <x:c r="B439" s="86" t="str">
        <x:v>MOL gas</x:v>
      </x:c>
      <x:c r="C439" s="108" t="n">
        <x:v>50</x:v>
      </x:c>
      <x:c r="D439" s="86" t="str">
        <x:v>Z02</x:v>
      </x:c>
      <x:c r="E439" s="86" t="str">
        <x:v>return</x:v>
      </x:c>
      <x:c r="F439" s="86" t="str">
        <x:v>L2</x:v>
      </x:c>
      <x:c r="G439" s="86" t="str">
        <x:v>MOL gas-CAL-2</x:v>
      </x:c>
      <x:c r="H439" s="86" t="str">
        <x:v>T2</x:v>
      </x:c>
      <x:c r="I439" s="91" t="str">
        <x:v>OPEN</x:v>
      </x:c>
    </x:row>
    <x:row r="440">
      <x:c r="A440" s="86" t="str">
        <x:v>CH-0435</x:v>
      </x:c>
      <x:c r="B440" s="86" t="str">
        <x:v>MOL gas</x:v>
      </x:c>
      <x:c r="C440" s="108" t="n">
        <x:v>51</x:v>
      </x:c>
      <x:c r="D440" s="86" t="str">
        <x:v>Z03</x:v>
      </x:c>
      <x:c r="E440" s="86" t="str">
        <x:v>return</x:v>
      </x:c>
      <x:c r="F440" s="86" t="str">
        <x:v>L3</x:v>
      </x:c>
      <x:c r="G440" s="86" t="str">
        <x:v>MOL gas-CAL-3</x:v>
      </x:c>
      <x:c r="H440" s="86" t="str">
        <x:v>T3</x:v>
      </x:c>
      <x:c r="I440" s="91" t="str">
        <x:v>OPEN</x:v>
      </x:c>
    </x:row>
    <x:row r="441">
      <x:c r="A441" s="86" t="str">
        <x:v>CH-0436</x:v>
      </x:c>
      <x:c r="B441" s="86" t="str">
        <x:v>MOL gas</x:v>
      </x:c>
      <x:c r="C441" s="108" t="n">
        <x:v>52</x:v>
      </x:c>
      <x:c r="D441" s="86" t="str">
        <x:v>Z04</x:v>
      </x:c>
      <x:c r="E441" s="86" t="str">
        <x:v>return</x:v>
      </x:c>
      <x:c r="F441" s="86" t="str">
        <x:v>L4</x:v>
      </x:c>
      <x:c r="G441" s="86" t="str">
        <x:v>MOL gas-CAL-4</x:v>
      </x:c>
      <x:c r="H441" s="86" t="str">
        <x:v>T4</x:v>
      </x:c>
      <x:c r="I441" s="91" t="str">
        <x:v>OPEN</x:v>
      </x:c>
    </x:row>
    <x:row r="442">
      <x:c r="A442" s="86" t="str">
        <x:v>CH-0437</x:v>
      </x:c>
      <x:c r="B442" s="86" t="str">
        <x:v>MOL gas</x:v>
      </x:c>
      <x:c r="C442" s="108" t="n">
        <x:v>53</x:v>
      </x:c>
      <x:c r="D442" s="86" t="str">
        <x:v>Z05</x:v>
      </x:c>
      <x:c r="E442" s="86" t="str">
        <x:v>return</x:v>
      </x:c>
      <x:c r="F442" s="86" t="str">
        <x:v>L1</x:v>
      </x:c>
      <x:c r="G442" s="86" t="str">
        <x:v>MOL gas-CAL-1</x:v>
      </x:c>
      <x:c r="H442" s="86" t="str">
        <x:v>T1</x:v>
      </x:c>
      <x:c r="I442" s="91" t="str">
        <x:v>OPEN</x:v>
      </x:c>
    </x:row>
    <x:row r="443">
      <x:c r="A443" s="86" t="str">
        <x:v>CH-0438</x:v>
      </x:c>
      <x:c r="B443" s="86" t="str">
        <x:v>MOL gas</x:v>
      </x:c>
      <x:c r="C443" s="108" t="n">
        <x:v>54</x:v>
      </x:c>
      <x:c r="D443" s="86" t="str">
        <x:v>Z06</x:v>
      </x:c>
      <x:c r="E443" s="86" t="str">
        <x:v>return</x:v>
      </x:c>
      <x:c r="F443" s="86" t="str">
        <x:v>L2</x:v>
      </x:c>
      <x:c r="G443" s="86" t="str">
        <x:v>MOL gas-CAL-2</x:v>
      </x:c>
      <x:c r="H443" s="86" t="str">
        <x:v>T2</x:v>
      </x:c>
      <x:c r="I443" s="91" t="str">
        <x:v>OPEN</x:v>
      </x:c>
    </x:row>
    <x:row r="444">
      <x:c r="A444" s="86" t="str">
        <x:v>CH-0439</x:v>
      </x:c>
      <x:c r="B444" s="86" t="str">
        <x:v>MOL gas</x:v>
      </x:c>
      <x:c r="C444" s="108" t="n">
        <x:v>55</x:v>
      </x:c>
      <x:c r="D444" s="86" t="str">
        <x:v>Z07</x:v>
      </x:c>
      <x:c r="E444" s="86" t="str">
        <x:v>return</x:v>
      </x:c>
      <x:c r="F444" s="86" t="str">
        <x:v>L3</x:v>
      </x:c>
      <x:c r="G444" s="86" t="str">
        <x:v>MOL gas-CAL-3</x:v>
      </x:c>
      <x:c r="H444" s="86" t="str">
        <x:v>T3</x:v>
      </x:c>
      <x:c r="I444" s="91" t="str">
        <x:v>OPEN</x:v>
      </x:c>
    </x:row>
    <x:row r="445">
      <x:c r="A445" s="86" t="str">
        <x:v>CH-0440</x:v>
      </x:c>
      <x:c r="B445" s="86" t="str">
        <x:v>MOL gas</x:v>
      </x:c>
      <x:c r="C445" s="108" t="n">
        <x:v>56</x:v>
      </x:c>
      <x:c r="D445" s="86" t="str">
        <x:v>Z08</x:v>
      </x:c>
      <x:c r="E445" s="86" t="str">
        <x:v>return</x:v>
      </x:c>
      <x:c r="F445" s="86" t="str">
        <x:v>L4</x:v>
      </x:c>
      <x:c r="G445" s="86" t="str">
        <x:v>MOL gas-CAL-4</x:v>
      </x:c>
      <x:c r="H445" s="86" t="str">
        <x:v>T4</x:v>
      </x:c>
      <x:c r="I445" s="91" t="str">
        <x:v>OPEN</x:v>
      </x:c>
    </x:row>
    <x:row r="446">
      <x:c r="A446" s="86" t="str">
        <x:v>CH-0441</x:v>
      </x:c>
      <x:c r="B446" s="86" t="str">
        <x:v>MOL gas</x:v>
      </x:c>
      <x:c r="C446" s="108" t="n">
        <x:v>57</x:v>
      </x:c>
      <x:c r="D446" s="86" t="str">
        <x:v>Z09</x:v>
      </x:c>
      <x:c r="E446" s="86" t="str">
        <x:v>return</x:v>
      </x:c>
      <x:c r="F446" s="86" t="str">
        <x:v>L1</x:v>
      </x:c>
      <x:c r="G446" s="86" t="str">
        <x:v>MOL gas-CAL-1</x:v>
      </x:c>
      <x:c r="H446" s="86" t="str">
        <x:v>T1</x:v>
      </x:c>
      <x:c r="I446" s="91" t="str">
        <x:v>OPEN</x:v>
      </x:c>
    </x:row>
    <x:row r="447">
      <x:c r="A447" s="86" t="str">
        <x:v>CH-0442</x:v>
      </x:c>
      <x:c r="B447" s="86" t="str">
        <x:v>MOL gas</x:v>
      </x:c>
      <x:c r="C447" s="108" t="n">
        <x:v>58</x:v>
      </x:c>
      <x:c r="D447" s="86" t="str">
        <x:v>Z10</x:v>
      </x:c>
      <x:c r="E447" s="86" t="str">
        <x:v>return</x:v>
      </x:c>
      <x:c r="F447" s="86" t="str">
        <x:v>L2</x:v>
      </x:c>
      <x:c r="G447" s="86" t="str">
        <x:v>MOL gas-CAL-2</x:v>
      </x:c>
      <x:c r="H447" s="86" t="str">
        <x:v>T2</x:v>
      </x:c>
      <x:c r="I447" s="91" t="str">
        <x:v>OPEN</x:v>
      </x:c>
    </x:row>
    <x:row r="448">
      <x:c r="A448" s="86" t="str">
        <x:v>CH-0443</x:v>
      </x:c>
      <x:c r="B448" s="86" t="str">
        <x:v>MOL gas</x:v>
      </x:c>
      <x:c r="C448" s="108" t="n">
        <x:v>59</x:v>
      </x:c>
      <x:c r="D448" s="86" t="str">
        <x:v>Z11</x:v>
      </x:c>
      <x:c r="E448" s="86" t="str">
        <x:v>return</x:v>
      </x:c>
      <x:c r="F448" s="86" t="str">
        <x:v>L3</x:v>
      </x:c>
      <x:c r="G448" s="86" t="str">
        <x:v>MOL gas-CAL-3</x:v>
      </x:c>
      <x:c r="H448" s="86" t="str">
        <x:v>T3</x:v>
      </x:c>
      <x:c r="I448" s="91" t="str">
        <x:v>OPEN</x:v>
      </x:c>
    </x:row>
    <x:row r="449">
      <x:c r="A449" s="86" t="str">
        <x:v>CH-0444</x:v>
      </x:c>
      <x:c r="B449" s="86" t="str">
        <x:v>MOL gas</x:v>
      </x:c>
      <x:c r="C449" s="108" t="n">
        <x:v>60</x:v>
      </x:c>
      <x:c r="D449" s="86" t="str">
        <x:v>Z12</x:v>
      </x:c>
      <x:c r="E449" s="86" t="str">
        <x:v>return</x:v>
      </x:c>
      <x:c r="F449" s="86" t="str">
        <x:v>L4</x:v>
      </x:c>
      <x:c r="G449" s="86" t="str">
        <x:v>MOL gas-CAL-4</x:v>
      </x:c>
      <x:c r="H449" s="86" t="str">
        <x:v>T4</x:v>
      </x:c>
      <x:c r="I449" s="91" t="str">
        <x:v>OPEN</x:v>
      </x:c>
    </x:row>
    <x:row r="450">
      <x:c r="A450" s="86" t="str">
        <x:v>CH-0445</x:v>
      </x:c>
      <x:c r="B450" s="86" t="str">
        <x:v>MOL gas</x:v>
      </x:c>
      <x:c r="C450" s="108" t="n">
        <x:v>61</x:v>
      </x:c>
      <x:c r="D450" s="86" t="str">
        <x:v>Z13</x:v>
      </x:c>
      <x:c r="E450" s="86" t="str">
        <x:v>return</x:v>
      </x:c>
      <x:c r="F450" s="86" t="str">
        <x:v>L1</x:v>
      </x:c>
      <x:c r="G450" s="86" t="str">
        <x:v>MOL gas-CAL-1</x:v>
      </x:c>
      <x:c r="H450" s="86" t="str">
        <x:v>T1</x:v>
      </x:c>
      <x:c r="I450" s="91" t="str">
        <x:v>OPEN</x:v>
      </x:c>
    </x:row>
    <x:row r="451">
      <x:c r="A451" s="86" t="str">
        <x:v>CH-0446</x:v>
      </x:c>
      <x:c r="B451" s="86" t="str">
        <x:v>MOL gas</x:v>
      </x:c>
      <x:c r="C451" s="108" t="n">
        <x:v>62</x:v>
      </x:c>
      <x:c r="D451" s="86" t="str">
        <x:v>Z14</x:v>
      </x:c>
      <x:c r="E451" s="86" t="str">
        <x:v>return</x:v>
      </x:c>
      <x:c r="F451" s="86" t="str">
        <x:v>L2</x:v>
      </x:c>
      <x:c r="G451" s="86" t="str">
        <x:v>MOL gas-CAL-2</x:v>
      </x:c>
      <x:c r="H451" s="86" t="str">
        <x:v>T2</x:v>
      </x:c>
      <x:c r="I451" s="91" t="str">
        <x:v>OPEN</x:v>
      </x:c>
    </x:row>
    <x:row r="452">
      <x:c r="A452" s="86" t="str">
        <x:v>CH-0447</x:v>
      </x:c>
      <x:c r="B452" s="86" t="str">
        <x:v>MOL gas</x:v>
      </x:c>
      <x:c r="C452" s="108" t="n">
        <x:v>63</x:v>
      </x:c>
      <x:c r="D452" s="86" t="str">
        <x:v>Z15</x:v>
      </x:c>
      <x:c r="E452" s="86" t="str">
        <x:v>return</x:v>
      </x:c>
      <x:c r="F452" s="86" t="str">
        <x:v>L3</x:v>
      </x:c>
      <x:c r="G452" s="86" t="str">
        <x:v>MOL gas-CAL-3</x:v>
      </x:c>
      <x:c r="H452" s="86" t="str">
        <x:v>T3</x:v>
      </x:c>
      <x:c r="I452" s="91" t="str">
        <x:v>OPEN</x:v>
      </x:c>
    </x:row>
    <x:row r="453">
      <x:c r="A453" s="86" t="str">
        <x:v>CH-0448</x:v>
      </x:c>
      <x:c r="B453" s="86" t="str">
        <x:v>MOL gas</x:v>
      </x:c>
      <x:c r="C453" s="108" t="n">
        <x:v>64</x:v>
      </x:c>
      <x:c r="D453" s="86" t="str">
        <x:v>Z16</x:v>
      </x:c>
      <x:c r="E453" s="86" t="str">
        <x:v>return</x:v>
      </x:c>
      <x:c r="F453" s="86" t="str">
        <x:v>L4</x:v>
      </x:c>
      <x:c r="G453" s="86" t="str">
        <x:v>MOL gas-CAL-4</x:v>
      </x:c>
      <x:c r="H453" s="86" t="str">
        <x:v>T4</x:v>
      </x:c>
      <x:c r="I453" s="91" t="str">
        <x:v>OPEN</x:v>
      </x:c>
    </x:row>
    <x:row r="454">
      <x:c r="A454" s="86" t="str">
        <x:v>CH-0449</x:v>
      </x:c>
      <x:c r="B454" s="86" t="str">
        <x:v>MOL particulate</x:v>
      </x:c>
      <x:c r="C454" s="108" t="n">
        <x:v>1</x:v>
      </x:c>
      <x:c r="D454" s="86" t="str">
        <x:v>Z01</x:v>
      </x:c>
      <x:c r="E454" s="86" t="str">
        <x:v>full</x:v>
      </x:c>
      <x:c r="F454" s="86" t="str">
        <x:v>L1</x:v>
      </x:c>
      <x:c r="G454" s="86" t="str">
        <x:v>MOL particulate-CAL-1</x:v>
      </x:c>
      <x:c r="H454" s="86" t="str">
        <x:v>T1</x:v>
      </x:c>
      <x:c r="I454" s="91" t="str">
        <x:v>OPEN</x:v>
      </x:c>
    </x:row>
    <x:row r="455">
      <x:c r="A455" s="86" t="str">
        <x:v>CH-0450</x:v>
      </x:c>
      <x:c r="B455" s="86" t="str">
        <x:v>MOL particulate</x:v>
      </x:c>
      <x:c r="C455" s="108" t="n">
        <x:v>2</x:v>
      </x:c>
      <x:c r="D455" s="86" t="str">
        <x:v>Z02</x:v>
      </x:c>
      <x:c r="E455" s="86" t="str">
        <x:v>full</x:v>
      </x:c>
      <x:c r="F455" s="86" t="str">
        <x:v>L2</x:v>
      </x:c>
      <x:c r="G455" s="86" t="str">
        <x:v>MOL particulate-CAL-2</x:v>
      </x:c>
      <x:c r="H455" s="86" t="str">
        <x:v>T2</x:v>
      </x:c>
      <x:c r="I455" s="91" t="str">
        <x:v>OPEN</x:v>
      </x:c>
    </x:row>
    <x:row r="456">
      <x:c r="A456" s="86" t="str">
        <x:v>CH-0451</x:v>
      </x:c>
      <x:c r="B456" s="86" t="str">
        <x:v>MOL particulate</x:v>
      </x:c>
      <x:c r="C456" s="108" t="n">
        <x:v>3</x:v>
      </x:c>
      <x:c r="D456" s="86" t="str">
        <x:v>Z03</x:v>
      </x:c>
      <x:c r="E456" s="86" t="str">
        <x:v>full</x:v>
      </x:c>
      <x:c r="F456" s="86" t="str">
        <x:v>L3</x:v>
      </x:c>
      <x:c r="G456" s="86" t="str">
        <x:v>MOL particulate-CAL-3</x:v>
      </x:c>
      <x:c r="H456" s="86" t="str">
        <x:v>T3</x:v>
      </x:c>
      <x:c r="I456" s="91" t="str">
        <x:v>OPEN</x:v>
      </x:c>
    </x:row>
    <x:row r="457">
      <x:c r="A457" s="86" t="str">
        <x:v>CH-0452</x:v>
      </x:c>
      <x:c r="B457" s="86" t="str">
        <x:v>MOL particulate</x:v>
      </x:c>
      <x:c r="C457" s="108" t="n">
        <x:v>4</x:v>
      </x:c>
      <x:c r="D457" s="86" t="str">
        <x:v>Z04</x:v>
      </x:c>
      <x:c r="E457" s="86" t="str">
        <x:v>full</x:v>
      </x:c>
      <x:c r="F457" s="86" t="str">
        <x:v>L4</x:v>
      </x:c>
      <x:c r="G457" s="86" t="str">
        <x:v>MOL particulate-CAL-4</x:v>
      </x:c>
      <x:c r="H457" s="86" t="str">
        <x:v>T4</x:v>
      </x:c>
      <x:c r="I457" s="91" t="str">
        <x:v>OPEN</x:v>
      </x:c>
    </x:row>
    <x:row r="458">
      <x:c r="A458" s="86" t="str">
        <x:v>CH-0453</x:v>
      </x:c>
      <x:c r="B458" s="86" t="str">
        <x:v>MOL particulate</x:v>
      </x:c>
      <x:c r="C458" s="108" t="n">
        <x:v>5</x:v>
      </x:c>
      <x:c r="D458" s="86" t="str">
        <x:v>Z05</x:v>
      </x:c>
      <x:c r="E458" s="86" t="str">
        <x:v>full</x:v>
      </x:c>
      <x:c r="F458" s="86" t="str">
        <x:v>L1</x:v>
      </x:c>
      <x:c r="G458" s="86" t="str">
        <x:v>MOL particulate-CAL-1</x:v>
      </x:c>
      <x:c r="H458" s="86" t="str">
        <x:v>T1</x:v>
      </x:c>
      <x:c r="I458" s="91" t="str">
        <x:v>OPEN</x:v>
      </x:c>
    </x:row>
    <x:row r="459">
      <x:c r="A459" s="86" t="str">
        <x:v>CH-0454</x:v>
      </x:c>
      <x:c r="B459" s="86" t="str">
        <x:v>MOL particulate</x:v>
      </x:c>
      <x:c r="C459" s="108" t="n">
        <x:v>6</x:v>
      </x:c>
      <x:c r="D459" s="86" t="str">
        <x:v>Z06</x:v>
      </x:c>
      <x:c r="E459" s="86" t="str">
        <x:v>full</x:v>
      </x:c>
      <x:c r="F459" s="86" t="str">
        <x:v>L2</x:v>
      </x:c>
      <x:c r="G459" s="86" t="str">
        <x:v>MOL particulate-CAL-2</x:v>
      </x:c>
      <x:c r="H459" s="86" t="str">
        <x:v>T2</x:v>
      </x:c>
      <x:c r="I459" s="91" t="str">
        <x:v>OPEN</x:v>
      </x:c>
    </x:row>
    <x:row r="460">
      <x:c r="A460" s="86" t="str">
        <x:v>CH-0455</x:v>
      </x:c>
      <x:c r="B460" s="86" t="str">
        <x:v>MOL particulate</x:v>
      </x:c>
      <x:c r="C460" s="108" t="n">
        <x:v>7</x:v>
      </x:c>
      <x:c r="D460" s="86" t="str">
        <x:v>Z07</x:v>
      </x:c>
      <x:c r="E460" s="86" t="str">
        <x:v>full</x:v>
      </x:c>
      <x:c r="F460" s="86" t="str">
        <x:v>L3</x:v>
      </x:c>
      <x:c r="G460" s="86" t="str">
        <x:v>MOL particulate-CAL-3</x:v>
      </x:c>
      <x:c r="H460" s="86" t="str">
        <x:v>T3</x:v>
      </x:c>
      <x:c r="I460" s="91" t="str">
        <x:v>OPEN</x:v>
      </x:c>
    </x:row>
    <x:row r="461">
      <x:c r="A461" s="86" t="str">
        <x:v>CH-0456</x:v>
      </x:c>
      <x:c r="B461" s="86" t="str">
        <x:v>MOL particulate</x:v>
      </x:c>
      <x:c r="C461" s="108" t="n">
        <x:v>8</x:v>
      </x:c>
      <x:c r="D461" s="86" t="str">
        <x:v>Z08</x:v>
      </x:c>
      <x:c r="E461" s="86" t="str">
        <x:v>full</x:v>
      </x:c>
      <x:c r="F461" s="86" t="str">
        <x:v>L4</x:v>
      </x:c>
      <x:c r="G461" s="86" t="str">
        <x:v>MOL particulate-CAL-4</x:v>
      </x:c>
      <x:c r="H461" s="86" t="str">
        <x:v>T4</x:v>
      </x:c>
      <x:c r="I461" s="91" t="str">
        <x:v>OPEN</x:v>
      </x:c>
    </x:row>
    <x:row r="462">
      <x:c r="A462" s="86" t="str">
        <x:v>CH-0457</x:v>
      </x:c>
      <x:c r="B462" s="86" t="str">
        <x:v>MOL particulate</x:v>
      </x:c>
      <x:c r="C462" s="108" t="n">
        <x:v>9</x:v>
      </x:c>
      <x:c r="D462" s="86" t="str">
        <x:v>Z09</x:v>
      </x:c>
      <x:c r="E462" s="86" t="str">
        <x:v>full</x:v>
      </x:c>
      <x:c r="F462" s="86" t="str">
        <x:v>L1</x:v>
      </x:c>
      <x:c r="G462" s="86" t="str">
        <x:v>MOL particulate-CAL-1</x:v>
      </x:c>
      <x:c r="H462" s="86" t="str">
        <x:v>T1</x:v>
      </x:c>
      <x:c r="I462" s="91" t="str">
        <x:v>OPEN</x:v>
      </x:c>
    </x:row>
    <x:row r="463">
      <x:c r="A463" s="86" t="str">
        <x:v>CH-0458</x:v>
      </x:c>
      <x:c r="B463" s="86" t="str">
        <x:v>MOL particulate</x:v>
      </x:c>
      <x:c r="C463" s="108" t="n">
        <x:v>10</x:v>
      </x:c>
      <x:c r="D463" s="86" t="str">
        <x:v>Z10</x:v>
      </x:c>
      <x:c r="E463" s="86" t="str">
        <x:v>full</x:v>
      </x:c>
      <x:c r="F463" s="86" t="str">
        <x:v>L2</x:v>
      </x:c>
      <x:c r="G463" s="86" t="str">
        <x:v>MOL particulate-CAL-2</x:v>
      </x:c>
      <x:c r="H463" s="86" t="str">
        <x:v>T2</x:v>
      </x:c>
      <x:c r="I463" s="91" t="str">
        <x:v>OPEN</x:v>
      </x:c>
    </x:row>
    <x:row r="464">
      <x:c r="A464" s="86" t="str">
        <x:v>CH-0459</x:v>
      </x:c>
      <x:c r="B464" s="86" t="str">
        <x:v>MOL particulate</x:v>
      </x:c>
      <x:c r="C464" s="108" t="n">
        <x:v>11</x:v>
      </x:c>
      <x:c r="D464" s="86" t="str">
        <x:v>Z11</x:v>
      </x:c>
      <x:c r="E464" s="86" t="str">
        <x:v>full</x:v>
      </x:c>
      <x:c r="F464" s="86" t="str">
        <x:v>L3</x:v>
      </x:c>
      <x:c r="G464" s="86" t="str">
        <x:v>MOL particulate-CAL-3</x:v>
      </x:c>
      <x:c r="H464" s="86" t="str">
        <x:v>T3</x:v>
      </x:c>
      <x:c r="I464" s="91" t="str">
        <x:v>OPEN</x:v>
      </x:c>
    </x:row>
    <x:row r="465">
      <x:c r="A465" s="86" t="str">
        <x:v>CH-0460</x:v>
      </x:c>
      <x:c r="B465" s="86" t="str">
        <x:v>MOL particulate</x:v>
      </x:c>
      <x:c r="C465" s="108" t="n">
        <x:v>12</x:v>
      </x:c>
      <x:c r="D465" s="86" t="str">
        <x:v>Z12</x:v>
      </x:c>
      <x:c r="E465" s="86" t="str">
        <x:v>full</x:v>
      </x:c>
      <x:c r="F465" s="86" t="str">
        <x:v>L4</x:v>
      </x:c>
      <x:c r="G465" s="86" t="str">
        <x:v>MOL particulate-CAL-4</x:v>
      </x:c>
      <x:c r="H465" s="86" t="str">
        <x:v>T4</x:v>
      </x:c>
      <x:c r="I465" s="91" t="str">
        <x:v>OPEN</x:v>
      </x:c>
    </x:row>
    <x:row r="466">
      <x:c r="A466" s="86" t="str">
        <x:v>CH-0461</x:v>
      </x:c>
      <x:c r="B466" s="86" t="str">
        <x:v>MOL particulate</x:v>
      </x:c>
      <x:c r="C466" s="108" t="n">
        <x:v>13</x:v>
      </x:c>
      <x:c r="D466" s="86" t="str">
        <x:v>Z13</x:v>
      </x:c>
      <x:c r="E466" s="86" t="str">
        <x:v>full</x:v>
      </x:c>
      <x:c r="F466" s="86" t="str">
        <x:v>L1</x:v>
      </x:c>
      <x:c r="G466" s="86" t="str">
        <x:v>MOL particulate-CAL-1</x:v>
      </x:c>
      <x:c r="H466" s="86" t="str">
        <x:v>T1</x:v>
      </x:c>
      <x:c r="I466" s="91" t="str">
        <x:v>OPEN</x:v>
      </x:c>
    </x:row>
    <x:row r="467">
      <x:c r="A467" s="86" t="str">
        <x:v>CH-0462</x:v>
      </x:c>
      <x:c r="B467" s="86" t="str">
        <x:v>MOL particulate</x:v>
      </x:c>
      <x:c r="C467" s="108" t="n">
        <x:v>14</x:v>
      </x:c>
      <x:c r="D467" s="86" t="str">
        <x:v>Z14</x:v>
      </x:c>
      <x:c r="E467" s="86" t="str">
        <x:v>full</x:v>
      </x:c>
      <x:c r="F467" s="86" t="str">
        <x:v>L2</x:v>
      </x:c>
      <x:c r="G467" s="86" t="str">
        <x:v>MOL particulate-CAL-2</x:v>
      </x:c>
      <x:c r="H467" s="86" t="str">
        <x:v>T2</x:v>
      </x:c>
      <x:c r="I467" s="91" t="str">
        <x:v>OPEN</x:v>
      </x:c>
    </x:row>
    <x:row r="468">
      <x:c r="A468" s="86" t="str">
        <x:v>CH-0463</x:v>
      </x:c>
      <x:c r="B468" s="86" t="str">
        <x:v>MOL particulate</x:v>
      </x:c>
      <x:c r="C468" s="108" t="n">
        <x:v>15</x:v>
      </x:c>
      <x:c r="D468" s="86" t="str">
        <x:v>Z15</x:v>
      </x:c>
      <x:c r="E468" s="86" t="str">
        <x:v>full</x:v>
      </x:c>
      <x:c r="F468" s="86" t="str">
        <x:v>L3</x:v>
      </x:c>
      <x:c r="G468" s="86" t="str">
        <x:v>MOL particulate-CAL-3</x:v>
      </x:c>
      <x:c r="H468" s="86" t="str">
        <x:v>T3</x:v>
      </x:c>
      <x:c r="I468" s="91" t="str">
        <x:v>OPEN</x:v>
      </x:c>
    </x:row>
    <x:row r="469">
      <x:c r="A469" s="86" t="str">
        <x:v>CH-0464</x:v>
      </x:c>
      <x:c r="B469" s="86" t="str">
        <x:v>MOL particulate</x:v>
      </x:c>
      <x:c r="C469" s="108" t="n">
        <x:v>16</x:v>
      </x:c>
      <x:c r="D469" s="86" t="str">
        <x:v>Z16</x:v>
      </x:c>
      <x:c r="E469" s="86" t="str">
        <x:v>full</x:v>
      </x:c>
      <x:c r="F469" s="86" t="str">
        <x:v>L4</x:v>
      </x:c>
      <x:c r="G469" s="86" t="str">
        <x:v>MOL particulate-CAL-4</x:v>
      </x:c>
      <x:c r="H469" s="86" t="str">
        <x:v>T4</x:v>
      </x:c>
      <x:c r="I469" s="91" t="str">
        <x:v>OPEN</x:v>
      </x:c>
    </x:row>
    <x:row r="470">
      <x:c r="A470" s="86" t="str">
        <x:v>CH-0465</x:v>
      </x:c>
      <x:c r="B470" s="86" t="str">
        <x:v>MOL particulate</x:v>
      </x:c>
      <x:c r="C470" s="108" t="n">
        <x:v>17</x:v>
      </x:c>
      <x:c r="D470" s="86" t="str">
        <x:v>Z01</x:v>
      </x:c>
      <x:c r="E470" s="86" t="str">
        <x:v>full</x:v>
      </x:c>
      <x:c r="F470" s="86" t="str">
        <x:v>L1</x:v>
      </x:c>
      <x:c r="G470" s="86" t="str">
        <x:v>MOL particulate-CAL-1</x:v>
      </x:c>
      <x:c r="H470" s="86" t="str">
        <x:v>T1</x:v>
      </x:c>
      <x:c r="I470" s="91" t="str">
        <x:v>OPEN</x:v>
      </x:c>
    </x:row>
    <x:row r="471">
      <x:c r="A471" s="86" t="str">
        <x:v>CH-0466</x:v>
      </x:c>
      <x:c r="B471" s="86" t="str">
        <x:v>MOL particulate</x:v>
      </x:c>
      <x:c r="C471" s="108" t="n">
        <x:v>18</x:v>
      </x:c>
      <x:c r="D471" s="86" t="str">
        <x:v>Z02</x:v>
      </x:c>
      <x:c r="E471" s="86" t="str">
        <x:v>full</x:v>
      </x:c>
      <x:c r="F471" s="86" t="str">
        <x:v>L2</x:v>
      </x:c>
      <x:c r="G471" s="86" t="str">
        <x:v>MOL particulate-CAL-2</x:v>
      </x:c>
      <x:c r="H471" s="86" t="str">
        <x:v>T2</x:v>
      </x:c>
      <x:c r="I471" s="91" t="str">
        <x:v>OPEN</x:v>
      </x:c>
    </x:row>
    <x:row r="472">
      <x:c r="A472" s="86" t="str">
        <x:v>CH-0467</x:v>
      </x:c>
      <x:c r="B472" s="86" t="str">
        <x:v>MOL particulate</x:v>
      </x:c>
      <x:c r="C472" s="108" t="n">
        <x:v>19</x:v>
      </x:c>
      <x:c r="D472" s="86" t="str">
        <x:v>Z03</x:v>
      </x:c>
      <x:c r="E472" s="86" t="str">
        <x:v>full</x:v>
      </x:c>
      <x:c r="F472" s="86" t="str">
        <x:v>L3</x:v>
      </x:c>
      <x:c r="G472" s="86" t="str">
        <x:v>MOL particulate-CAL-3</x:v>
      </x:c>
      <x:c r="H472" s="86" t="str">
        <x:v>T3</x:v>
      </x:c>
      <x:c r="I472" s="91" t="str">
        <x:v>OPEN</x:v>
      </x:c>
    </x:row>
    <x:row r="473">
      <x:c r="A473" s="86" t="str">
        <x:v>CH-0468</x:v>
      </x:c>
      <x:c r="B473" s="86" t="str">
        <x:v>MOL particulate</x:v>
      </x:c>
      <x:c r="C473" s="108" t="n">
        <x:v>20</x:v>
      </x:c>
      <x:c r="D473" s="86" t="str">
        <x:v>Z04</x:v>
      </x:c>
      <x:c r="E473" s="86" t="str">
        <x:v>full</x:v>
      </x:c>
      <x:c r="F473" s="86" t="str">
        <x:v>L4</x:v>
      </x:c>
      <x:c r="G473" s="86" t="str">
        <x:v>MOL particulate-CAL-4</x:v>
      </x:c>
      <x:c r="H473" s="86" t="str">
        <x:v>T4</x:v>
      </x:c>
      <x:c r="I473" s="91" t="str">
        <x:v>OPEN</x:v>
      </x:c>
    </x:row>
    <x:row r="474">
      <x:c r="A474" s="86" t="str">
        <x:v>CH-0469</x:v>
      </x:c>
      <x:c r="B474" s="86" t="str">
        <x:v>MOL particulate</x:v>
      </x:c>
      <x:c r="C474" s="108" t="n">
        <x:v>21</x:v>
      </x:c>
      <x:c r="D474" s="86" t="str">
        <x:v>Z05</x:v>
      </x:c>
      <x:c r="E474" s="86" t="str">
        <x:v>full</x:v>
      </x:c>
      <x:c r="F474" s="86" t="str">
        <x:v>L1</x:v>
      </x:c>
      <x:c r="G474" s="86" t="str">
        <x:v>MOL particulate-CAL-1</x:v>
      </x:c>
      <x:c r="H474" s="86" t="str">
        <x:v>T1</x:v>
      </x:c>
      <x:c r="I474" s="91" t="str">
        <x:v>OPEN</x:v>
      </x:c>
    </x:row>
    <x:row r="475">
      <x:c r="A475" s="86" t="str">
        <x:v>CH-0470</x:v>
      </x:c>
      <x:c r="B475" s="86" t="str">
        <x:v>MOL particulate</x:v>
      </x:c>
      <x:c r="C475" s="108" t="n">
        <x:v>22</x:v>
      </x:c>
      <x:c r="D475" s="86" t="str">
        <x:v>Z06</x:v>
      </x:c>
      <x:c r="E475" s="86" t="str">
        <x:v>full</x:v>
      </x:c>
      <x:c r="F475" s="86" t="str">
        <x:v>L2</x:v>
      </x:c>
      <x:c r="G475" s="86" t="str">
        <x:v>MOL particulate-CAL-2</x:v>
      </x:c>
      <x:c r="H475" s="86" t="str">
        <x:v>T2</x:v>
      </x:c>
      <x:c r="I475" s="91" t="str">
        <x:v>OPEN</x:v>
      </x:c>
    </x:row>
    <x:row r="476">
      <x:c r="A476" s="86" t="str">
        <x:v>CH-0471</x:v>
      </x:c>
      <x:c r="B476" s="86" t="str">
        <x:v>MOL particulate</x:v>
      </x:c>
      <x:c r="C476" s="108" t="n">
        <x:v>23</x:v>
      </x:c>
      <x:c r="D476" s="86" t="str">
        <x:v>Z07</x:v>
      </x:c>
      <x:c r="E476" s="86" t="str">
        <x:v>full</x:v>
      </x:c>
      <x:c r="F476" s="86" t="str">
        <x:v>L3</x:v>
      </x:c>
      <x:c r="G476" s="86" t="str">
        <x:v>MOL particulate-CAL-3</x:v>
      </x:c>
      <x:c r="H476" s="86" t="str">
        <x:v>T3</x:v>
      </x:c>
      <x:c r="I476" s="91" t="str">
        <x:v>OPEN</x:v>
      </x:c>
    </x:row>
    <x:row r="477">
      <x:c r="A477" s="86" t="str">
        <x:v>CH-0472</x:v>
      </x:c>
      <x:c r="B477" s="86" t="str">
        <x:v>MOL particulate</x:v>
      </x:c>
      <x:c r="C477" s="108" t="n">
        <x:v>24</x:v>
      </x:c>
      <x:c r="D477" s="86" t="str">
        <x:v>Z08</x:v>
      </x:c>
      <x:c r="E477" s="86" t="str">
        <x:v>full</x:v>
      </x:c>
      <x:c r="F477" s="86" t="str">
        <x:v>L4</x:v>
      </x:c>
      <x:c r="G477" s="86" t="str">
        <x:v>MOL particulate-CAL-4</x:v>
      </x:c>
      <x:c r="H477" s="86" t="str">
        <x:v>T4</x:v>
      </x:c>
      <x:c r="I477" s="91" t="str">
        <x:v>OPEN</x:v>
      </x:c>
    </x:row>
    <x:row r="478">
      <x:c r="A478" s="86" t="str">
        <x:v>CH-0473</x:v>
      </x:c>
      <x:c r="B478" s="86" t="str">
        <x:v>MOL particulate</x:v>
      </x:c>
      <x:c r="C478" s="108" t="n">
        <x:v>25</x:v>
      </x:c>
      <x:c r="D478" s="86" t="str">
        <x:v>Z09</x:v>
      </x:c>
      <x:c r="E478" s="86" t="str">
        <x:v>full</x:v>
      </x:c>
      <x:c r="F478" s="86" t="str">
        <x:v>L1</x:v>
      </x:c>
      <x:c r="G478" s="86" t="str">
        <x:v>MOL particulate-CAL-1</x:v>
      </x:c>
      <x:c r="H478" s="86" t="str">
        <x:v>T1</x:v>
      </x:c>
      <x:c r="I478" s="91" t="str">
        <x:v>OPEN</x:v>
      </x:c>
    </x:row>
    <x:row r="479">
      <x:c r="A479" s="86" t="str">
        <x:v>CH-0474</x:v>
      </x:c>
      <x:c r="B479" s="86" t="str">
        <x:v>MOL particulate</x:v>
      </x:c>
      <x:c r="C479" s="108" t="n">
        <x:v>26</x:v>
      </x:c>
      <x:c r="D479" s="86" t="str">
        <x:v>Z10</x:v>
      </x:c>
      <x:c r="E479" s="86" t="str">
        <x:v>full</x:v>
      </x:c>
      <x:c r="F479" s="86" t="str">
        <x:v>L2</x:v>
      </x:c>
      <x:c r="G479" s="86" t="str">
        <x:v>MOL particulate-CAL-2</x:v>
      </x:c>
      <x:c r="H479" s="86" t="str">
        <x:v>T2</x:v>
      </x:c>
      <x:c r="I479" s="91" t="str">
        <x:v>OPEN</x:v>
      </x:c>
    </x:row>
    <x:row r="480">
      <x:c r="A480" s="86" t="str">
        <x:v>CH-0475</x:v>
      </x:c>
      <x:c r="B480" s="86" t="str">
        <x:v>MOL particulate</x:v>
      </x:c>
      <x:c r="C480" s="108" t="n">
        <x:v>27</x:v>
      </x:c>
      <x:c r="D480" s="86" t="str">
        <x:v>Z11</x:v>
      </x:c>
      <x:c r="E480" s="86" t="str">
        <x:v>full</x:v>
      </x:c>
      <x:c r="F480" s="86" t="str">
        <x:v>L3</x:v>
      </x:c>
      <x:c r="G480" s="86" t="str">
        <x:v>MOL particulate-CAL-3</x:v>
      </x:c>
      <x:c r="H480" s="86" t="str">
        <x:v>T3</x:v>
      </x:c>
      <x:c r="I480" s="91" t="str">
        <x:v>OPEN</x:v>
      </x:c>
    </x:row>
    <x:row r="481">
      <x:c r="A481" s="86" t="str">
        <x:v>CH-0476</x:v>
      </x:c>
      <x:c r="B481" s="86" t="str">
        <x:v>MOL particulate</x:v>
      </x:c>
      <x:c r="C481" s="108" t="n">
        <x:v>28</x:v>
      </x:c>
      <x:c r="D481" s="86" t="str">
        <x:v>Z12</x:v>
      </x:c>
      <x:c r="E481" s="86" t="str">
        <x:v>full</x:v>
      </x:c>
      <x:c r="F481" s="86" t="str">
        <x:v>L4</x:v>
      </x:c>
      <x:c r="G481" s="86" t="str">
        <x:v>MOL particulate-CAL-4</x:v>
      </x:c>
      <x:c r="H481" s="86" t="str">
        <x:v>T4</x:v>
      </x:c>
      <x:c r="I481" s="91" t="str">
        <x:v>OPEN</x:v>
      </x:c>
    </x:row>
    <x:row r="482">
      <x:c r="A482" s="86" t="str">
        <x:v>CH-0477</x:v>
      </x:c>
      <x:c r="B482" s="86" t="str">
        <x:v>MOL particulate</x:v>
      </x:c>
      <x:c r="C482" s="108" t="n">
        <x:v>29</x:v>
      </x:c>
      <x:c r="D482" s="86" t="str">
        <x:v>Z13</x:v>
      </x:c>
      <x:c r="E482" s="86" t="str">
        <x:v>full</x:v>
      </x:c>
      <x:c r="F482" s="86" t="str">
        <x:v>L1</x:v>
      </x:c>
      <x:c r="G482" s="86" t="str">
        <x:v>MOL particulate-CAL-1</x:v>
      </x:c>
      <x:c r="H482" s="86" t="str">
        <x:v>T1</x:v>
      </x:c>
      <x:c r="I482" s="91" t="str">
        <x:v>OPEN</x:v>
      </x:c>
    </x:row>
    <x:row r="483">
      <x:c r="A483" s="86" t="str">
        <x:v>CH-0478</x:v>
      </x:c>
      <x:c r="B483" s="86" t="str">
        <x:v>MOL particulate</x:v>
      </x:c>
      <x:c r="C483" s="108" t="n">
        <x:v>30</x:v>
      </x:c>
      <x:c r="D483" s="86" t="str">
        <x:v>Z14</x:v>
      </x:c>
      <x:c r="E483" s="86" t="str">
        <x:v>full</x:v>
      </x:c>
      <x:c r="F483" s="86" t="str">
        <x:v>L2</x:v>
      </x:c>
      <x:c r="G483" s="86" t="str">
        <x:v>MOL particulate-CAL-2</x:v>
      </x:c>
      <x:c r="H483" s="86" t="str">
        <x:v>T2</x:v>
      </x:c>
      <x:c r="I483" s="91" t="str">
        <x:v>OPEN</x:v>
      </x:c>
    </x:row>
    <x:row r="484">
      <x:c r="A484" s="86" t="str">
        <x:v>CH-0479</x:v>
      </x:c>
      <x:c r="B484" s="86" t="str">
        <x:v>MOL particulate</x:v>
      </x:c>
      <x:c r="C484" s="108" t="n">
        <x:v>31</x:v>
      </x:c>
      <x:c r="D484" s="86" t="str">
        <x:v>Z15</x:v>
      </x:c>
      <x:c r="E484" s="86" t="str">
        <x:v>full</x:v>
      </x:c>
      <x:c r="F484" s="86" t="str">
        <x:v>L3</x:v>
      </x:c>
      <x:c r="G484" s="86" t="str">
        <x:v>MOL particulate-CAL-3</x:v>
      </x:c>
      <x:c r="H484" s="86" t="str">
        <x:v>T3</x:v>
      </x:c>
      <x:c r="I484" s="91" t="str">
        <x:v>OPEN</x:v>
      </x:c>
    </x:row>
    <x:row r="485">
      <x:c r="A485" s="86" t="str">
        <x:v>CH-0480</x:v>
      </x:c>
      <x:c r="B485" s="86" t="str">
        <x:v>MOL particulate</x:v>
      </x:c>
      <x:c r="C485" s="108" t="n">
        <x:v>32</x:v>
      </x:c>
      <x:c r="D485" s="86" t="str">
        <x:v>Z16</x:v>
      </x:c>
      <x:c r="E485" s="86" t="str">
        <x:v>full</x:v>
      </x:c>
      <x:c r="F485" s="86" t="str">
        <x:v>L4</x:v>
      </x:c>
      <x:c r="G485" s="86" t="str">
        <x:v>MOL particulate-CAL-4</x:v>
      </x:c>
      <x:c r="H485" s="86" t="str">
        <x:v>T4</x:v>
      </x:c>
      <x:c r="I485" s="91" t="str">
        <x:v>OPEN</x:v>
      </x:c>
    </x:row>
    <x:row r="486">
      <x:c r="A486" s="86" t="str">
        <x:v>CH-0481</x:v>
      </x:c>
      <x:c r="B486" s="86" t="str">
        <x:v>MOL particulate</x:v>
      </x:c>
      <x:c r="C486" s="108" t="n">
        <x:v>33</x:v>
      </x:c>
      <x:c r="D486" s="86" t="str">
        <x:v>Z01</x:v>
      </x:c>
      <x:c r="E486" s="86" t="str">
        <x:v>intermediate</x:v>
      </x:c>
      <x:c r="F486" s="86" t="str">
        <x:v>L1</x:v>
      </x:c>
      <x:c r="G486" s="86" t="str">
        <x:v>MOL particulate-CAL-1</x:v>
      </x:c>
      <x:c r="H486" s="86" t="str">
        <x:v>T1</x:v>
      </x:c>
      <x:c r="I486" s="91" t="str">
        <x:v>OPEN</x:v>
      </x:c>
    </x:row>
    <x:row r="487">
      <x:c r="A487" s="86" t="str">
        <x:v>CH-0482</x:v>
      </x:c>
      <x:c r="B487" s="86" t="str">
        <x:v>MOL particulate</x:v>
      </x:c>
      <x:c r="C487" s="108" t="n">
        <x:v>34</x:v>
      </x:c>
      <x:c r="D487" s="86" t="str">
        <x:v>Z02</x:v>
      </x:c>
      <x:c r="E487" s="86" t="str">
        <x:v>intermediate</x:v>
      </x:c>
      <x:c r="F487" s="86" t="str">
        <x:v>L2</x:v>
      </x:c>
      <x:c r="G487" s="86" t="str">
        <x:v>MOL particulate-CAL-2</x:v>
      </x:c>
      <x:c r="H487" s="86" t="str">
        <x:v>T2</x:v>
      </x:c>
      <x:c r="I487" s="91" t="str">
        <x:v>OPEN</x:v>
      </x:c>
    </x:row>
    <x:row r="488">
      <x:c r="A488" s="86" t="str">
        <x:v>CH-0483</x:v>
      </x:c>
      <x:c r="B488" s="86" t="str">
        <x:v>MOL particulate</x:v>
      </x:c>
      <x:c r="C488" s="108" t="n">
        <x:v>35</x:v>
      </x:c>
      <x:c r="D488" s="86" t="str">
        <x:v>Z03</x:v>
      </x:c>
      <x:c r="E488" s="86" t="str">
        <x:v>intermediate</x:v>
      </x:c>
      <x:c r="F488" s="86" t="str">
        <x:v>L3</x:v>
      </x:c>
      <x:c r="G488" s="86" t="str">
        <x:v>MOL particulate-CAL-3</x:v>
      </x:c>
      <x:c r="H488" s="86" t="str">
        <x:v>T3</x:v>
      </x:c>
      <x:c r="I488" s="91" t="str">
        <x:v>OPEN</x:v>
      </x:c>
    </x:row>
    <x:row r="489">
      <x:c r="A489" s="86" t="str">
        <x:v>CH-0484</x:v>
      </x:c>
      <x:c r="B489" s="86" t="str">
        <x:v>MOL particulate</x:v>
      </x:c>
      <x:c r="C489" s="108" t="n">
        <x:v>36</x:v>
      </x:c>
      <x:c r="D489" s="86" t="str">
        <x:v>Z04</x:v>
      </x:c>
      <x:c r="E489" s="86" t="str">
        <x:v>intermediate</x:v>
      </x:c>
      <x:c r="F489" s="86" t="str">
        <x:v>L4</x:v>
      </x:c>
      <x:c r="G489" s="86" t="str">
        <x:v>MOL particulate-CAL-4</x:v>
      </x:c>
      <x:c r="H489" s="86" t="str">
        <x:v>T4</x:v>
      </x:c>
      <x:c r="I489" s="91" t="str">
        <x:v>OPEN</x:v>
      </x:c>
    </x:row>
    <x:row r="490">
      <x:c r="A490" s="86" t="str">
        <x:v>CH-0485</x:v>
      </x:c>
      <x:c r="B490" s="86" t="str">
        <x:v>MOL particulate</x:v>
      </x:c>
      <x:c r="C490" s="108" t="n">
        <x:v>37</x:v>
      </x:c>
      <x:c r="D490" s="86" t="str">
        <x:v>Z05</x:v>
      </x:c>
      <x:c r="E490" s="86" t="str">
        <x:v>intermediate</x:v>
      </x:c>
      <x:c r="F490" s="86" t="str">
        <x:v>L1</x:v>
      </x:c>
      <x:c r="G490" s="86" t="str">
        <x:v>MOL particulate-CAL-1</x:v>
      </x:c>
      <x:c r="H490" s="86" t="str">
        <x:v>T1</x:v>
      </x:c>
      <x:c r="I490" s="91" t="str">
        <x:v>OPEN</x:v>
      </x:c>
    </x:row>
    <x:row r="491">
      <x:c r="A491" s="86" t="str">
        <x:v>CH-0486</x:v>
      </x:c>
      <x:c r="B491" s="86" t="str">
        <x:v>MOL particulate</x:v>
      </x:c>
      <x:c r="C491" s="108" t="n">
        <x:v>38</x:v>
      </x:c>
      <x:c r="D491" s="86" t="str">
        <x:v>Z06</x:v>
      </x:c>
      <x:c r="E491" s="86" t="str">
        <x:v>intermediate</x:v>
      </x:c>
      <x:c r="F491" s="86" t="str">
        <x:v>L2</x:v>
      </x:c>
      <x:c r="G491" s="86" t="str">
        <x:v>MOL particulate-CAL-2</x:v>
      </x:c>
      <x:c r="H491" s="86" t="str">
        <x:v>T2</x:v>
      </x:c>
      <x:c r="I491" s="91" t="str">
        <x:v>OPEN</x:v>
      </x:c>
    </x:row>
    <x:row r="492">
      <x:c r="A492" s="86" t="str">
        <x:v>CH-0487</x:v>
      </x:c>
      <x:c r="B492" s="86" t="str">
        <x:v>MOL particulate</x:v>
      </x:c>
      <x:c r="C492" s="108" t="n">
        <x:v>39</x:v>
      </x:c>
      <x:c r="D492" s="86" t="str">
        <x:v>Z07</x:v>
      </x:c>
      <x:c r="E492" s="86" t="str">
        <x:v>intermediate</x:v>
      </x:c>
      <x:c r="F492" s="86" t="str">
        <x:v>L3</x:v>
      </x:c>
      <x:c r="G492" s="86" t="str">
        <x:v>MOL particulate-CAL-3</x:v>
      </x:c>
      <x:c r="H492" s="86" t="str">
        <x:v>T3</x:v>
      </x:c>
      <x:c r="I492" s="91" t="str">
        <x:v>OPEN</x:v>
      </x:c>
    </x:row>
    <x:row r="493">
      <x:c r="A493" s="86" t="str">
        <x:v>CH-0488</x:v>
      </x:c>
      <x:c r="B493" s="86" t="str">
        <x:v>MOL particulate</x:v>
      </x:c>
      <x:c r="C493" s="108" t="n">
        <x:v>40</x:v>
      </x:c>
      <x:c r="D493" s="86" t="str">
        <x:v>Z08</x:v>
      </x:c>
      <x:c r="E493" s="86" t="str">
        <x:v>intermediate</x:v>
      </x:c>
      <x:c r="F493" s="86" t="str">
        <x:v>L4</x:v>
      </x:c>
      <x:c r="G493" s="86" t="str">
        <x:v>MOL particulate-CAL-4</x:v>
      </x:c>
      <x:c r="H493" s="86" t="str">
        <x:v>T4</x:v>
      </x:c>
      <x:c r="I493" s="91" t="str">
        <x:v>OPEN</x:v>
      </x:c>
    </x:row>
    <x:row r="494">
      <x:c r="A494" s="86" t="str">
        <x:v>CH-0489</x:v>
      </x:c>
      <x:c r="B494" s="86" t="str">
        <x:v>MOL particulate</x:v>
      </x:c>
      <x:c r="C494" s="108" t="n">
        <x:v>41</x:v>
      </x:c>
      <x:c r="D494" s="86" t="str">
        <x:v>Z09</x:v>
      </x:c>
      <x:c r="E494" s="86" t="str">
        <x:v>intermediate</x:v>
      </x:c>
      <x:c r="F494" s="86" t="str">
        <x:v>L1</x:v>
      </x:c>
      <x:c r="G494" s="86" t="str">
        <x:v>MOL particulate-CAL-1</x:v>
      </x:c>
      <x:c r="H494" s="86" t="str">
        <x:v>T1</x:v>
      </x:c>
      <x:c r="I494" s="91" t="str">
        <x:v>OPEN</x:v>
      </x:c>
    </x:row>
    <x:row r="495">
      <x:c r="A495" s="86" t="str">
        <x:v>CH-0490</x:v>
      </x:c>
      <x:c r="B495" s="86" t="str">
        <x:v>MOL particulate</x:v>
      </x:c>
      <x:c r="C495" s="108" t="n">
        <x:v>42</x:v>
      </x:c>
      <x:c r="D495" s="86" t="str">
        <x:v>Z10</x:v>
      </x:c>
      <x:c r="E495" s="86" t="str">
        <x:v>intermediate</x:v>
      </x:c>
      <x:c r="F495" s="86" t="str">
        <x:v>L2</x:v>
      </x:c>
      <x:c r="G495" s="86" t="str">
        <x:v>MOL particulate-CAL-2</x:v>
      </x:c>
      <x:c r="H495" s="86" t="str">
        <x:v>T2</x:v>
      </x:c>
      <x:c r="I495" s="91" t="str">
        <x:v>OPEN</x:v>
      </x:c>
    </x:row>
    <x:row r="496">
      <x:c r="A496" s="86" t="str">
        <x:v>CH-0491</x:v>
      </x:c>
      <x:c r="B496" s="86" t="str">
        <x:v>MOL particulate</x:v>
      </x:c>
      <x:c r="C496" s="108" t="n">
        <x:v>43</x:v>
      </x:c>
      <x:c r="D496" s="86" t="str">
        <x:v>Z11</x:v>
      </x:c>
      <x:c r="E496" s="86" t="str">
        <x:v>intermediate</x:v>
      </x:c>
      <x:c r="F496" s="86" t="str">
        <x:v>L3</x:v>
      </x:c>
      <x:c r="G496" s="86" t="str">
        <x:v>MOL particulate-CAL-3</x:v>
      </x:c>
      <x:c r="H496" s="86" t="str">
        <x:v>T3</x:v>
      </x:c>
      <x:c r="I496" s="91" t="str">
        <x:v>OPEN</x:v>
      </x:c>
    </x:row>
    <x:row r="497">
      <x:c r="A497" s="86" t="str">
        <x:v>CH-0492</x:v>
      </x:c>
      <x:c r="B497" s="86" t="str">
        <x:v>MOL particulate</x:v>
      </x:c>
      <x:c r="C497" s="108" t="n">
        <x:v>44</x:v>
      </x:c>
      <x:c r="D497" s="86" t="str">
        <x:v>Z12</x:v>
      </x:c>
      <x:c r="E497" s="86" t="str">
        <x:v>intermediate</x:v>
      </x:c>
      <x:c r="F497" s="86" t="str">
        <x:v>L4</x:v>
      </x:c>
      <x:c r="G497" s="86" t="str">
        <x:v>MOL particulate-CAL-4</x:v>
      </x:c>
      <x:c r="H497" s="86" t="str">
        <x:v>T4</x:v>
      </x:c>
      <x:c r="I497" s="91" t="str">
        <x:v>OPEN</x:v>
      </x:c>
    </x:row>
    <x:row r="498">
      <x:c r="A498" s="86" t="str">
        <x:v>CH-0493</x:v>
      </x:c>
      <x:c r="B498" s="86" t="str">
        <x:v>MOL particulate</x:v>
      </x:c>
      <x:c r="C498" s="108" t="n">
        <x:v>45</x:v>
      </x:c>
      <x:c r="D498" s="86" t="str">
        <x:v>Z13</x:v>
      </x:c>
      <x:c r="E498" s="86" t="str">
        <x:v>intermediate</x:v>
      </x:c>
      <x:c r="F498" s="86" t="str">
        <x:v>L1</x:v>
      </x:c>
      <x:c r="G498" s="86" t="str">
        <x:v>MOL particulate-CAL-1</x:v>
      </x:c>
      <x:c r="H498" s="86" t="str">
        <x:v>T1</x:v>
      </x:c>
      <x:c r="I498" s="91" t="str">
        <x:v>OPEN</x:v>
      </x:c>
    </x:row>
    <x:row r="499">
      <x:c r="A499" s="86" t="str">
        <x:v>CH-0494</x:v>
      </x:c>
      <x:c r="B499" s="86" t="str">
        <x:v>MOL particulate</x:v>
      </x:c>
      <x:c r="C499" s="108" t="n">
        <x:v>46</x:v>
      </x:c>
      <x:c r="D499" s="86" t="str">
        <x:v>Z14</x:v>
      </x:c>
      <x:c r="E499" s="86" t="str">
        <x:v>intermediate</x:v>
      </x:c>
      <x:c r="F499" s="86" t="str">
        <x:v>L2</x:v>
      </x:c>
      <x:c r="G499" s="86" t="str">
        <x:v>MOL particulate-CAL-2</x:v>
      </x:c>
      <x:c r="H499" s="86" t="str">
        <x:v>T2</x:v>
      </x:c>
      <x:c r="I499" s="91" t="str">
        <x:v>OPEN</x:v>
      </x:c>
    </x:row>
    <x:row r="500">
      <x:c r="A500" s="86" t="str">
        <x:v>CH-0495</x:v>
      </x:c>
      <x:c r="B500" s="86" t="str">
        <x:v>MOL particulate</x:v>
      </x:c>
      <x:c r="C500" s="108" t="n">
        <x:v>47</x:v>
      </x:c>
      <x:c r="D500" s="86" t="str">
        <x:v>Z15</x:v>
      </x:c>
      <x:c r="E500" s="86" t="str">
        <x:v>intermediate</x:v>
      </x:c>
      <x:c r="F500" s="86" t="str">
        <x:v>L3</x:v>
      </x:c>
      <x:c r="G500" s="86" t="str">
        <x:v>MOL particulate-CAL-3</x:v>
      </x:c>
      <x:c r="H500" s="86" t="str">
        <x:v>T3</x:v>
      </x:c>
      <x:c r="I500" s="91" t="str">
        <x:v>OPEN</x:v>
      </x:c>
    </x:row>
    <x:row r="501">
      <x:c r="A501" s="86" t="str">
        <x:v>CH-0496</x:v>
      </x:c>
      <x:c r="B501" s="86" t="str">
        <x:v>MOL particulate</x:v>
      </x:c>
      <x:c r="C501" s="108" t="n">
        <x:v>48</x:v>
      </x:c>
      <x:c r="D501" s="86" t="str">
        <x:v>Z16</x:v>
      </x:c>
      <x:c r="E501" s="86" t="str">
        <x:v>intermediate</x:v>
      </x:c>
      <x:c r="F501" s="86" t="str">
        <x:v>L4</x:v>
      </x:c>
      <x:c r="G501" s="86" t="str">
        <x:v>MOL particulate-CAL-4</x:v>
      </x:c>
      <x:c r="H501" s="86" t="str">
        <x:v>T4</x:v>
      </x:c>
      <x:c r="I501" s="91" t="str">
        <x:v>OPEN</x:v>
      </x:c>
    </x:row>
    <x:row r="502">
      <x:c r="A502" s="86" t="str">
        <x:v>CH-0497</x:v>
      </x:c>
      <x:c r="B502" s="86" t="str">
        <x:v>MOL particulate</x:v>
      </x:c>
      <x:c r="C502" s="108" t="n">
        <x:v>49</x:v>
      </x:c>
      <x:c r="D502" s="86" t="str">
        <x:v>Z01</x:v>
      </x:c>
      <x:c r="E502" s="86" t="str">
        <x:v>return</x:v>
      </x:c>
      <x:c r="F502" s="86" t="str">
        <x:v>L1</x:v>
      </x:c>
      <x:c r="G502" s="86" t="str">
        <x:v>MOL particulate-CAL-1</x:v>
      </x:c>
      <x:c r="H502" s="86" t="str">
        <x:v>T1</x:v>
      </x:c>
      <x:c r="I502" s="91" t="str">
        <x:v>OPEN</x:v>
      </x:c>
    </x:row>
    <x:row r="503">
      <x:c r="A503" s="86" t="str">
        <x:v>CH-0498</x:v>
      </x:c>
      <x:c r="B503" s="86" t="str">
        <x:v>MOL particulate</x:v>
      </x:c>
      <x:c r="C503" s="108" t="n">
        <x:v>50</x:v>
      </x:c>
      <x:c r="D503" s="86" t="str">
        <x:v>Z02</x:v>
      </x:c>
      <x:c r="E503" s="86" t="str">
        <x:v>return</x:v>
      </x:c>
      <x:c r="F503" s="86" t="str">
        <x:v>L2</x:v>
      </x:c>
      <x:c r="G503" s="86" t="str">
        <x:v>MOL particulate-CAL-2</x:v>
      </x:c>
      <x:c r="H503" s="86" t="str">
        <x:v>T2</x:v>
      </x:c>
      <x:c r="I503" s="91" t="str">
        <x:v>OPEN</x:v>
      </x:c>
    </x:row>
    <x:row r="504">
      <x:c r="A504" s="86" t="str">
        <x:v>CH-0499</x:v>
      </x:c>
      <x:c r="B504" s="86" t="str">
        <x:v>MOL particulate</x:v>
      </x:c>
      <x:c r="C504" s="108" t="n">
        <x:v>51</x:v>
      </x:c>
      <x:c r="D504" s="86" t="str">
        <x:v>Z03</x:v>
      </x:c>
      <x:c r="E504" s="86" t="str">
        <x:v>return</x:v>
      </x:c>
      <x:c r="F504" s="86" t="str">
        <x:v>L3</x:v>
      </x:c>
      <x:c r="G504" s="86" t="str">
        <x:v>MOL particulate-CAL-3</x:v>
      </x:c>
      <x:c r="H504" s="86" t="str">
        <x:v>T3</x:v>
      </x:c>
      <x:c r="I504" s="91" t="str">
        <x:v>OPEN</x:v>
      </x:c>
    </x:row>
    <x:row r="505">
      <x:c r="A505" s="86" t="str">
        <x:v>CH-0500</x:v>
      </x:c>
      <x:c r="B505" s="86" t="str">
        <x:v>MOL particulate</x:v>
      </x:c>
      <x:c r="C505" s="108" t="n">
        <x:v>52</x:v>
      </x:c>
      <x:c r="D505" s="86" t="str">
        <x:v>Z04</x:v>
      </x:c>
      <x:c r="E505" s="86" t="str">
        <x:v>return</x:v>
      </x:c>
      <x:c r="F505" s="86" t="str">
        <x:v>L4</x:v>
      </x:c>
      <x:c r="G505" s="86" t="str">
        <x:v>MOL particulate-CAL-4</x:v>
      </x:c>
      <x:c r="H505" s="86" t="str">
        <x:v>T4</x:v>
      </x:c>
      <x:c r="I505" s="91" t="str">
        <x:v>OPEN</x:v>
      </x:c>
    </x:row>
    <x:row r="506">
      <x:c r="A506" s="86" t="str">
        <x:v>CH-0501</x:v>
      </x:c>
      <x:c r="B506" s="86" t="str">
        <x:v>MOL particulate</x:v>
      </x:c>
      <x:c r="C506" s="108" t="n">
        <x:v>53</x:v>
      </x:c>
      <x:c r="D506" s="86" t="str">
        <x:v>Z05</x:v>
      </x:c>
      <x:c r="E506" s="86" t="str">
        <x:v>return</x:v>
      </x:c>
      <x:c r="F506" s="86" t="str">
        <x:v>L1</x:v>
      </x:c>
      <x:c r="G506" s="86" t="str">
        <x:v>MOL particulate-CAL-1</x:v>
      </x:c>
      <x:c r="H506" s="86" t="str">
        <x:v>T1</x:v>
      </x:c>
      <x:c r="I506" s="91" t="str">
        <x:v>OPEN</x:v>
      </x:c>
    </x:row>
    <x:row r="507">
      <x:c r="A507" s="86" t="str">
        <x:v>CH-0502</x:v>
      </x:c>
      <x:c r="B507" s="86" t="str">
        <x:v>MOL particulate</x:v>
      </x:c>
      <x:c r="C507" s="108" t="n">
        <x:v>54</x:v>
      </x:c>
      <x:c r="D507" s="86" t="str">
        <x:v>Z06</x:v>
      </x:c>
      <x:c r="E507" s="86" t="str">
        <x:v>return</x:v>
      </x:c>
      <x:c r="F507" s="86" t="str">
        <x:v>L2</x:v>
      </x:c>
      <x:c r="G507" s="86" t="str">
        <x:v>MOL particulate-CAL-2</x:v>
      </x:c>
      <x:c r="H507" s="86" t="str">
        <x:v>T2</x:v>
      </x:c>
      <x:c r="I507" s="91" t="str">
        <x:v>OPEN</x:v>
      </x:c>
    </x:row>
    <x:row r="508">
      <x:c r="A508" s="86" t="str">
        <x:v>CH-0503</x:v>
      </x:c>
      <x:c r="B508" s="86" t="str">
        <x:v>MOL particulate</x:v>
      </x:c>
      <x:c r="C508" s="108" t="n">
        <x:v>55</x:v>
      </x:c>
      <x:c r="D508" s="86" t="str">
        <x:v>Z07</x:v>
      </x:c>
      <x:c r="E508" s="86" t="str">
        <x:v>return</x:v>
      </x:c>
      <x:c r="F508" s="86" t="str">
        <x:v>L3</x:v>
      </x:c>
      <x:c r="G508" s="86" t="str">
        <x:v>MOL particulate-CAL-3</x:v>
      </x:c>
      <x:c r="H508" s="86" t="str">
        <x:v>T3</x:v>
      </x:c>
      <x:c r="I508" s="91" t="str">
        <x:v>OPEN</x:v>
      </x:c>
    </x:row>
    <x:row r="509">
      <x:c r="A509" s="86" t="str">
        <x:v>CH-0504</x:v>
      </x:c>
      <x:c r="B509" s="86" t="str">
        <x:v>MOL particulate</x:v>
      </x:c>
      <x:c r="C509" s="108" t="n">
        <x:v>56</x:v>
      </x:c>
      <x:c r="D509" s="86" t="str">
        <x:v>Z08</x:v>
      </x:c>
      <x:c r="E509" s="86" t="str">
        <x:v>return</x:v>
      </x:c>
      <x:c r="F509" s="86" t="str">
        <x:v>L4</x:v>
      </x:c>
      <x:c r="G509" s="86" t="str">
        <x:v>MOL particulate-CAL-4</x:v>
      </x:c>
      <x:c r="H509" s="86" t="str">
        <x:v>T4</x:v>
      </x:c>
      <x:c r="I509" s="91" t="str">
        <x:v>OPEN</x:v>
      </x:c>
    </x:row>
    <x:row r="510">
      <x:c r="A510" s="86" t="str">
        <x:v>CH-0505</x:v>
      </x:c>
      <x:c r="B510" s="86" t="str">
        <x:v>MOL particulate</x:v>
      </x:c>
      <x:c r="C510" s="108" t="n">
        <x:v>57</x:v>
      </x:c>
      <x:c r="D510" s="86" t="str">
        <x:v>Z09</x:v>
      </x:c>
      <x:c r="E510" s="86" t="str">
        <x:v>return</x:v>
      </x:c>
      <x:c r="F510" s="86" t="str">
        <x:v>L1</x:v>
      </x:c>
      <x:c r="G510" s="86" t="str">
        <x:v>MOL particulate-CAL-1</x:v>
      </x:c>
      <x:c r="H510" s="86" t="str">
        <x:v>T1</x:v>
      </x:c>
      <x:c r="I510" s="91" t="str">
        <x:v>OPEN</x:v>
      </x:c>
    </x:row>
    <x:row r="511">
      <x:c r="A511" s="86" t="str">
        <x:v>CH-0506</x:v>
      </x:c>
      <x:c r="B511" s="86" t="str">
        <x:v>MOL particulate</x:v>
      </x:c>
      <x:c r="C511" s="108" t="n">
        <x:v>58</x:v>
      </x:c>
      <x:c r="D511" s="86" t="str">
        <x:v>Z10</x:v>
      </x:c>
      <x:c r="E511" s="86" t="str">
        <x:v>return</x:v>
      </x:c>
      <x:c r="F511" s="86" t="str">
        <x:v>L2</x:v>
      </x:c>
      <x:c r="G511" s="86" t="str">
        <x:v>MOL particulate-CAL-2</x:v>
      </x:c>
      <x:c r="H511" s="86" t="str">
        <x:v>T2</x:v>
      </x:c>
      <x:c r="I511" s="91" t="str">
        <x:v>OPEN</x:v>
      </x:c>
    </x:row>
    <x:row r="512">
      <x:c r="A512" s="86" t="str">
        <x:v>CH-0507</x:v>
      </x:c>
      <x:c r="B512" s="86" t="str">
        <x:v>MOL particulate</x:v>
      </x:c>
      <x:c r="C512" s="108" t="n">
        <x:v>59</x:v>
      </x:c>
      <x:c r="D512" s="86" t="str">
        <x:v>Z11</x:v>
      </x:c>
      <x:c r="E512" s="86" t="str">
        <x:v>return</x:v>
      </x:c>
      <x:c r="F512" s="86" t="str">
        <x:v>L3</x:v>
      </x:c>
      <x:c r="G512" s="86" t="str">
        <x:v>MOL particulate-CAL-3</x:v>
      </x:c>
      <x:c r="H512" s="86" t="str">
        <x:v>T3</x:v>
      </x:c>
      <x:c r="I512" s="91" t="str">
        <x:v>OPEN</x:v>
      </x:c>
    </x:row>
    <x:row r="513">
      <x:c r="A513" s="86" t="str">
        <x:v>CH-0508</x:v>
      </x:c>
      <x:c r="B513" s="86" t="str">
        <x:v>MOL particulate</x:v>
      </x:c>
      <x:c r="C513" s="108" t="n">
        <x:v>60</x:v>
      </x:c>
      <x:c r="D513" s="86" t="str">
        <x:v>Z12</x:v>
      </x:c>
      <x:c r="E513" s="86" t="str">
        <x:v>return</x:v>
      </x:c>
      <x:c r="F513" s="86" t="str">
        <x:v>L4</x:v>
      </x:c>
      <x:c r="G513" s="86" t="str">
        <x:v>MOL particulate-CAL-4</x:v>
      </x:c>
      <x:c r="H513" s="86" t="str">
        <x:v>T4</x:v>
      </x:c>
      <x:c r="I513" s="91" t="str">
        <x:v>OPEN</x:v>
      </x:c>
    </x:row>
    <x:row r="514">
      <x:c r="A514" s="86" t="str">
        <x:v>CH-0509</x:v>
      </x:c>
      <x:c r="B514" s="86" t="str">
        <x:v>MOL particulate</x:v>
      </x:c>
      <x:c r="C514" s="108" t="n">
        <x:v>61</x:v>
      </x:c>
      <x:c r="D514" s="86" t="str">
        <x:v>Z13</x:v>
      </x:c>
      <x:c r="E514" s="86" t="str">
        <x:v>return</x:v>
      </x:c>
      <x:c r="F514" s="86" t="str">
        <x:v>L1</x:v>
      </x:c>
      <x:c r="G514" s="86" t="str">
        <x:v>MOL particulate-CAL-1</x:v>
      </x:c>
      <x:c r="H514" s="86" t="str">
        <x:v>T1</x:v>
      </x:c>
      <x:c r="I514" s="91" t="str">
        <x:v>OPEN</x:v>
      </x:c>
    </x:row>
    <x:row r="515">
      <x:c r="A515" s="86" t="str">
        <x:v>CH-0510</x:v>
      </x:c>
      <x:c r="B515" s="86" t="str">
        <x:v>MOL particulate</x:v>
      </x:c>
      <x:c r="C515" s="108" t="n">
        <x:v>62</x:v>
      </x:c>
      <x:c r="D515" s="86" t="str">
        <x:v>Z14</x:v>
      </x:c>
      <x:c r="E515" s="86" t="str">
        <x:v>return</x:v>
      </x:c>
      <x:c r="F515" s="86" t="str">
        <x:v>L2</x:v>
      </x:c>
      <x:c r="G515" s="86" t="str">
        <x:v>MOL particulate-CAL-2</x:v>
      </x:c>
      <x:c r="H515" s="86" t="str">
        <x:v>T2</x:v>
      </x:c>
      <x:c r="I515" s="91" t="str">
        <x:v>OPEN</x:v>
      </x:c>
    </x:row>
    <x:row r="516">
      <x:c r="A516" s="86" t="str">
        <x:v>CH-0511</x:v>
      </x:c>
      <x:c r="B516" s="86" t="str">
        <x:v>MOL particulate</x:v>
      </x:c>
      <x:c r="C516" s="108" t="n">
        <x:v>63</x:v>
      </x:c>
      <x:c r="D516" s="86" t="str">
        <x:v>Z15</x:v>
      </x:c>
      <x:c r="E516" s="86" t="str">
        <x:v>return</x:v>
      </x:c>
      <x:c r="F516" s="86" t="str">
        <x:v>L3</x:v>
      </x:c>
      <x:c r="G516" s="86" t="str">
        <x:v>MOL particulate-CAL-3</x:v>
      </x:c>
      <x:c r="H516" s="86" t="str">
        <x:v>T3</x:v>
      </x:c>
      <x:c r="I516" s="91" t="str">
        <x:v>OPEN</x:v>
      </x:c>
    </x:row>
    <x:row r="517">
      <x:c r="A517" s="86" t="str">
        <x:v>CH-0512</x:v>
      </x:c>
      <x:c r="B517" s="86" t="str">
        <x:v>MOL particulate</x:v>
      </x:c>
      <x:c r="C517" s="108" t="n">
        <x:v>64</x:v>
      </x:c>
      <x:c r="D517" s="86" t="str">
        <x:v>Z16</x:v>
      </x:c>
      <x:c r="E517" s="86" t="str">
        <x:v>return</x:v>
      </x:c>
      <x:c r="F517" s="86" t="str">
        <x:v>L4</x:v>
      </x:c>
      <x:c r="G517" s="86" t="str">
        <x:v>MOL particulate-CAL-4</x:v>
      </x:c>
      <x:c r="H517" s="86" t="str">
        <x:v>T4</x:v>
      </x:c>
      <x:c r="I517" s="91" t="str">
        <x:v>OPEN</x:v>
      </x:c>
    </x:row>
    <x:row r="518">
      <x:c r="A518" s="86" t="str">
        <x:v>CH-0513</x:v>
      </x:c>
      <x:c r="B518" s="86" t="str">
        <x:v>MOL condensate</x:v>
      </x:c>
      <x:c r="C518" s="108" t="n">
        <x:v>1</x:v>
      </x:c>
      <x:c r="D518" s="86" t="str">
        <x:v>Z01</x:v>
      </x:c>
      <x:c r="E518" s="86" t="str">
        <x:v>full</x:v>
      </x:c>
      <x:c r="F518" s="86" t="str">
        <x:v>L1</x:v>
      </x:c>
      <x:c r="G518" s="86" t="str">
        <x:v>MOL condensate-CAL-1</x:v>
      </x:c>
      <x:c r="H518" s="86" t="str">
        <x:v>T1</x:v>
      </x:c>
      <x:c r="I518" s="91" t="str">
        <x:v>OPEN</x:v>
      </x:c>
    </x:row>
    <x:row r="519">
      <x:c r="A519" s="86" t="str">
        <x:v>CH-0514</x:v>
      </x:c>
      <x:c r="B519" s="86" t="str">
        <x:v>MOL condensate</x:v>
      </x:c>
      <x:c r="C519" s="108" t="n">
        <x:v>2</x:v>
      </x:c>
      <x:c r="D519" s="86" t="str">
        <x:v>Z02</x:v>
      </x:c>
      <x:c r="E519" s="86" t="str">
        <x:v>full</x:v>
      </x:c>
      <x:c r="F519" s="86" t="str">
        <x:v>L2</x:v>
      </x:c>
      <x:c r="G519" s="86" t="str">
        <x:v>MOL condensate-CAL-2</x:v>
      </x:c>
      <x:c r="H519" s="86" t="str">
        <x:v>T2</x:v>
      </x:c>
      <x:c r="I519" s="91" t="str">
        <x:v>OPEN</x:v>
      </x:c>
    </x:row>
    <x:row r="520">
      <x:c r="A520" s="86" t="str">
        <x:v>CH-0515</x:v>
      </x:c>
      <x:c r="B520" s="86" t="str">
        <x:v>MOL condensate</x:v>
      </x:c>
      <x:c r="C520" s="108" t="n">
        <x:v>3</x:v>
      </x:c>
      <x:c r="D520" s="86" t="str">
        <x:v>Z03</x:v>
      </x:c>
      <x:c r="E520" s="86" t="str">
        <x:v>full</x:v>
      </x:c>
      <x:c r="F520" s="86" t="str">
        <x:v>L3</x:v>
      </x:c>
      <x:c r="G520" s="86" t="str">
        <x:v>MOL condensate-CAL-3</x:v>
      </x:c>
      <x:c r="H520" s="86" t="str">
        <x:v>T3</x:v>
      </x:c>
      <x:c r="I520" s="91" t="str">
        <x:v>OPEN</x:v>
      </x:c>
    </x:row>
    <x:row r="521">
      <x:c r="A521" s="86" t="str">
        <x:v>CH-0516</x:v>
      </x:c>
      <x:c r="B521" s="86" t="str">
        <x:v>MOL condensate</x:v>
      </x:c>
      <x:c r="C521" s="108" t="n">
        <x:v>4</x:v>
      </x:c>
      <x:c r="D521" s="86" t="str">
        <x:v>Z04</x:v>
      </x:c>
      <x:c r="E521" s="86" t="str">
        <x:v>full</x:v>
      </x:c>
      <x:c r="F521" s="86" t="str">
        <x:v>L4</x:v>
      </x:c>
      <x:c r="G521" s="86" t="str">
        <x:v>MOL condensate-CAL-4</x:v>
      </x:c>
      <x:c r="H521" s="86" t="str">
        <x:v>T4</x:v>
      </x:c>
      <x:c r="I521" s="91" t="str">
        <x:v>OPEN</x:v>
      </x:c>
    </x:row>
    <x:row r="522">
      <x:c r="A522" s="86" t="str">
        <x:v>CH-0517</x:v>
      </x:c>
      <x:c r="B522" s="86" t="str">
        <x:v>MOL condensate</x:v>
      </x:c>
      <x:c r="C522" s="108" t="n">
        <x:v>5</x:v>
      </x:c>
      <x:c r="D522" s="86" t="str">
        <x:v>Z05</x:v>
      </x:c>
      <x:c r="E522" s="86" t="str">
        <x:v>full</x:v>
      </x:c>
      <x:c r="F522" s="86" t="str">
        <x:v>L1</x:v>
      </x:c>
      <x:c r="G522" s="86" t="str">
        <x:v>MOL condensate-CAL-1</x:v>
      </x:c>
      <x:c r="H522" s="86" t="str">
        <x:v>T1</x:v>
      </x:c>
      <x:c r="I522" s="91" t="str">
        <x:v>OPEN</x:v>
      </x:c>
    </x:row>
    <x:row r="523">
      <x:c r="A523" s="86" t="str">
        <x:v>CH-0518</x:v>
      </x:c>
      <x:c r="B523" s="86" t="str">
        <x:v>MOL condensate</x:v>
      </x:c>
      <x:c r="C523" s="108" t="n">
        <x:v>6</x:v>
      </x:c>
      <x:c r="D523" s="86" t="str">
        <x:v>Z06</x:v>
      </x:c>
      <x:c r="E523" s="86" t="str">
        <x:v>full</x:v>
      </x:c>
      <x:c r="F523" s="86" t="str">
        <x:v>L2</x:v>
      </x:c>
      <x:c r="G523" s="86" t="str">
        <x:v>MOL condensate-CAL-2</x:v>
      </x:c>
      <x:c r="H523" s="86" t="str">
        <x:v>T2</x:v>
      </x:c>
      <x:c r="I523" s="91" t="str">
        <x:v>OPEN</x:v>
      </x:c>
    </x:row>
    <x:row r="524">
      <x:c r="A524" s="86" t="str">
        <x:v>CH-0519</x:v>
      </x:c>
      <x:c r="B524" s="86" t="str">
        <x:v>MOL condensate</x:v>
      </x:c>
      <x:c r="C524" s="108" t="n">
        <x:v>7</x:v>
      </x:c>
      <x:c r="D524" s="86" t="str">
        <x:v>Z07</x:v>
      </x:c>
      <x:c r="E524" s="86" t="str">
        <x:v>full</x:v>
      </x:c>
      <x:c r="F524" s="86" t="str">
        <x:v>L3</x:v>
      </x:c>
      <x:c r="G524" s="86" t="str">
        <x:v>MOL condensate-CAL-3</x:v>
      </x:c>
      <x:c r="H524" s="86" t="str">
        <x:v>T3</x:v>
      </x:c>
      <x:c r="I524" s="91" t="str">
        <x:v>OPEN</x:v>
      </x:c>
    </x:row>
    <x:row r="525">
      <x:c r="A525" s="86" t="str">
        <x:v>CH-0520</x:v>
      </x:c>
      <x:c r="B525" s="86" t="str">
        <x:v>MOL condensate</x:v>
      </x:c>
      <x:c r="C525" s="108" t="n">
        <x:v>8</x:v>
      </x:c>
      <x:c r="D525" s="86" t="str">
        <x:v>Z08</x:v>
      </x:c>
      <x:c r="E525" s="86" t="str">
        <x:v>full</x:v>
      </x:c>
      <x:c r="F525" s="86" t="str">
        <x:v>L4</x:v>
      </x:c>
      <x:c r="G525" s="86" t="str">
        <x:v>MOL condensate-CAL-4</x:v>
      </x:c>
      <x:c r="H525" s="86" t="str">
        <x:v>T4</x:v>
      </x:c>
      <x:c r="I525" s="91" t="str">
        <x:v>OPEN</x:v>
      </x:c>
    </x:row>
    <x:row r="526">
      <x:c r="A526" s="86" t="str">
        <x:v>CH-0521</x:v>
      </x:c>
      <x:c r="B526" s="86" t="str">
        <x:v>MOL condensate</x:v>
      </x:c>
      <x:c r="C526" s="108" t="n">
        <x:v>9</x:v>
      </x:c>
      <x:c r="D526" s="86" t="str">
        <x:v>Z09</x:v>
      </x:c>
      <x:c r="E526" s="86" t="str">
        <x:v>full</x:v>
      </x:c>
      <x:c r="F526" s="86" t="str">
        <x:v>L1</x:v>
      </x:c>
      <x:c r="G526" s="86" t="str">
        <x:v>MOL condensate-CAL-1</x:v>
      </x:c>
      <x:c r="H526" s="86" t="str">
        <x:v>T1</x:v>
      </x:c>
      <x:c r="I526" s="91" t="str">
        <x:v>OPEN</x:v>
      </x:c>
    </x:row>
    <x:row r="527">
      <x:c r="A527" s="86" t="str">
        <x:v>CH-0522</x:v>
      </x:c>
      <x:c r="B527" s="86" t="str">
        <x:v>MOL condensate</x:v>
      </x:c>
      <x:c r="C527" s="108" t="n">
        <x:v>10</x:v>
      </x:c>
      <x:c r="D527" s="86" t="str">
        <x:v>Z10</x:v>
      </x:c>
      <x:c r="E527" s="86" t="str">
        <x:v>full</x:v>
      </x:c>
      <x:c r="F527" s="86" t="str">
        <x:v>L2</x:v>
      </x:c>
      <x:c r="G527" s="86" t="str">
        <x:v>MOL condensate-CAL-2</x:v>
      </x:c>
      <x:c r="H527" s="86" t="str">
        <x:v>T2</x:v>
      </x:c>
      <x:c r="I527" s="91" t="str">
        <x:v>OPEN</x:v>
      </x:c>
    </x:row>
    <x:row r="528">
      <x:c r="A528" s="86" t="str">
        <x:v>CH-0523</x:v>
      </x:c>
      <x:c r="B528" s="86" t="str">
        <x:v>MOL condensate</x:v>
      </x:c>
      <x:c r="C528" s="108" t="n">
        <x:v>11</x:v>
      </x:c>
      <x:c r="D528" s="86" t="str">
        <x:v>Z11</x:v>
      </x:c>
      <x:c r="E528" s="86" t="str">
        <x:v>full</x:v>
      </x:c>
      <x:c r="F528" s="86" t="str">
        <x:v>L3</x:v>
      </x:c>
      <x:c r="G528" s="86" t="str">
        <x:v>MOL condensate-CAL-3</x:v>
      </x:c>
      <x:c r="H528" s="86" t="str">
        <x:v>T3</x:v>
      </x:c>
      <x:c r="I528" s="91" t="str">
        <x:v>OPEN</x:v>
      </x:c>
    </x:row>
    <x:row r="529">
      <x:c r="A529" s="86" t="str">
        <x:v>CH-0524</x:v>
      </x:c>
      <x:c r="B529" s="86" t="str">
        <x:v>MOL condensate</x:v>
      </x:c>
      <x:c r="C529" s="108" t="n">
        <x:v>12</x:v>
      </x:c>
      <x:c r="D529" s="86" t="str">
        <x:v>Z12</x:v>
      </x:c>
      <x:c r="E529" s="86" t="str">
        <x:v>full</x:v>
      </x:c>
      <x:c r="F529" s="86" t="str">
        <x:v>L4</x:v>
      </x:c>
      <x:c r="G529" s="86" t="str">
        <x:v>MOL condensate-CAL-4</x:v>
      </x:c>
      <x:c r="H529" s="86" t="str">
        <x:v>T4</x:v>
      </x:c>
      <x:c r="I529" s="91" t="str">
        <x:v>OPEN</x:v>
      </x:c>
    </x:row>
    <x:row r="530">
      <x:c r="A530" s="86" t="str">
        <x:v>CH-0525</x:v>
      </x:c>
      <x:c r="B530" s="86" t="str">
        <x:v>MOL condensate</x:v>
      </x:c>
      <x:c r="C530" s="108" t="n">
        <x:v>13</x:v>
      </x:c>
      <x:c r="D530" s="86" t="str">
        <x:v>Z13</x:v>
      </x:c>
      <x:c r="E530" s="86" t="str">
        <x:v>full</x:v>
      </x:c>
      <x:c r="F530" s="86" t="str">
        <x:v>L1</x:v>
      </x:c>
      <x:c r="G530" s="86" t="str">
        <x:v>MOL condensate-CAL-1</x:v>
      </x:c>
      <x:c r="H530" s="86" t="str">
        <x:v>T1</x:v>
      </x:c>
      <x:c r="I530" s="91" t="str">
        <x:v>OPEN</x:v>
      </x:c>
    </x:row>
    <x:row r="531">
      <x:c r="A531" s="86" t="str">
        <x:v>CH-0526</x:v>
      </x:c>
      <x:c r="B531" s="86" t="str">
        <x:v>MOL condensate</x:v>
      </x:c>
      <x:c r="C531" s="108" t="n">
        <x:v>14</x:v>
      </x:c>
      <x:c r="D531" s="86" t="str">
        <x:v>Z14</x:v>
      </x:c>
      <x:c r="E531" s="86" t="str">
        <x:v>full</x:v>
      </x:c>
      <x:c r="F531" s="86" t="str">
        <x:v>L2</x:v>
      </x:c>
      <x:c r="G531" s="86" t="str">
        <x:v>MOL condensate-CAL-2</x:v>
      </x:c>
      <x:c r="H531" s="86" t="str">
        <x:v>T2</x:v>
      </x:c>
      <x:c r="I531" s="91" t="str">
        <x:v>OPEN</x:v>
      </x:c>
    </x:row>
    <x:row r="532">
      <x:c r="A532" s="86" t="str">
        <x:v>CH-0527</x:v>
      </x:c>
      <x:c r="B532" s="86" t="str">
        <x:v>MOL condensate</x:v>
      </x:c>
      <x:c r="C532" s="108" t="n">
        <x:v>15</x:v>
      </x:c>
      <x:c r="D532" s="86" t="str">
        <x:v>Z15</x:v>
      </x:c>
      <x:c r="E532" s="86" t="str">
        <x:v>full</x:v>
      </x:c>
      <x:c r="F532" s="86" t="str">
        <x:v>L3</x:v>
      </x:c>
      <x:c r="G532" s="86" t="str">
        <x:v>MOL condensate-CAL-3</x:v>
      </x:c>
      <x:c r="H532" s="86" t="str">
        <x:v>T3</x:v>
      </x:c>
      <x:c r="I532" s="91" t="str">
        <x:v>OPEN</x:v>
      </x:c>
    </x:row>
    <x:row r="533">
      <x:c r="A533" s="86" t="str">
        <x:v>CH-0528</x:v>
      </x:c>
      <x:c r="B533" s="86" t="str">
        <x:v>MOL condensate</x:v>
      </x:c>
      <x:c r="C533" s="108" t="n">
        <x:v>16</x:v>
      </x:c>
      <x:c r="D533" s="86" t="str">
        <x:v>Z16</x:v>
      </x:c>
      <x:c r="E533" s="86" t="str">
        <x:v>full</x:v>
      </x:c>
      <x:c r="F533" s="86" t="str">
        <x:v>L4</x:v>
      </x:c>
      <x:c r="G533" s="86" t="str">
        <x:v>MOL condensate-CAL-4</x:v>
      </x:c>
      <x:c r="H533" s="86" t="str">
        <x:v>T4</x:v>
      </x:c>
      <x:c r="I533" s="91" t="str">
        <x:v>OPEN</x:v>
      </x:c>
    </x:row>
    <x:row r="534">
      <x:c r="A534" s="86" t="str">
        <x:v>CH-0529</x:v>
      </x:c>
      <x:c r="B534" s="86" t="str">
        <x:v>MOL condensate</x:v>
      </x:c>
      <x:c r="C534" s="108" t="n">
        <x:v>17</x:v>
      </x:c>
      <x:c r="D534" s="86" t="str">
        <x:v>Z01</x:v>
      </x:c>
      <x:c r="E534" s="86" t="str">
        <x:v>full</x:v>
      </x:c>
      <x:c r="F534" s="86" t="str">
        <x:v>L1</x:v>
      </x:c>
      <x:c r="G534" s="86" t="str">
        <x:v>MOL condensate-CAL-1</x:v>
      </x:c>
      <x:c r="H534" s="86" t="str">
        <x:v>T1</x:v>
      </x:c>
      <x:c r="I534" s="91" t="str">
        <x:v>OPEN</x:v>
      </x:c>
    </x:row>
    <x:row r="535">
      <x:c r="A535" s="86" t="str">
        <x:v>CH-0530</x:v>
      </x:c>
      <x:c r="B535" s="86" t="str">
        <x:v>MOL condensate</x:v>
      </x:c>
      <x:c r="C535" s="108" t="n">
        <x:v>18</x:v>
      </x:c>
      <x:c r="D535" s="86" t="str">
        <x:v>Z02</x:v>
      </x:c>
      <x:c r="E535" s="86" t="str">
        <x:v>full</x:v>
      </x:c>
      <x:c r="F535" s="86" t="str">
        <x:v>L2</x:v>
      </x:c>
      <x:c r="G535" s="86" t="str">
        <x:v>MOL condensate-CAL-2</x:v>
      </x:c>
      <x:c r="H535" s="86" t="str">
        <x:v>T2</x:v>
      </x:c>
      <x:c r="I535" s="91" t="str">
        <x:v>OPEN</x:v>
      </x:c>
    </x:row>
    <x:row r="536">
      <x:c r="A536" s="86" t="str">
        <x:v>CH-0531</x:v>
      </x:c>
      <x:c r="B536" s="86" t="str">
        <x:v>MOL condensate</x:v>
      </x:c>
      <x:c r="C536" s="108" t="n">
        <x:v>19</x:v>
      </x:c>
      <x:c r="D536" s="86" t="str">
        <x:v>Z03</x:v>
      </x:c>
      <x:c r="E536" s="86" t="str">
        <x:v>full</x:v>
      </x:c>
      <x:c r="F536" s="86" t="str">
        <x:v>L3</x:v>
      </x:c>
      <x:c r="G536" s="86" t="str">
        <x:v>MOL condensate-CAL-3</x:v>
      </x:c>
      <x:c r="H536" s="86" t="str">
        <x:v>T3</x:v>
      </x:c>
      <x:c r="I536" s="91" t="str">
        <x:v>OPEN</x:v>
      </x:c>
    </x:row>
    <x:row r="537">
      <x:c r="A537" s="86" t="str">
        <x:v>CH-0532</x:v>
      </x:c>
      <x:c r="B537" s="86" t="str">
        <x:v>MOL condensate</x:v>
      </x:c>
      <x:c r="C537" s="108" t="n">
        <x:v>20</x:v>
      </x:c>
      <x:c r="D537" s="86" t="str">
        <x:v>Z04</x:v>
      </x:c>
      <x:c r="E537" s="86" t="str">
        <x:v>full</x:v>
      </x:c>
      <x:c r="F537" s="86" t="str">
        <x:v>L4</x:v>
      </x:c>
      <x:c r="G537" s="86" t="str">
        <x:v>MOL condensate-CAL-4</x:v>
      </x:c>
      <x:c r="H537" s="86" t="str">
        <x:v>T4</x:v>
      </x:c>
      <x:c r="I537" s="91" t="str">
        <x:v>OPEN</x:v>
      </x:c>
    </x:row>
    <x:row r="538">
      <x:c r="A538" s="86" t="str">
        <x:v>CH-0533</x:v>
      </x:c>
      <x:c r="B538" s="86" t="str">
        <x:v>MOL condensate</x:v>
      </x:c>
      <x:c r="C538" s="108" t="n">
        <x:v>21</x:v>
      </x:c>
      <x:c r="D538" s="86" t="str">
        <x:v>Z05</x:v>
      </x:c>
      <x:c r="E538" s="86" t="str">
        <x:v>full</x:v>
      </x:c>
      <x:c r="F538" s="86" t="str">
        <x:v>L1</x:v>
      </x:c>
      <x:c r="G538" s="86" t="str">
        <x:v>MOL condensate-CAL-1</x:v>
      </x:c>
      <x:c r="H538" s="86" t="str">
        <x:v>T1</x:v>
      </x:c>
      <x:c r="I538" s="91" t="str">
        <x:v>OPEN</x:v>
      </x:c>
    </x:row>
    <x:row r="539">
      <x:c r="A539" s="86" t="str">
        <x:v>CH-0534</x:v>
      </x:c>
      <x:c r="B539" s="86" t="str">
        <x:v>MOL condensate</x:v>
      </x:c>
      <x:c r="C539" s="108" t="n">
        <x:v>22</x:v>
      </x:c>
      <x:c r="D539" s="86" t="str">
        <x:v>Z06</x:v>
      </x:c>
      <x:c r="E539" s="86" t="str">
        <x:v>full</x:v>
      </x:c>
      <x:c r="F539" s="86" t="str">
        <x:v>L2</x:v>
      </x:c>
      <x:c r="G539" s="86" t="str">
        <x:v>MOL condensate-CAL-2</x:v>
      </x:c>
      <x:c r="H539" s="86" t="str">
        <x:v>T2</x:v>
      </x:c>
      <x:c r="I539" s="91" t="str">
        <x:v>OPEN</x:v>
      </x:c>
    </x:row>
    <x:row r="540">
      <x:c r="A540" s="86" t="str">
        <x:v>CH-0535</x:v>
      </x:c>
      <x:c r="B540" s="86" t="str">
        <x:v>MOL condensate</x:v>
      </x:c>
      <x:c r="C540" s="108" t="n">
        <x:v>23</x:v>
      </x:c>
      <x:c r="D540" s="86" t="str">
        <x:v>Z07</x:v>
      </x:c>
      <x:c r="E540" s="86" t="str">
        <x:v>full</x:v>
      </x:c>
      <x:c r="F540" s="86" t="str">
        <x:v>L3</x:v>
      </x:c>
      <x:c r="G540" s="86" t="str">
        <x:v>MOL condensate-CAL-3</x:v>
      </x:c>
      <x:c r="H540" s="86" t="str">
        <x:v>T3</x:v>
      </x:c>
      <x:c r="I540" s="91" t="str">
        <x:v>OPEN</x:v>
      </x:c>
    </x:row>
    <x:row r="541">
      <x:c r="A541" s="86" t="str">
        <x:v>CH-0536</x:v>
      </x:c>
      <x:c r="B541" s="86" t="str">
        <x:v>MOL condensate</x:v>
      </x:c>
      <x:c r="C541" s="108" t="n">
        <x:v>24</x:v>
      </x:c>
      <x:c r="D541" s="86" t="str">
        <x:v>Z08</x:v>
      </x:c>
      <x:c r="E541" s="86" t="str">
        <x:v>full</x:v>
      </x:c>
      <x:c r="F541" s="86" t="str">
        <x:v>L4</x:v>
      </x:c>
      <x:c r="G541" s="86" t="str">
        <x:v>MOL condensate-CAL-4</x:v>
      </x:c>
      <x:c r="H541" s="86" t="str">
        <x:v>T4</x:v>
      </x:c>
      <x:c r="I541" s="91" t="str">
        <x:v>OPEN</x:v>
      </x:c>
    </x:row>
    <x:row r="542">
      <x:c r="A542" s="86" t="str">
        <x:v>CH-0537</x:v>
      </x:c>
      <x:c r="B542" s="86" t="str">
        <x:v>MOL condensate</x:v>
      </x:c>
      <x:c r="C542" s="108" t="n">
        <x:v>25</x:v>
      </x:c>
      <x:c r="D542" s="86" t="str">
        <x:v>Z09</x:v>
      </x:c>
      <x:c r="E542" s="86" t="str">
        <x:v>full</x:v>
      </x:c>
      <x:c r="F542" s="86" t="str">
        <x:v>L1</x:v>
      </x:c>
      <x:c r="G542" s="86" t="str">
        <x:v>MOL condensate-CAL-1</x:v>
      </x:c>
      <x:c r="H542" s="86" t="str">
        <x:v>T1</x:v>
      </x:c>
      <x:c r="I542" s="91" t="str">
        <x:v>OPEN</x:v>
      </x:c>
    </x:row>
    <x:row r="543">
      <x:c r="A543" s="86" t="str">
        <x:v>CH-0538</x:v>
      </x:c>
      <x:c r="B543" s="86" t="str">
        <x:v>MOL condensate</x:v>
      </x:c>
      <x:c r="C543" s="108" t="n">
        <x:v>26</x:v>
      </x:c>
      <x:c r="D543" s="86" t="str">
        <x:v>Z10</x:v>
      </x:c>
      <x:c r="E543" s="86" t="str">
        <x:v>full</x:v>
      </x:c>
      <x:c r="F543" s="86" t="str">
        <x:v>L2</x:v>
      </x:c>
      <x:c r="G543" s="86" t="str">
        <x:v>MOL condensate-CAL-2</x:v>
      </x:c>
      <x:c r="H543" s="86" t="str">
        <x:v>T2</x:v>
      </x:c>
      <x:c r="I543" s="91" t="str">
        <x:v>OPEN</x:v>
      </x:c>
    </x:row>
    <x:row r="544">
      <x:c r="A544" s="86" t="str">
        <x:v>CH-0539</x:v>
      </x:c>
      <x:c r="B544" s="86" t="str">
        <x:v>MOL condensate</x:v>
      </x:c>
      <x:c r="C544" s="108" t="n">
        <x:v>27</x:v>
      </x:c>
      <x:c r="D544" s="86" t="str">
        <x:v>Z11</x:v>
      </x:c>
      <x:c r="E544" s="86" t="str">
        <x:v>full</x:v>
      </x:c>
      <x:c r="F544" s="86" t="str">
        <x:v>L3</x:v>
      </x:c>
      <x:c r="G544" s="86" t="str">
        <x:v>MOL condensate-CAL-3</x:v>
      </x:c>
      <x:c r="H544" s="86" t="str">
        <x:v>T3</x:v>
      </x:c>
      <x:c r="I544" s="91" t="str">
        <x:v>OPEN</x:v>
      </x:c>
    </x:row>
    <x:row r="545">
      <x:c r="A545" s="86" t="str">
        <x:v>CH-0540</x:v>
      </x:c>
      <x:c r="B545" s="86" t="str">
        <x:v>MOL condensate</x:v>
      </x:c>
      <x:c r="C545" s="108" t="n">
        <x:v>28</x:v>
      </x:c>
      <x:c r="D545" s="86" t="str">
        <x:v>Z12</x:v>
      </x:c>
      <x:c r="E545" s="86" t="str">
        <x:v>full</x:v>
      </x:c>
      <x:c r="F545" s="86" t="str">
        <x:v>L4</x:v>
      </x:c>
      <x:c r="G545" s="86" t="str">
        <x:v>MOL condensate-CAL-4</x:v>
      </x:c>
      <x:c r="H545" s="86" t="str">
        <x:v>T4</x:v>
      </x:c>
      <x:c r="I545" s="91" t="str">
        <x:v>OPEN</x:v>
      </x:c>
    </x:row>
    <x:row r="546">
      <x:c r="A546" s="86" t="str">
        <x:v>CH-0541</x:v>
      </x:c>
      <x:c r="B546" s="86" t="str">
        <x:v>MOL condensate</x:v>
      </x:c>
      <x:c r="C546" s="108" t="n">
        <x:v>29</x:v>
      </x:c>
      <x:c r="D546" s="86" t="str">
        <x:v>Z13</x:v>
      </x:c>
      <x:c r="E546" s="86" t="str">
        <x:v>full</x:v>
      </x:c>
      <x:c r="F546" s="86" t="str">
        <x:v>L1</x:v>
      </x:c>
      <x:c r="G546" s="86" t="str">
        <x:v>MOL condensate-CAL-1</x:v>
      </x:c>
      <x:c r="H546" s="86" t="str">
        <x:v>T1</x:v>
      </x:c>
      <x:c r="I546" s="91" t="str">
        <x:v>OPEN</x:v>
      </x:c>
    </x:row>
    <x:row r="547">
      <x:c r="A547" s="86" t="str">
        <x:v>CH-0542</x:v>
      </x:c>
      <x:c r="B547" s="86" t="str">
        <x:v>MOL condensate</x:v>
      </x:c>
      <x:c r="C547" s="108" t="n">
        <x:v>30</x:v>
      </x:c>
      <x:c r="D547" s="86" t="str">
        <x:v>Z14</x:v>
      </x:c>
      <x:c r="E547" s="86" t="str">
        <x:v>full</x:v>
      </x:c>
      <x:c r="F547" s="86" t="str">
        <x:v>L2</x:v>
      </x:c>
      <x:c r="G547" s="86" t="str">
        <x:v>MOL condensate-CAL-2</x:v>
      </x:c>
      <x:c r="H547" s="86" t="str">
        <x:v>T2</x:v>
      </x:c>
      <x:c r="I547" s="91" t="str">
        <x:v>OPEN</x:v>
      </x:c>
    </x:row>
    <x:row r="548">
      <x:c r="A548" s="86" t="str">
        <x:v>CH-0543</x:v>
      </x:c>
      <x:c r="B548" s="86" t="str">
        <x:v>MOL condensate</x:v>
      </x:c>
      <x:c r="C548" s="108" t="n">
        <x:v>31</x:v>
      </x:c>
      <x:c r="D548" s="86" t="str">
        <x:v>Z15</x:v>
      </x:c>
      <x:c r="E548" s="86" t="str">
        <x:v>full</x:v>
      </x:c>
      <x:c r="F548" s="86" t="str">
        <x:v>L3</x:v>
      </x:c>
      <x:c r="G548" s="86" t="str">
        <x:v>MOL condensate-CAL-3</x:v>
      </x:c>
      <x:c r="H548" s="86" t="str">
        <x:v>T3</x:v>
      </x:c>
      <x:c r="I548" s="91" t="str">
        <x:v>OPEN</x:v>
      </x:c>
    </x:row>
    <x:row r="549">
      <x:c r="A549" s="86" t="str">
        <x:v>CH-0544</x:v>
      </x:c>
      <x:c r="B549" s="86" t="str">
        <x:v>MOL condensate</x:v>
      </x:c>
      <x:c r="C549" s="108" t="n">
        <x:v>32</x:v>
      </x:c>
      <x:c r="D549" s="86" t="str">
        <x:v>Z16</x:v>
      </x:c>
      <x:c r="E549" s="86" t="str">
        <x:v>full</x:v>
      </x:c>
      <x:c r="F549" s="86" t="str">
        <x:v>L4</x:v>
      </x:c>
      <x:c r="G549" s="86" t="str">
        <x:v>MOL condensate-CAL-4</x:v>
      </x:c>
      <x:c r="H549" s="86" t="str">
        <x:v>T4</x:v>
      </x:c>
      <x:c r="I549" s="91" t="str">
        <x:v>OPEN</x:v>
      </x:c>
    </x:row>
    <x:row r="550">
      <x:c r="A550" s="86" t="str">
        <x:v>CH-0545</x:v>
      </x:c>
      <x:c r="B550" s="86" t="str">
        <x:v>MOL condensate</x:v>
      </x:c>
      <x:c r="C550" s="108" t="n">
        <x:v>33</x:v>
      </x:c>
      <x:c r="D550" s="86" t="str">
        <x:v>Z01</x:v>
      </x:c>
      <x:c r="E550" s="86" t="str">
        <x:v>intermediate</x:v>
      </x:c>
      <x:c r="F550" s="86" t="str">
        <x:v>L1</x:v>
      </x:c>
      <x:c r="G550" s="86" t="str">
        <x:v>MOL condensate-CAL-1</x:v>
      </x:c>
      <x:c r="H550" s="86" t="str">
        <x:v>T1</x:v>
      </x:c>
      <x:c r="I550" s="91" t="str">
        <x:v>OPEN</x:v>
      </x:c>
    </x:row>
    <x:row r="551">
      <x:c r="A551" s="86" t="str">
        <x:v>CH-0546</x:v>
      </x:c>
      <x:c r="B551" s="86" t="str">
        <x:v>MOL condensate</x:v>
      </x:c>
      <x:c r="C551" s="108" t="n">
        <x:v>34</x:v>
      </x:c>
      <x:c r="D551" s="86" t="str">
        <x:v>Z02</x:v>
      </x:c>
      <x:c r="E551" s="86" t="str">
        <x:v>intermediate</x:v>
      </x:c>
      <x:c r="F551" s="86" t="str">
        <x:v>L2</x:v>
      </x:c>
      <x:c r="G551" s="86" t="str">
        <x:v>MOL condensate-CAL-2</x:v>
      </x:c>
      <x:c r="H551" s="86" t="str">
        <x:v>T2</x:v>
      </x:c>
      <x:c r="I551" s="91" t="str">
        <x:v>OPEN</x:v>
      </x:c>
    </x:row>
    <x:row r="552">
      <x:c r="A552" s="86" t="str">
        <x:v>CH-0547</x:v>
      </x:c>
      <x:c r="B552" s="86" t="str">
        <x:v>MOL condensate</x:v>
      </x:c>
      <x:c r="C552" s="108" t="n">
        <x:v>35</x:v>
      </x:c>
      <x:c r="D552" s="86" t="str">
        <x:v>Z03</x:v>
      </x:c>
      <x:c r="E552" s="86" t="str">
        <x:v>intermediate</x:v>
      </x:c>
      <x:c r="F552" s="86" t="str">
        <x:v>L3</x:v>
      </x:c>
      <x:c r="G552" s="86" t="str">
        <x:v>MOL condensate-CAL-3</x:v>
      </x:c>
      <x:c r="H552" s="86" t="str">
        <x:v>T3</x:v>
      </x:c>
      <x:c r="I552" s="91" t="str">
        <x:v>OPEN</x:v>
      </x:c>
    </x:row>
    <x:row r="553">
      <x:c r="A553" s="86" t="str">
        <x:v>CH-0548</x:v>
      </x:c>
      <x:c r="B553" s="86" t="str">
        <x:v>MOL condensate</x:v>
      </x:c>
      <x:c r="C553" s="108" t="n">
        <x:v>36</x:v>
      </x:c>
      <x:c r="D553" s="86" t="str">
        <x:v>Z04</x:v>
      </x:c>
      <x:c r="E553" s="86" t="str">
        <x:v>intermediate</x:v>
      </x:c>
      <x:c r="F553" s="86" t="str">
        <x:v>L4</x:v>
      </x:c>
      <x:c r="G553" s="86" t="str">
        <x:v>MOL condensate-CAL-4</x:v>
      </x:c>
      <x:c r="H553" s="86" t="str">
        <x:v>T4</x:v>
      </x:c>
      <x:c r="I553" s="91" t="str">
        <x:v>OPEN</x:v>
      </x:c>
    </x:row>
    <x:row r="554">
      <x:c r="A554" s="86" t="str">
        <x:v>CH-0549</x:v>
      </x:c>
      <x:c r="B554" s="86" t="str">
        <x:v>MOL condensate</x:v>
      </x:c>
      <x:c r="C554" s="108" t="n">
        <x:v>37</x:v>
      </x:c>
      <x:c r="D554" s="86" t="str">
        <x:v>Z05</x:v>
      </x:c>
      <x:c r="E554" s="86" t="str">
        <x:v>intermediate</x:v>
      </x:c>
      <x:c r="F554" s="86" t="str">
        <x:v>L1</x:v>
      </x:c>
      <x:c r="G554" s="86" t="str">
        <x:v>MOL condensate-CAL-1</x:v>
      </x:c>
      <x:c r="H554" s="86" t="str">
        <x:v>T1</x:v>
      </x:c>
      <x:c r="I554" s="91" t="str">
        <x:v>OPEN</x:v>
      </x:c>
    </x:row>
    <x:row r="555">
      <x:c r="A555" s="86" t="str">
        <x:v>CH-0550</x:v>
      </x:c>
      <x:c r="B555" s="86" t="str">
        <x:v>MOL condensate</x:v>
      </x:c>
      <x:c r="C555" s="108" t="n">
        <x:v>38</x:v>
      </x:c>
      <x:c r="D555" s="86" t="str">
        <x:v>Z06</x:v>
      </x:c>
      <x:c r="E555" s="86" t="str">
        <x:v>intermediate</x:v>
      </x:c>
      <x:c r="F555" s="86" t="str">
        <x:v>L2</x:v>
      </x:c>
      <x:c r="G555" s="86" t="str">
        <x:v>MOL condensate-CAL-2</x:v>
      </x:c>
      <x:c r="H555" s="86" t="str">
        <x:v>T2</x:v>
      </x:c>
      <x:c r="I555" s="91" t="str">
        <x:v>OPEN</x:v>
      </x:c>
    </x:row>
    <x:row r="556">
      <x:c r="A556" s="86" t="str">
        <x:v>CH-0551</x:v>
      </x:c>
      <x:c r="B556" s="86" t="str">
        <x:v>MOL condensate</x:v>
      </x:c>
      <x:c r="C556" s="108" t="n">
        <x:v>39</x:v>
      </x:c>
      <x:c r="D556" s="86" t="str">
        <x:v>Z07</x:v>
      </x:c>
      <x:c r="E556" s="86" t="str">
        <x:v>intermediate</x:v>
      </x:c>
      <x:c r="F556" s="86" t="str">
        <x:v>L3</x:v>
      </x:c>
      <x:c r="G556" s="86" t="str">
        <x:v>MOL condensate-CAL-3</x:v>
      </x:c>
      <x:c r="H556" s="86" t="str">
        <x:v>T3</x:v>
      </x:c>
      <x:c r="I556" s="91" t="str">
        <x:v>OPEN</x:v>
      </x:c>
    </x:row>
    <x:row r="557">
      <x:c r="A557" s="86" t="str">
        <x:v>CH-0552</x:v>
      </x:c>
      <x:c r="B557" s="86" t="str">
        <x:v>MOL condensate</x:v>
      </x:c>
      <x:c r="C557" s="108" t="n">
        <x:v>40</x:v>
      </x:c>
      <x:c r="D557" s="86" t="str">
        <x:v>Z08</x:v>
      </x:c>
      <x:c r="E557" s="86" t="str">
        <x:v>intermediate</x:v>
      </x:c>
      <x:c r="F557" s="86" t="str">
        <x:v>L4</x:v>
      </x:c>
      <x:c r="G557" s="86" t="str">
        <x:v>MOL condensate-CAL-4</x:v>
      </x:c>
      <x:c r="H557" s="86" t="str">
        <x:v>T4</x:v>
      </x:c>
      <x:c r="I557" s="91" t="str">
        <x:v>OPEN</x:v>
      </x:c>
    </x:row>
    <x:row r="558">
      <x:c r="A558" s="86" t="str">
        <x:v>CH-0553</x:v>
      </x:c>
      <x:c r="B558" s="86" t="str">
        <x:v>MOL condensate</x:v>
      </x:c>
      <x:c r="C558" s="108" t="n">
        <x:v>41</x:v>
      </x:c>
      <x:c r="D558" s="86" t="str">
        <x:v>Z09</x:v>
      </x:c>
      <x:c r="E558" s="86" t="str">
        <x:v>intermediate</x:v>
      </x:c>
      <x:c r="F558" s="86" t="str">
        <x:v>L1</x:v>
      </x:c>
      <x:c r="G558" s="86" t="str">
        <x:v>MOL condensate-CAL-1</x:v>
      </x:c>
      <x:c r="H558" s="86" t="str">
        <x:v>T1</x:v>
      </x:c>
      <x:c r="I558" s="91" t="str">
        <x:v>OPEN</x:v>
      </x:c>
    </x:row>
    <x:row r="559">
      <x:c r="A559" s="86" t="str">
        <x:v>CH-0554</x:v>
      </x:c>
      <x:c r="B559" s="86" t="str">
        <x:v>MOL condensate</x:v>
      </x:c>
      <x:c r="C559" s="108" t="n">
        <x:v>42</x:v>
      </x:c>
      <x:c r="D559" s="86" t="str">
        <x:v>Z10</x:v>
      </x:c>
      <x:c r="E559" s="86" t="str">
        <x:v>intermediate</x:v>
      </x:c>
      <x:c r="F559" s="86" t="str">
        <x:v>L2</x:v>
      </x:c>
      <x:c r="G559" s="86" t="str">
        <x:v>MOL condensate-CAL-2</x:v>
      </x:c>
      <x:c r="H559" s="86" t="str">
        <x:v>T2</x:v>
      </x:c>
      <x:c r="I559" s="91" t="str">
        <x:v>OPEN</x:v>
      </x:c>
    </x:row>
    <x:row r="560">
      <x:c r="A560" s="86" t="str">
        <x:v>CH-0555</x:v>
      </x:c>
      <x:c r="B560" s="86" t="str">
        <x:v>MOL condensate</x:v>
      </x:c>
      <x:c r="C560" s="108" t="n">
        <x:v>43</x:v>
      </x:c>
      <x:c r="D560" s="86" t="str">
        <x:v>Z11</x:v>
      </x:c>
      <x:c r="E560" s="86" t="str">
        <x:v>intermediate</x:v>
      </x:c>
      <x:c r="F560" s="86" t="str">
        <x:v>L3</x:v>
      </x:c>
      <x:c r="G560" s="86" t="str">
        <x:v>MOL condensate-CAL-3</x:v>
      </x:c>
      <x:c r="H560" s="86" t="str">
        <x:v>T3</x:v>
      </x:c>
      <x:c r="I560" s="91" t="str">
        <x:v>OPEN</x:v>
      </x:c>
    </x:row>
    <x:row r="561">
      <x:c r="A561" s="86" t="str">
        <x:v>CH-0556</x:v>
      </x:c>
      <x:c r="B561" s="86" t="str">
        <x:v>MOL condensate</x:v>
      </x:c>
      <x:c r="C561" s="108" t="n">
        <x:v>44</x:v>
      </x:c>
      <x:c r="D561" s="86" t="str">
        <x:v>Z12</x:v>
      </x:c>
      <x:c r="E561" s="86" t="str">
        <x:v>intermediate</x:v>
      </x:c>
      <x:c r="F561" s="86" t="str">
        <x:v>L4</x:v>
      </x:c>
      <x:c r="G561" s="86" t="str">
        <x:v>MOL condensate-CAL-4</x:v>
      </x:c>
      <x:c r="H561" s="86" t="str">
        <x:v>T4</x:v>
      </x:c>
      <x:c r="I561" s="91" t="str">
        <x:v>OPEN</x:v>
      </x:c>
    </x:row>
    <x:row r="562">
      <x:c r="A562" s="86" t="str">
        <x:v>CH-0557</x:v>
      </x:c>
      <x:c r="B562" s="86" t="str">
        <x:v>MOL condensate</x:v>
      </x:c>
      <x:c r="C562" s="108" t="n">
        <x:v>45</x:v>
      </x:c>
      <x:c r="D562" s="86" t="str">
        <x:v>Z13</x:v>
      </x:c>
      <x:c r="E562" s="86" t="str">
        <x:v>intermediate</x:v>
      </x:c>
      <x:c r="F562" s="86" t="str">
        <x:v>L1</x:v>
      </x:c>
      <x:c r="G562" s="86" t="str">
        <x:v>MOL condensate-CAL-1</x:v>
      </x:c>
      <x:c r="H562" s="86" t="str">
        <x:v>T1</x:v>
      </x:c>
      <x:c r="I562" s="91" t="str">
        <x:v>OPEN</x:v>
      </x:c>
    </x:row>
    <x:row r="563">
      <x:c r="A563" s="86" t="str">
        <x:v>CH-0558</x:v>
      </x:c>
      <x:c r="B563" s="86" t="str">
        <x:v>MOL condensate</x:v>
      </x:c>
      <x:c r="C563" s="108" t="n">
        <x:v>46</x:v>
      </x:c>
      <x:c r="D563" s="86" t="str">
        <x:v>Z14</x:v>
      </x:c>
      <x:c r="E563" s="86" t="str">
        <x:v>intermediate</x:v>
      </x:c>
      <x:c r="F563" s="86" t="str">
        <x:v>L2</x:v>
      </x:c>
      <x:c r="G563" s="86" t="str">
        <x:v>MOL condensate-CAL-2</x:v>
      </x:c>
      <x:c r="H563" s="86" t="str">
        <x:v>T2</x:v>
      </x:c>
      <x:c r="I563" s="91" t="str">
        <x:v>OPEN</x:v>
      </x:c>
    </x:row>
    <x:row r="564">
      <x:c r="A564" s="86" t="str">
        <x:v>CH-0559</x:v>
      </x:c>
      <x:c r="B564" s="86" t="str">
        <x:v>MOL condensate</x:v>
      </x:c>
      <x:c r="C564" s="108" t="n">
        <x:v>47</x:v>
      </x:c>
      <x:c r="D564" s="86" t="str">
        <x:v>Z15</x:v>
      </x:c>
      <x:c r="E564" s="86" t="str">
        <x:v>intermediate</x:v>
      </x:c>
      <x:c r="F564" s="86" t="str">
        <x:v>L3</x:v>
      </x:c>
      <x:c r="G564" s="86" t="str">
        <x:v>MOL condensate-CAL-3</x:v>
      </x:c>
      <x:c r="H564" s="86" t="str">
        <x:v>T3</x:v>
      </x:c>
      <x:c r="I564" s="91" t="str">
        <x:v>OPEN</x:v>
      </x:c>
    </x:row>
    <x:row r="565">
      <x:c r="A565" s="86" t="str">
        <x:v>CH-0560</x:v>
      </x:c>
      <x:c r="B565" s="86" t="str">
        <x:v>MOL condensate</x:v>
      </x:c>
      <x:c r="C565" s="108" t="n">
        <x:v>48</x:v>
      </x:c>
      <x:c r="D565" s="86" t="str">
        <x:v>Z16</x:v>
      </x:c>
      <x:c r="E565" s="86" t="str">
        <x:v>intermediate</x:v>
      </x:c>
      <x:c r="F565" s="86" t="str">
        <x:v>L4</x:v>
      </x:c>
      <x:c r="G565" s="86" t="str">
        <x:v>MOL condensate-CAL-4</x:v>
      </x:c>
      <x:c r="H565" s="86" t="str">
        <x:v>T4</x:v>
      </x:c>
      <x:c r="I565" s="91" t="str">
        <x:v>OPEN</x:v>
      </x:c>
    </x:row>
    <x:row r="566">
      <x:c r="A566" s="86" t="str">
        <x:v>CH-0561</x:v>
      </x:c>
      <x:c r="B566" s="86" t="str">
        <x:v>MOL condensate</x:v>
      </x:c>
      <x:c r="C566" s="108" t="n">
        <x:v>49</x:v>
      </x:c>
      <x:c r="D566" s="86" t="str">
        <x:v>Z01</x:v>
      </x:c>
      <x:c r="E566" s="86" t="str">
        <x:v>return</x:v>
      </x:c>
      <x:c r="F566" s="86" t="str">
        <x:v>L1</x:v>
      </x:c>
      <x:c r="G566" s="86" t="str">
        <x:v>MOL condensate-CAL-1</x:v>
      </x:c>
      <x:c r="H566" s="86" t="str">
        <x:v>T1</x:v>
      </x:c>
      <x:c r="I566" s="91" t="str">
        <x:v>OPEN</x:v>
      </x:c>
    </x:row>
    <x:row r="567">
      <x:c r="A567" s="86" t="str">
        <x:v>CH-0562</x:v>
      </x:c>
      <x:c r="B567" s="86" t="str">
        <x:v>MOL condensate</x:v>
      </x:c>
      <x:c r="C567" s="108" t="n">
        <x:v>50</x:v>
      </x:c>
      <x:c r="D567" s="86" t="str">
        <x:v>Z02</x:v>
      </x:c>
      <x:c r="E567" s="86" t="str">
        <x:v>return</x:v>
      </x:c>
      <x:c r="F567" s="86" t="str">
        <x:v>L2</x:v>
      </x:c>
      <x:c r="G567" s="86" t="str">
        <x:v>MOL condensate-CAL-2</x:v>
      </x:c>
      <x:c r="H567" s="86" t="str">
        <x:v>T2</x:v>
      </x:c>
      <x:c r="I567" s="91" t="str">
        <x:v>OPEN</x:v>
      </x:c>
    </x:row>
    <x:row r="568">
      <x:c r="A568" s="86" t="str">
        <x:v>CH-0563</x:v>
      </x:c>
      <x:c r="B568" s="86" t="str">
        <x:v>MOL condensate</x:v>
      </x:c>
      <x:c r="C568" s="108" t="n">
        <x:v>51</x:v>
      </x:c>
      <x:c r="D568" s="86" t="str">
        <x:v>Z03</x:v>
      </x:c>
      <x:c r="E568" s="86" t="str">
        <x:v>return</x:v>
      </x:c>
      <x:c r="F568" s="86" t="str">
        <x:v>L3</x:v>
      </x:c>
      <x:c r="G568" s="86" t="str">
        <x:v>MOL condensate-CAL-3</x:v>
      </x:c>
      <x:c r="H568" s="86" t="str">
        <x:v>T3</x:v>
      </x:c>
      <x:c r="I568" s="91" t="str">
        <x:v>OPEN</x:v>
      </x:c>
    </x:row>
    <x:row r="569">
      <x:c r="A569" s="86" t="str">
        <x:v>CH-0564</x:v>
      </x:c>
      <x:c r="B569" s="86" t="str">
        <x:v>MOL condensate</x:v>
      </x:c>
      <x:c r="C569" s="108" t="n">
        <x:v>52</x:v>
      </x:c>
      <x:c r="D569" s="86" t="str">
        <x:v>Z04</x:v>
      </x:c>
      <x:c r="E569" s="86" t="str">
        <x:v>return</x:v>
      </x:c>
      <x:c r="F569" s="86" t="str">
        <x:v>L4</x:v>
      </x:c>
      <x:c r="G569" s="86" t="str">
        <x:v>MOL condensate-CAL-4</x:v>
      </x:c>
      <x:c r="H569" s="86" t="str">
        <x:v>T4</x:v>
      </x:c>
      <x:c r="I569" s="91" t="str">
        <x:v>OPEN</x:v>
      </x:c>
    </x:row>
    <x:row r="570">
      <x:c r="A570" s="86" t="str">
        <x:v>CH-0565</x:v>
      </x:c>
      <x:c r="B570" s="86" t="str">
        <x:v>MOL condensate</x:v>
      </x:c>
      <x:c r="C570" s="108" t="n">
        <x:v>53</x:v>
      </x:c>
      <x:c r="D570" s="86" t="str">
        <x:v>Z05</x:v>
      </x:c>
      <x:c r="E570" s="86" t="str">
        <x:v>return</x:v>
      </x:c>
      <x:c r="F570" s="86" t="str">
        <x:v>L1</x:v>
      </x:c>
      <x:c r="G570" s="86" t="str">
        <x:v>MOL condensate-CAL-1</x:v>
      </x:c>
      <x:c r="H570" s="86" t="str">
        <x:v>T1</x:v>
      </x:c>
      <x:c r="I570" s="91" t="str">
        <x:v>OPEN</x:v>
      </x:c>
    </x:row>
    <x:row r="571">
      <x:c r="A571" s="86" t="str">
        <x:v>CH-0566</x:v>
      </x:c>
      <x:c r="B571" s="86" t="str">
        <x:v>MOL condensate</x:v>
      </x:c>
      <x:c r="C571" s="108" t="n">
        <x:v>54</x:v>
      </x:c>
      <x:c r="D571" s="86" t="str">
        <x:v>Z06</x:v>
      </x:c>
      <x:c r="E571" s="86" t="str">
        <x:v>return</x:v>
      </x:c>
      <x:c r="F571" s="86" t="str">
        <x:v>L2</x:v>
      </x:c>
      <x:c r="G571" s="86" t="str">
        <x:v>MOL condensate-CAL-2</x:v>
      </x:c>
      <x:c r="H571" s="86" t="str">
        <x:v>T2</x:v>
      </x:c>
      <x:c r="I571" s="91" t="str">
        <x:v>OPEN</x:v>
      </x:c>
    </x:row>
    <x:row r="572">
      <x:c r="A572" s="86" t="str">
        <x:v>CH-0567</x:v>
      </x:c>
      <x:c r="B572" s="86" t="str">
        <x:v>MOL condensate</x:v>
      </x:c>
      <x:c r="C572" s="108" t="n">
        <x:v>55</x:v>
      </x:c>
      <x:c r="D572" s="86" t="str">
        <x:v>Z07</x:v>
      </x:c>
      <x:c r="E572" s="86" t="str">
        <x:v>return</x:v>
      </x:c>
      <x:c r="F572" s="86" t="str">
        <x:v>L3</x:v>
      </x:c>
      <x:c r="G572" s="86" t="str">
        <x:v>MOL condensate-CAL-3</x:v>
      </x:c>
      <x:c r="H572" s="86" t="str">
        <x:v>T3</x:v>
      </x:c>
      <x:c r="I572" s="91" t="str">
        <x:v>OPEN</x:v>
      </x:c>
    </x:row>
    <x:row r="573">
      <x:c r="A573" s="86" t="str">
        <x:v>CH-0568</x:v>
      </x:c>
      <x:c r="B573" s="86" t="str">
        <x:v>MOL condensate</x:v>
      </x:c>
      <x:c r="C573" s="108" t="n">
        <x:v>56</x:v>
      </x:c>
      <x:c r="D573" s="86" t="str">
        <x:v>Z08</x:v>
      </x:c>
      <x:c r="E573" s="86" t="str">
        <x:v>return</x:v>
      </x:c>
      <x:c r="F573" s="86" t="str">
        <x:v>L4</x:v>
      </x:c>
      <x:c r="G573" s="86" t="str">
        <x:v>MOL condensate-CAL-4</x:v>
      </x:c>
      <x:c r="H573" s="86" t="str">
        <x:v>T4</x:v>
      </x:c>
      <x:c r="I573" s="91" t="str">
        <x:v>OPEN</x:v>
      </x:c>
    </x:row>
    <x:row r="574">
      <x:c r="A574" s="86" t="str">
        <x:v>CH-0569</x:v>
      </x:c>
      <x:c r="B574" s="86" t="str">
        <x:v>MOL condensate</x:v>
      </x:c>
      <x:c r="C574" s="108" t="n">
        <x:v>57</x:v>
      </x:c>
      <x:c r="D574" s="86" t="str">
        <x:v>Z09</x:v>
      </x:c>
      <x:c r="E574" s="86" t="str">
        <x:v>return</x:v>
      </x:c>
      <x:c r="F574" s="86" t="str">
        <x:v>L1</x:v>
      </x:c>
      <x:c r="G574" s="86" t="str">
        <x:v>MOL condensate-CAL-1</x:v>
      </x:c>
      <x:c r="H574" s="86" t="str">
        <x:v>T1</x:v>
      </x:c>
      <x:c r="I574" s="91" t="str">
        <x:v>OPEN</x:v>
      </x:c>
    </x:row>
    <x:row r="575">
      <x:c r="A575" s="86" t="str">
        <x:v>CH-0570</x:v>
      </x:c>
      <x:c r="B575" s="86" t="str">
        <x:v>MOL condensate</x:v>
      </x:c>
      <x:c r="C575" s="108" t="n">
        <x:v>58</x:v>
      </x:c>
      <x:c r="D575" s="86" t="str">
        <x:v>Z10</x:v>
      </x:c>
      <x:c r="E575" s="86" t="str">
        <x:v>return</x:v>
      </x:c>
      <x:c r="F575" s="86" t="str">
        <x:v>L2</x:v>
      </x:c>
      <x:c r="G575" s="86" t="str">
        <x:v>MOL condensate-CAL-2</x:v>
      </x:c>
      <x:c r="H575" s="86" t="str">
        <x:v>T2</x:v>
      </x:c>
      <x:c r="I575" s="91" t="str">
        <x:v>OPEN</x:v>
      </x:c>
    </x:row>
    <x:row r="576">
      <x:c r="A576" s="86" t="str">
        <x:v>CH-0571</x:v>
      </x:c>
      <x:c r="B576" s="86" t="str">
        <x:v>MOL condensate</x:v>
      </x:c>
      <x:c r="C576" s="108" t="n">
        <x:v>59</x:v>
      </x:c>
      <x:c r="D576" s="86" t="str">
        <x:v>Z11</x:v>
      </x:c>
      <x:c r="E576" s="86" t="str">
        <x:v>return</x:v>
      </x:c>
      <x:c r="F576" s="86" t="str">
        <x:v>L3</x:v>
      </x:c>
      <x:c r="G576" s="86" t="str">
        <x:v>MOL condensate-CAL-3</x:v>
      </x:c>
      <x:c r="H576" s="86" t="str">
        <x:v>T3</x:v>
      </x:c>
      <x:c r="I576" s="91" t="str">
        <x:v>OPEN</x:v>
      </x:c>
    </x:row>
    <x:row r="577">
      <x:c r="A577" s="86" t="str">
        <x:v>CH-0572</x:v>
      </x:c>
      <x:c r="B577" s="86" t="str">
        <x:v>MOL condensate</x:v>
      </x:c>
      <x:c r="C577" s="108" t="n">
        <x:v>60</x:v>
      </x:c>
      <x:c r="D577" s="86" t="str">
        <x:v>Z12</x:v>
      </x:c>
      <x:c r="E577" s="86" t="str">
        <x:v>return</x:v>
      </x:c>
      <x:c r="F577" s="86" t="str">
        <x:v>L4</x:v>
      </x:c>
      <x:c r="G577" s="86" t="str">
        <x:v>MOL condensate-CAL-4</x:v>
      </x:c>
      <x:c r="H577" s="86" t="str">
        <x:v>T4</x:v>
      </x:c>
      <x:c r="I577" s="91" t="str">
        <x:v>OPEN</x:v>
      </x:c>
    </x:row>
    <x:row r="578">
      <x:c r="A578" s="86" t="str">
        <x:v>CH-0573</x:v>
      </x:c>
      <x:c r="B578" s="86" t="str">
        <x:v>MOL condensate</x:v>
      </x:c>
      <x:c r="C578" s="108" t="n">
        <x:v>61</x:v>
      </x:c>
      <x:c r="D578" s="86" t="str">
        <x:v>Z13</x:v>
      </x:c>
      <x:c r="E578" s="86" t="str">
        <x:v>return</x:v>
      </x:c>
      <x:c r="F578" s="86" t="str">
        <x:v>L1</x:v>
      </x:c>
      <x:c r="G578" s="86" t="str">
        <x:v>MOL condensate-CAL-1</x:v>
      </x:c>
      <x:c r="H578" s="86" t="str">
        <x:v>T1</x:v>
      </x:c>
      <x:c r="I578" s="91" t="str">
        <x:v>OPEN</x:v>
      </x:c>
    </x:row>
    <x:row r="579">
      <x:c r="A579" s="86" t="str">
        <x:v>CH-0574</x:v>
      </x:c>
      <x:c r="B579" s="86" t="str">
        <x:v>MOL condensate</x:v>
      </x:c>
      <x:c r="C579" s="108" t="n">
        <x:v>62</x:v>
      </x:c>
      <x:c r="D579" s="86" t="str">
        <x:v>Z14</x:v>
      </x:c>
      <x:c r="E579" s="86" t="str">
        <x:v>return</x:v>
      </x:c>
      <x:c r="F579" s="86" t="str">
        <x:v>L2</x:v>
      </x:c>
      <x:c r="G579" s="86" t="str">
        <x:v>MOL condensate-CAL-2</x:v>
      </x:c>
      <x:c r="H579" s="86" t="str">
        <x:v>T2</x:v>
      </x:c>
      <x:c r="I579" s="91" t="str">
        <x:v>OPEN</x:v>
      </x:c>
    </x:row>
    <x:row r="580">
      <x:c r="A580" s="86" t="str">
        <x:v>CH-0575</x:v>
      </x:c>
      <x:c r="B580" s="86" t="str">
        <x:v>MOL condensate</x:v>
      </x:c>
      <x:c r="C580" s="108" t="n">
        <x:v>63</x:v>
      </x:c>
      <x:c r="D580" s="86" t="str">
        <x:v>Z15</x:v>
      </x:c>
      <x:c r="E580" s="86" t="str">
        <x:v>return</x:v>
      </x:c>
      <x:c r="F580" s="86" t="str">
        <x:v>L3</x:v>
      </x:c>
      <x:c r="G580" s="86" t="str">
        <x:v>MOL condensate-CAL-3</x:v>
      </x:c>
      <x:c r="H580" s="86" t="str">
        <x:v>T3</x:v>
      </x:c>
      <x:c r="I580" s="91" t="str">
        <x:v>OPEN</x:v>
      </x:c>
    </x:row>
    <x:row r="581">
      <x:c r="A581" s="86" t="str">
        <x:v>CH-0576</x:v>
      </x:c>
      <x:c r="B581" s="86" t="str">
        <x:v>MOL condensate</x:v>
      </x:c>
      <x:c r="C581" s="108" t="n">
        <x:v>64</x:v>
      </x:c>
      <x:c r="D581" s="86" t="str">
        <x:v>Z16</x:v>
      </x:c>
      <x:c r="E581" s="86" t="str">
        <x:v>return</x:v>
      </x:c>
      <x:c r="F581" s="86" t="str">
        <x:v>L4</x:v>
      </x:c>
      <x:c r="G581" s="86" t="str">
        <x:v>MOL condensate-CAL-4</x:v>
      </x:c>
      <x:c r="H581" s="86" t="str">
        <x:v>T4</x:v>
      </x:c>
      <x:c r="I581" s="91" t="str">
        <x:v>OPEN</x:v>
      </x:c>
    </x:row>
    <x:row r="582">
      <x:c r="A582" s="86" t="str">
        <x:v>CH-0577</x:v>
      </x:c>
      <x:c r="B582" s="86" t="str">
        <x:v>MOL residue</x:v>
      </x:c>
      <x:c r="C582" s="108" t="n">
        <x:v>1</x:v>
      </x:c>
      <x:c r="D582" s="86" t="str">
        <x:v>Z01</x:v>
      </x:c>
      <x:c r="E582" s="86" t="str">
        <x:v>full</x:v>
      </x:c>
      <x:c r="F582" s="86" t="str">
        <x:v>L1</x:v>
      </x:c>
      <x:c r="G582" s="86" t="str">
        <x:v>MOL residue-CAL-1</x:v>
      </x:c>
      <x:c r="H582" s="86" t="str">
        <x:v>T1</x:v>
      </x:c>
      <x:c r="I582" s="91" t="str">
        <x:v>OPEN</x:v>
      </x:c>
    </x:row>
    <x:row r="583">
      <x:c r="A583" s="86" t="str">
        <x:v>CH-0578</x:v>
      </x:c>
      <x:c r="B583" s="86" t="str">
        <x:v>MOL residue</x:v>
      </x:c>
      <x:c r="C583" s="108" t="n">
        <x:v>2</x:v>
      </x:c>
      <x:c r="D583" s="86" t="str">
        <x:v>Z02</x:v>
      </x:c>
      <x:c r="E583" s="86" t="str">
        <x:v>full</x:v>
      </x:c>
      <x:c r="F583" s="86" t="str">
        <x:v>L2</x:v>
      </x:c>
      <x:c r="G583" s="86" t="str">
        <x:v>MOL residue-CAL-2</x:v>
      </x:c>
      <x:c r="H583" s="86" t="str">
        <x:v>T2</x:v>
      </x:c>
      <x:c r="I583" s="91" t="str">
        <x:v>OPEN</x:v>
      </x:c>
    </x:row>
    <x:row r="584">
      <x:c r="A584" s="86" t="str">
        <x:v>CH-0579</x:v>
      </x:c>
      <x:c r="B584" s="86" t="str">
        <x:v>MOL residue</x:v>
      </x:c>
      <x:c r="C584" s="108" t="n">
        <x:v>3</x:v>
      </x:c>
      <x:c r="D584" s="86" t="str">
        <x:v>Z03</x:v>
      </x:c>
      <x:c r="E584" s="86" t="str">
        <x:v>full</x:v>
      </x:c>
      <x:c r="F584" s="86" t="str">
        <x:v>L3</x:v>
      </x:c>
      <x:c r="G584" s="86" t="str">
        <x:v>MOL residue-CAL-3</x:v>
      </x:c>
      <x:c r="H584" s="86" t="str">
        <x:v>T3</x:v>
      </x:c>
      <x:c r="I584" s="91" t="str">
        <x:v>OPEN</x:v>
      </x:c>
    </x:row>
    <x:row r="585">
      <x:c r="A585" s="86" t="str">
        <x:v>CH-0580</x:v>
      </x:c>
      <x:c r="B585" s="86" t="str">
        <x:v>MOL residue</x:v>
      </x:c>
      <x:c r="C585" s="108" t="n">
        <x:v>4</x:v>
      </x:c>
      <x:c r="D585" s="86" t="str">
        <x:v>Z04</x:v>
      </x:c>
      <x:c r="E585" s="86" t="str">
        <x:v>full</x:v>
      </x:c>
      <x:c r="F585" s="86" t="str">
        <x:v>L4</x:v>
      </x:c>
      <x:c r="G585" s="86" t="str">
        <x:v>MOL residue-CAL-4</x:v>
      </x:c>
      <x:c r="H585" s="86" t="str">
        <x:v>T4</x:v>
      </x:c>
      <x:c r="I585" s="91" t="str">
        <x:v>OPEN</x:v>
      </x:c>
    </x:row>
    <x:row r="586">
      <x:c r="A586" s="86" t="str">
        <x:v>CH-0581</x:v>
      </x:c>
      <x:c r="B586" s="86" t="str">
        <x:v>MOL residue</x:v>
      </x:c>
      <x:c r="C586" s="108" t="n">
        <x:v>5</x:v>
      </x:c>
      <x:c r="D586" s="86" t="str">
        <x:v>Z05</x:v>
      </x:c>
      <x:c r="E586" s="86" t="str">
        <x:v>full</x:v>
      </x:c>
      <x:c r="F586" s="86" t="str">
        <x:v>L1</x:v>
      </x:c>
      <x:c r="G586" s="86" t="str">
        <x:v>MOL residue-CAL-1</x:v>
      </x:c>
      <x:c r="H586" s="86" t="str">
        <x:v>T1</x:v>
      </x:c>
      <x:c r="I586" s="91" t="str">
        <x:v>OPEN</x:v>
      </x:c>
    </x:row>
    <x:row r="587">
      <x:c r="A587" s="86" t="str">
        <x:v>CH-0582</x:v>
      </x:c>
      <x:c r="B587" s="86" t="str">
        <x:v>MOL residue</x:v>
      </x:c>
      <x:c r="C587" s="108" t="n">
        <x:v>6</x:v>
      </x:c>
      <x:c r="D587" s="86" t="str">
        <x:v>Z06</x:v>
      </x:c>
      <x:c r="E587" s="86" t="str">
        <x:v>full</x:v>
      </x:c>
      <x:c r="F587" s="86" t="str">
        <x:v>L2</x:v>
      </x:c>
      <x:c r="G587" s="86" t="str">
        <x:v>MOL residue-CAL-2</x:v>
      </x:c>
      <x:c r="H587" s="86" t="str">
        <x:v>T2</x:v>
      </x:c>
      <x:c r="I587" s="91" t="str">
        <x:v>OPEN</x:v>
      </x:c>
    </x:row>
    <x:row r="588">
      <x:c r="A588" s="86" t="str">
        <x:v>CH-0583</x:v>
      </x:c>
      <x:c r="B588" s="86" t="str">
        <x:v>MOL residue</x:v>
      </x:c>
      <x:c r="C588" s="108" t="n">
        <x:v>7</x:v>
      </x:c>
      <x:c r="D588" s="86" t="str">
        <x:v>Z07</x:v>
      </x:c>
      <x:c r="E588" s="86" t="str">
        <x:v>full</x:v>
      </x:c>
      <x:c r="F588" s="86" t="str">
        <x:v>L3</x:v>
      </x:c>
      <x:c r="G588" s="86" t="str">
        <x:v>MOL residue-CAL-3</x:v>
      </x:c>
      <x:c r="H588" s="86" t="str">
        <x:v>T3</x:v>
      </x:c>
      <x:c r="I588" s="91" t="str">
        <x:v>OPEN</x:v>
      </x:c>
    </x:row>
    <x:row r="589">
      <x:c r="A589" s="86" t="str">
        <x:v>CH-0584</x:v>
      </x:c>
      <x:c r="B589" s="86" t="str">
        <x:v>MOL residue</x:v>
      </x:c>
      <x:c r="C589" s="108" t="n">
        <x:v>8</x:v>
      </x:c>
      <x:c r="D589" s="86" t="str">
        <x:v>Z08</x:v>
      </x:c>
      <x:c r="E589" s="86" t="str">
        <x:v>full</x:v>
      </x:c>
      <x:c r="F589" s="86" t="str">
        <x:v>L4</x:v>
      </x:c>
      <x:c r="G589" s="86" t="str">
        <x:v>MOL residue-CAL-4</x:v>
      </x:c>
      <x:c r="H589" s="86" t="str">
        <x:v>T4</x:v>
      </x:c>
      <x:c r="I589" s="91" t="str">
        <x:v>OPEN</x:v>
      </x:c>
    </x:row>
    <x:row r="590">
      <x:c r="A590" s="86" t="str">
        <x:v>CH-0585</x:v>
      </x:c>
      <x:c r="B590" s="86" t="str">
        <x:v>MOL residue</x:v>
      </x:c>
      <x:c r="C590" s="108" t="n">
        <x:v>9</x:v>
      </x:c>
      <x:c r="D590" s="86" t="str">
        <x:v>Z09</x:v>
      </x:c>
      <x:c r="E590" s="86" t="str">
        <x:v>full</x:v>
      </x:c>
      <x:c r="F590" s="86" t="str">
        <x:v>L1</x:v>
      </x:c>
      <x:c r="G590" s="86" t="str">
        <x:v>MOL residue-CAL-1</x:v>
      </x:c>
      <x:c r="H590" s="86" t="str">
        <x:v>T1</x:v>
      </x:c>
      <x:c r="I590" s="91" t="str">
        <x:v>OPEN</x:v>
      </x:c>
    </x:row>
    <x:row r="591">
      <x:c r="A591" s="86" t="str">
        <x:v>CH-0586</x:v>
      </x:c>
      <x:c r="B591" s="86" t="str">
        <x:v>MOL residue</x:v>
      </x:c>
      <x:c r="C591" s="108" t="n">
        <x:v>10</x:v>
      </x:c>
      <x:c r="D591" s="86" t="str">
        <x:v>Z10</x:v>
      </x:c>
      <x:c r="E591" s="86" t="str">
        <x:v>full</x:v>
      </x:c>
      <x:c r="F591" s="86" t="str">
        <x:v>L2</x:v>
      </x:c>
      <x:c r="G591" s="86" t="str">
        <x:v>MOL residue-CAL-2</x:v>
      </x:c>
      <x:c r="H591" s="86" t="str">
        <x:v>T2</x:v>
      </x:c>
      <x:c r="I591" s="91" t="str">
        <x:v>OPEN</x:v>
      </x:c>
    </x:row>
    <x:row r="592">
      <x:c r="A592" s="86" t="str">
        <x:v>CH-0587</x:v>
      </x:c>
      <x:c r="B592" s="86" t="str">
        <x:v>MOL residue</x:v>
      </x:c>
      <x:c r="C592" s="108" t="n">
        <x:v>11</x:v>
      </x:c>
      <x:c r="D592" s="86" t="str">
        <x:v>Z11</x:v>
      </x:c>
      <x:c r="E592" s="86" t="str">
        <x:v>full</x:v>
      </x:c>
      <x:c r="F592" s="86" t="str">
        <x:v>L3</x:v>
      </x:c>
      <x:c r="G592" s="86" t="str">
        <x:v>MOL residue-CAL-3</x:v>
      </x:c>
      <x:c r="H592" s="86" t="str">
        <x:v>T3</x:v>
      </x:c>
      <x:c r="I592" s="91" t="str">
        <x:v>OPEN</x:v>
      </x:c>
    </x:row>
    <x:row r="593">
      <x:c r="A593" s="86" t="str">
        <x:v>CH-0588</x:v>
      </x:c>
      <x:c r="B593" s="86" t="str">
        <x:v>MOL residue</x:v>
      </x:c>
      <x:c r="C593" s="108" t="n">
        <x:v>12</x:v>
      </x:c>
      <x:c r="D593" s="86" t="str">
        <x:v>Z12</x:v>
      </x:c>
      <x:c r="E593" s="86" t="str">
        <x:v>full</x:v>
      </x:c>
      <x:c r="F593" s="86" t="str">
        <x:v>L4</x:v>
      </x:c>
      <x:c r="G593" s="86" t="str">
        <x:v>MOL residue-CAL-4</x:v>
      </x:c>
      <x:c r="H593" s="86" t="str">
        <x:v>T4</x:v>
      </x:c>
      <x:c r="I593" s="91" t="str">
        <x:v>OPEN</x:v>
      </x:c>
    </x:row>
    <x:row r="594">
      <x:c r="A594" s="86" t="str">
        <x:v>CH-0589</x:v>
      </x:c>
      <x:c r="B594" s="86" t="str">
        <x:v>MOL residue</x:v>
      </x:c>
      <x:c r="C594" s="108" t="n">
        <x:v>13</x:v>
      </x:c>
      <x:c r="D594" s="86" t="str">
        <x:v>Z13</x:v>
      </x:c>
      <x:c r="E594" s="86" t="str">
        <x:v>full</x:v>
      </x:c>
      <x:c r="F594" s="86" t="str">
        <x:v>L1</x:v>
      </x:c>
      <x:c r="G594" s="86" t="str">
        <x:v>MOL residue-CAL-1</x:v>
      </x:c>
      <x:c r="H594" s="86" t="str">
        <x:v>T1</x:v>
      </x:c>
      <x:c r="I594" s="91" t="str">
        <x:v>OPEN</x:v>
      </x:c>
    </x:row>
    <x:row r="595">
      <x:c r="A595" s="86" t="str">
        <x:v>CH-0590</x:v>
      </x:c>
      <x:c r="B595" s="86" t="str">
        <x:v>MOL residue</x:v>
      </x:c>
      <x:c r="C595" s="108" t="n">
        <x:v>14</x:v>
      </x:c>
      <x:c r="D595" s="86" t="str">
        <x:v>Z14</x:v>
      </x:c>
      <x:c r="E595" s="86" t="str">
        <x:v>full</x:v>
      </x:c>
      <x:c r="F595" s="86" t="str">
        <x:v>L2</x:v>
      </x:c>
      <x:c r="G595" s="86" t="str">
        <x:v>MOL residue-CAL-2</x:v>
      </x:c>
      <x:c r="H595" s="86" t="str">
        <x:v>T2</x:v>
      </x:c>
      <x:c r="I595" s="91" t="str">
        <x:v>OPEN</x:v>
      </x:c>
    </x:row>
    <x:row r="596">
      <x:c r="A596" s="86" t="str">
        <x:v>CH-0591</x:v>
      </x:c>
      <x:c r="B596" s="86" t="str">
        <x:v>MOL residue</x:v>
      </x:c>
      <x:c r="C596" s="108" t="n">
        <x:v>15</x:v>
      </x:c>
      <x:c r="D596" s="86" t="str">
        <x:v>Z15</x:v>
      </x:c>
      <x:c r="E596" s="86" t="str">
        <x:v>full</x:v>
      </x:c>
      <x:c r="F596" s="86" t="str">
        <x:v>L3</x:v>
      </x:c>
      <x:c r="G596" s="86" t="str">
        <x:v>MOL residue-CAL-3</x:v>
      </x:c>
      <x:c r="H596" s="86" t="str">
        <x:v>T3</x:v>
      </x:c>
      <x:c r="I596" s="91" t="str">
        <x:v>OPEN</x:v>
      </x:c>
    </x:row>
    <x:row r="597">
      <x:c r="A597" s="86" t="str">
        <x:v>CH-0592</x:v>
      </x:c>
      <x:c r="B597" s="86" t="str">
        <x:v>MOL residue</x:v>
      </x:c>
      <x:c r="C597" s="108" t="n">
        <x:v>16</x:v>
      </x:c>
      <x:c r="D597" s="86" t="str">
        <x:v>Z16</x:v>
      </x:c>
      <x:c r="E597" s="86" t="str">
        <x:v>full</x:v>
      </x:c>
      <x:c r="F597" s="86" t="str">
        <x:v>L4</x:v>
      </x:c>
      <x:c r="G597" s="86" t="str">
        <x:v>MOL residue-CAL-4</x:v>
      </x:c>
      <x:c r="H597" s="86" t="str">
        <x:v>T4</x:v>
      </x:c>
      <x:c r="I597" s="91" t="str">
        <x:v>OPEN</x:v>
      </x:c>
    </x:row>
    <x:row r="598">
      <x:c r="A598" s="86" t="str">
        <x:v>CH-0593</x:v>
      </x:c>
      <x:c r="B598" s="86" t="str">
        <x:v>MOL residue</x:v>
      </x:c>
      <x:c r="C598" s="108" t="n">
        <x:v>17</x:v>
      </x:c>
      <x:c r="D598" s="86" t="str">
        <x:v>Z01</x:v>
      </x:c>
      <x:c r="E598" s="86" t="str">
        <x:v>full</x:v>
      </x:c>
      <x:c r="F598" s="86" t="str">
        <x:v>L1</x:v>
      </x:c>
      <x:c r="G598" s="86" t="str">
        <x:v>MOL residue-CAL-1</x:v>
      </x:c>
      <x:c r="H598" s="86" t="str">
        <x:v>T1</x:v>
      </x:c>
      <x:c r="I598" s="91" t="str">
        <x:v>OPEN</x:v>
      </x:c>
    </x:row>
    <x:row r="599">
      <x:c r="A599" s="86" t="str">
        <x:v>CH-0594</x:v>
      </x:c>
      <x:c r="B599" s="86" t="str">
        <x:v>MOL residue</x:v>
      </x:c>
      <x:c r="C599" s="108" t="n">
        <x:v>18</x:v>
      </x:c>
      <x:c r="D599" s="86" t="str">
        <x:v>Z02</x:v>
      </x:c>
      <x:c r="E599" s="86" t="str">
        <x:v>full</x:v>
      </x:c>
      <x:c r="F599" s="86" t="str">
        <x:v>L2</x:v>
      </x:c>
      <x:c r="G599" s="86" t="str">
        <x:v>MOL residue-CAL-2</x:v>
      </x:c>
      <x:c r="H599" s="86" t="str">
        <x:v>T2</x:v>
      </x:c>
      <x:c r="I599" s="91" t="str">
        <x:v>OPEN</x:v>
      </x:c>
    </x:row>
    <x:row r="600">
      <x:c r="A600" s="86" t="str">
        <x:v>CH-0595</x:v>
      </x:c>
      <x:c r="B600" s="86" t="str">
        <x:v>MOL residue</x:v>
      </x:c>
      <x:c r="C600" s="108" t="n">
        <x:v>19</x:v>
      </x:c>
      <x:c r="D600" s="86" t="str">
        <x:v>Z03</x:v>
      </x:c>
      <x:c r="E600" s="86" t="str">
        <x:v>full</x:v>
      </x:c>
      <x:c r="F600" s="86" t="str">
        <x:v>L3</x:v>
      </x:c>
      <x:c r="G600" s="86" t="str">
        <x:v>MOL residue-CAL-3</x:v>
      </x:c>
      <x:c r="H600" s="86" t="str">
        <x:v>T3</x:v>
      </x:c>
      <x:c r="I600" s="91" t="str">
        <x:v>OPEN</x:v>
      </x:c>
    </x:row>
    <x:row r="601">
      <x:c r="A601" s="86" t="str">
        <x:v>CH-0596</x:v>
      </x:c>
      <x:c r="B601" s="86" t="str">
        <x:v>MOL residue</x:v>
      </x:c>
      <x:c r="C601" s="108" t="n">
        <x:v>20</x:v>
      </x:c>
      <x:c r="D601" s="86" t="str">
        <x:v>Z04</x:v>
      </x:c>
      <x:c r="E601" s="86" t="str">
        <x:v>full</x:v>
      </x:c>
      <x:c r="F601" s="86" t="str">
        <x:v>L4</x:v>
      </x:c>
      <x:c r="G601" s="86" t="str">
        <x:v>MOL residue-CAL-4</x:v>
      </x:c>
      <x:c r="H601" s="86" t="str">
        <x:v>T4</x:v>
      </x:c>
      <x:c r="I601" s="91" t="str">
        <x:v>OPEN</x:v>
      </x:c>
    </x:row>
    <x:row r="602">
      <x:c r="A602" s="86" t="str">
        <x:v>CH-0597</x:v>
      </x:c>
      <x:c r="B602" s="86" t="str">
        <x:v>MOL residue</x:v>
      </x:c>
      <x:c r="C602" s="108" t="n">
        <x:v>21</x:v>
      </x:c>
      <x:c r="D602" s="86" t="str">
        <x:v>Z05</x:v>
      </x:c>
      <x:c r="E602" s="86" t="str">
        <x:v>full</x:v>
      </x:c>
      <x:c r="F602" s="86" t="str">
        <x:v>L1</x:v>
      </x:c>
      <x:c r="G602" s="86" t="str">
        <x:v>MOL residue-CAL-1</x:v>
      </x:c>
      <x:c r="H602" s="86" t="str">
        <x:v>T1</x:v>
      </x:c>
      <x:c r="I602" s="91" t="str">
        <x:v>OPEN</x:v>
      </x:c>
    </x:row>
    <x:row r="603">
      <x:c r="A603" s="86" t="str">
        <x:v>CH-0598</x:v>
      </x:c>
      <x:c r="B603" s="86" t="str">
        <x:v>MOL residue</x:v>
      </x:c>
      <x:c r="C603" s="108" t="n">
        <x:v>22</x:v>
      </x:c>
      <x:c r="D603" s="86" t="str">
        <x:v>Z06</x:v>
      </x:c>
      <x:c r="E603" s="86" t="str">
        <x:v>full</x:v>
      </x:c>
      <x:c r="F603" s="86" t="str">
        <x:v>L2</x:v>
      </x:c>
      <x:c r="G603" s="86" t="str">
        <x:v>MOL residue-CAL-2</x:v>
      </x:c>
      <x:c r="H603" s="86" t="str">
        <x:v>T2</x:v>
      </x:c>
      <x:c r="I603" s="91" t="str">
        <x:v>OPEN</x:v>
      </x:c>
    </x:row>
    <x:row r="604">
      <x:c r="A604" s="86" t="str">
        <x:v>CH-0599</x:v>
      </x:c>
      <x:c r="B604" s="86" t="str">
        <x:v>MOL residue</x:v>
      </x:c>
      <x:c r="C604" s="108" t="n">
        <x:v>23</x:v>
      </x:c>
      <x:c r="D604" s="86" t="str">
        <x:v>Z07</x:v>
      </x:c>
      <x:c r="E604" s="86" t="str">
        <x:v>full</x:v>
      </x:c>
      <x:c r="F604" s="86" t="str">
        <x:v>L3</x:v>
      </x:c>
      <x:c r="G604" s="86" t="str">
        <x:v>MOL residue-CAL-3</x:v>
      </x:c>
      <x:c r="H604" s="86" t="str">
        <x:v>T3</x:v>
      </x:c>
      <x:c r="I604" s="91" t="str">
        <x:v>OPEN</x:v>
      </x:c>
    </x:row>
    <x:row r="605">
      <x:c r="A605" s="86" t="str">
        <x:v>CH-0600</x:v>
      </x:c>
      <x:c r="B605" s="86" t="str">
        <x:v>MOL residue</x:v>
      </x:c>
      <x:c r="C605" s="108" t="n">
        <x:v>24</x:v>
      </x:c>
      <x:c r="D605" s="86" t="str">
        <x:v>Z08</x:v>
      </x:c>
      <x:c r="E605" s="86" t="str">
        <x:v>full</x:v>
      </x:c>
      <x:c r="F605" s="86" t="str">
        <x:v>L4</x:v>
      </x:c>
      <x:c r="G605" s="86" t="str">
        <x:v>MOL residue-CAL-4</x:v>
      </x:c>
      <x:c r="H605" s="86" t="str">
        <x:v>T4</x:v>
      </x:c>
      <x:c r="I605" s="91" t="str">
        <x:v>OPEN</x:v>
      </x:c>
    </x:row>
    <x:row r="606">
      <x:c r="A606" s="86" t="str">
        <x:v>CH-0601</x:v>
      </x:c>
      <x:c r="B606" s="86" t="str">
        <x:v>MOL residue</x:v>
      </x:c>
      <x:c r="C606" s="108" t="n">
        <x:v>25</x:v>
      </x:c>
      <x:c r="D606" s="86" t="str">
        <x:v>Z09</x:v>
      </x:c>
      <x:c r="E606" s="86" t="str">
        <x:v>full</x:v>
      </x:c>
      <x:c r="F606" s="86" t="str">
        <x:v>L1</x:v>
      </x:c>
      <x:c r="G606" s="86" t="str">
        <x:v>MOL residue-CAL-1</x:v>
      </x:c>
      <x:c r="H606" s="86" t="str">
        <x:v>T1</x:v>
      </x:c>
      <x:c r="I606" s="91" t="str">
        <x:v>OPEN</x:v>
      </x:c>
    </x:row>
    <x:row r="607">
      <x:c r="A607" s="86" t="str">
        <x:v>CH-0602</x:v>
      </x:c>
      <x:c r="B607" s="86" t="str">
        <x:v>MOL residue</x:v>
      </x:c>
      <x:c r="C607" s="108" t="n">
        <x:v>26</x:v>
      </x:c>
      <x:c r="D607" s="86" t="str">
        <x:v>Z10</x:v>
      </x:c>
      <x:c r="E607" s="86" t="str">
        <x:v>full</x:v>
      </x:c>
      <x:c r="F607" s="86" t="str">
        <x:v>L2</x:v>
      </x:c>
      <x:c r="G607" s="86" t="str">
        <x:v>MOL residue-CAL-2</x:v>
      </x:c>
      <x:c r="H607" s="86" t="str">
        <x:v>T2</x:v>
      </x:c>
      <x:c r="I607" s="91" t="str">
        <x:v>OPEN</x:v>
      </x:c>
    </x:row>
    <x:row r="608">
      <x:c r="A608" s="86" t="str">
        <x:v>CH-0603</x:v>
      </x:c>
      <x:c r="B608" s="86" t="str">
        <x:v>MOL residue</x:v>
      </x:c>
      <x:c r="C608" s="108" t="n">
        <x:v>27</x:v>
      </x:c>
      <x:c r="D608" s="86" t="str">
        <x:v>Z11</x:v>
      </x:c>
      <x:c r="E608" s="86" t="str">
        <x:v>full</x:v>
      </x:c>
      <x:c r="F608" s="86" t="str">
        <x:v>L3</x:v>
      </x:c>
      <x:c r="G608" s="86" t="str">
        <x:v>MOL residue-CAL-3</x:v>
      </x:c>
      <x:c r="H608" s="86" t="str">
        <x:v>T3</x:v>
      </x:c>
      <x:c r="I608" s="91" t="str">
        <x:v>OPEN</x:v>
      </x:c>
    </x:row>
    <x:row r="609">
      <x:c r="A609" s="86" t="str">
        <x:v>CH-0604</x:v>
      </x:c>
      <x:c r="B609" s="86" t="str">
        <x:v>MOL residue</x:v>
      </x:c>
      <x:c r="C609" s="108" t="n">
        <x:v>28</x:v>
      </x:c>
      <x:c r="D609" s="86" t="str">
        <x:v>Z12</x:v>
      </x:c>
      <x:c r="E609" s="86" t="str">
        <x:v>full</x:v>
      </x:c>
      <x:c r="F609" s="86" t="str">
        <x:v>L4</x:v>
      </x:c>
      <x:c r="G609" s="86" t="str">
        <x:v>MOL residue-CAL-4</x:v>
      </x:c>
      <x:c r="H609" s="86" t="str">
        <x:v>T4</x:v>
      </x:c>
      <x:c r="I609" s="91" t="str">
        <x:v>OPEN</x:v>
      </x:c>
    </x:row>
    <x:row r="610">
      <x:c r="A610" s="86" t="str">
        <x:v>CH-0605</x:v>
      </x:c>
      <x:c r="B610" s="86" t="str">
        <x:v>MOL residue</x:v>
      </x:c>
      <x:c r="C610" s="108" t="n">
        <x:v>29</x:v>
      </x:c>
      <x:c r="D610" s="86" t="str">
        <x:v>Z13</x:v>
      </x:c>
      <x:c r="E610" s="86" t="str">
        <x:v>full</x:v>
      </x:c>
      <x:c r="F610" s="86" t="str">
        <x:v>L1</x:v>
      </x:c>
      <x:c r="G610" s="86" t="str">
        <x:v>MOL residue-CAL-1</x:v>
      </x:c>
      <x:c r="H610" s="86" t="str">
        <x:v>T1</x:v>
      </x:c>
      <x:c r="I610" s="91" t="str">
        <x:v>OPEN</x:v>
      </x:c>
    </x:row>
    <x:row r="611">
      <x:c r="A611" s="86" t="str">
        <x:v>CH-0606</x:v>
      </x:c>
      <x:c r="B611" s="86" t="str">
        <x:v>MOL residue</x:v>
      </x:c>
      <x:c r="C611" s="108" t="n">
        <x:v>30</x:v>
      </x:c>
      <x:c r="D611" s="86" t="str">
        <x:v>Z14</x:v>
      </x:c>
      <x:c r="E611" s="86" t="str">
        <x:v>full</x:v>
      </x:c>
      <x:c r="F611" s="86" t="str">
        <x:v>L2</x:v>
      </x:c>
      <x:c r="G611" s="86" t="str">
        <x:v>MOL residue-CAL-2</x:v>
      </x:c>
      <x:c r="H611" s="86" t="str">
        <x:v>T2</x:v>
      </x:c>
      <x:c r="I611" s="91" t="str">
        <x:v>OPEN</x:v>
      </x:c>
    </x:row>
    <x:row r="612">
      <x:c r="A612" s="86" t="str">
        <x:v>CH-0607</x:v>
      </x:c>
      <x:c r="B612" s="86" t="str">
        <x:v>MOL residue</x:v>
      </x:c>
      <x:c r="C612" s="108" t="n">
        <x:v>31</x:v>
      </x:c>
      <x:c r="D612" s="86" t="str">
        <x:v>Z15</x:v>
      </x:c>
      <x:c r="E612" s="86" t="str">
        <x:v>full</x:v>
      </x:c>
      <x:c r="F612" s="86" t="str">
        <x:v>L3</x:v>
      </x:c>
      <x:c r="G612" s="86" t="str">
        <x:v>MOL residue-CAL-3</x:v>
      </x:c>
      <x:c r="H612" s="86" t="str">
        <x:v>T3</x:v>
      </x:c>
      <x:c r="I612" s="91" t="str">
        <x:v>OPEN</x:v>
      </x:c>
    </x:row>
    <x:row r="613">
      <x:c r="A613" s="86" t="str">
        <x:v>CH-0608</x:v>
      </x:c>
      <x:c r="B613" s="86" t="str">
        <x:v>MOL residue</x:v>
      </x:c>
      <x:c r="C613" s="108" t="n">
        <x:v>32</x:v>
      </x:c>
      <x:c r="D613" s="86" t="str">
        <x:v>Z16</x:v>
      </x:c>
      <x:c r="E613" s="86" t="str">
        <x:v>full</x:v>
      </x:c>
      <x:c r="F613" s="86" t="str">
        <x:v>L4</x:v>
      </x:c>
      <x:c r="G613" s="86" t="str">
        <x:v>MOL residue-CAL-4</x:v>
      </x:c>
      <x:c r="H613" s="86" t="str">
        <x:v>T4</x:v>
      </x:c>
      <x:c r="I613" s="91" t="str">
        <x:v>OPEN</x:v>
      </x:c>
    </x:row>
    <x:row r="614">
      <x:c r="A614" s="86" t="str">
        <x:v>CH-0609</x:v>
      </x:c>
      <x:c r="B614" s="86" t="str">
        <x:v>MOL residue</x:v>
      </x:c>
      <x:c r="C614" s="108" t="n">
        <x:v>33</x:v>
      </x:c>
      <x:c r="D614" s="86" t="str">
        <x:v>Z01</x:v>
      </x:c>
      <x:c r="E614" s="86" t="str">
        <x:v>intermediate</x:v>
      </x:c>
      <x:c r="F614" s="86" t="str">
        <x:v>L1</x:v>
      </x:c>
      <x:c r="G614" s="86" t="str">
        <x:v>MOL residue-CAL-1</x:v>
      </x:c>
      <x:c r="H614" s="86" t="str">
        <x:v>T1</x:v>
      </x:c>
      <x:c r="I614" s="91" t="str">
        <x:v>OPEN</x:v>
      </x:c>
    </x:row>
    <x:row r="615">
      <x:c r="A615" s="86" t="str">
        <x:v>CH-0610</x:v>
      </x:c>
      <x:c r="B615" s="86" t="str">
        <x:v>MOL residue</x:v>
      </x:c>
      <x:c r="C615" s="108" t="n">
        <x:v>34</x:v>
      </x:c>
      <x:c r="D615" s="86" t="str">
        <x:v>Z02</x:v>
      </x:c>
      <x:c r="E615" s="86" t="str">
        <x:v>intermediate</x:v>
      </x:c>
      <x:c r="F615" s="86" t="str">
        <x:v>L2</x:v>
      </x:c>
      <x:c r="G615" s="86" t="str">
        <x:v>MOL residue-CAL-2</x:v>
      </x:c>
      <x:c r="H615" s="86" t="str">
        <x:v>T2</x:v>
      </x:c>
      <x:c r="I615" s="91" t="str">
        <x:v>OPEN</x:v>
      </x:c>
    </x:row>
    <x:row r="616">
      <x:c r="A616" s="86" t="str">
        <x:v>CH-0611</x:v>
      </x:c>
      <x:c r="B616" s="86" t="str">
        <x:v>MOL residue</x:v>
      </x:c>
      <x:c r="C616" s="108" t="n">
        <x:v>35</x:v>
      </x:c>
      <x:c r="D616" s="86" t="str">
        <x:v>Z03</x:v>
      </x:c>
      <x:c r="E616" s="86" t="str">
        <x:v>intermediate</x:v>
      </x:c>
      <x:c r="F616" s="86" t="str">
        <x:v>L3</x:v>
      </x:c>
      <x:c r="G616" s="86" t="str">
        <x:v>MOL residue-CAL-3</x:v>
      </x:c>
      <x:c r="H616" s="86" t="str">
        <x:v>T3</x:v>
      </x:c>
      <x:c r="I616" s="91" t="str">
        <x:v>OPEN</x:v>
      </x:c>
    </x:row>
    <x:row r="617">
      <x:c r="A617" s="86" t="str">
        <x:v>CH-0612</x:v>
      </x:c>
      <x:c r="B617" s="86" t="str">
        <x:v>MOL residue</x:v>
      </x:c>
      <x:c r="C617" s="108" t="n">
        <x:v>36</x:v>
      </x:c>
      <x:c r="D617" s="86" t="str">
        <x:v>Z04</x:v>
      </x:c>
      <x:c r="E617" s="86" t="str">
        <x:v>intermediate</x:v>
      </x:c>
      <x:c r="F617" s="86" t="str">
        <x:v>L4</x:v>
      </x:c>
      <x:c r="G617" s="86" t="str">
        <x:v>MOL residue-CAL-4</x:v>
      </x:c>
      <x:c r="H617" s="86" t="str">
        <x:v>T4</x:v>
      </x:c>
      <x:c r="I617" s="91" t="str">
        <x:v>OPEN</x:v>
      </x:c>
    </x:row>
    <x:row r="618">
      <x:c r="A618" s="86" t="str">
        <x:v>CH-0613</x:v>
      </x:c>
      <x:c r="B618" s="86" t="str">
        <x:v>MOL residue</x:v>
      </x:c>
      <x:c r="C618" s="108" t="n">
        <x:v>37</x:v>
      </x:c>
      <x:c r="D618" s="86" t="str">
        <x:v>Z05</x:v>
      </x:c>
      <x:c r="E618" s="86" t="str">
        <x:v>intermediate</x:v>
      </x:c>
      <x:c r="F618" s="86" t="str">
        <x:v>L1</x:v>
      </x:c>
      <x:c r="G618" s="86" t="str">
        <x:v>MOL residue-CAL-1</x:v>
      </x:c>
      <x:c r="H618" s="86" t="str">
        <x:v>T1</x:v>
      </x:c>
      <x:c r="I618" s="91" t="str">
        <x:v>OPEN</x:v>
      </x:c>
    </x:row>
    <x:row r="619">
      <x:c r="A619" s="86" t="str">
        <x:v>CH-0614</x:v>
      </x:c>
      <x:c r="B619" s="86" t="str">
        <x:v>MOL residue</x:v>
      </x:c>
      <x:c r="C619" s="108" t="n">
        <x:v>38</x:v>
      </x:c>
      <x:c r="D619" s="86" t="str">
        <x:v>Z06</x:v>
      </x:c>
      <x:c r="E619" s="86" t="str">
        <x:v>intermediate</x:v>
      </x:c>
      <x:c r="F619" s="86" t="str">
        <x:v>L2</x:v>
      </x:c>
      <x:c r="G619" s="86" t="str">
        <x:v>MOL residue-CAL-2</x:v>
      </x:c>
      <x:c r="H619" s="86" t="str">
        <x:v>T2</x:v>
      </x:c>
      <x:c r="I619" s="91" t="str">
        <x:v>OPEN</x:v>
      </x:c>
    </x:row>
    <x:row r="620">
      <x:c r="A620" s="86" t="str">
        <x:v>CH-0615</x:v>
      </x:c>
      <x:c r="B620" s="86" t="str">
        <x:v>MOL residue</x:v>
      </x:c>
      <x:c r="C620" s="108" t="n">
        <x:v>39</x:v>
      </x:c>
      <x:c r="D620" s="86" t="str">
        <x:v>Z07</x:v>
      </x:c>
      <x:c r="E620" s="86" t="str">
        <x:v>intermediate</x:v>
      </x:c>
      <x:c r="F620" s="86" t="str">
        <x:v>L3</x:v>
      </x:c>
      <x:c r="G620" s="86" t="str">
        <x:v>MOL residue-CAL-3</x:v>
      </x:c>
      <x:c r="H620" s="86" t="str">
        <x:v>T3</x:v>
      </x:c>
      <x:c r="I620" s="91" t="str">
        <x:v>OPEN</x:v>
      </x:c>
    </x:row>
    <x:row r="621">
      <x:c r="A621" s="86" t="str">
        <x:v>CH-0616</x:v>
      </x:c>
      <x:c r="B621" s="86" t="str">
        <x:v>MOL residue</x:v>
      </x:c>
      <x:c r="C621" s="108" t="n">
        <x:v>40</x:v>
      </x:c>
      <x:c r="D621" s="86" t="str">
        <x:v>Z08</x:v>
      </x:c>
      <x:c r="E621" s="86" t="str">
        <x:v>intermediate</x:v>
      </x:c>
      <x:c r="F621" s="86" t="str">
        <x:v>L4</x:v>
      </x:c>
      <x:c r="G621" s="86" t="str">
        <x:v>MOL residue-CAL-4</x:v>
      </x:c>
      <x:c r="H621" s="86" t="str">
        <x:v>T4</x:v>
      </x:c>
      <x:c r="I621" s="91" t="str">
        <x:v>OPEN</x:v>
      </x:c>
    </x:row>
    <x:row r="622">
      <x:c r="A622" s="86" t="str">
        <x:v>CH-0617</x:v>
      </x:c>
      <x:c r="B622" s="86" t="str">
        <x:v>MOL residue</x:v>
      </x:c>
      <x:c r="C622" s="108" t="n">
        <x:v>41</x:v>
      </x:c>
      <x:c r="D622" s="86" t="str">
        <x:v>Z09</x:v>
      </x:c>
      <x:c r="E622" s="86" t="str">
        <x:v>intermediate</x:v>
      </x:c>
      <x:c r="F622" s="86" t="str">
        <x:v>L1</x:v>
      </x:c>
      <x:c r="G622" s="86" t="str">
        <x:v>MOL residue-CAL-1</x:v>
      </x:c>
      <x:c r="H622" s="86" t="str">
        <x:v>T1</x:v>
      </x:c>
      <x:c r="I622" s="91" t="str">
        <x:v>OPEN</x:v>
      </x:c>
    </x:row>
    <x:row r="623">
      <x:c r="A623" s="86" t="str">
        <x:v>CH-0618</x:v>
      </x:c>
      <x:c r="B623" s="86" t="str">
        <x:v>MOL residue</x:v>
      </x:c>
      <x:c r="C623" s="108" t="n">
        <x:v>42</x:v>
      </x:c>
      <x:c r="D623" s="86" t="str">
        <x:v>Z10</x:v>
      </x:c>
      <x:c r="E623" s="86" t="str">
        <x:v>intermediate</x:v>
      </x:c>
      <x:c r="F623" s="86" t="str">
        <x:v>L2</x:v>
      </x:c>
      <x:c r="G623" s="86" t="str">
        <x:v>MOL residue-CAL-2</x:v>
      </x:c>
      <x:c r="H623" s="86" t="str">
        <x:v>T2</x:v>
      </x:c>
      <x:c r="I623" s="91" t="str">
        <x:v>OPEN</x:v>
      </x:c>
    </x:row>
    <x:row r="624">
      <x:c r="A624" s="86" t="str">
        <x:v>CH-0619</x:v>
      </x:c>
      <x:c r="B624" s="86" t="str">
        <x:v>MOL residue</x:v>
      </x:c>
      <x:c r="C624" s="108" t="n">
        <x:v>43</x:v>
      </x:c>
      <x:c r="D624" s="86" t="str">
        <x:v>Z11</x:v>
      </x:c>
      <x:c r="E624" s="86" t="str">
        <x:v>intermediate</x:v>
      </x:c>
      <x:c r="F624" s="86" t="str">
        <x:v>L3</x:v>
      </x:c>
      <x:c r="G624" s="86" t="str">
        <x:v>MOL residue-CAL-3</x:v>
      </x:c>
      <x:c r="H624" s="86" t="str">
        <x:v>T3</x:v>
      </x:c>
      <x:c r="I624" s="91" t="str">
        <x:v>OPEN</x:v>
      </x:c>
    </x:row>
    <x:row r="625">
      <x:c r="A625" s="86" t="str">
        <x:v>CH-0620</x:v>
      </x:c>
      <x:c r="B625" s="86" t="str">
        <x:v>MOL residue</x:v>
      </x:c>
      <x:c r="C625" s="108" t="n">
        <x:v>44</x:v>
      </x:c>
      <x:c r="D625" s="86" t="str">
        <x:v>Z12</x:v>
      </x:c>
      <x:c r="E625" s="86" t="str">
        <x:v>intermediate</x:v>
      </x:c>
      <x:c r="F625" s="86" t="str">
        <x:v>L4</x:v>
      </x:c>
      <x:c r="G625" s="86" t="str">
        <x:v>MOL residue-CAL-4</x:v>
      </x:c>
      <x:c r="H625" s="86" t="str">
        <x:v>T4</x:v>
      </x:c>
      <x:c r="I625" s="91" t="str">
        <x:v>OPEN</x:v>
      </x:c>
    </x:row>
    <x:row r="626">
      <x:c r="A626" s="86" t="str">
        <x:v>CH-0621</x:v>
      </x:c>
      <x:c r="B626" s="86" t="str">
        <x:v>MOL residue</x:v>
      </x:c>
      <x:c r="C626" s="108" t="n">
        <x:v>45</x:v>
      </x:c>
      <x:c r="D626" s="86" t="str">
        <x:v>Z13</x:v>
      </x:c>
      <x:c r="E626" s="86" t="str">
        <x:v>intermediate</x:v>
      </x:c>
      <x:c r="F626" s="86" t="str">
        <x:v>L1</x:v>
      </x:c>
      <x:c r="G626" s="86" t="str">
        <x:v>MOL residue-CAL-1</x:v>
      </x:c>
      <x:c r="H626" s="86" t="str">
        <x:v>T1</x:v>
      </x:c>
      <x:c r="I626" s="91" t="str">
        <x:v>OPEN</x:v>
      </x:c>
    </x:row>
    <x:row r="627">
      <x:c r="A627" s="86" t="str">
        <x:v>CH-0622</x:v>
      </x:c>
      <x:c r="B627" s="86" t="str">
        <x:v>MOL residue</x:v>
      </x:c>
      <x:c r="C627" s="108" t="n">
        <x:v>46</x:v>
      </x:c>
      <x:c r="D627" s="86" t="str">
        <x:v>Z14</x:v>
      </x:c>
      <x:c r="E627" s="86" t="str">
        <x:v>intermediate</x:v>
      </x:c>
      <x:c r="F627" s="86" t="str">
        <x:v>L2</x:v>
      </x:c>
      <x:c r="G627" s="86" t="str">
        <x:v>MOL residue-CAL-2</x:v>
      </x:c>
      <x:c r="H627" s="86" t="str">
        <x:v>T2</x:v>
      </x:c>
      <x:c r="I627" s="91" t="str">
        <x:v>OPEN</x:v>
      </x:c>
    </x:row>
    <x:row r="628">
      <x:c r="A628" s="86" t="str">
        <x:v>CH-0623</x:v>
      </x:c>
      <x:c r="B628" s="86" t="str">
        <x:v>MOL residue</x:v>
      </x:c>
      <x:c r="C628" s="108" t="n">
        <x:v>47</x:v>
      </x:c>
      <x:c r="D628" s="86" t="str">
        <x:v>Z15</x:v>
      </x:c>
      <x:c r="E628" s="86" t="str">
        <x:v>intermediate</x:v>
      </x:c>
      <x:c r="F628" s="86" t="str">
        <x:v>L3</x:v>
      </x:c>
      <x:c r="G628" s="86" t="str">
        <x:v>MOL residue-CAL-3</x:v>
      </x:c>
      <x:c r="H628" s="86" t="str">
        <x:v>T3</x:v>
      </x:c>
      <x:c r="I628" s="91" t="str">
        <x:v>OPEN</x:v>
      </x:c>
    </x:row>
    <x:row r="629">
      <x:c r="A629" s="86" t="str">
        <x:v>CH-0624</x:v>
      </x:c>
      <x:c r="B629" s="86" t="str">
        <x:v>MOL residue</x:v>
      </x:c>
      <x:c r="C629" s="108" t="n">
        <x:v>48</x:v>
      </x:c>
      <x:c r="D629" s="86" t="str">
        <x:v>Z16</x:v>
      </x:c>
      <x:c r="E629" s="86" t="str">
        <x:v>intermediate</x:v>
      </x:c>
      <x:c r="F629" s="86" t="str">
        <x:v>L4</x:v>
      </x:c>
      <x:c r="G629" s="86" t="str">
        <x:v>MOL residue-CAL-4</x:v>
      </x:c>
      <x:c r="H629" s="86" t="str">
        <x:v>T4</x:v>
      </x:c>
      <x:c r="I629" s="91" t="str">
        <x:v>OPEN</x:v>
      </x:c>
    </x:row>
    <x:row r="630">
      <x:c r="A630" s="86" t="str">
        <x:v>CH-0625</x:v>
      </x:c>
      <x:c r="B630" s="86" t="str">
        <x:v>MOL residue</x:v>
      </x:c>
      <x:c r="C630" s="108" t="n">
        <x:v>49</x:v>
      </x:c>
      <x:c r="D630" s="86" t="str">
        <x:v>Z01</x:v>
      </x:c>
      <x:c r="E630" s="86" t="str">
        <x:v>return</x:v>
      </x:c>
      <x:c r="F630" s="86" t="str">
        <x:v>L1</x:v>
      </x:c>
      <x:c r="G630" s="86" t="str">
        <x:v>MOL residue-CAL-1</x:v>
      </x:c>
      <x:c r="H630" s="86" t="str">
        <x:v>T1</x:v>
      </x:c>
      <x:c r="I630" s="91" t="str">
        <x:v>OPEN</x:v>
      </x:c>
    </x:row>
    <x:row r="631">
      <x:c r="A631" s="86" t="str">
        <x:v>CH-0626</x:v>
      </x:c>
      <x:c r="B631" s="86" t="str">
        <x:v>MOL residue</x:v>
      </x:c>
      <x:c r="C631" s="108" t="n">
        <x:v>50</x:v>
      </x:c>
      <x:c r="D631" s="86" t="str">
        <x:v>Z02</x:v>
      </x:c>
      <x:c r="E631" s="86" t="str">
        <x:v>return</x:v>
      </x:c>
      <x:c r="F631" s="86" t="str">
        <x:v>L2</x:v>
      </x:c>
      <x:c r="G631" s="86" t="str">
        <x:v>MOL residue-CAL-2</x:v>
      </x:c>
      <x:c r="H631" s="86" t="str">
        <x:v>T2</x:v>
      </x:c>
      <x:c r="I631" s="91" t="str">
        <x:v>OPEN</x:v>
      </x:c>
    </x:row>
    <x:row r="632">
      <x:c r="A632" s="86" t="str">
        <x:v>CH-0627</x:v>
      </x:c>
      <x:c r="B632" s="86" t="str">
        <x:v>MOL residue</x:v>
      </x:c>
      <x:c r="C632" s="108" t="n">
        <x:v>51</x:v>
      </x:c>
      <x:c r="D632" s="86" t="str">
        <x:v>Z03</x:v>
      </x:c>
      <x:c r="E632" s="86" t="str">
        <x:v>return</x:v>
      </x:c>
      <x:c r="F632" s="86" t="str">
        <x:v>L3</x:v>
      </x:c>
      <x:c r="G632" s="86" t="str">
        <x:v>MOL residue-CAL-3</x:v>
      </x:c>
      <x:c r="H632" s="86" t="str">
        <x:v>T3</x:v>
      </x:c>
      <x:c r="I632" s="91" t="str">
        <x:v>OPEN</x:v>
      </x:c>
    </x:row>
    <x:row r="633">
      <x:c r="A633" s="86" t="str">
        <x:v>CH-0628</x:v>
      </x:c>
      <x:c r="B633" s="86" t="str">
        <x:v>MOL residue</x:v>
      </x:c>
      <x:c r="C633" s="108" t="n">
        <x:v>52</x:v>
      </x:c>
      <x:c r="D633" s="86" t="str">
        <x:v>Z04</x:v>
      </x:c>
      <x:c r="E633" s="86" t="str">
        <x:v>return</x:v>
      </x:c>
      <x:c r="F633" s="86" t="str">
        <x:v>L4</x:v>
      </x:c>
      <x:c r="G633" s="86" t="str">
        <x:v>MOL residue-CAL-4</x:v>
      </x:c>
      <x:c r="H633" s="86" t="str">
        <x:v>T4</x:v>
      </x:c>
      <x:c r="I633" s="91" t="str">
        <x:v>OPEN</x:v>
      </x:c>
    </x:row>
    <x:row r="634">
      <x:c r="A634" s="86" t="str">
        <x:v>CH-0629</x:v>
      </x:c>
      <x:c r="B634" s="86" t="str">
        <x:v>MOL residue</x:v>
      </x:c>
      <x:c r="C634" s="108" t="n">
        <x:v>53</x:v>
      </x:c>
      <x:c r="D634" s="86" t="str">
        <x:v>Z05</x:v>
      </x:c>
      <x:c r="E634" s="86" t="str">
        <x:v>return</x:v>
      </x:c>
      <x:c r="F634" s="86" t="str">
        <x:v>L1</x:v>
      </x:c>
      <x:c r="G634" s="86" t="str">
        <x:v>MOL residue-CAL-1</x:v>
      </x:c>
      <x:c r="H634" s="86" t="str">
        <x:v>T1</x:v>
      </x:c>
      <x:c r="I634" s="91" t="str">
        <x:v>OPEN</x:v>
      </x:c>
    </x:row>
    <x:row r="635">
      <x:c r="A635" s="86" t="str">
        <x:v>CH-0630</x:v>
      </x:c>
      <x:c r="B635" s="86" t="str">
        <x:v>MOL residue</x:v>
      </x:c>
      <x:c r="C635" s="108" t="n">
        <x:v>54</x:v>
      </x:c>
      <x:c r="D635" s="86" t="str">
        <x:v>Z06</x:v>
      </x:c>
      <x:c r="E635" s="86" t="str">
        <x:v>return</x:v>
      </x:c>
      <x:c r="F635" s="86" t="str">
        <x:v>L2</x:v>
      </x:c>
      <x:c r="G635" s="86" t="str">
        <x:v>MOL residue-CAL-2</x:v>
      </x:c>
      <x:c r="H635" s="86" t="str">
        <x:v>T2</x:v>
      </x:c>
      <x:c r="I635" s="91" t="str">
        <x:v>OPEN</x:v>
      </x:c>
    </x:row>
    <x:row r="636">
      <x:c r="A636" s="86" t="str">
        <x:v>CH-0631</x:v>
      </x:c>
      <x:c r="B636" s="86" t="str">
        <x:v>MOL residue</x:v>
      </x:c>
      <x:c r="C636" s="108" t="n">
        <x:v>55</x:v>
      </x:c>
      <x:c r="D636" s="86" t="str">
        <x:v>Z07</x:v>
      </x:c>
      <x:c r="E636" s="86" t="str">
        <x:v>return</x:v>
      </x:c>
      <x:c r="F636" s="86" t="str">
        <x:v>L3</x:v>
      </x:c>
      <x:c r="G636" s="86" t="str">
        <x:v>MOL residue-CAL-3</x:v>
      </x:c>
      <x:c r="H636" s="86" t="str">
        <x:v>T3</x:v>
      </x:c>
      <x:c r="I636" s="91" t="str">
        <x:v>OPEN</x:v>
      </x:c>
    </x:row>
    <x:row r="637">
      <x:c r="A637" s="86" t="str">
        <x:v>CH-0632</x:v>
      </x:c>
      <x:c r="B637" s="86" t="str">
        <x:v>MOL residue</x:v>
      </x:c>
      <x:c r="C637" s="108" t="n">
        <x:v>56</x:v>
      </x:c>
      <x:c r="D637" s="86" t="str">
        <x:v>Z08</x:v>
      </x:c>
      <x:c r="E637" s="86" t="str">
        <x:v>return</x:v>
      </x:c>
      <x:c r="F637" s="86" t="str">
        <x:v>L4</x:v>
      </x:c>
      <x:c r="G637" s="86" t="str">
        <x:v>MOL residue-CAL-4</x:v>
      </x:c>
      <x:c r="H637" s="86" t="str">
        <x:v>T4</x:v>
      </x:c>
      <x:c r="I637" s="91" t="str">
        <x:v>OPEN</x:v>
      </x:c>
    </x:row>
    <x:row r="638">
      <x:c r="A638" s="86" t="str">
        <x:v>CH-0633</x:v>
      </x:c>
      <x:c r="B638" s="86" t="str">
        <x:v>MOL residue</x:v>
      </x:c>
      <x:c r="C638" s="108" t="n">
        <x:v>57</x:v>
      </x:c>
      <x:c r="D638" s="86" t="str">
        <x:v>Z09</x:v>
      </x:c>
      <x:c r="E638" s="86" t="str">
        <x:v>return</x:v>
      </x:c>
      <x:c r="F638" s="86" t="str">
        <x:v>L1</x:v>
      </x:c>
      <x:c r="G638" s="86" t="str">
        <x:v>MOL residue-CAL-1</x:v>
      </x:c>
      <x:c r="H638" s="86" t="str">
        <x:v>T1</x:v>
      </x:c>
      <x:c r="I638" s="91" t="str">
        <x:v>OPEN</x:v>
      </x:c>
    </x:row>
    <x:row r="639">
      <x:c r="A639" s="86" t="str">
        <x:v>CH-0634</x:v>
      </x:c>
      <x:c r="B639" s="86" t="str">
        <x:v>MOL residue</x:v>
      </x:c>
      <x:c r="C639" s="108" t="n">
        <x:v>58</x:v>
      </x:c>
      <x:c r="D639" s="86" t="str">
        <x:v>Z10</x:v>
      </x:c>
      <x:c r="E639" s="86" t="str">
        <x:v>return</x:v>
      </x:c>
      <x:c r="F639" s="86" t="str">
        <x:v>L2</x:v>
      </x:c>
      <x:c r="G639" s="86" t="str">
        <x:v>MOL residue-CAL-2</x:v>
      </x:c>
      <x:c r="H639" s="86" t="str">
        <x:v>T2</x:v>
      </x:c>
      <x:c r="I639" s="91" t="str">
        <x:v>OPEN</x:v>
      </x:c>
    </x:row>
    <x:row r="640">
      <x:c r="A640" s="86" t="str">
        <x:v>CH-0635</x:v>
      </x:c>
      <x:c r="B640" s="86" t="str">
        <x:v>MOL residue</x:v>
      </x:c>
      <x:c r="C640" s="108" t="n">
        <x:v>59</x:v>
      </x:c>
      <x:c r="D640" s="86" t="str">
        <x:v>Z11</x:v>
      </x:c>
      <x:c r="E640" s="86" t="str">
        <x:v>return</x:v>
      </x:c>
      <x:c r="F640" s="86" t="str">
        <x:v>L3</x:v>
      </x:c>
      <x:c r="G640" s="86" t="str">
        <x:v>MOL residue-CAL-3</x:v>
      </x:c>
      <x:c r="H640" s="86" t="str">
        <x:v>T3</x:v>
      </x:c>
      <x:c r="I640" s="91" t="str">
        <x:v>OPEN</x:v>
      </x:c>
    </x:row>
    <x:row r="641">
      <x:c r="A641" s="86" t="str">
        <x:v>CH-0636</x:v>
      </x:c>
      <x:c r="B641" s="86" t="str">
        <x:v>MOL residue</x:v>
      </x:c>
      <x:c r="C641" s="108" t="n">
        <x:v>60</x:v>
      </x:c>
      <x:c r="D641" s="86" t="str">
        <x:v>Z12</x:v>
      </x:c>
      <x:c r="E641" s="86" t="str">
        <x:v>return</x:v>
      </x:c>
      <x:c r="F641" s="86" t="str">
        <x:v>L4</x:v>
      </x:c>
      <x:c r="G641" s="86" t="str">
        <x:v>MOL residue-CAL-4</x:v>
      </x:c>
      <x:c r="H641" s="86" t="str">
        <x:v>T4</x:v>
      </x:c>
      <x:c r="I641" s="91" t="str">
        <x:v>OPEN</x:v>
      </x:c>
    </x:row>
    <x:row r="642">
      <x:c r="A642" s="86" t="str">
        <x:v>CH-0637</x:v>
      </x:c>
      <x:c r="B642" s="86" t="str">
        <x:v>MOL residue</x:v>
      </x:c>
      <x:c r="C642" s="108" t="n">
        <x:v>61</x:v>
      </x:c>
      <x:c r="D642" s="86" t="str">
        <x:v>Z13</x:v>
      </x:c>
      <x:c r="E642" s="86" t="str">
        <x:v>return</x:v>
      </x:c>
      <x:c r="F642" s="86" t="str">
        <x:v>L1</x:v>
      </x:c>
      <x:c r="G642" s="86" t="str">
        <x:v>MOL residue-CAL-1</x:v>
      </x:c>
      <x:c r="H642" s="86" t="str">
        <x:v>T1</x:v>
      </x:c>
      <x:c r="I642" s="91" t="str">
        <x:v>OPEN</x:v>
      </x:c>
    </x:row>
    <x:row r="643">
      <x:c r="A643" s="86" t="str">
        <x:v>CH-0638</x:v>
      </x:c>
      <x:c r="B643" s="86" t="str">
        <x:v>MOL residue</x:v>
      </x:c>
      <x:c r="C643" s="108" t="n">
        <x:v>62</x:v>
      </x:c>
      <x:c r="D643" s="86" t="str">
        <x:v>Z14</x:v>
      </x:c>
      <x:c r="E643" s="86" t="str">
        <x:v>return</x:v>
      </x:c>
      <x:c r="F643" s="86" t="str">
        <x:v>L2</x:v>
      </x:c>
      <x:c r="G643" s="86" t="str">
        <x:v>MOL residue-CAL-2</x:v>
      </x:c>
      <x:c r="H643" s="86" t="str">
        <x:v>T2</x:v>
      </x:c>
      <x:c r="I643" s="91" t="str">
        <x:v>OPEN</x:v>
      </x:c>
    </x:row>
    <x:row r="644">
      <x:c r="A644" s="86" t="str">
        <x:v>CH-0639</x:v>
      </x:c>
      <x:c r="B644" s="86" t="str">
        <x:v>MOL residue</x:v>
      </x:c>
      <x:c r="C644" s="108" t="n">
        <x:v>63</x:v>
      </x:c>
      <x:c r="D644" s="86" t="str">
        <x:v>Z15</x:v>
      </x:c>
      <x:c r="E644" s="86" t="str">
        <x:v>return</x:v>
      </x:c>
      <x:c r="F644" s="86" t="str">
        <x:v>L3</x:v>
      </x:c>
      <x:c r="G644" s="86" t="str">
        <x:v>MOL residue-CAL-3</x:v>
      </x:c>
      <x:c r="H644" s="86" t="str">
        <x:v>T3</x:v>
      </x:c>
      <x:c r="I644" s="91" t="str">
        <x:v>OPEN</x:v>
      </x:c>
    </x:row>
    <x:row r="645">
      <x:c r="A645" s="86" t="str">
        <x:v>CH-0640</x:v>
      </x:c>
      <x:c r="B645" s="86" t="str">
        <x:v>MOL residue</x:v>
      </x:c>
      <x:c r="C645" s="108" t="n">
        <x:v>64</x:v>
      </x:c>
      <x:c r="D645" s="86" t="str">
        <x:v>Z16</x:v>
      </x:c>
      <x:c r="E645" s="86" t="str">
        <x:v>return</x:v>
      </x:c>
      <x:c r="F645" s="86" t="str">
        <x:v>L4</x:v>
      </x:c>
      <x:c r="G645" s="86" t="str">
        <x:v>MOL residue-CAL-4</x:v>
      </x:c>
      <x:c r="H645" s="86" t="str">
        <x:v>T4</x:v>
      </x:c>
      <x:c r="I645" s="91" t="str">
        <x:v>OPEN</x:v>
      </x:c>
    </x:row>
    <x:row r="646">
      <x:c r="A646" s="86" t="str">
        <x:v>CH-0641</x:v>
      </x:c>
      <x:c r="B646" s="86" t="str">
        <x:v>CAL field</x:v>
      </x:c>
      <x:c r="C646" s="108" t="n">
        <x:v>1</x:v>
      </x:c>
      <x:c r="D646" s="86" t="str">
        <x:v>Z01</x:v>
      </x:c>
      <x:c r="E646" s="86" t="str">
        <x:v>full</x:v>
      </x:c>
      <x:c r="F646" s="86" t="str">
        <x:v>L1</x:v>
      </x:c>
      <x:c r="G646" s="86" t="str">
        <x:v>CAL field-CAL-1</x:v>
      </x:c>
      <x:c r="H646" s="86" t="str">
        <x:v>T1</x:v>
      </x:c>
      <x:c r="I646" s="91" t="str">
        <x:v>OPEN</x:v>
      </x:c>
    </x:row>
    <x:row r="647">
      <x:c r="A647" s="86" t="str">
        <x:v>CH-0642</x:v>
      </x:c>
      <x:c r="B647" s="86" t="str">
        <x:v>CAL field</x:v>
      </x:c>
      <x:c r="C647" s="108" t="n">
        <x:v>2</x:v>
      </x:c>
      <x:c r="D647" s="86" t="str">
        <x:v>Z02</x:v>
      </x:c>
      <x:c r="E647" s="86" t="str">
        <x:v>full</x:v>
      </x:c>
      <x:c r="F647" s="86" t="str">
        <x:v>L2</x:v>
      </x:c>
      <x:c r="G647" s="86" t="str">
        <x:v>CAL field-CAL-2</x:v>
      </x:c>
      <x:c r="H647" s="86" t="str">
        <x:v>T2</x:v>
      </x:c>
      <x:c r="I647" s="91" t="str">
        <x:v>OPEN</x:v>
      </x:c>
    </x:row>
    <x:row r="648">
      <x:c r="A648" s="86" t="str">
        <x:v>CH-0643</x:v>
      </x:c>
      <x:c r="B648" s="86" t="str">
        <x:v>CAL field</x:v>
      </x:c>
      <x:c r="C648" s="108" t="n">
        <x:v>3</x:v>
      </x:c>
      <x:c r="D648" s="86" t="str">
        <x:v>Z03</x:v>
      </x:c>
      <x:c r="E648" s="86" t="str">
        <x:v>full</x:v>
      </x:c>
      <x:c r="F648" s="86" t="str">
        <x:v>L3</x:v>
      </x:c>
      <x:c r="G648" s="86" t="str">
        <x:v>CAL field-CAL-3</x:v>
      </x:c>
      <x:c r="H648" s="86" t="str">
        <x:v>T3</x:v>
      </x:c>
      <x:c r="I648" s="91" t="str">
        <x:v>OPEN</x:v>
      </x:c>
    </x:row>
    <x:row r="649">
      <x:c r="A649" s="86" t="str">
        <x:v>CH-0644</x:v>
      </x:c>
      <x:c r="B649" s="86" t="str">
        <x:v>CAL field</x:v>
      </x:c>
      <x:c r="C649" s="108" t="n">
        <x:v>4</x:v>
      </x:c>
      <x:c r="D649" s="86" t="str">
        <x:v>Z04</x:v>
      </x:c>
      <x:c r="E649" s="86" t="str">
        <x:v>full</x:v>
      </x:c>
      <x:c r="F649" s="86" t="str">
        <x:v>L4</x:v>
      </x:c>
      <x:c r="G649" s="86" t="str">
        <x:v>CAL field-CAL-4</x:v>
      </x:c>
      <x:c r="H649" s="86" t="str">
        <x:v>T4</x:v>
      </x:c>
      <x:c r="I649" s="91" t="str">
        <x:v>OPEN</x:v>
      </x:c>
    </x:row>
    <x:row r="650">
      <x:c r="A650" s="86" t="str">
        <x:v>CH-0645</x:v>
      </x:c>
      <x:c r="B650" s="86" t="str">
        <x:v>CAL field</x:v>
      </x:c>
      <x:c r="C650" s="108" t="n">
        <x:v>5</x:v>
      </x:c>
      <x:c r="D650" s="86" t="str">
        <x:v>Z05</x:v>
      </x:c>
      <x:c r="E650" s="86" t="str">
        <x:v>full</x:v>
      </x:c>
      <x:c r="F650" s="86" t="str">
        <x:v>L1</x:v>
      </x:c>
      <x:c r="G650" s="86" t="str">
        <x:v>CAL field-CAL-1</x:v>
      </x:c>
      <x:c r="H650" s="86" t="str">
        <x:v>T1</x:v>
      </x:c>
      <x:c r="I650" s="91" t="str">
        <x:v>OPEN</x:v>
      </x:c>
    </x:row>
    <x:row r="651">
      <x:c r="A651" s="86" t="str">
        <x:v>CH-0646</x:v>
      </x:c>
      <x:c r="B651" s="86" t="str">
        <x:v>CAL field</x:v>
      </x:c>
      <x:c r="C651" s="108" t="n">
        <x:v>6</x:v>
      </x:c>
      <x:c r="D651" s="86" t="str">
        <x:v>Z06</x:v>
      </x:c>
      <x:c r="E651" s="86" t="str">
        <x:v>full</x:v>
      </x:c>
      <x:c r="F651" s="86" t="str">
        <x:v>L2</x:v>
      </x:c>
      <x:c r="G651" s="86" t="str">
        <x:v>CAL field-CAL-2</x:v>
      </x:c>
      <x:c r="H651" s="86" t="str">
        <x:v>T2</x:v>
      </x:c>
      <x:c r="I651" s="91" t="str">
        <x:v>OPEN</x:v>
      </x:c>
    </x:row>
    <x:row r="652">
      <x:c r="A652" s="86" t="str">
        <x:v>CH-0647</x:v>
      </x:c>
      <x:c r="B652" s="86" t="str">
        <x:v>CAL field</x:v>
      </x:c>
      <x:c r="C652" s="108" t="n">
        <x:v>7</x:v>
      </x:c>
      <x:c r="D652" s="86" t="str">
        <x:v>Z07</x:v>
      </x:c>
      <x:c r="E652" s="86" t="str">
        <x:v>full</x:v>
      </x:c>
      <x:c r="F652" s="86" t="str">
        <x:v>L3</x:v>
      </x:c>
      <x:c r="G652" s="86" t="str">
        <x:v>CAL field-CAL-3</x:v>
      </x:c>
      <x:c r="H652" s="86" t="str">
        <x:v>T3</x:v>
      </x:c>
      <x:c r="I652" s="91" t="str">
        <x:v>OPEN</x:v>
      </x:c>
    </x:row>
    <x:row r="653">
      <x:c r="A653" s="86" t="str">
        <x:v>CH-0648</x:v>
      </x:c>
      <x:c r="B653" s="86" t="str">
        <x:v>CAL field</x:v>
      </x:c>
      <x:c r="C653" s="108" t="n">
        <x:v>8</x:v>
      </x:c>
      <x:c r="D653" s="86" t="str">
        <x:v>Z08</x:v>
      </x:c>
      <x:c r="E653" s="86" t="str">
        <x:v>full</x:v>
      </x:c>
      <x:c r="F653" s="86" t="str">
        <x:v>L4</x:v>
      </x:c>
      <x:c r="G653" s="86" t="str">
        <x:v>CAL field-CAL-4</x:v>
      </x:c>
      <x:c r="H653" s="86" t="str">
        <x:v>T4</x:v>
      </x:c>
      <x:c r="I653" s="91" t="str">
        <x:v>OPEN</x:v>
      </x:c>
    </x:row>
    <x:row r="654">
      <x:c r="A654" s="86" t="str">
        <x:v>CH-0649</x:v>
      </x:c>
      <x:c r="B654" s="86" t="str">
        <x:v>CAL field</x:v>
      </x:c>
      <x:c r="C654" s="108" t="n">
        <x:v>9</x:v>
      </x:c>
      <x:c r="D654" s="86" t="str">
        <x:v>Z09</x:v>
      </x:c>
      <x:c r="E654" s="86" t="str">
        <x:v>full</x:v>
      </x:c>
      <x:c r="F654" s="86" t="str">
        <x:v>L1</x:v>
      </x:c>
      <x:c r="G654" s="86" t="str">
        <x:v>CAL field-CAL-1</x:v>
      </x:c>
      <x:c r="H654" s="86" t="str">
        <x:v>T1</x:v>
      </x:c>
      <x:c r="I654" s="91" t="str">
        <x:v>OPEN</x:v>
      </x:c>
    </x:row>
    <x:row r="655">
      <x:c r="A655" s="86" t="str">
        <x:v>CH-0650</x:v>
      </x:c>
      <x:c r="B655" s="86" t="str">
        <x:v>CAL field</x:v>
      </x:c>
      <x:c r="C655" s="108" t="n">
        <x:v>10</x:v>
      </x:c>
      <x:c r="D655" s="86" t="str">
        <x:v>Z10</x:v>
      </x:c>
      <x:c r="E655" s="86" t="str">
        <x:v>full</x:v>
      </x:c>
      <x:c r="F655" s="86" t="str">
        <x:v>L2</x:v>
      </x:c>
      <x:c r="G655" s="86" t="str">
        <x:v>CAL field-CAL-2</x:v>
      </x:c>
      <x:c r="H655" s="86" t="str">
        <x:v>T2</x:v>
      </x:c>
      <x:c r="I655" s="91" t="str">
        <x:v>OPEN</x:v>
      </x:c>
    </x:row>
    <x:row r="656">
      <x:c r="A656" s="86" t="str">
        <x:v>CH-0651</x:v>
      </x:c>
      <x:c r="B656" s="86" t="str">
        <x:v>CAL field</x:v>
      </x:c>
      <x:c r="C656" s="108" t="n">
        <x:v>11</x:v>
      </x:c>
      <x:c r="D656" s="86" t="str">
        <x:v>Z11</x:v>
      </x:c>
      <x:c r="E656" s="86" t="str">
        <x:v>full</x:v>
      </x:c>
      <x:c r="F656" s="86" t="str">
        <x:v>L3</x:v>
      </x:c>
      <x:c r="G656" s="86" t="str">
        <x:v>CAL field-CAL-3</x:v>
      </x:c>
      <x:c r="H656" s="86" t="str">
        <x:v>T3</x:v>
      </x:c>
      <x:c r="I656" s="91" t="str">
        <x:v>OPEN</x:v>
      </x:c>
    </x:row>
    <x:row r="657">
      <x:c r="A657" s="86" t="str">
        <x:v>CH-0652</x:v>
      </x:c>
      <x:c r="B657" s="86" t="str">
        <x:v>CAL field</x:v>
      </x:c>
      <x:c r="C657" s="108" t="n">
        <x:v>12</x:v>
      </x:c>
      <x:c r="D657" s="86" t="str">
        <x:v>Z12</x:v>
      </x:c>
      <x:c r="E657" s="86" t="str">
        <x:v>full</x:v>
      </x:c>
      <x:c r="F657" s="86" t="str">
        <x:v>L4</x:v>
      </x:c>
      <x:c r="G657" s="86" t="str">
        <x:v>CAL field-CAL-4</x:v>
      </x:c>
      <x:c r="H657" s="86" t="str">
        <x:v>T4</x:v>
      </x:c>
      <x:c r="I657" s="91" t="str">
        <x:v>OPEN</x:v>
      </x:c>
    </x:row>
    <x:row r="658">
      <x:c r="A658" s="86" t="str">
        <x:v>CH-0653</x:v>
      </x:c>
      <x:c r="B658" s="86" t="str">
        <x:v>CAL field</x:v>
      </x:c>
      <x:c r="C658" s="108" t="n">
        <x:v>13</x:v>
      </x:c>
      <x:c r="D658" s="86" t="str">
        <x:v>Z13</x:v>
      </x:c>
      <x:c r="E658" s="86" t="str">
        <x:v>full</x:v>
      </x:c>
      <x:c r="F658" s="86" t="str">
        <x:v>L1</x:v>
      </x:c>
      <x:c r="G658" s="86" t="str">
        <x:v>CAL field-CAL-1</x:v>
      </x:c>
      <x:c r="H658" s="86" t="str">
        <x:v>T1</x:v>
      </x:c>
      <x:c r="I658" s="91" t="str">
        <x:v>OPEN</x:v>
      </x:c>
    </x:row>
    <x:row r="659">
      <x:c r="A659" s="86" t="str">
        <x:v>CH-0654</x:v>
      </x:c>
      <x:c r="B659" s="86" t="str">
        <x:v>CAL field</x:v>
      </x:c>
      <x:c r="C659" s="108" t="n">
        <x:v>14</x:v>
      </x:c>
      <x:c r="D659" s="86" t="str">
        <x:v>Z14</x:v>
      </x:c>
      <x:c r="E659" s="86" t="str">
        <x:v>full</x:v>
      </x:c>
      <x:c r="F659" s="86" t="str">
        <x:v>L2</x:v>
      </x:c>
      <x:c r="G659" s="86" t="str">
        <x:v>CAL field-CAL-2</x:v>
      </x:c>
      <x:c r="H659" s="86" t="str">
        <x:v>T2</x:v>
      </x:c>
      <x:c r="I659" s="91" t="str">
        <x:v>OPEN</x:v>
      </x:c>
    </x:row>
    <x:row r="660">
      <x:c r="A660" s="86" t="str">
        <x:v>CH-0655</x:v>
      </x:c>
      <x:c r="B660" s="86" t="str">
        <x:v>CAL field</x:v>
      </x:c>
      <x:c r="C660" s="108" t="n">
        <x:v>15</x:v>
      </x:c>
      <x:c r="D660" s="86" t="str">
        <x:v>Z15</x:v>
      </x:c>
      <x:c r="E660" s="86" t="str">
        <x:v>full</x:v>
      </x:c>
      <x:c r="F660" s="86" t="str">
        <x:v>L3</x:v>
      </x:c>
      <x:c r="G660" s="86" t="str">
        <x:v>CAL field-CAL-3</x:v>
      </x:c>
      <x:c r="H660" s="86" t="str">
        <x:v>T3</x:v>
      </x:c>
      <x:c r="I660" s="91" t="str">
        <x:v>OPEN</x:v>
      </x:c>
    </x:row>
    <x:row r="661">
      <x:c r="A661" s="86" t="str">
        <x:v>CH-0656</x:v>
      </x:c>
      <x:c r="B661" s="86" t="str">
        <x:v>CAL field</x:v>
      </x:c>
      <x:c r="C661" s="108" t="n">
        <x:v>16</x:v>
      </x:c>
      <x:c r="D661" s="86" t="str">
        <x:v>Z16</x:v>
      </x:c>
      <x:c r="E661" s="86" t="str">
        <x:v>full</x:v>
      </x:c>
      <x:c r="F661" s="86" t="str">
        <x:v>L4</x:v>
      </x:c>
      <x:c r="G661" s="86" t="str">
        <x:v>CAL field-CAL-4</x:v>
      </x:c>
      <x:c r="H661" s="86" t="str">
        <x:v>T4</x:v>
      </x:c>
      <x:c r="I661" s="91" t="str">
        <x:v>OPEN</x:v>
      </x:c>
    </x:row>
    <x:row r="662">
      <x:c r="A662" s="86" t="str">
        <x:v>CH-0657</x:v>
      </x:c>
      <x:c r="B662" s="86" t="str">
        <x:v>CAL field</x:v>
      </x:c>
      <x:c r="C662" s="108" t="n">
        <x:v>17</x:v>
      </x:c>
      <x:c r="D662" s="86" t="str">
        <x:v>Z01</x:v>
      </x:c>
      <x:c r="E662" s="86" t="str">
        <x:v>full</x:v>
      </x:c>
      <x:c r="F662" s="86" t="str">
        <x:v>L1</x:v>
      </x:c>
      <x:c r="G662" s="86" t="str">
        <x:v>CAL field-CAL-1</x:v>
      </x:c>
      <x:c r="H662" s="86" t="str">
        <x:v>T1</x:v>
      </x:c>
      <x:c r="I662" s="91" t="str">
        <x:v>OPEN</x:v>
      </x:c>
    </x:row>
    <x:row r="663">
      <x:c r="A663" s="86" t="str">
        <x:v>CH-0658</x:v>
      </x:c>
      <x:c r="B663" s="86" t="str">
        <x:v>CAL field</x:v>
      </x:c>
      <x:c r="C663" s="108" t="n">
        <x:v>18</x:v>
      </x:c>
      <x:c r="D663" s="86" t="str">
        <x:v>Z02</x:v>
      </x:c>
      <x:c r="E663" s="86" t="str">
        <x:v>full</x:v>
      </x:c>
      <x:c r="F663" s="86" t="str">
        <x:v>L2</x:v>
      </x:c>
      <x:c r="G663" s="86" t="str">
        <x:v>CAL field-CAL-2</x:v>
      </x:c>
      <x:c r="H663" s="86" t="str">
        <x:v>T2</x:v>
      </x:c>
      <x:c r="I663" s="91" t="str">
        <x:v>OPEN</x:v>
      </x:c>
    </x:row>
    <x:row r="664">
      <x:c r="A664" s="86" t="str">
        <x:v>CH-0659</x:v>
      </x:c>
      <x:c r="B664" s="86" t="str">
        <x:v>CAL field</x:v>
      </x:c>
      <x:c r="C664" s="108" t="n">
        <x:v>19</x:v>
      </x:c>
      <x:c r="D664" s="86" t="str">
        <x:v>Z03</x:v>
      </x:c>
      <x:c r="E664" s="86" t="str">
        <x:v>full</x:v>
      </x:c>
      <x:c r="F664" s="86" t="str">
        <x:v>L3</x:v>
      </x:c>
      <x:c r="G664" s="86" t="str">
        <x:v>CAL field-CAL-3</x:v>
      </x:c>
      <x:c r="H664" s="86" t="str">
        <x:v>T3</x:v>
      </x:c>
      <x:c r="I664" s="91" t="str">
        <x:v>OPEN</x:v>
      </x:c>
    </x:row>
    <x:row r="665">
      <x:c r="A665" s="86" t="str">
        <x:v>CH-0660</x:v>
      </x:c>
      <x:c r="B665" s="86" t="str">
        <x:v>CAL field</x:v>
      </x:c>
      <x:c r="C665" s="108" t="n">
        <x:v>20</x:v>
      </x:c>
      <x:c r="D665" s="86" t="str">
        <x:v>Z04</x:v>
      </x:c>
      <x:c r="E665" s="86" t="str">
        <x:v>full</x:v>
      </x:c>
      <x:c r="F665" s="86" t="str">
        <x:v>L4</x:v>
      </x:c>
      <x:c r="G665" s="86" t="str">
        <x:v>CAL field-CAL-4</x:v>
      </x:c>
      <x:c r="H665" s="86" t="str">
        <x:v>T4</x:v>
      </x:c>
      <x:c r="I665" s="91" t="str">
        <x:v>OPEN</x:v>
      </x:c>
    </x:row>
    <x:row r="666">
      <x:c r="A666" s="86" t="str">
        <x:v>CH-0661</x:v>
      </x:c>
      <x:c r="B666" s="86" t="str">
        <x:v>CAL field</x:v>
      </x:c>
      <x:c r="C666" s="108" t="n">
        <x:v>21</x:v>
      </x:c>
      <x:c r="D666" s="86" t="str">
        <x:v>Z05</x:v>
      </x:c>
      <x:c r="E666" s="86" t="str">
        <x:v>full</x:v>
      </x:c>
      <x:c r="F666" s="86" t="str">
        <x:v>L1</x:v>
      </x:c>
      <x:c r="G666" s="86" t="str">
        <x:v>CAL field-CAL-1</x:v>
      </x:c>
      <x:c r="H666" s="86" t="str">
        <x:v>T1</x:v>
      </x:c>
      <x:c r="I666" s="91" t="str">
        <x:v>OPEN</x:v>
      </x:c>
    </x:row>
    <x:row r="667">
      <x:c r="A667" s="86" t="str">
        <x:v>CH-0662</x:v>
      </x:c>
      <x:c r="B667" s="86" t="str">
        <x:v>CAL field</x:v>
      </x:c>
      <x:c r="C667" s="108" t="n">
        <x:v>22</x:v>
      </x:c>
      <x:c r="D667" s="86" t="str">
        <x:v>Z06</x:v>
      </x:c>
      <x:c r="E667" s="86" t="str">
        <x:v>full</x:v>
      </x:c>
      <x:c r="F667" s="86" t="str">
        <x:v>L2</x:v>
      </x:c>
      <x:c r="G667" s="86" t="str">
        <x:v>CAL field-CAL-2</x:v>
      </x:c>
      <x:c r="H667" s="86" t="str">
        <x:v>T2</x:v>
      </x:c>
      <x:c r="I667" s="91" t="str">
        <x:v>OPEN</x:v>
      </x:c>
    </x:row>
    <x:row r="668">
      <x:c r="A668" s="86" t="str">
        <x:v>CH-0663</x:v>
      </x:c>
      <x:c r="B668" s="86" t="str">
        <x:v>CAL field</x:v>
      </x:c>
      <x:c r="C668" s="108" t="n">
        <x:v>23</x:v>
      </x:c>
      <x:c r="D668" s="86" t="str">
        <x:v>Z07</x:v>
      </x:c>
      <x:c r="E668" s="86" t="str">
        <x:v>full</x:v>
      </x:c>
      <x:c r="F668" s="86" t="str">
        <x:v>L3</x:v>
      </x:c>
      <x:c r="G668" s="86" t="str">
        <x:v>CAL field-CAL-3</x:v>
      </x:c>
      <x:c r="H668" s="86" t="str">
        <x:v>T3</x:v>
      </x:c>
      <x:c r="I668" s="91" t="str">
        <x:v>OPEN</x:v>
      </x:c>
    </x:row>
    <x:row r="669">
      <x:c r="A669" s="86" t="str">
        <x:v>CH-0664</x:v>
      </x:c>
      <x:c r="B669" s="86" t="str">
        <x:v>CAL field</x:v>
      </x:c>
      <x:c r="C669" s="108" t="n">
        <x:v>24</x:v>
      </x:c>
      <x:c r="D669" s="86" t="str">
        <x:v>Z08</x:v>
      </x:c>
      <x:c r="E669" s="86" t="str">
        <x:v>full</x:v>
      </x:c>
      <x:c r="F669" s="86" t="str">
        <x:v>L4</x:v>
      </x:c>
      <x:c r="G669" s="86" t="str">
        <x:v>CAL field-CAL-4</x:v>
      </x:c>
      <x:c r="H669" s="86" t="str">
        <x:v>T4</x:v>
      </x:c>
      <x:c r="I669" s="91" t="str">
        <x:v>OPEN</x:v>
      </x:c>
    </x:row>
    <x:row r="670">
      <x:c r="A670" s="86" t="str">
        <x:v>CH-0665</x:v>
      </x:c>
      <x:c r="B670" s="86" t="str">
        <x:v>CAL field</x:v>
      </x:c>
      <x:c r="C670" s="108" t="n">
        <x:v>25</x:v>
      </x:c>
      <x:c r="D670" s="86" t="str">
        <x:v>Z09</x:v>
      </x:c>
      <x:c r="E670" s="86" t="str">
        <x:v>full</x:v>
      </x:c>
      <x:c r="F670" s="86" t="str">
        <x:v>L1</x:v>
      </x:c>
      <x:c r="G670" s="86" t="str">
        <x:v>CAL field-CAL-1</x:v>
      </x:c>
      <x:c r="H670" s="86" t="str">
        <x:v>T1</x:v>
      </x:c>
      <x:c r="I670" s="91" t="str">
        <x:v>OPEN</x:v>
      </x:c>
    </x:row>
    <x:row r="671">
      <x:c r="A671" s="86" t="str">
        <x:v>CH-0666</x:v>
      </x:c>
      <x:c r="B671" s="86" t="str">
        <x:v>CAL field</x:v>
      </x:c>
      <x:c r="C671" s="108" t="n">
        <x:v>26</x:v>
      </x:c>
      <x:c r="D671" s="86" t="str">
        <x:v>Z10</x:v>
      </x:c>
      <x:c r="E671" s="86" t="str">
        <x:v>full</x:v>
      </x:c>
      <x:c r="F671" s="86" t="str">
        <x:v>L2</x:v>
      </x:c>
      <x:c r="G671" s="86" t="str">
        <x:v>CAL field-CAL-2</x:v>
      </x:c>
      <x:c r="H671" s="86" t="str">
        <x:v>T2</x:v>
      </x:c>
      <x:c r="I671" s="91" t="str">
        <x:v>OPEN</x:v>
      </x:c>
    </x:row>
    <x:row r="672">
      <x:c r="A672" s="86" t="str">
        <x:v>CH-0667</x:v>
      </x:c>
      <x:c r="B672" s="86" t="str">
        <x:v>CAL field</x:v>
      </x:c>
      <x:c r="C672" s="108" t="n">
        <x:v>27</x:v>
      </x:c>
      <x:c r="D672" s="86" t="str">
        <x:v>Z11</x:v>
      </x:c>
      <x:c r="E672" s="86" t="str">
        <x:v>full</x:v>
      </x:c>
      <x:c r="F672" s="86" t="str">
        <x:v>L3</x:v>
      </x:c>
      <x:c r="G672" s="86" t="str">
        <x:v>CAL field-CAL-3</x:v>
      </x:c>
      <x:c r="H672" s="86" t="str">
        <x:v>T3</x:v>
      </x:c>
      <x:c r="I672" s="91" t="str">
        <x:v>OPEN</x:v>
      </x:c>
    </x:row>
    <x:row r="673">
      <x:c r="A673" s="86" t="str">
        <x:v>CH-0668</x:v>
      </x:c>
      <x:c r="B673" s="86" t="str">
        <x:v>CAL field</x:v>
      </x:c>
      <x:c r="C673" s="108" t="n">
        <x:v>28</x:v>
      </x:c>
      <x:c r="D673" s="86" t="str">
        <x:v>Z12</x:v>
      </x:c>
      <x:c r="E673" s="86" t="str">
        <x:v>full</x:v>
      </x:c>
      <x:c r="F673" s="86" t="str">
        <x:v>L4</x:v>
      </x:c>
      <x:c r="G673" s="86" t="str">
        <x:v>CAL field-CAL-4</x:v>
      </x:c>
      <x:c r="H673" s="86" t="str">
        <x:v>T4</x:v>
      </x:c>
      <x:c r="I673" s="91" t="str">
        <x:v>OPEN</x:v>
      </x:c>
    </x:row>
    <x:row r="674">
      <x:c r="A674" s="86" t="str">
        <x:v>CH-0669</x:v>
      </x:c>
      <x:c r="B674" s="86" t="str">
        <x:v>CAL field</x:v>
      </x:c>
      <x:c r="C674" s="108" t="n">
        <x:v>29</x:v>
      </x:c>
      <x:c r="D674" s="86" t="str">
        <x:v>Z13</x:v>
      </x:c>
      <x:c r="E674" s="86" t="str">
        <x:v>full</x:v>
      </x:c>
      <x:c r="F674" s="86" t="str">
        <x:v>L1</x:v>
      </x:c>
      <x:c r="G674" s="86" t="str">
        <x:v>CAL field-CAL-1</x:v>
      </x:c>
      <x:c r="H674" s="86" t="str">
        <x:v>T1</x:v>
      </x:c>
      <x:c r="I674" s="91" t="str">
        <x:v>OPEN</x:v>
      </x:c>
    </x:row>
    <x:row r="675">
      <x:c r="A675" s="86" t="str">
        <x:v>CH-0670</x:v>
      </x:c>
      <x:c r="B675" s="86" t="str">
        <x:v>CAL field</x:v>
      </x:c>
      <x:c r="C675" s="108" t="n">
        <x:v>30</x:v>
      </x:c>
      <x:c r="D675" s="86" t="str">
        <x:v>Z14</x:v>
      </x:c>
      <x:c r="E675" s="86" t="str">
        <x:v>full</x:v>
      </x:c>
      <x:c r="F675" s="86" t="str">
        <x:v>L2</x:v>
      </x:c>
      <x:c r="G675" s="86" t="str">
        <x:v>CAL field-CAL-2</x:v>
      </x:c>
      <x:c r="H675" s="86" t="str">
        <x:v>T2</x:v>
      </x:c>
      <x:c r="I675" s="91" t="str">
        <x:v>OPEN</x:v>
      </x:c>
    </x:row>
    <x:row r="676">
      <x:c r="A676" s="86" t="str">
        <x:v>CH-0671</x:v>
      </x:c>
      <x:c r="B676" s="86" t="str">
        <x:v>CAL field</x:v>
      </x:c>
      <x:c r="C676" s="108" t="n">
        <x:v>31</x:v>
      </x:c>
      <x:c r="D676" s="86" t="str">
        <x:v>Z15</x:v>
      </x:c>
      <x:c r="E676" s="86" t="str">
        <x:v>full</x:v>
      </x:c>
      <x:c r="F676" s="86" t="str">
        <x:v>L3</x:v>
      </x:c>
      <x:c r="G676" s="86" t="str">
        <x:v>CAL field-CAL-3</x:v>
      </x:c>
      <x:c r="H676" s="86" t="str">
        <x:v>T3</x:v>
      </x:c>
      <x:c r="I676" s="91" t="str">
        <x:v>OPEN</x:v>
      </x:c>
    </x:row>
    <x:row r="677">
      <x:c r="A677" s="86" t="str">
        <x:v>CH-0672</x:v>
      </x:c>
      <x:c r="B677" s="86" t="str">
        <x:v>CAL field</x:v>
      </x:c>
      <x:c r="C677" s="108" t="n">
        <x:v>32</x:v>
      </x:c>
      <x:c r="D677" s="86" t="str">
        <x:v>Z16</x:v>
      </x:c>
      <x:c r="E677" s="86" t="str">
        <x:v>full</x:v>
      </x:c>
      <x:c r="F677" s="86" t="str">
        <x:v>L4</x:v>
      </x:c>
      <x:c r="G677" s="86" t="str">
        <x:v>CAL field-CAL-4</x:v>
      </x:c>
      <x:c r="H677" s="86" t="str">
        <x:v>T4</x:v>
      </x:c>
      <x:c r="I677" s="91" t="str">
        <x:v>OPEN</x:v>
      </x:c>
    </x:row>
    <x:row r="678">
      <x:c r="A678" s="86" t="str">
        <x:v>CH-0673</x:v>
      </x:c>
      <x:c r="B678" s="86" t="str">
        <x:v>CAL field</x:v>
      </x:c>
      <x:c r="C678" s="108" t="n">
        <x:v>33</x:v>
      </x:c>
      <x:c r="D678" s="86" t="str">
        <x:v>Z01</x:v>
      </x:c>
      <x:c r="E678" s="86" t="str">
        <x:v>intermediate</x:v>
      </x:c>
      <x:c r="F678" s="86" t="str">
        <x:v>L1</x:v>
      </x:c>
      <x:c r="G678" s="86" t="str">
        <x:v>CAL field-CAL-1</x:v>
      </x:c>
      <x:c r="H678" s="86" t="str">
        <x:v>T1</x:v>
      </x:c>
      <x:c r="I678" s="91" t="str">
        <x:v>OPEN</x:v>
      </x:c>
    </x:row>
    <x:row r="679">
      <x:c r="A679" s="86" t="str">
        <x:v>CH-0674</x:v>
      </x:c>
      <x:c r="B679" s="86" t="str">
        <x:v>CAL field</x:v>
      </x:c>
      <x:c r="C679" s="108" t="n">
        <x:v>34</x:v>
      </x:c>
      <x:c r="D679" s="86" t="str">
        <x:v>Z02</x:v>
      </x:c>
      <x:c r="E679" s="86" t="str">
        <x:v>intermediate</x:v>
      </x:c>
      <x:c r="F679" s="86" t="str">
        <x:v>L2</x:v>
      </x:c>
      <x:c r="G679" s="86" t="str">
        <x:v>CAL field-CAL-2</x:v>
      </x:c>
      <x:c r="H679" s="86" t="str">
        <x:v>T2</x:v>
      </x:c>
      <x:c r="I679" s="91" t="str">
        <x:v>OPEN</x:v>
      </x:c>
    </x:row>
    <x:row r="680">
      <x:c r="A680" s="86" t="str">
        <x:v>CH-0675</x:v>
      </x:c>
      <x:c r="B680" s="86" t="str">
        <x:v>CAL field</x:v>
      </x:c>
      <x:c r="C680" s="108" t="n">
        <x:v>35</x:v>
      </x:c>
      <x:c r="D680" s="86" t="str">
        <x:v>Z03</x:v>
      </x:c>
      <x:c r="E680" s="86" t="str">
        <x:v>intermediate</x:v>
      </x:c>
      <x:c r="F680" s="86" t="str">
        <x:v>L3</x:v>
      </x:c>
      <x:c r="G680" s="86" t="str">
        <x:v>CAL field-CAL-3</x:v>
      </x:c>
      <x:c r="H680" s="86" t="str">
        <x:v>T3</x:v>
      </x:c>
      <x:c r="I680" s="91" t="str">
        <x:v>OPEN</x:v>
      </x:c>
    </x:row>
    <x:row r="681">
      <x:c r="A681" s="86" t="str">
        <x:v>CH-0676</x:v>
      </x:c>
      <x:c r="B681" s="86" t="str">
        <x:v>CAL field</x:v>
      </x:c>
      <x:c r="C681" s="108" t="n">
        <x:v>36</x:v>
      </x:c>
      <x:c r="D681" s="86" t="str">
        <x:v>Z04</x:v>
      </x:c>
      <x:c r="E681" s="86" t="str">
        <x:v>intermediate</x:v>
      </x:c>
      <x:c r="F681" s="86" t="str">
        <x:v>L4</x:v>
      </x:c>
      <x:c r="G681" s="86" t="str">
        <x:v>CAL field-CAL-4</x:v>
      </x:c>
      <x:c r="H681" s="86" t="str">
        <x:v>T4</x:v>
      </x:c>
      <x:c r="I681" s="91" t="str">
        <x:v>OPEN</x:v>
      </x:c>
    </x:row>
    <x:row r="682">
      <x:c r="A682" s="86" t="str">
        <x:v>CH-0677</x:v>
      </x:c>
      <x:c r="B682" s="86" t="str">
        <x:v>CAL field</x:v>
      </x:c>
      <x:c r="C682" s="108" t="n">
        <x:v>37</x:v>
      </x:c>
      <x:c r="D682" s="86" t="str">
        <x:v>Z05</x:v>
      </x:c>
      <x:c r="E682" s="86" t="str">
        <x:v>intermediate</x:v>
      </x:c>
      <x:c r="F682" s="86" t="str">
        <x:v>L1</x:v>
      </x:c>
      <x:c r="G682" s="86" t="str">
        <x:v>CAL field-CAL-1</x:v>
      </x:c>
      <x:c r="H682" s="86" t="str">
        <x:v>T1</x:v>
      </x:c>
      <x:c r="I682" s="91" t="str">
        <x:v>OPEN</x:v>
      </x:c>
    </x:row>
    <x:row r="683">
      <x:c r="A683" s="86" t="str">
        <x:v>CH-0678</x:v>
      </x:c>
      <x:c r="B683" s="86" t="str">
        <x:v>CAL field</x:v>
      </x:c>
      <x:c r="C683" s="108" t="n">
        <x:v>38</x:v>
      </x:c>
      <x:c r="D683" s="86" t="str">
        <x:v>Z06</x:v>
      </x:c>
      <x:c r="E683" s="86" t="str">
        <x:v>intermediate</x:v>
      </x:c>
      <x:c r="F683" s="86" t="str">
        <x:v>L2</x:v>
      </x:c>
      <x:c r="G683" s="86" t="str">
        <x:v>CAL field-CAL-2</x:v>
      </x:c>
      <x:c r="H683" s="86" t="str">
        <x:v>T2</x:v>
      </x:c>
      <x:c r="I683" s="91" t="str">
        <x:v>OPEN</x:v>
      </x:c>
    </x:row>
    <x:row r="684">
      <x:c r="A684" s="86" t="str">
        <x:v>CH-0679</x:v>
      </x:c>
      <x:c r="B684" s="86" t="str">
        <x:v>CAL field</x:v>
      </x:c>
      <x:c r="C684" s="108" t="n">
        <x:v>39</x:v>
      </x:c>
      <x:c r="D684" s="86" t="str">
        <x:v>Z07</x:v>
      </x:c>
      <x:c r="E684" s="86" t="str">
        <x:v>intermediate</x:v>
      </x:c>
      <x:c r="F684" s="86" t="str">
        <x:v>L3</x:v>
      </x:c>
      <x:c r="G684" s="86" t="str">
        <x:v>CAL field-CAL-3</x:v>
      </x:c>
      <x:c r="H684" s="86" t="str">
        <x:v>T3</x:v>
      </x:c>
      <x:c r="I684" s="91" t="str">
        <x:v>OPEN</x:v>
      </x:c>
    </x:row>
    <x:row r="685">
      <x:c r="A685" s="86" t="str">
        <x:v>CH-0680</x:v>
      </x:c>
      <x:c r="B685" s="86" t="str">
        <x:v>CAL field</x:v>
      </x:c>
      <x:c r="C685" s="108" t="n">
        <x:v>40</x:v>
      </x:c>
      <x:c r="D685" s="86" t="str">
        <x:v>Z08</x:v>
      </x:c>
      <x:c r="E685" s="86" t="str">
        <x:v>intermediate</x:v>
      </x:c>
      <x:c r="F685" s="86" t="str">
        <x:v>L4</x:v>
      </x:c>
      <x:c r="G685" s="86" t="str">
        <x:v>CAL field-CAL-4</x:v>
      </x:c>
      <x:c r="H685" s="86" t="str">
        <x:v>T4</x:v>
      </x:c>
      <x:c r="I685" s="91" t="str">
        <x:v>OPEN</x:v>
      </x:c>
    </x:row>
    <x:row r="686">
      <x:c r="A686" s="86" t="str">
        <x:v>CH-0681</x:v>
      </x:c>
      <x:c r="B686" s="86" t="str">
        <x:v>CAL field</x:v>
      </x:c>
      <x:c r="C686" s="108" t="n">
        <x:v>41</x:v>
      </x:c>
      <x:c r="D686" s="86" t="str">
        <x:v>Z09</x:v>
      </x:c>
      <x:c r="E686" s="86" t="str">
        <x:v>intermediate</x:v>
      </x:c>
      <x:c r="F686" s="86" t="str">
        <x:v>L1</x:v>
      </x:c>
      <x:c r="G686" s="86" t="str">
        <x:v>CAL field-CAL-1</x:v>
      </x:c>
      <x:c r="H686" s="86" t="str">
        <x:v>T1</x:v>
      </x:c>
      <x:c r="I686" s="91" t="str">
        <x:v>OPEN</x:v>
      </x:c>
    </x:row>
    <x:row r="687">
      <x:c r="A687" s="86" t="str">
        <x:v>CH-0682</x:v>
      </x:c>
      <x:c r="B687" s="86" t="str">
        <x:v>CAL field</x:v>
      </x:c>
      <x:c r="C687" s="108" t="n">
        <x:v>42</x:v>
      </x:c>
      <x:c r="D687" s="86" t="str">
        <x:v>Z10</x:v>
      </x:c>
      <x:c r="E687" s="86" t="str">
        <x:v>intermediate</x:v>
      </x:c>
      <x:c r="F687" s="86" t="str">
        <x:v>L2</x:v>
      </x:c>
      <x:c r="G687" s="86" t="str">
        <x:v>CAL field-CAL-2</x:v>
      </x:c>
      <x:c r="H687" s="86" t="str">
        <x:v>T2</x:v>
      </x:c>
      <x:c r="I687" s="91" t="str">
        <x:v>OPEN</x:v>
      </x:c>
    </x:row>
    <x:row r="688">
      <x:c r="A688" s="86" t="str">
        <x:v>CH-0683</x:v>
      </x:c>
      <x:c r="B688" s="86" t="str">
        <x:v>CAL field</x:v>
      </x:c>
      <x:c r="C688" s="108" t="n">
        <x:v>43</x:v>
      </x:c>
      <x:c r="D688" s="86" t="str">
        <x:v>Z11</x:v>
      </x:c>
      <x:c r="E688" s="86" t="str">
        <x:v>intermediate</x:v>
      </x:c>
      <x:c r="F688" s="86" t="str">
        <x:v>L3</x:v>
      </x:c>
      <x:c r="G688" s="86" t="str">
        <x:v>CAL field-CAL-3</x:v>
      </x:c>
      <x:c r="H688" s="86" t="str">
        <x:v>T3</x:v>
      </x:c>
      <x:c r="I688" s="91" t="str">
        <x:v>OPEN</x:v>
      </x:c>
    </x:row>
    <x:row r="689">
      <x:c r="A689" s="86" t="str">
        <x:v>CH-0684</x:v>
      </x:c>
      <x:c r="B689" s="86" t="str">
        <x:v>CAL field</x:v>
      </x:c>
      <x:c r="C689" s="108" t="n">
        <x:v>44</x:v>
      </x:c>
      <x:c r="D689" s="86" t="str">
        <x:v>Z12</x:v>
      </x:c>
      <x:c r="E689" s="86" t="str">
        <x:v>intermediate</x:v>
      </x:c>
      <x:c r="F689" s="86" t="str">
        <x:v>L4</x:v>
      </x:c>
      <x:c r="G689" s="86" t="str">
        <x:v>CAL field-CAL-4</x:v>
      </x:c>
      <x:c r="H689" s="86" t="str">
        <x:v>T4</x:v>
      </x:c>
      <x:c r="I689" s="91" t="str">
        <x:v>OPEN</x:v>
      </x:c>
    </x:row>
    <x:row r="690">
      <x:c r="A690" s="86" t="str">
        <x:v>CH-0685</x:v>
      </x:c>
      <x:c r="B690" s="86" t="str">
        <x:v>CAL field</x:v>
      </x:c>
      <x:c r="C690" s="108" t="n">
        <x:v>45</x:v>
      </x:c>
      <x:c r="D690" s="86" t="str">
        <x:v>Z13</x:v>
      </x:c>
      <x:c r="E690" s="86" t="str">
        <x:v>intermediate</x:v>
      </x:c>
      <x:c r="F690" s="86" t="str">
        <x:v>L1</x:v>
      </x:c>
      <x:c r="G690" s="86" t="str">
        <x:v>CAL field-CAL-1</x:v>
      </x:c>
      <x:c r="H690" s="86" t="str">
        <x:v>T1</x:v>
      </x:c>
      <x:c r="I690" s="91" t="str">
        <x:v>OPEN</x:v>
      </x:c>
    </x:row>
    <x:row r="691">
      <x:c r="A691" s="86" t="str">
        <x:v>CH-0686</x:v>
      </x:c>
      <x:c r="B691" s="86" t="str">
        <x:v>CAL field</x:v>
      </x:c>
      <x:c r="C691" s="108" t="n">
        <x:v>46</x:v>
      </x:c>
      <x:c r="D691" s="86" t="str">
        <x:v>Z14</x:v>
      </x:c>
      <x:c r="E691" s="86" t="str">
        <x:v>intermediate</x:v>
      </x:c>
      <x:c r="F691" s="86" t="str">
        <x:v>L2</x:v>
      </x:c>
      <x:c r="G691" s="86" t="str">
        <x:v>CAL field-CAL-2</x:v>
      </x:c>
      <x:c r="H691" s="86" t="str">
        <x:v>T2</x:v>
      </x:c>
      <x:c r="I691" s="91" t="str">
        <x:v>OPEN</x:v>
      </x:c>
    </x:row>
    <x:row r="692">
      <x:c r="A692" s="86" t="str">
        <x:v>CH-0687</x:v>
      </x:c>
      <x:c r="B692" s="86" t="str">
        <x:v>CAL field</x:v>
      </x:c>
      <x:c r="C692" s="108" t="n">
        <x:v>47</x:v>
      </x:c>
      <x:c r="D692" s="86" t="str">
        <x:v>Z15</x:v>
      </x:c>
      <x:c r="E692" s="86" t="str">
        <x:v>intermediate</x:v>
      </x:c>
      <x:c r="F692" s="86" t="str">
        <x:v>L3</x:v>
      </x:c>
      <x:c r="G692" s="86" t="str">
        <x:v>CAL field-CAL-3</x:v>
      </x:c>
      <x:c r="H692" s="86" t="str">
        <x:v>T3</x:v>
      </x:c>
      <x:c r="I692" s="91" t="str">
        <x:v>OPEN</x:v>
      </x:c>
    </x:row>
    <x:row r="693">
      <x:c r="A693" s="86" t="str">
        <x:v>CH-0688</x:v>
      </x:c>
      <x:c r="B693" s="86" t="str">
        <x:v>CAL field</x:v>
      </x:c>
      <x:c r="C693" s="108" t="n">
        <x:v>48</x:v>
      </x:c>
      <x:c r="D693" s="86" t="str">
        <x:v>Z16</x:v>
      </x:c>
      <x:c r="E693" s="86" t="str">
        <x:v>intermediate</x:v>
      </x:c>
      <x:c r="F693" s="86" t="str">
        <x:v>L4</x:v>
      </x:c>
      <x:c r="G693" s="86" t="str">
        <x:v>CAL field-CAL-4</x:v>
      </x:c>
      <x:c r="H693" s="86" t="str">
        <x:v>T4</x:v>
      </x:c>
      <x:c r="I693" s="91" t="str">
        <x:v>OPEN</x:v>
      </x:c>
    </x:row>
    <x:row r="694">
      <x:c r="A694" s="86" t="str">
        <x:v>CH-0689</x:v>
      </x:c>
      <x:c r="B694" s="86" t="str">
        <x:v>CAL field</x:v>
      </x:c>
      <x:c r="C694" s="108" t="n">
        <x:v>49</x:v>
      </x:c>
      <x:c r="D694" s="86" t="str">
        <x:v>Z01</x:v>
      </x:c>
      <x:c r="E694" s="86" t="str">
        <x:v>return</x:v>
      </x:c>
      <x:c r="F694" s="86" t="str">
        <x:v>L1</x:v>
      </x:c>
      <x:c r="G694" s="86" t="str">
        <x:v>CAL field-CAL-1</x:v>
      </x:c>
      <x:c r="H694" s="86" t="str">
        <x:v>T1</x:v>
      </x:c>
      <x:c r="I694" s="91" t="str">
        <x:v>OPEN</x:v>
      </x:c>
    </x:row>
    <x:row r="695">
      <x:c r="A695" s="86" t="str">
        <x:v>CH-0690</x:v>
      </x:c>
      <x:c r="B695" s="86" t="str">
        <x:v>CAL field</x:v>
      </x:c>
      <x:c r="C695" s="108" t="n">
        <x:v>50</x:v>
      </x:c>
      <x:c r="D695" s="86" t="str">
        <x:v>Z02</x:v>
      </x:c>
      <x:c r="E695" s="86" t="str">
        <x:v>return</x:v>
      </x:c>
      <x:c r="F695" s="86" t="str">
        <x:v>L2</x:v>
      </x:c>
      <x:c r="G695" s="86" t="str">
        <x:v>CAL field-CAL-2</x:v>
      </x:c>
      <x:c r="H695" s="86" t="str">
        <x:v>T2</x:v>
      </x:c>
      <x:c r="I695" s="91" t="str">
        <x:v>OPEN</x:v>
      </x:c>
    </x:row>
    <x:row r="696">
      <x:c r="A696" s="86" t="str">
        <x:v>CH-0691</x:v>
      </x:c>
      <x:c r="B696" s="86" t="str">
        <x:v>CAL field</x:v>
      </x:c>
      <x:c r="C696" s="108" t="n">
        <x:v>51</x:v>
      </x:c>
      <x:c r="D696" s="86" t="str">
        <x:v>Z03</x:v>
      </x:c>
      <x:c r="E696" s="86" t="str">
        <x:v>return</x:v>
      </x:c>
      <x:c r="F696" s="86" t="str">
        <x:v>L3</x:v>
      </x:c>
      <x:c r="G696" s="86" t="str">
        <x:v>CAL field-CAL-3</x:v>
      </x:c>
      <x:c r="H696" s="86" t="str">
        <x:v>T3</x:v>
      </x:c>
      <x:c r="I696" s="91" t="str">
        <x:v>OPEN</x:v>
      </x:c>
    </x:row>
    <x:row r="697">
      <x:c r="A697" s="86" t="str">
        <x:v>CH-0692</x:v>
      </x:c>
      <x:c r="B697" s="86" t="str">
        <x:v>CAL field</x:v>
      </x:c>
      <x:c r="C697" s="108" t="n">
        <x:v>52</x:v>
      </x:c>
      <x:c r="D697" s="86" t="str">
        <x:v>Z04</x:v>
      </x:c>
      <x:c r="E697" s="86" t="str">
        <x:v>return</x:v>
      </x:c>
      <x:c r="F697" s="86" t="str">
        <x:v>L4</x:v>
      </x:c>
      <x:c r="G697" s="86" t="str">
        <x:v>CAL field-CAL-4</x:v>
      </x:c>
      <x:c r="H697" s="86" t="str">
        <x:v>T4</x:v>
      </x:c>
      <x:c r="I697" s="91" t="str">
        <x:v>OPEN</x:v>
      </x:c>
    </x:row>
    <x:row r="698">
      <x:c r="A698" s="86" t="str">
        <x:v>CH-0693</x:v>
      </x:c>
      <x:c r="B698" s="86" t="str">
        <x:v>CAL field</x:v>
      </x:c>
      <x:c r="C698" s="108" t="n">
        <x:v>53</x:v>
      </x:c>
      <x:c r="D698" s="86" t="str">
        <x:v>Z05</x:v>
      </x:c>
      <x:c r="E698" s="86" t="str">
        <x:v>return</x:v>
      </x:c>
      <x:c r="F698" s="86" t="str">
        <x:v>L1</x:v>
      </x:c>
      <x:c r="G698" s="86" t="str">
        <x:v>CAL field-CAL-1</x:v>
      </x:c>
      <x:c r="H698" s="86" t="str">
        <x:v>T1</x:v>
      </x:c>
      <x:c r="I698" s="91" t="str">
        <x:v>OPEN</x:v>
      </x:c>
    </x:row>
    <x:row r="699">
      <x:c r="A699" s="86" t="str">
        <x:v>CH-0694</x:v>
      </x:c>
      <x:c r="B699" s="86" t="str">
        <x:v>CAL field</x:v>
      </x:c>
      <x:c r="C699" s="108" t="n">
        <x:v>54</x:v>
      </x:c>
      <x:c r="D699" s="86" t="str">
        <x:v>Z06</x:v>
      </x:c>
      <x:c r="E699" s="86" t="str">
        <x:v>return</x:v>
      </x:c>
      <x:c r="F699" s="86" t="str">
        <x:v>L2</x:v>
      </x:c>
      <x:c r="G699" s="86" t="str">
        <x:v>CAL field-CAL-2</x:v>
      </x:c>
      <x:c r="H699" s="86" t="str">
        <x:v>T2</x:v>
      </x:c>
      <x:c r="I699" s="91" t="str">
        <x:v>OPEN</x:v>
      </x:c>
    </x:row>
    <x:row r="700">
      <x:c r="A700" s="86" t="str">
        <x:v>CH-0695</x:v>
      </x:c>
      <x:c r="B700" s="86" t="str">
        <x:v>CAL field</x:v>
      </x:c>
      <x:c r="C700" s="108" t="n">
        <x:v>55</x:v>
      </x:c>
      <x:c r="D700" s="86" t="str">
        <x:v>Z07</x:v>
      </x:c>
      <x:c r="E700" s="86" t="str">
        <x:v>return</x:v>
      </x:c>
      <x:c r="F700" s="86" t="str">
        <x:v>L3</x:v>
      </x:c>
      <x:c r="G700" s="86" t="str">
        <x:v>CAL field-CAL-3</x:v>
      </x:c>
      <x:c r="H700" s="86" t="str">
        <x:v>T3</x:v>
      </x:c>
      <x:c r="I700" s="91" t="str">
        <x:v>OPEN</x:v>
      </x:c>
    </x:row>
    <x:row r="701">
      <x:c r="A701" s="86" t="str">
        <x:v>CH-0696</x:v>
      </x:c>
      <x:c r="B701" s="86" t="str">
        <x:v>CAL field</x:v>
      </x:c>
      <x:c r="C701" s="108" t="n">
        <x:v>56</x:v>
      </x:c>
      <x:c r="D701" s="86" t="str">
        <x:v>Z08</x:v>
      </x:c>
      <x:c r="E701" s="86" t="str">
        <x:v>return</x:v>
      </x:c>
      <x:c r="F701" s="86" t="str">
        <x:v>L4</x:v>
      </x:c>
      <x:c r="G701" s="86" t="str">
        <x:v>CAL field-CAL-4</x:v>
      </x:c>
      <x:c r="H701" s="86" t="str">
        <x:v>T4</x:v>
      </x:c>
      <x:c r="I701" s="91" t="str">
        <x:v>OPEN</x:v>
      </x:c>
    </x:row>
    <x:row r="702">
      <x:c r="A702" s="86" t="str">
        <x:v>CH-0697</x:v>
      </x:c>
      <x:c r="B702" s="86" t="str">
        <x:v>CAL field</x:v>
      </x:c>
      <x:c r="C702" s="108" t="n">
        <x:v>57</x:v>
      </x:c>
      <x:c r="D702" s="86" t="str">
        <x:v>Z09</x:v>
      </x:c>
      <x:c r="E702" s="86" t="str">
        <x:v>return</x:v>
      </x:c>
      <x:c r="F702" s="86" t="str">
        <x:v>L1</x:v>
      </x:c>
      <x:c r="G702" s="86" t="str">
        <x:v>CAL field-CAL-1</x:v>
      </x:c>
      <x:c r="H702" s="86" t="str">
        <x:v>T1</x:v>
      </x:c>
      <x:c r="I702" s="91" t="str">
        <x:v>OPEN</x:v>
      </x:c>
    </x:row>
    <x:row r="703">
      <x:c r="A703" s="86" t="str">
        <x:v>CH-0698</x:v>
      </x:c>
      <x:c r="B703" s="86" t="str">
        <x:v>CAL field</x:v>
      </x:c>
      <x:c r="C703" s="108" t="n">
        <x:v>58</x:v>
      </x:c>
      <x:c r="D703" s="86" t="str">
        <x:v>Z10</x:v>
      </x:c>
      <x:c r="E703" s="86" t="str">
        <x:v>return</x:v>
      </x:c>
      <x:c r="F703" s="86" t="str">
        <x:v>L2</x:v>
      </x:c>
      <x:c r="G703" s="86" t="str">
        <x:v>CAL field-CAL-2</x:v>
      </x:c>
      <x:c r="H703" s="86" t="str">
        <x:v>T2</x:v>
      </x:c>
      <x:c r="I703" s="91" t="str">
        <x:v>OPEN</x:v>
      </x:c>
    </x:row>
    <x:row r="704">
      <x:c r="A704" s="86" t="str">
        <x:v>CH-0699</x:v>
      </x:c>
      <x:c r="B704" s="86" t="str">
        <x:v>CAL field</x:v>
      </x:c>
      <x:c r="C704" s="108" t="n">
        <x:v>59</x:v>
      </x:c>
      <x:c r="D704" s="86" t="str">
        <x:v>Z11</x:v>
      </x:c>
      <x:c r="E704" s="86" t="str">
        <x:v>return</x:v>
      </x:c>
      <x:c r="F704" s="86" t="str">
        <x:v>L3</x:v>
      </x:c>
      <x:c r="G704" s="86" t="str">
        <x:v>CAL field-CAL-3</x:v>
      </x:c>
      <x:c r="H704" s="86" t="str">
        <x:v>T3</x:v>
      </x:c>
      <x:c r="I704" s="91" t="str">
        <x:v>OPEN</x:v>
      </x:c>
    </x:row>
    <x:row r="705">
      <x:c r="A705" s="86" t="str">
        <x:v>CH-0700</x:v>
      </x:c>
      <x:c r="B705" s="86" t="str">
        <x:v>CAL field</x:v>
      </x:c>
      <x:c r="C705" s="108" t="n">
        <x:v>60</x:v>
      </x:c>
      <x:c r="D705" s="86" t="str">
        <x:v>Z12</x:v>
      </x:c>
      <x:c r="E705" s="86" t="str">
        <x:v>return</x:v>
      </x:c>
      <x:c r="F705" s="86" t="str">
        <x:v>L4</x:v>
      </x:c>
      <x:c r="G705" s="86" t="str">
        <x:v>CAL field-CAL-4</x:v>
      </x:c>
      <x:c r="H705" s="86" t="str">
        <x:v>T4</x:v>
      </x:c>
      <x:c r="I705" s="91" t="str">
        <x:v>OPEN</x:v>
      </x:c>
    </x:row>
    <x:row r="706">
      <x:c r="A706" s="86" t="str">
        <x:v>CH-0701</x:v>
      </x:c>
      <x:c r="B706" s="86" t="str">
        <x:v>CAL field</x:v>
      </x:c>
      <x:c r="C706" s="108" t="n">
        <x:v>61</x:v>
      </x:c>
      <x:c r="D706" s="86" t="str">
        <x:v>Z13</x:v>
      </x:c>
      <x:c r="E706" s="86" t="str">
        <x:v>return</x:v>
      </x:c>
      <x:c r="F706" s="86" t="str">
        <x:v>L1</x:v>
      </x:c>
      <x:c r="G706" s="86" t="str">
        <x:v>CAL field-CAL-1</x:v>
      </x:c>
      <x:c r="H706" s="86" t="str">
        <x:v>T1</x:v>
      </x:c>
      <x:c r="I706" s="91" t="str">
        <x:v>OPEN</x:v>
      </x:c>
    </x:row>
    <x:row r="707">
      <x:c r="A707" s="86" t="str">
        <x:v>CH-0702</x:v>
      </x:c>
      <x:c r="B707" s="86" t="str">
        <x:v>CAL field</x:v>
      </x:c>
      <x:c r="C707" s="108" t="n">
        <x:v>62</x:v>
      </x:c>
      <x:c r="D707" s="86" t="str">
        <x:v>Z14</x:v>
      </x:c>
      <x:c r="E707" s="86" t="str">
        <x:v>return</x:v>
      </x:c>
      <x:c r="F707" s="86" t="str">
        <x:v>L2</x:v>
      </x:c>
      <x:c r="G707" s="86" t="str">
        <x:v>CAL field-CAL-2</x:v>
      </x:c>
      <x:c r="H707" s="86" t="str">
        <x:v>T2</x:v>
      </x:c>
      <x:c r="I707" s="91" t="str">
        <x:v>OPEN</x:v>
      </x:c>
    </x:row>
    <x:row r="708">
      <x:c r="A708" s="86" t="str">
        <x:v>CH-0703</x:v>
      </x:c>
      <x:c r="B708" s="86" t="str">
        <x:v>CAL field</x:v>
      </x:c>
      <x:c r="C708" s="108" t="n">
        <x:v>63</x:v>
      </x:c>
      <x:c r="D708" s="86" t="str">
        <x:v>Z15</x:v>
      </x:c>
      <x:c r="E708" s="86" t="str">
        <x:v>return</x:v>
      </x:c>
      <x:c r="F708" s="86" t="str">
        <x:v>L3</x:v>
      </x:c>
      <x:c r="G708" s="86" t="str">
        <x:v>CAL field-CAL-3</x:v>
      </x:c>
      <x:c r="H708" s="86" t="str">
        <x:v>T3</x:v>
      </x:c>
      <x:c r="I708" s="91" t="str">
        <x:v>OPEN</x:v>
      </x:c>
    </x:row>
    <x:row r="709">
      <x:c r="A709" s="86" t="str">
        <x:v>CH-0704</x:v>
      </x:c>
      <x:c r="B709" s="86" t="str">
        <x:v>CAL field</x:v>
      </x:c>
      <x:c r="C709" s="108" t="n">
        <x:v>64</x:v>
      </x:c>
      <x:c r="D709" s="86" t="str">
        <x:v>Z16</x:v>
      </x:c>
      <x:c r="E709" s="86" t="str">
        <x:v>return</x:v>
      </x:c>
      <x:c r="F709" s="86" t="str">
        <x:v>L4</x:v>
      </x:c>
      <x:c r="G709" s="86" t="str">
        <x:v>CAL field-CAL-4</x:v>
      </x:c>
      <x:c r="H709" s="86" t="str">
        <x:v>T4</x:v>
      </x:c>
      <x:c r="I709" s="91" t="str">
        <x:v>OPEN</x:v>
      </x:c>
    </x:row>
    <x:row r="710">
      <x:c r="A710" s="86" t="str">
        <x:v>CH-0705</x:v>
      </x:c>
      <x:c r="B710" s="86" t="str">
        <x:v>CAL boundary</x:v>
      </x:c>
      <x:c r="C710" s="108" t="n">
        <x:v>1</x:v>
      </x:c>
      <x:c r="D710" s="86" t="str">
        <x:v>Z01</x:v>
      </x:c>
      <x:c r="E710" s="86" t="str">
        <x:v>full</x:v>
      </x:c>
      <x:c r="F710" s="86" t="str">
        <x:v>L1</x:v>
      </x:c>
      <x:c r="G710" s="86" t="str">
        <x:v>CAL boundary-CAL-1</x:v>
      </x:c>
      <x:c r="H710" s="86" t="str">
        <x:v>T1</x:v>
      </x:c>
      <x:c r="I710" s="91" t="str">
        <x:v>OPEN</x:v>
      </x:c>
    </x:row>
    <x:row r="711">
      <x:c r="A711" s="86" t="str">
        <x:v>CH-0706</x:v>
      </x:c>
      <x:c r="B711" s="86" t="str">
        <x:v>CAL boundary</x:v>
      </x:c>
      <x:c r="C711" s="108" t="n">
        <x:v>2</x:v>
      </x:c>
      <x:c r="D711" s="86" t="str">
        <x:v>Z02</x:v>
      </x:c>
      <x:c r="E711" s="86" t="str">
        <x:v>full</x:v>
      </x:c>
      <x:c r="F711" s="86" t="str">
        <x:v>L2</x:v>
      </x:c>
      <x:c r="G711" s="86" t="str">
        <x:v>CAL boundary-CAL-2</x:v>
      </x:c>
      <x:c r="H711" s="86" t="str">
        <x:v>T2</x:v>
      </x:c>
      <x:c r="I711" s="91" t="str">
        <x:v>OPEN</x:v>
      </x:c>
    </x:row>
    <x:row r="712">
      <x:c r="A712" s="86" t="str">
        <x:v>CH-0707</x:v>
      </x:c>
      <x:c r="B712" s="86" t="str">
        <x:v>CAL boundary</x:v>
      </x:c>
      <x:c r="C712" s="108" t="n">
        <x:v>3</x:v>
      </x:c>
      <x:c r="D712" s="86" t="str">
        <x:v>Z03</x:v>
      </x:c>
      <x:c r="E712" s="86" t="str">
        <x:v>full</x:v>
      </x:c>
      <x:c r="F712" s="86" t="str">
        <x:v>L3</x:v>
      </x:c>
      <x:c r="G712" s="86" t="str">
        <x:v>CAL boundary-CAL-3</x:v>
      </x:c>
      <x:c r="H712" s="86" t="str">
        <x:v>T3</x:v>
      </x:c>
      <x:c r="I712" s="91" t="str">
        <x:v>OPEN</x:v>
      </x:c>
    </x:row>
    <x:row r="713">
      <x:c r="A713" s="86" t="str">
        <x:v>CH-0708</x:v>
      </x:c>
      <x:c r="B713" s="86" t="str">
        <x:v>CAL boundary</x:v>
      </x:c>
      <x:c r="C713" s="108" t="n">
        <x:v>4</x:v>
      </x:c>
      <x:c r="D713" s="86" t="str">
        <x:v>Z04</x:v>
      </x:c>
      <x:c r="E713" s="86" t="str">
        <x:v>full</x:v>
      </x:c>
      <x:c r="F713" s="86" t="str">
        <x:v>L4</x:v>
      </x:c>
      <x:c r="G713" s="86" t="str">
        <x:v>CAL boundary-CAL-4</x:v>
      </x:c>
      <x:c r="H713" s="86" t="str">
        <x:v>T4</x:v>
      </x:c>
      <x:c r="I713" s="91" t="str">
        <x:v>OPEN</x:v>
      </x:c>
    </x:row>
    <x:row r="714">
      <x:c r="A714" s="86" t="str">
        <x:v>CH-0709</x:v>
      </x:c>
      <x:c r="B714" s="86" t="str">
        <x:v>CAL boundary</x:v>
      </x:c>
      <x:c r="C714" s="108" t="n">
        <x:v>5</x:v>
      </x:c>
      <x:c r="D714" s="86" t="str">
        <x:v>Z05</x:v>
      </x:c>
      <x:c r="E714" s="86" t="str">
        <x:v>full</x:v>
      </x:c>
      <x:c r="F714" s="86" t="str">
        <x:v>L1</x:v>
      </x:c>
      <x:c r="G714" s="86" t="str">
        <x:v>CAL boundary-CAL-1</x:v>
      </x:c>
      <x:c r="H714" s="86" t="str">
        <x:v>T1</x:v>
      </x:c>
      <x:c r="I714" s="91" t="str">
        <x:v>OPEN</x:v>
      </x:c>
    </x:row>
    <x:row r="715">
      <x:c r="A715" s="86" t="str">
        <x:v>CH-0710</x:v>
      </x:c>
      <x:c r="B715" s="86" t="str">
        <x:v>CAL boundary</x:v>
      </x:c>
      <x:c r="C715" s="108" t="n">
        <x:v>6</x:v>
      </x:c>
      <x:c r="D715" s="86" t="str">
        <x:v>Z06</x:v>
      </x:c>
      <x:c r="E715" s="86" t="str">
        <x:v>full</x:v>
      </x:c>
      <x:c r="F715" s="86" t="str">
        <x:v>L2</x:v>
      </x:c>
      <x:c r="G715" s="86" t="str">
        <x:v>CAL boundary-CAL-2</x:v>
      </x:c>
      <x:c r="H715" s="86" t="str">
        <x:v>T2</x:v>
      </x:c>
      <x:c r="I715" s="91" t="str">
        <x:v>OPEN</x:v>
      </x:c>
    </x:row>
    <x:row r="716">
      <x:c r="A716" s="86" t="str">
        <x:v>CH-0711</x:v>
      </x:c>
      <x:c r="B716" s="86" t="str">
        <x:v>CAL boundary</x:v>
      </x:c>
      <x:c r="C716" s="108" t="n">
        <x:v>7</x:v>
      </x:c>
      <x:c r="D716" s="86" t="str">
        <x:v>Z07</x:v>
      </x:c>
      <x:c r="E716" s="86" t="str">
        <x:v>full</x:v>
      </x:c>
      <x:c r="F716" s="86" t="str">
        <x:v>L3</x:v>
      </x:c>
      <x:c r="G716" s="86" t="str">
        <x:v>CAL boundary-CAL-3</x:v>
      </x:c>
      <x:c r="H716" s="86" t="str">
        <x:v>T3</x:v>
      </x:c>
      <x:c r="I716" s="91" t="str">
        <x:v>OPEN</x:v>
      </x:c>
    </x:row>
    <x:row r="717">
      <x:c r="A717" s="86" t="str">
        <x:v>CH-0712</x:v>
      </x:c>
      <x:c r="B717" s="86" t="str">
        <x:v>CAL boundary</x:v>
      </x:c>
      <x:c r="C717" s="108" t="n">
        <x:v>8</x:v>
      </x:c>
      <x:c r="D717" s="86" t="str">
        <x:v>Z08</x:v>
      </x:c>
      <x:c r="E717" s="86" t="str">
        <x:v>full</x:v>
      </x:c>
      <x:c r="F717" s="86" t="str">
        <x:v>L4</x:v>
      </x:c>
      <x:c r="G717" s="86" t="str">
        <x:v>CAL boundary-CAL-4</x:v>
      </x:c>
      <x:c r="H717" s="86" t="str">
        <x:v>T4</x:v>
      </x:c>
      <x:c r="I717" s="91" t="str">
        <x:v>OPEN</x:v>
      </x:c>
    </x:row>
    <x:row r="718">
      <x:c r="A718" s="86" t="str">
        <x:v>CH-0713</x:v>
      </x:c>
      <x:c r="B718" s="86" t="str">
        <x:v>CAL boundary</x:v>
      </x:c>
      <x:c r="C718" s="108" t="n">
        <x:v>9</x:v>
      </x:c>
      <x:c r="D718" s="86" t="str">
        <x:v>Z09</x:v>
      </x:c>
      <x:c r="E718" s="86" t="str">
        <x:v>full</x:v>
      </x:c>
      <x:c r="F718" s="86" t="str">
        <x:v>L1</x:v>
      </x:c>
      <x:c r="G718" s="86" t="str">
        <x:v>CAL boundary-CAL-1</x:v>
      </x:c>
      <x:c r="H718" s="86" t="str">
        <x:v>T1</x:v>
      </x:c>
      <x:c r="I718" s="91" t="str">
        <x:v>OPEN</x:v>
      </x:c>
    </x:row>
    <x:row r="719">
      <x:c r="A719" s="86" t="str">
        <x:v>CH-0714</x:v>
      </x:c>
      <x:c r="B719" s="86" t="str">
        <x:v>CAL boundary</x:v>
      </x:c>
      <x:c r="C719" s="108" t="n">
        <x:v>10</x:v>
      </x:c>
      <x:c r="D719" s="86" t="str">
        <x:v>Z10</x:v>
      </x:c>
      <x:c r="E719" s="86" t="str">
        <x:v>full</x:v>
      </x:c>
      <x:c r="F719" s="86" t="str">
        <x:v>L2</x:v>
      </x:c>
      <x:c r="G719" s="86" t="str">
        <x:v>CAL boundary-CAL-2</x:v>
      </x:c>
      <x:c r="H719" s="86" t="str">
        <x:v>T2</x:v>
      </x:c>
      <x:c r="I719" s="91" t="str">
        <x:v>OPEN</x:v>
      </x:c>
    </x:row>
    <x:row r="720">
      <x:c r="A720" s="86" t="str">
        <x:v>CH-0715</x:v>
      </x:c>
      <x:c r="B720" s="86" t="str">
        <x:v>CAL boundary</x:v>
      </x:c>
      <x:c r="C720" s="108" t="n">
        <x:v>11</x:v>
      </x:c>
      <x:c r="D720" s="86" t="str">
        <x:v>Z11</x:v>
      </x:c>
      <x:c r="E720" s="86" t="str">
        <x:v>full</x:v>
      </x:c>
      <x:c r="F720" s="86" t="str">
        <x:v>L3</x:v>
      </x:c>
      <x:c r="G720" s="86" t="str">
        <x:v>CAL boundary-CAL-3</x:v>
      </x:c>
      <x:c r="H720" s="86" t="str">
        <x:v>T3</x:v>
      </x:c>
      <x:c r="I720" s="91" t="str">
        <x:v>OPEN</x:v>
      </x:c>
    </x:row>
    <x:row r="721">
      <x:c r="A721" s="86" t="str">
        <x:v>CH-0716</x:v>
      </x:c>
      <x:c r="B721" s="86" t="str">
        <x:v>CAL boundary</x:v>
      </x:c>
      <x:c r="C721" s="108" t="n">
        <x:v>12</x:v>
      </x:c>
      <x:c r="D721" s="86" t="str">
        <x:v>Z12</x:v>
      </x:c>
      <x:c r="E721" s="86" t="str">
        <x:v>full</x:v>
      </x:c>
      <x:c r="F721" s="86" t="str">
        <x:v>L4</x:v>
      </x:c>
      <x:c r="G721" s="86" t="str">
        <x:v>CAL boundary-CAL-4</x:v>
      </x:c>
      <x:c r="H721" s="86" t="str">
        <x:v>T4</x:v>
      </x:c>
      <x:c r="I721" s="91" t="str">
        <x:v>OPEN</x:v>
      </x:c>
    </x:row>
    <x:row r="722">
      <x:c r="A722" s="86" t="str">
        <x:v>CH-0717</x:v>
      </x:c>
      <x:c r="B722" s="86" t="str">
        <x:v>CAL boundary</x:v>
      </x:c>
      <x:c r="C722" s="108" t="n">
        <x:v>13</x:v>
      </x:c>
      <x:c r="D722" s="86" t="str">
        <x:v>Z13</x:v>
      </x:c>
      <x:c r="E722" s="86" t="str">
        <x:v>full</x:v>
      </x:c>
      <x:c r="F722" s="86" t="str">
        <x:v>L1</x:v>
      </x:c>
      <x:c r="G722" s="86" t="str">
        <x:v>CAL boundary-CAL-1</x:v>
      </x:c>
      <x:c r="H722" s="86" t="str">
        <x:v>T1</x:v>
      </x:c>
      <x:c r="I722" s="91" t="str">
        <x:v>OPEN</x:v>
      </x:c>
    </x:row>
    <x:row r="723">
      <x:c r="A723" s="86" t="str">
        <x:v>CH-0718</x:v>
      </x:c>
      <x:c r="B723" s="86" t="str">
        <x:v>CAL boundary</x:v>
      </x:c>
      <x:c r="C723" s="108" t="n">
        <x:v>14</x:v>
      </x:c>
      <x:c r="D723" s="86" t="str">
        <x:v>Z14</x:v>
      </x:c>
      <x:c r="E723" s="86" t="str">
        <x:v>full</x:v>
      </x:c>
      <x:c r="F723" s="86" t="str">
        <x:v>L2</x:v>
      </x:c>
      <x:c r="G723" s="86" t="str">
        <x:v>CAL boundary-CAL-2</x:v>
      </x:c>
      <x:c r="H723" s="86" t="str">
        <x:v>T2</x:v>
      </x:c>
      <x:c r="I723" s="91" t="str">
        <x:v>OPEN</x:v>
      </x:c>
    </x:row>
    <x:row r="724">
      <x:c r="A724" s="86" t="str">
        <x:v>CH-0719</x:v>
      </x:c>
      <x:c r="B724" s="86" t="str">
        <x:v>CAL boundary</x:v>
      </x:c>
      <x:c r="C724" s="108" t="n">
        <x:v>15</x:v>
      </x:c>
      <x:c r="D724" s="86" t="str">
        <x:v>Z15</x:v>
      </x:c>
      <x:c r="E724" s="86" t="str">
        <x:v>full</x:v>
      </x:c>
      <x:c r="F724" s="86" t="str">
        <x:v>L3</x:v>
      </x:c>
      <x:c r="G724" s="86" t="str">
        <x:v>CAL boundary-CAL-3</x:v>
      </x:c>
      <x:c r="H724" s="86" t="str">
        <x:v>T3</x:v>
      </x:c>
      <x:c r="I724" s="91" t="str">
        <x:v>OPEN</x:v>
      </x:c>
    </x:row>
    <x:row r="725">
      <x:c r="A725" s="86" t="str">
        <x:v>CH-0720</x:v>
      </x:c>
      <x:c r="B725" s="86" t="str">
        <x:v>CAL boundary</x:v>
      </x:c>
      <x:c r="C725" s="108" t="n">
        <x:v>16</x:v>
      </x:c>
      <x:c r="D725" s="86" t="str">
        <x:v>Z16</x:v>
      </x:c>
      <x:c r="E725" s="86" t="str">
        <x:v>full</x:v>
      </x:c>
      <x:c r="F725" s="86" t="str">
        <x:v>L4</x:v>
      </x:c>
      <x:c r="G725" s="86" t="str">
        <x:v>CAL boundary-CAL-4</x:v>
      </x:c>
      <x:c r="H725" s="86" t="str">
        <x:v>T4</x:v>
      </x:c>
      <x:c r="I725" s="91" t="str">
        <x:v>OPEN</x:v>
      </x:c>
    </x:row>
    <x:row r="726">
      <x:c r="A726" s="86" t="str">
        <x:v>CH-0721</x:v>
      </x:c>
      <x:c r="B726" s="86" t="str">
        <x:v>CAL boundary</x:v>
      </x:c>
      <x:c r="C726" s="108" t="n">
        <x:v>17</x:v>
      </x:c>
      <x:c r="D726" s="86" t="str">
        <x:v>Z01</x:v>
      </x:c>
      <x:c r="E726" s="86" t="str">
        <x:v>full</x:v>
      </x:c>
      <x:c r="F726" s="86" t="str">
        <x:v>L1</x:v>
      </x:c>
      <x:c r="G726" s="86" t="str">
        <x:v>CAL boundary-CAL-1</x:v>
      </x:c>
      <x:c r="H726" s="86" t="str">
        <x:v>T1</x:v>
      </x:c>
      <x:c r="I726" s="91" t="str">
        <x:v>OPEN</x:v>
      </x:c>
    </x:row>
    <x:row r="727">
      <x:c r="A727" s="86" t="str">
        <x:v>CH-0722</x:v>
      </x:c>
      <x:c r="B727" s="86" t="str">
        <x:v>CAL boundary</x:v>
      </x:c>
      <x:c r="C727" s="108" t="n">
        <x:v>18</x:v>
      </x:c>
      <x:c r="D727" s="86" t="str">
        <x:v>Z02</x:v>
      </x:c>
      <x:c r="E727" s="86" t="str">
        <x:v>full</x:v>
      </x:c>
      <x:c r="F727" s="86" t="str">
        <x:v>L2</x:v>
      </x:c>
      <x:c r="G727" s="86" t="str">
        <x:v>CAL boundary-CAL-2</x:v>
      </x:c>
      <x:c r="H727" s="86" t="str">
        <x:v>T2</x:v>
      </x:c>
      <x:c r="I727" s="91" t="str">
        <x:v>OPEN</x:v>
      </x:c>
    </x:row>
    <x:row r="728">
      <x:c r="A728" s="86" t="str">
        <x:v>CH-0723</x:v>
      </x:c>
      <x:c r="B728" s="86" t="str">
        <x:v>CAL boundary</x:v>
      </x:c>
      <x:c r="C728" s="108" t="n">
        <x:v>19</x:v>
      </x:c>
      <x:c r="D728" s="86" t="str">
        <x:v>Z03</x:v>
      </x:c>
      <x:c r="E728" s="86" t="str">
        <x:v>full</x:v>
      </x:c>
      <x:c r="F728" s="86" t="str">
        <x:v>L3</x:v>
      </x:c>
      <x:c r="G728" s="86" t="str">
        <x:v>CAL boundary-CAL-3</x:v>
      </x:c>
      <x:c r="H728" s="86" t="str">
        <x:v>T3</x:v>
      </x:c>
      <x:c r="I728" s="91" t="str">
        <x:v>OPEN</x:v>
      </x:c>
    </x:row>
    <x:row r="729">
      <x:c r="A729" s="86" t="str">
        <x:v>CH-0724</x:v>
      </x:c>
      <x:c r="B729" s="86" t="str">
        <x:v>CAL boundary</x:v>
      </x:c>
      <x:c r="C729" s="108" t="n">
        <x:v>20</x:v>
      </x:c>
      <x:c r="D729" s="86" t="str">
        <x:v>Z04</x:v>
      </x:c>
      <x:c r="E729" s="86" t="str">
        <x:v>full</x:v>
      </x:c>
      <x:c r="F729" s="86" t="str">
        <x:v>L4</x:v>
      </x:c>
      <x:c r="G729" s="86" t="str">
        <x:v>CAL boundary-CAL-4</x:v>
      </x:c>
      <x:c r="H729" s="86" t="str">
        <x:v>T4</x:v>
      </x:c>
      <x:c r="I729" s="91" t="str">
        <x:v>OPEN</x:v>
      </x:c>
    </x:row>
    <x:row r="730">
      <x:c r="A730" s="86" t="str">
        <x:v>CH-0725</x:v>
      </x:c>
      <x:c r="B730" s="86" t="str">
        <x:v>CAL boundary</x:v>
      </x:c>
      <x:c r="C730" s="108" t="n">
        <x:v>21</x:v>
      </x:c>
      <x:c r="D730" s="86" t="str">
        <x:v>Z05</x:v>
      </x:c>
      <x:c r="E730" s="86" t="str">
        <x:v>full</x:v>
      </x:c>
      <x:c r="F730" s="86" t="str">
        <x:v>L1</x:v>
      </x:c>
      <x:c r="G730" s="86" t="str">
        <x:v>CAL boundary-CAL-1</x:v>
      </x:c>
      <x:c r="H730" s="86" t="str">
        <x:v>T1</x:v>
      </x:c>
      <x:c r="I730" s="91" t="str">
        <x:v>OPEN</x:v>
      </x:c>
    </x:row>
    <x:row r="731">
      <x:c r="A731" s="86" t="str">
        <x:v>CH-0726</x:v>
      </x:c>
      <x:c r="B731" s="86" t="str">
        <x:v>CAL boundary</x:v>
      </x:c>
      <x:c r="C731" s="108" t="n">
        <x:v>22</x:v>
      </x:c>
      <x:c r="D731" s="86" t="str">
        <x:v>Z06</x:v>
      </x:c>
      <x:c r="E731" s="86" t="str">
        <x:v>full</x:v>
      </x:c>
      <x:c r="F731" s="86" t="str">
        <x:v>L2</x:v>
      </x:c>
      <x:c r="G731" s="86" t="str">
        <x:v>CAL boundary-CAL-2</x:v>
      </x:c>
      <x:c r="H731" s="86" t="str">
        <x:v>T2</x:v>
      </x:c>
      <x:c r="I731" s="91" t="str">
        <x:v>OPEN</x:v>
      </x:c>
    </x:row>
    <x:row r="732">
      <x:c r="A732" s="86" t="str">
        <x:v>CH-0727</x:v>
      </x:c>
      <x:c r="B732" s="86" t="str">
        <x:v>CAL boundary</x:v>
      </x:c>
      <x:c r="C732" s="108" t="n">
        <x:v>23</x:v>
      </x:c>
      <x:c r="D732" s="86" t="str">
        <x:v>Z07</x:v>
      </x:c>
      <x:c r="E732" s="86" t="str">
        <x:v>full</x:v>
      </x:c>
      <x:c r="F732" s="86" t="str">
        <x:v>L3</x:v>
      </x:c>
      <x:c r="G732" s="86" t="str">
        <x:v>CAL boundary-CAL-3</x:v>
      </x:c>
      <x:c r="H732" s="86" t="str">
        <x:v>T3</x:v>
      </x:c>
      <x:c r="I732" s="91" t="str">
        <x:v>OPEN</x:v>
      </x:c>
    </x:row>
    <x:row r="733">
      <x:c r="A733" s="86" t="str">
        <x:v>CH-0728</x:v>
      </x:c>
      <x:c r="B733" s="86" t="str">
        <x:v>CAL boundary</x:v>
      </x:c>
      <x:c r="C733" s="108" t="n">
        <x:v>24</x:v>
      </x:c>
      <x:c r="D733" s="86" t="str">
        <x:v>Z08</x:v>
      </x:c>
      <x:c r="E733" s="86" t="str">
        <x:v>full</x:v>
      </x:c>
      <x:c r="F733" s="86" t="str">
        <x:v>L4</x:v>
      </x:c>
      <x:c r="G733" s="86" t="str">
        <x:v>CAL boundary-CAL-4</x:v>
      </x:c>
      <x:c r="H733" s="86" t="str">
        <x:v>T4</x:v>
      </x:c>
      <x:c r="I733" s="91" t="str">
        <x:v>OPEN</x:v>
      </x:c>
    </x:row>
    <x:row r="734">
      <x:c r="A734" s="86" t="str">
        <x:v>CH-0729</x:v>
      </x:c>
      <x:c r="B734" s="86" t="str">
        <x:v>CAL boundary</x:v>
      </x:c>
      <x:c r="C734" s="108" t="n">
        <x:v>25</x:v>
      </x:c>
      <x:c r="D734" s="86" t="str">
        <x:v>Z09</x:v>
      </x:c>
      <x:c r="E734" s="86" t="str">
        <x:v>full</x:v>
      </x:c>
      <x:c r="F734" s="86" t="str">
        <x:v>L1</x:v>
      </x:c>
      <x:c r="G734" s="86" t="str">
        <x:v>CAL boundary-CAL-1</x:v>
      </x:c>
      <x:c r="H734" s="86" t="str">
        <x:v>T1</x:v>
      </x:c>
      <x:c r="I734" s="91" t="str">
        <x:v>OPEN</x:v>
      </x:c>
    </x:row>
    <x:row r="735">
      <x:c r="A735" s="86" t="str">
        <x:v>CH-0730</x:v>
      </x:c>
      <x:c r="B735" s="86" t="str">
        <x:v>CAL boundary</x:v>
      </x:c>
      <x:c r="C735" s="108" t="n">
        <x:v>26</x:v>
      </x:c>
      <x:c r="D735" s="86" t="str">
        <x:v>Z10</x:v>
      </x:c>
      <x:c r="E735" s="86" t="str">
        <x:v>full</x:v>
      </x:c>
      <x:c r="F735" s="86" t="str">
        <x:v>L2</x:v>
      </x:c>
      <x:c r="G735" s="86" t="str">
        <x:v>CAL boundary-CAL-2</x:v>
      </x:c>
      <x:c r="H735" s="86" t="str">
        <x:v>T2</x:v>
      </x:c>
      <x:c r="I735" s="91" t="str">
        <x:v>OPEN</x:v>
      </x:c>
    </x:row>
    <x:row r="736">
      <x:c r="A736" s="86" t="str">
        <x:v>CH-0731</x:v>
      </x:c>
      <x:c r="B736" s="86" t="str">
        <x:v>CAL boundary</x:v>
      </x:c>
      <x:c r="C736" s="108" t="n">
        <x:v>27</x:v>
      </x:c>
      <x:c r="D736" s="86" t="str">
        <x:v>Z11</x:v>
      </x:c>
      <x:c r="E736" s="86" t="str">
        <x:v>full</x:v>
      </x:c>
      <x:c r="F736" s="86" t="str">
        <x:v>L3</x:v>
      </x:c>
      <x:c r="G736" s="86" t="str">
        <x:v>CAL boundary-CAL-3</x:v>
      </x:c>
      <x:c r="H736" s="86" t="str">
        <x:v>T3</x:v>
      </x:c>
      <x:c r="I736" s="91" t="str">
        <x:v>OPEN</x:v>
      </x:c>
    </x:row>
    <x:row r="737">
      <x:c r="A737" s="86" t="str">
        <x:v>CH-0732</x:v>
      </x:c>
      <x:c r="B737" s="86" t="str">
        <x:v>CAL boundary</x:v>
      </x:c>
      <x:c r="C737" s="108" t="n">
        <x:v>28</x:v>
      </x:c>
      <x:c r="D737" s="86" t="str">
        <x:v>Z12</x:v>
      </x:c>
      <x:c r="E737" s="86" t="str">
        <x:v>full</x:v>
      </x:c>
      <x:c r="F737" s="86" t="str">
        <x:v>L4</x:v>
      </x:c>
      <x:c r="G737" s="86" t="str">
        <x:v>CAL boundary-CAL-4</x:v>
      </x:c>
      <x:c r="H737" s="86" t="str">
        <x:v>T4</x:v>
      </x:c>
      <x:c r="I737" s="91" t="str">
        <x:v>OPEN</x:v>
      </x:c>
    </x:row>
    <x:row r="738">
      <x:c r="A738" s="86" t="str">
        <x:v>CH-0733</x:v>
      </x:c>
      <x:c r="B738" s="86" t="str">
        <x:v>CAL boundary</x:v>
      </x:c>
      <x:c r="C738" s="108" t="n">
        <x:v>29</x:v>
      </x:c>
      <x:c r="D738" s="86" t="str">
        <x:v>Z13</x:v>
      </x:c>
      <x:c r="E738" s="86" t="str">
        <x:v>full</x:v>
      </x:c>
      <x:c r="F738" s="86" t="str">
        <x:v>L1</x:v>
      </x:c>
      <x:c r="G738" s="86" t="str">
        <x:v>CAL boundary-CAL-1</x:v>
      </x:c>
      <x:c r="H738" s="86" t="str">
        <x:v>T1</x:v>
      </x:c>
      <x:c r="I738" s="91" t="str">
        <x:v>OPEN</x:v>
      </x:c>
    </x:row>
    <x:row r="739">
      <x:c r="A739" s="86" t="str">
        <x:v>CH-0734</x:v>
      </x:c>
      <x:c r="B739" s="86" t="str">
        <x:v>CAL boundary</x:v>
      </x:c>
      <x:c r="C739" s="108" t="n">
        <x:v>30</x:v>
      </x:c>
      <x:c r="D739" s="86" t="str">
        <x:v>Z14</x:v>
      </x:c>
      <x:c r="E739" s="86" t="str">
        <x:v>full</x:v>
      </x:c>
      <x:c r="F739" s="86" t="str">
        <x:v>L2</x:v>
      </x:c>
      <x:c r="G739" s="86" t="str">
        <x:v>CAL boundary-CAL-2</x:v>
      </x:c>
      <x:c r="H739" s="86" t="str">
        <x:v>T2</x:v>
      </x:c>
      <x:c r="I739" s="91" t="str">
        <x:v>OPEN</x:v>
      </x:c>
    </x:row>
    <x:row r="740">
      <x:c r="A740" s="86" t="str">
        <x:v>CH-0735</x:v>
      </x:c>
      <x:c r="B740" s="86" t="str">
        <x:v>CAL boundary</x:v>
      </x:c>
      <x:c r="C740" s="108" t="n">
        <x:v>31</x:v>
      </x:c>
      <x:c r="D740" s="86" t="str">
        <x:v>Z15</x:v>
      </x:c>
      <x:c r="E740" s="86" t="str">
        <x:v>full</x:v>
      </x:c>
      <x:c r="F740" s="86" t="str">
        <x:v>L3</x:v>
      </x:c>
      <x:c r="G740" s="86" t="str">
        <x:v>CAL boundary-CAL-3</x:v>
      </x:c>
      <x:c r="H740" s="86" t="str">
        <x:v>T3</x:v>
      </x:c>
      <x:c r="I740" s="91" t="str">
        <x:v>OPEN</x:v>
      </x:c>
    </x:row>
    <x:row r="741">
      <x:c r="A741" s="86" t="str">
        <x:v>CH-0736</x:v>
      </x:c>
      <x:c r="B741" s="86" t="str">
        <x:v>CAL boundary</x:v>
      </x:c>
      <x:c r="C741" s="108" t="n">
        <x:v>32</x:v>
      </x:c>
      <x:c r="D741" s="86" t="str">
        <x:v>Z16</x:v>
      </x:c>
      <x:c r="E741" s="86" t="str">
        <x:v>full</x:v>
      </x:c>
      <x:c r="F741" s="86" t="str">
        <x:v>L4</x:v>
      </x:c>
      <x:c r="G741" s="86" t="str">
        <x:v>CAL boundary-CAL-4</x:v>
      </x:c>
      <x:c r="H741" s="86" t="str">
        <x:v>T4</x:v>
      </x:c>
      <x:c r="I741" s="91" t="str">
        <x:v>OPEN</x:v>
      </x:c>
    </x:row>
    <x:row r="742">
      <x:c r="A742" s="86" t="str">
        <x:v>CH-0737</x:v>
      </x:c>
      <x:c r="B742" s="86" t="str">
        <x:v>CAL boundary</x:v>
      </x:c>
      <x:c r="C742" s="108" t="n">
        <x:v>33</x:v>
      </x:c>
      <x:c r="D742" s="86" t="str">
        <x:v>Z01</x:v>
      </x:c>
      <x:c r="E742" s="86" t="str">
        <x:v>intermediate</x:v>
      </x:c>
      <x:c r="F742" s="86" t="str">
        <x:v>L1</x:v>
      </x:c>
      <x:c r="G742" s="86" t="str">
        <x:v>CAL boundary-CAL-1</x:v>
      </x:c>
      <x:c r="H742" s="86" t="str">
        <x:v>T1</x:v>
      </x:c>
      <x:c r="I742" s="91" t="str">
        <x:v>OPEN</x:v>
      </x:c>
    </x:row>
    <x:row r="743">
      <x:c r="A743" s="86" t="str">
        <x:v>CH-0738</x:v>
      </x:c>
      <x:c r="B743" s="86" t="str">
        <x:v>CAL boundary</x:v>
      </x:c>
      <x:c r="C743" s="108" t="n">
        <x:v>34</x:v>
      </x:c>
      <x:c r="D743" s="86" t="str">
        <x:v>Z02</x:v>
      </x:c>
      <x:c r="E743" s="86" t="str">
        <x:v>intermediate</x:v>
      </x:c>
      <x:c r="F743" s="86" t="str">
        <x:v>L2</x:v>
      </x:c>
      <x:c r="G743" s="86" t="str">
        <x:v>CAL boundary-CAL-2</x:v>
      </x:c>
      <x:c r="H743" s="86" t="str">
        <x:v>T2</x:v>
      </x:c>
      <x:c r="I743" s="91" t="str">
        <x:v>OPEN</x:v>
      </x:c>
    </x:row>
    <x:row r="744">
      <x:c r="A744" s="86" t="str">
        <x:v>CH-0739</x:v>
      </x:c>
      <x:c r="B744" s="86" t="str">
        <x:v>CAL boundary</x:v>
      </x:c>
      <x:c r="C744" s="108" t="n">
        <x:v>35</x:v>
      </x:c>
      <x:c r="D744" s="86" t="str">
        <x:v>Z03</x:v>
      </x:c>
      <x:c r="E744" s="86" t="str">
        <x:v>intermediate</x:v>
      </x:c>
      <x:c r="F744" s="86" t="str">
        <x:v>L3</x:v>
      </x:c>
      <x:c r="G744" s="86" t="str">
        <x:v>CAL boundary-CAL-3</x:v>
      </x:c>
      <x:c r="H744" s="86" t="str">
        <x:v>T3</x:v>
      </x:c>
      <x:c r="I744" s="91" t="str">
        <x:v>OPEN</x:v>
      </x:c>
    </x:row>
    <x:row r="745">
      <x:c r="A745" s="86" t="str">
        <x:v>CH-0740</x:v>
      </x:c>
      <x:c r="B745" s="86" t="str">
        <x:v>CAL boundary</x:v>
      </x:c>
      <x:c r="C745" s="108" t="n">
        <x:v>36</x:v>
      </x:c>
      <x:c r="D745" s="86" t="str">
        <x:v>Z04</x:v>
      </x:c>
      <x:c r="E745" s="86" t="str">
        <x:v>intermediate</x:v>
      </x:c>
      <x:c r="F745" s="86" t="str">
        <x:v>L4</x:v>
      </x:c>
      <x:c r="G745" s="86" t="str">
        <x:v>CAL boundary-CAL-4</x:v>
      </x:c>
      <x:c r="H745" s="86" t="str">
        <x:v>T4</x:v>
      </x:c>
      <x:c r="I745" s="91" t="str">
        <x:v>OPEN</x:v>
      </x:c>
    </x:row>
    <x:row r="746">
      <x:c r="A746" s="86" t="str">
        <x:v>CH-0741</x:v>
      </x:c>
      <x:c r="B746" s="86" t="str">
        <x:v>CAL boundary</x:v>
      </x:c>
      <x:c r="C746" s="108" t="n">
        <x:v>37</x:v>
      </x:c>
      <x:c r="D746" s="86" t="str">
        <x:v>Z05</x:v>
      </x:c>
      <x:c r="E746" s="86" t="str">
        <x:v>intermediate</x:v>
      </x:c>
      <x:c r="F746" s="86" t="str">
        <x:v>L1</x:v>
      </x:c>
      <x:c r="G746" s="86" t="str">
        <x:v>CAL boundary-CAL-1</x:v>
      </x:c>
      <x:c r="H746" s="86" t="str">
        <x:v>T1</x:v>
      </x:c>
      <x:c r="I746" s="91" t="str">
        <x:v>OPEN</x:v>
      </x:c>
    </x:row>
    <x:row r="747">
      <x:c r="A747" s="86" t="str">
        <x:v>CH-0742</x:v>
      </x:c>
      <x:c r="B747" s="86" t="str">
        <x:v>CAL boundary</x:v>
      </x:c>
      <x:c r="C747" s="108" t="n">
        <x:v>38</x:v>
      </x:c>
      <x:c r="D747" s="86" t="str">
        <x:v>Z06</x:v>
      </x:c>
      <x:c r="E747" s="86" t="str">
        <x:v>intermediate</x:v>
      </x:c>
      <x:c r="F747" s="86" t="str">
        <x:v>L2</x:v>
      </x:c>
      <x:c r="G747" s="86" t="str">
        <x:v>CAL boundary-CAL-2</x:v>
      </x:c>
      <x:c r="H747" s="86" t="str">
        <x:v>T2</x:v>
      </x:c>
      <x:c r="I747" s="91" t="str">
        <x:v>OPEN</x:v>
      </x:c>
    </x:row>
    <x:row r="748">
      <x:c r="A748" s="86" t="str">
        <x:v>CH-0743</x:v>
      </x:c>
      <x:c r="B748" s="86" t="str">
        <x:v>CAL boundary</x:v>
      </x:c>
      <x:c r="C748" s="108" t="n">
        <x:v>39</x:v>
      </x:c>
      <x:c r="D748" s="86" t="str">
        <x:v>Z07</x:v>
      </x:c>
      <x:c r="E748" s="86" t="str">
        <x:v>intermediate</x:v>
      </x:c>
      <x:c r="F748" s="86" t="str">
        <x:v>L3</x:v>
      </x:c>
      <x:c r="G748" s="86" t="str">
        <x:v>CAL boundary-CAL-3</x:v>
      </x:c>
      <x:c r="H748" s="86" t="str">
        <x:v>T3</x:v>
      </x:c>
      <x:c r="I748" s="91" t="str">
        <x:v>OPEN</x:v>
      </x:c>
    </x:row>
    <x:row r="749">
      <x:c r="A749" s="86" t="str">
        <x:v>CH-0744</x:v>
      </x:c>
      <x:c r="B749" s="86" t="str">
        <x:v>CAL boundary</x:v>
      </x:c>
      <x:c r="C749" s="108" t="n">
        <x:v>40</x:v>
      </x:c>
      <x:c r="D749" s="86" t="str">
        <x:v>Z08</x:v>
      </x:c>
      <x:c r="E749" s="86" t="str">
        <x:v>intermediate</x:v>
      </x:c>
      <x:c r="F749" s="86" t="str">
        <x:v>L4</x:v>
      </x:c>
      <x:c r="G749" s="86" t="str">
        <x:v>CAL boundary-CAL-4</x:v>
      </x:c>
      <x:c r="H749" s="86" t="str">
        <x:v>T4</x:v>
      </x:c>
      <x:c r="I749" s="91" t="str">
        <x:v>OPEN</x:v>
      </x:c>
    </x:row>
    <x:row r="750">
      <x:c r="A750" s="86" t="str">
        <x:v>CH-0745</x:v>
      </x:c>
      <x:c r="B750" s="86" t="str">
        <x:v>CAL boundary</x:v>
      </x:c>
      <x:c r="C750" s="108" t="n">
        <x:v>41</x:v>
      </x:c>
      <x:c r="D750" s="86" t="str">
        <x:v>Z09</x:v>
      </x:c>
      <x:c r="E750" s="86" t="str">
        <x:v>intermediate</x:v>
      </x:c>
      <x:c r="F750" s="86" t="str">
        <x:v>L1</x:v>
      </x:c>
      <x:c r="G750" s="86" t="str">
        <x:v>CAL boundary-CAL-1</x:v>
      </x:c>
      <x:c r="H750" s="86" t="str">
        <x:v>T1</x:v>
      </x:c>
      <x:c r="I750" s="91" t="str">
        <x:v>OPEN</x:v>
      </x:c>
    </x:row>
    <x:row r="751">
      <x:c r="A751" s="86" t="str">
        <x:v>CH-0746</x:v>
      </x:c>
      <x:c r="B751" s="86" t="str">
        <x:v>CAL boundary</x:v>
      </x:c>
      <x:c r="C751" s="108" t="n">
        <x:v>42</x:v>
      </x:c>
      <x:c r="D751" s="86" t="str">
        <x:v>Z10</x:v>
      </x:c>
      <x:c r="E751" s="86" t="str">
        <x:v>intermediate</x:v>
      </x:c>
      <x:c r="F751" s="86" t="str">
        <x:v>L2</x:v>
      </x:c>
      <x:c r="G751" s="86" t="str">
        <x:v>CAL boundary-CAL-2</x:v>
      </x:c>
      <x:c r="H751" s="86" t="str">
        <x:v>T2</x:v>
      </x:c>
      <x:c r="I751" s="91" t="str">
        <x:v>OPEN</x:v>
      </x:c>
    </x:row>
    <x:row r="752">
      <x:c r="A752" s="86" t="str">
        <x:v>CH-0747</x:v>
      </x:c>
      <x:c r="B752" s="86" t="str">
        <x:v>CAL boundary</x:v>
      </x:c>
      <x:c r="C752" s="108" t="n">
        <x:v>43</x:v>
      </x:c>
      <x:c r="D752" s="86" t="str">
        <x:v>Z11</x:v>
      </x:c>
      <x:c r="E752" s="86" t="str">
        <x:v>intermediate</x:v>
      </x:c>
      <x:c r="F752" s="86" t="str">
        <x:v>L3</x:v>
      </x:c>
      <x:c r="G752" s="86" t="str">
        <x:v>CAL boundary-CAL-3</x:v>
      </x:c>
      <x:c r="H752" s="86" t="str">
        <x:v>T3</x:v>
      </x:c>
      <x:c r="I752" s="91" t="str">
        <x:v>OPEN</x:v>
      </x:c>
    </x:row>
    <x:row r="753">
      <x:c r="A753" s="86" t="str">
        <x:v>CH-0748</x:v>
      </x:c>
      <x:c r="B753" s="86" t="str">
        <x:v>CAL boundary</x:v>
      </x:c>
      <x:c r="C753" s="108" t="n">
        <x:v>44</x:v>
      </x:c>
      <x:c r="D753" s="86" t="str">
        <x:v>Z12</x:v>
      </x:c>
      <x:c r="E753" s="86" t="str">
        <x:v>intermediate</x:v>
      </x:c>
      <x:c r="F753" s="86" t="str">
        <x:v>L4</x:v>
      </x:c>
      <x:c r="G753" s="86" t="str">
        <x:v>CAL boundary-CAL-4</x:v>
      </x:c>
      <x:c r="H753" s="86" t="str">
        <x:v>T4</x:v>
      </x:c>
      <x:c r="I753" s="91" t="str">
        <x:v>OPEN</x:v>
      </x:c>
    </x:row>
    <x:row r="754">
      <x:c r="A754" s="86" t="str">
        <x:v>CH-0749</x:v>
      </x:c>
      <x:c r="B754" s="86" t="str">
        <x:v>CAL boundary</x:v>
      </x:c>
      <x:c r="C754" s="108" t="n">
        <x:v>45</x:v>
      </x:c>
      <x:c r="D754" s="86" t="str">
        <x:v>Z13</x:v>
      </x:c>
      <x:c r="E754" s="86" t="str">
        <x:v>intermediate</x:v>
      </x:c>
      <x:c r="F754" s="86" t="str">
        <x:v>L1</x:v>
      </x:c>
      <x:c r="G754" s="86" t="str">
        <x:v>CAL boundary-CAL-1</x:v>
      </x:c>
      <x:c r="H754" s="86" t="str">
        <x:v>T1</x:v>
      </x:c>
      <x:c r="I754" s="91" t="str">
        <x:v>OPEN</x:v>
      </x:c>
    </x:row>
    <x:row r="755">
      <x:c r="A755" s="86" t="str">
        <x:v>CH-0750</x:v>
      </x:c>
      <x:c r="B755" s="86" t="str">
        <x:v>CAL boundary</x:v>
      </x:c>
      <x:c r="C755" s="108" t="n">
        <x:v>46</x:v>
      </x:c>
      <x:c r="D755" s="86" t="str">
        <x:v>Z14</x:v>
      </x:c>
      <x:c r="E755" s="86" t="str">
        <x:v>intermediate</x:v>
      </x:c>
      <x:c r="F755" s="86" t="str">
        <x:v>L2</x:v>
      </x:c>
      <x:c r="G755" s="86" t="str">
        <x:v>CAL boundary-CAL-2</x:v>
      </x:c>
      <x:c r="H755" s="86" t="str">
        <x:v>T2</x:v>
      </x:c>
      <x:c r="I755" s="91" t="str">
        <x:v>OPEN</x:v>
      </x:c>
    </x:row>
    <x:row r="756">
      <x:c r="A756" s="86" t="str">
        <x:v>CH-0751</x:v>
      </x:c>
      <x:c r="B756" s="86" t="str">
        <x:v>CAL boundary</x:v>
      </x:c>
      <x:c r="C756" s="108" t="n">
        <x:v>47</x:v>
      </x:c>
      <x:c r="D756" s="86" t="str">
        <x:v>Z15</x:v>
      </x:c>
      <x:c r="E756" s="86" t="str">
        <x:v>intermediate</x:v>
      </x:c>
      <x:c r="F756" s="86" t="str">
        <x:v>L3</x:v>
      </x:c>
      <x:c r="G756" s="86" t="str">
        <x:v>CAL boundary-CAL-3</x:v>
      </x:c>
      <x:c r="H756" s="86" t="str">
        <x:v>T3</x:v>
      </x:c>
      <x:c r="I756" s="91" t="str">
        <x:v>OPEN</x:v>
      </x:c>
    </x:row>
    <x:row r="757">
      <x:c r="A757" s="86" t="str">
        <x:v>CH-0752</x:v>
      </x:c>
      <x:c r="B757" s="86" t="str">
        <x:v>CAL boundary</x:v>
      </x:c>
      <x:c r="C757" s="108" t="n">
        <x:v>48</x:v>
      </x:c>
      <x:c r="D757" s="86" t="str">
        <x:v>Z16</x:v>
      </x:c>
      <x:c r="E757" s="86" t="str">
        <x:v>intermediate</x:v>
      </x:c>
      <x:c r="F757" s="86" t="str">
        <x:v>L4</x:v>
      </x:c>
      <x:c r="G757" s="86" t="str">
        <x:v>CAL boundary-CAL-4</x:v>
      </x:c>
      <x:c r="H757" s="86" t="str">
        <x:v>T4</x:v>
      </x:c>
      <x:c r="I757" s="91" t="str">
        <x:v>OPEN</x:v>
      </x:c>
    </x:row>
    <x:row r="758">
      <x:c r="A758" s="86" t="str">
        <x:v>CH-0753</x:v>
      </x:c>
      <x:c r="B758" s="86" t="str">
        <x:v>CAL boundary</x:v>
      </x:c>
      <x:c r="C758" s="108" t="n">
        <x:v>49</x:v>
      </x:c>
      <x:c r="D758" s="86" t="str">
        <x:v>Z01</x:v>
      </x:c>
      <x:c r="E758" s="86" t="str">
        <x:v>return</x:v>
      </x:c>
      <x:c r="F758" s="86" t="str">
        <x:v>L1</x:v>
      </x:c>
      <x:c r="G758" s="86" t="str">
        <x:v>CAL boundary-CAL-1</x:v>
      </x:c>
      <x:c r="H758" s="86" t="str">
        <x:v>T1</x:v>
      </x:c>
      <x:c r="I758" s="91" t="str">
        <x:v>OPEN</x:v>
      </x:c>
    </x:row>
    <x:row r="759">
      <x:c r="A759" s="86" t="str">
        <x:v>CH-0754</x:v>
      </x:c>
      <x:c r="B759" s="86" t="str">
        <x:v>CAL boundary</x:v>
      </x:c>
      <x:c r="C759" s="108" t="n">
        <x:v>50</x:v>
      </x:c>
      <x:c r="D759" s="86" t="str">
        <x:v>Z02</x:v>
      </x:c>
      <x:c r="E759" s="86" t="str">
        <x:v>return</x:v>
      </x:c>
      <x:c r="F759" s="86" t="str">
        <x:v>L2</x:v>
      </x:c>
      <x:c r="G759" s="86" t="str">
        <x:v>CAL boundary-CAL-2</x:v>
      </x:c>
      <x:c r="H759" s="86" t="str">
        <x:v>T2</x:v>
      </x:c>
      <x:c r="I759" s="91" t="str">
        <x:v>OPEN</x:v>
      </x:c>
    </x:row>
    <x:row r="760">
      <x:c r="A760" s="86" t="str">
        <x:v>CH-0755</x:v>
      </x:c>
      <x:c r="B760" s="86" t="str">
        <x:v>CAL boundary</x:v>
      </x:c>
      <x:c r="C760" s="108" t="n">
        <x:v>51</x:v>
      </x:c>
      <x:c r="D760" s="86" t="str">
        <x:v>Z03</x:v>
      </x:c>
      <x:c r="E760" s="86" t="str">
        <x:v>return</x:v>
      </x:c>
      <x:c r="F760" s="86" t="str">
        <x:v>L3</x:v>
      </x:c>
      <x:c r="G760" s="86" t="str">
        <x:v>CAL boundary-CAL-3</x:v>
      </x:c>
      <x:c r="H760" s="86" t="str">
        <x:v>T3</x:v>
      </x:c>
      <x:c r="I760" s="91" t="str">
        <x:v>OPEN</x:v>
      </x:c>
    </x:row>
    <x:row r="761">
      <x:c r="A761" s="86" t="str">
        <x:v>CH-0756</x:v>
      </x:c>
      <x:c r="B761" s="86" t="str">
        <x:v>CAL boundary</x:v>
      </x:c>
      <x:c r="C761" s="108" t="n">
        <x:v>52</x:v>
      </x:c>
      <x:c r="D761" s="86" t="str">
        <x:v>Z04</x:v>
      </x:c>
      <x:c r="E761" s="86" t="str">
        <x:v>return</x:v>
      </x:c>
      <x:c r="F761" s="86" t="str">
        <x:v>L4</x:v>
      </x:c>
      <x:c r="G761" s="86" t="str">
        <x:v>CAL boundary-CAL-4</x:v>
      </x:c>
      <x:c r="H761" s="86" t="str">
        <x:v>T4</x:v>
      </x:c>
      <x:c r="I761" s="91" t="str">
        <x:v>OPEN</x:v>
      </x:c>
    </x:row>
    <x:row r="762">
      <x:c r="A762" s="86" t="str">
        <x:v>CH-0757</x:v>
      </x:c>
      <x:c r="B762" s="86" t="str">
        <x:v>CAL boundary</x:v>
      </x:c>
      <x:c r="C762" s="108" t="n">
        <x:v>53</x:v>
      </x:c>
      <x:c r="D762" s="86" t="str">
        <x:v>Z05</x:v>
      </x:c>
      <x:c r="E762" s="86" t="str">
        <x:v>return</x:v>
      </x:c>
      <x:c r="F762" s="86" t="str">
        <x:v>L1</x:v>
      </x:c>
      <x:c r="G762" s="86" t="str">
        <x:v>CAL boundary-CAL-1</x:v>
      </x:c>
      <x:c r="H762" s="86" t="str">
        <x:v>T1</x:v>
      </x:c>
      <x:c r="I762" s="91" t="str">
        <x:v>OPEN</x:v>
      </x:c>
    </x:row>
    <x:row r="763">
      <x:c r="A763" s="86" t="str">
        <x:v>CH-0758</x:v>
      </x:c>
      <x:c r="B763" s="86" t="str">
        <x:v>CAL boundary</x:v>
      </x:c>
      <x:c r="C763" s="108" t="n">
        <x:v>54</x:v>
      </x:c>
      <x:c r="D763" s="86" t="str">
        <x:v>Z06</x:v>
      </x:c>
      <x:c r="E763" s="86" t="str">
        <x:v>return</x:v>
      </x:c>
      <x:c r="F763" s="86" t="str">
        <x:v>L2</x:v>
      </x:c>
      <x:c r="G763" s="86" t="str">
        <x:v>CAL boundary-CAL-2</x:v>
      </x:c>
      <x:c r="H763" s="86" t="str">
        <x:v>T2</x:v>
      </x:c>
      <x:c r="I763" s="91" t="str">
        <x:v>OPEN</x:v>
      </x:c>
    </x:row>
    <x:row r="764">
      <x:c r="A764" s="86" t="str">
        <x:v>CH-0759</x:v>
      </x:c>
      <x:c r="B764" s="86" t="str">
        <x:v>CAL boundary</x:v>
      </x:c>
      <x:c r="C764" s="108" t="n">
        <x:v>55</x:v>
      </x:c>
      <x:c r="D764" s="86" t="str">
        <x:v>Z07</x:v>
      </x:c>
      <x:c r="E764" s="86" t="str">
        <x:v>return</x:v>
      </x:c>
      <x:c r="F764" s="86" t="str">
        <x:v>L3</x:v>
      </x:c>
      <x:c r="G764" s="86" t="str">
        <x:v>CAL boundary-CAL-3</x:v>
      </x:c>
      <x:c r="H764" s="86" t="str">
        <x:v>T3</x:v>
      </x:c>
      <x:c r="I764" s="91" t="str">
        <x:v>OPEN</x:v>
      </x:c>
    </x:row>
    <x:row r="765">
      <x:c r="A765" s="86" t="str">
        <x:v>CH-0760</x:v>
      </x:c>
      <x:c r="B765" s="86" t="str">
        <x:v>CAL boundary</x:v>
      </x:c>
      <x:c r="C765" s="108" t="n">
        <x:v>56</x:v>
      </x:c>
      <x:c r="D765" s="86" t="str">
        <x:v>Z08</x:v>
      </x:c>
      <x:c r="E765" s="86" t="str">
        <x:v>return</x:v>
      </x:c>
      <x:c r="F765" s="86" t="str">
        <x:v>L4</x:v>
      </x:c>
      <x:c r="G765" s="86" t="str">
        <x:v>CAL boundary-CAL-4</x:v>
      </x:c>
      <x:c r="H765" s="86" t="str">
        <x:v>T4</x:v>
      </x:c>
      <x:c r="I765" s="91" t="str">
        <x:v>OPEN</x:v>
      </x:c>
    </x:row>
    <x:row r="766">
      <x:c r="A766" s="86" t="str">
        <x:v>CH-0761</x:v>
      </x:c>
      <x:c r="B766" s="86" t="str">
        <x:v>CAL boundary</x:v>
      </x:c>
      <x:c r="C766" s="108" t="n">
        <x:v>57</x:v>
      </x:c>
      <x:c r="D766" s="86" t="str">
        <x:v>Z09</x:v>
      </x:c>
      <x:c r="E766" s="86" t="str">
        <x:v>return</x:v>
      </x:c>
      <x:c r="F766" s="86" t="str">
        <x:v>L1</x:v>
      </x:c>
      <x:c r="G766" s="86" t="str">
        <x:v>CAL boundary-CAL-1</x:v>
      </x:c>
      <x:c r="H766" s="86" t="str">
        <x:v>T1</x:v>
      </x:c>
      <x:c r="I766" s="91" t="str">
        <x:v>OPEN</x:v>
      </x:c>
    </x:row>
    <x:row r="767">
      <x:c r="A767" s="86" t="str">
        <x:v>CH-0762</x:v>
      </x:c>
      <x:c r="B767" s="86" t="str">
        <x:v>CAL boundary</x:v>
      </x:c>
      <x:c r="C767" s="108" t="n">
        <x:v>58</x:v>
      </x:c>
      <x:c r="D767" s="86" t="str">
        <x:v>Z10</x:v>
      </x:c>
      <x:c r="E767" s="86" t="str">
        <x:v>return</x:v>
      </x:c>
      <x:c r="F767" s="86" t="str">
        <x:v>L2</x:v>
      </x:c>
      <x:c r="G767" s="86" t="str">
        <x:v>CAL boundary-CAL-2</x:v>
      </x:c>
      <x:c r="H767" s="86" t="str">
        <x:v>T2</x:v>
      </x:c>
      <x:c r="I767" s="91" t="str">
        <x:v>OPEN</x:v>
      </x:c>
    </x:row>
    <x:row r="768">
      <x:c r="A768" s="86" t="str">
        <x:v>CH-0763</x:v>
      </x:c>
      <x:c r="B768" s="86" t="str">
        <x:v>CAL boundary</x:v>
      </x:c>
      <x:c r="C768" s="108" t="n">
        <x:v>59</x:v>
      </x:c>
      <x:c r="D768" s="86" t="str">
        <x:v>Z11</x:v>
      </x:c>
      <x:c r="E768" s="86" t="str">
        <x:v>return</x:v>
      </x:c>
      <x:c r="F768" s="86" t="str">
        <x:v>L3</x:v>
      </x:c>
      <x:c r="G768" s="86" t="str">
        <x:v>CAL boundary-CAL-3</x:v>
      </x:c>
      <x:c r="H768" s="86" t="str">
        <x:v>T3</x:v>
      </x:c>
      <x:c r="I768" s="91" t="str">
        <x:v>OPEN</x:v>
      </x:c>
    </x:row>
    <x:row r="769">
      <x:c r="A769" s="86" t="str">
        <x:v>CH-0764</x:v>
      </x:c>
      <x:c r="B769" s="86" t="str">
        <x:v>CAL boundary</x:v>
      </x:c>
      <x:c r="C769" s="108" t="n">
        <x:v>60</x:v>
      </x:c>
      <x:c r="D769" s="86" t="str">
        <x:v>Z12</x:v>
      </x:c>
      <x:c r="E769" s="86" t="str">
        <x:v>return</x:v>
      </x:c>
      <x:c r="F769" s="86" t="str">
        <x:v>L4</x:v>
      </x:c>
      <x:c r="G769" s="86" t="str">
        <x:v>CAL boundary-CAL-4</x:v>
      </x:c>
      <x:c r="H769" s="86" t="str">
        <x:v>T4</x:v>
      </x:c>
      <x:c r="I769" s="91" t="str">
        <x:v>OPEN</x:v>
      </x:c>
    </x:row>
    <x:row r="770">
      <x:c r="A770" s="86" t="str">
        <x:v>CH-0765</x:v>
      </x:c>
      <x:c r="B770" s="86" t="str">
        <x:v>CAL boundary</x:v>
      </x:c>
      <x:c r="C770" s="108" t="n">
        <x:v>61</x:v>
      </x:c>
      <x:c r="D770" s="86" t="str">
        <x:v>Z13</x:v>
      </x:c>
      <x:c r="E770" s="86" t="str">
        <x:v>return</x:v>
      </x:c>
      <x:c r="F770" s="86" t="str">
        <x:v>L1</x:v>
      </x:c>
      <x:c r="G770" s="86" t="str">
        <x:v>CAL boundary-CAL-1</x:v>
      </x:c>
      <x:c r="H770" s="86" t="str">
        <x:v>T1</x:v>
      </x:c>
      <x:c r="I770" s="91" t="str">
        <x:v>OPEN</x:v>
      </x:c>
    </x:row>
    <x:row r="771">
      <x:c r="A771" s="86" t="str">
        <x:v>CH-0766</x:v>
      </x:c>
      <x:c r="B771" s="86" t="str">
        <x:v>CAL boundary</x:v>
      </x:c>
      <x:c r="C771" s="108" t="n">
        <x:v>62</x:v>
      </x:c>
      <x:c r="D771" s="86" t="str">
        <x:v>Z14</x:v>
      </x:c>
      <x:c r="E771" s="86" t="str">
        <x:v>return</x:v>
      </x:c>
      <x:c r="F771" s="86" t="str">
        <x:v>L2</x:v>
      </x:c>
      <x:c r="G771" s="86" t="str">
        <x:v>CAL boundary-CAL-2</x:v>
      </x:c>
      <x:c r="H771" s="86" t="str">
        <x:v>T2</x:v>
      </x:c>
      <x:c r="I771" s="91" t="str">
        <x:v>OPEN</x:v>
      </x:c>
    </x:row>
    <x:row r="772">
      <x:c r="A772" s="86" t="str">
        <x:v>CH-0767</x:v>
      </x:c>
      <x:c r="B772" s="86" t="str">
        <x:v>CAL boundary</x:v>
      </x:c>
      <x:c r="C772" s="108" t="n">
        <x:v>63</x:v>
      </x:c>
      <x:c r="D772" s="86" t="str">
        <x:v>Z15</x:v>
      </x:c>
      <x:c r="E772" s="86" t="str">
        <x:v>return</x:v>
      </x:c>
      <x:c r="F772" s="86" t="str">
        <x:v>L3</x:v>
      </x:c>
      <x:c r="G772" s="86" t="str">
        <x:v>CAL boundary-CAL-3</x:v>
      </x:c>
      <x:c r="H772" s="86" t="str">
        <x:v>T3</x:v>
      </x:c>
      <x:c r="I772" s="91" t="str">
        <x:v>OPEN</x:v>
      </x:c>
    </x:row>
    <x:row r="773">
      <x:c r="A773" s="86" t="str">
        <x:v>CH-0768</x:v>
      </x:c>
      <x:c r="B773" s="86" t="str">
        <x:v>CAL boundary</x:v>
      </x:c>
      <x:c r="C773" s="108" t="n">
        <x:v>64</x:v>
      </x:c>
      <x:c r="D773" s="86" t="str">
        <x:v>Z16</x:v>
      </x:c>
      <x:c r="E773" s="86" t="str">
        <x:v>return</x:v>
      </x:c>
      <x:c r="F773" s="86" t="str">
        <x:v>L4</x:v>
      </x:c>
      <x:c r="G773" s="86" t="str">
        <x:v>CAL boundary-CAL-4</x:v>
      </x:c>
      <x:c r="H773" s="86" t="str">
        <x:v>T4</x:v>
      </x:c>
      <x:c r="I773" s="91" t="str">
        <x:v>OPEN</x:v>
      </x:c>
    </x:row>
    <x:row r="774">
      <x:c r="A774" s="86" t="str">
        <x:v>CH-0769</x:v>
      </x:c>
      <x:c r="B774" s="86" t="str">
        <x:v>source field</x:v>
      </x:c>
      <x:c r="C774" s="108" t="n">
        <x:v>1</x:v>
      </x:c>
      <x:c r="D774" s="86" t="str">
        <x:v>Z01</x:v>
      </x:c>
      <x:c r="E774" s="86" t="str">
        <x:v>full</x:v>
      </x:c>
      <x:c r="F774" s="86" t="str">
        <x:v>L1</x:v>
      </x:c>
      <x:c r="G774" s="86" t="str">
        <x:v>source field-CAL-1</x:v>
      </x:c>
      <x:c r="H774" s="86" t="str">
        <x:v>T1</x:v>
      </x:c>
      <x:c r="I774" s="91" t="str">
        <x:v>OPEN</x:v>
      </x:c>
    </x:row>
    <x:row r="775">
      <x:c r="A775" s="86" t="str">
        <x:v>CH-0770</x:v>
      </x:c>
      <x:c r="B775" s="86" t="str">
        <x:v>source field</x:v>
      </x:c>
      <x:c r="C775" s="108" t="n">
        <x:v>2</x:v>
      </x:c>
      <x:c r="D775" s="86" t="str">
        <x:v>Z02</x:v>
      </x:c>
      <x:c r="E775" s="86" t="str">
        <x:v>full</x:v>
      </x:c>
      <x:c r="F775" s="86" t="str">
        <x:v>L2</x:v>
      </x:c>
      <x:c r="G775" s="86" t="str">
        <x:v>source field-CAL-2</x:v>
      </x:c>
      <x:c r="H775" s="86" t="str">
        <x:v>T2</x:v>
      </x:c>
      <x:c r="I775" s="91" t="str">
        <x:v>OPEN</x:v>
      </x:c>
    </x:row>
    <x:row r="776">
      <x:c r="A776" s="86" t="str">
        <x:v>CH-0771</x:v>
      </x:c>
      <x:c r="B776" s="86" t="str">
        <x:v>source field</x:v>
      </x:c>
      <x:c r="C776" s="108" t="n">
        <x:v>3</x:v>
      </x:c>
      <x:c r="D776" s="86" t="str">
        <x:v>Z03</x:v>
      </x:c>
      <x:c r="E776" s="86" t="str">
        <x:v>full</x:v>
      </x:c>
      <x:c r="F776" s="86" t="str">
        <x:v>L3</x:v>
      </x:c>
      <x:c r="G776" s="86" t="str">
        <x:v>source field-CAL-3</x:v>
      </x:c>
      <x:c r="H776" s="86" t="str">
        <x:v>T3</x:v>
      </x:c>
      <x:c r="I776" s="91" t="str">
        <x:v>OPEN</x:v>
      </x:c>
    </x:row>
    <x:row r="777">
      <x:c r="A777" s="86" t="str">
        <x:v>CH-0772</x:v>
      </x:c>
      <x:c r="B777" s="86" t="str">
        <x:v>source field</x:v>
      </x:c>
      <x:c r="C777" s="108" t="n">
        <x:v>4</x:v>
      </x:c>
      <x:c r="D777" s="86" t="str">
        <x:v>Z04</x:v>
      </x:c>
      <x:c r="E777" s="86" t="str">
        <x:v>full</x:v>
      </x:c>
      <x:c r="F777" s="86" t="str">
        <x:v>L4</x:v>
      </x:c>
      <x:c r="G777" s="86" t="str">
        <x:v>source field-CAL-4</x:v>
      </x:c>
      <x:c r="H777" s="86" t="str">
        <x:v>T4</x:v>
      </x:c>
      <x:c r="I777" s="91" t="str">
        <x:v>OPEN</x:v>
      </x:c>
    </x:row>
    <x:row r="778">
      <x:c r="A778" s="86" t="str">
        <x:v>CH-0773</x:v>
      </x:c>
      <x:c r="B778" s="86" t="str">
        <x:v>source field</x:v>
      </x:c>
      <x:c r="C778" s="108" t="n">
        <x:v>5</x:v>
      </x:c>
      <x:c r="D778" s="86" t="str">
        <x:v>Z05</x:v>
      </x:c>
      <x:c r="E778" s="86" t="str">
        <x:v>full</x:v>
      </x:c>
      <x:c r="F778" s="86" t="str">
        <x:v>L1</x:v>
      </x:c>
      <x:c r="G778" s="86" t="str">
        <x:v>source field-CAL-1</x:v>
      </x:c>
      <x:c r="H778" s="86" t="str">
        <x:v>T1</x:v>
      </x:c>
      <x:c r="I778" s="91" t="str">
        <x:v>OPEN</x:v>
      </x:c>
    </x:row>
    <x:row r="779">
      <x:c r="A779" s="86" t="str">
        <x:v>CH-0774</x:v>
      </x:c>
      <x:c r="B779" s="86" t="str">
        <x:v>source field</x:v>
      </x:c>
      <x:c r="C779" s="108" t="n">
        <x:v>6</x:v>
      </x:c>
      <x:c r="D779" s="86" t="str">
        <x:v>Z06</x:v>
      </x:c>
      <x:c r="E779" s="86" t="str">
        <x:v>full</x:v>
      </x:c>
      <x:c r="F779" s="86" t="str">
        <x:v>L2</x:v>
      </x:c>
      <x:c r="G779" s="86" t="str">
        <x:v>source field-CAL-2</x:v>
      </x:c>
      <x:c r="H779" s="86" t="str">
        <x:v>T2</x:v>
      </x:c>
      <x:c r="I779" s="91" t="str">
        <x:v>OPEN</x:v>
      </x:c>
    </x:row>
    <x:row r="780">
      <x:c r="A780" s="86" t="str">
        <x:v>CH-0775</x:v>
      </x:c>
      <x:c r="B780" s="86" t="str">
        <x:v>source field</x:v>
      </x:c>
      <x:c r="C780" s="108" t="n">
        <x:v>7</x:v>
      </x:c>
      <x:c r="D780" s="86" t="str">
        <x:v>Z07</x:v>
      </x:c>
      <x:c r="E780" s="86" t="str">
        <x:v>full</x:v>
      </x:c>
      <x:c r="F780" s="86" t="str">
        <x:v>L3</x:v>
      </x:c>
      <x:c r="G780" s="86" t="str">
        <x:v>source field-CAL-3</x:v>
      </x:c>
      <x:c r="H780" s="86" t="str">
        <x:v>T3</x:v>
      </x:c>
      <x:c r="I780" s="91" t="str">
        <x:v>OPEN</x:v>
      </x:c>
    </x:row>
    <x:row r="781">
      <x:c r="A781" s="86" t="str">
        <x:v>CH-0776</x:v>
      </x:c>
      <x:c r="B781" s="86" t="str">
        <x:v>source field</x:v>
      </x:c>
      <x:c r="C781" s="108" t="n">
        <x:v>8</x:v>
      </x:c>
      <x:c r="D781" s="86" t="str">
        <x:v>Z08</x:v>
      </x:c>
      <x:c r="E781" s="86" t="str">
        <x:v>full</x:v>
      </x:c>
      <x:c r="F781" s="86" t="str">
        <x:v>L4</x:v>
      </x:c>
      <x:c r="G781" s="86" t="str">
        <x:v>source field-CAL-4</x:v>
      </x:c>
      <x:c r="H781" s="86" t="str">
        <x:v>T4</x:v>
      </x:c>
      <x:c r="I781" s="91" t="str">
        <x:v>OPEN</x:v>
      </x:c>
    </x:row>
    <x:row r="782">
      <x:c r="A782" s="86" t="str">
        <x:v>CH-0777</x:v>
      </x:c>
      <x:c r="B782" s="86" t="str">
        <x:v>source field</x:v>
      </x:c>
      <x:c r="C782" s="108" t="n">
        <x:v>9</x:v>
      </x:c>
      <x:c r="D782" s="86" t="str">
        <x:v>Z09</x:v>
      </x:c>
      <x:c r="E782" s="86" t="str">
        <x:v>full</x:v>
      </x:c>
      <x:c r="F782" s="86" t="str">
        <x:v>L1</x:v>
      </x:c>
      <x:c r="G782" s="86" t="str">
        <x:v>source field-CAL-1</x:v>
      </x:c>
      <x:c r="H782" s="86" t="str">
        <x:v>T1</x:v>
      </x:c>
      <x:c r="I782" s="91" t="str">
        <x:v>OPEN</x:v>
      </x:c>
    </x:row>
    <x:row r="783">
      <x:c r="A783" s="86" t="str">
        <x:v>CH-0778</x:v>
      </x:c>
      <x:c r="B783" s="86" t="str">
        <x:v>source field</x:v>
      </x:c>
      <x:c r="C783" s="108" t="n">
        <x:v>10</x:v>
      </x:c>
      <x:c r="D783" s="86" t="str">
        <x:v>Z10</x:v>
      </x:c>
      <x:c r="E783" s="86" t="str">
        <x:v>full</x:v>
      </x:c>
      <x:c r="F783" s="86" t="str">
        <x:v>L2</x:v>
      </x:c>
      <x:c r="G783" s="86" t="str">
        <x:v>source field-CAL-2</x:v>
      </x:c>
      <x:c r="H783" s="86" t="str">
        <x:v>T2</x:v>
      </x:c>
      <x:c r="I783" s="91" t="str">
        <x:v>OPEN</x:v>
      </x:c>
    </x:row>
    <x:row r="784">
      <x:c r="A784" s="86" t="str">
        <x:v>CH-0779</x:v>
      </x:c>
      <x:c r="B784" s="86" t="str">
        <x:v>source field</x:v>
      </x:c>
      <x:c r="C784" s="108" t="n">
        <x:v>11</x:v>
      </x:c>
      <x:c r="D784" s="86" t="str">
        <x:v>Z11</x:v>
      </x:c>
      <x:c r="E784" s="86" t="str">
        <x:v>full</x:v>
      </x:c>
      <x:c r="F784" s="86" t="str">
        <x:v>L3</x:v>
      </x:c>
      <x:c r="G784" s="86" t="str">
        <x:v>source field-CAL-3</x:v>
      </x:c>
      <x:c r="H784" s="86" t="str">
        <x:v>T3</x:v>
      </x:c>
      <x:c r="I784" s="91" t="str">
        <x:v>OPEN</x:v>
      </x:c>
    </x:row>
    <x:row r="785">
      <x:c r="A785" s="86" t="str">
        <x:v>CH-0780</x:v>
      </x:c>
      <x:c r="B785" s="86" t="str">
        <x:v>source field</x:v>
      </x:c>
      <x:c r="C785" s="108" t="n">
        <x:v>12</x:v>
      </x:c>
      <x:c r="D785" s="86" t="str">
        <x:v>Z12</x:v>
      </x:c>
      <x:c r="E785" s="86" t="str">
        <x:v>full</x:v>
      </x:c>
      <x:c r="F785" s="86" t="str">
        <x:v>L4</x:v>
      </x:c>
      <x:c r="G785" s="86" t="str">
        <x:v>source field-CAL-4</x:v>
      </x:c>
      <x:c r="H785" s="86" t="str">
        <x:v>T4</x:v>
      </x:c>
      <x:c r="I785" s="91" t="str">
        <x:v>OPEN</x:v>
      </x:c>
    </x:row>
    <x:row r="786">
      <x:c r="A786" s="86" t="str">
        <x:v>CH-0781</x:v>
      </x:c>
      <x:c r="B786" s="86" t="str">
        <x:v>source field</x:v>
      </x:c>
      <x:c r="C786" s="108" t="n">
        <x:v>13</x:v>
      </x:c>
      <x:c r="D786" s="86" t="str">
        <x:v>Z13</x:v>
      </x:c>
      <x:c r="E786" s="86" t="str">
        <x:v>full</x:v>
      </x:c>
      <x:c r="F786" s="86" t="str">
        <x:v>L1</x:v>
      </x:c>
      <x:c r="G786" s="86" t="str">
        <x:v>source field-CAL-1</x:v>
      </x:c>
      <x:c r="H786" s="86" t="str">
        <x:v>T1</x:v>
      </x:c>
      <x:c r="I786" s="91" t="str">
        <x:v>OPEN</x:v>
      </x:c>
    </x:row>
    <x:row r="787">
      <x:c r="A787" s="86" t="str">
        <x:v>CH-0782</x:v>
      </x:c>
      <x:c r="B787" s="86" t="str">
        <x:v>source field</x:v>
      </x:c>
      <x:c r="C787" s="108" t="n">
        <x:v>14</x:v>
      </x:c>
      <x:c r="D787" s="86" t="str">
        <x:v>Z14</x:v>
      </x:c>
      <x:c r="E787" s="86" t="str">
        <x:v>full</x:v>
      </x:c>
      <x:c r="F787" s="86" t="str">
        <x:v>L2</x:v>
      </x:c>
      <x:c r="G787" s="86" t="str">
        <x:v>source field-CAL-2</x:v>
      </x:c>
      <x:c r="H787" s="86" t="str">
        <x:v>T2</x:v>
      </x:c>
      <x:c r="I787" s="91" t="str">
        <x:v>OPEN</x:v>
      </x:c>
    </x:row>
    <x:row r="788">
      <x:c r="A788" s="86" t="str">
        <x:v>CH-0783</x:v>
      </x:c>
      <x:c r="B788" s="86" t="str">
        <x:v>source field</x:v>
      </x:c>
      <x:c r="C788" s="108" t="n">
        <x:v>15</x:v>
      </x:c>
      <x:c r="D788" s="86" t="str">
        <x:v>Z15</x:v>
      </x:c>
      <x:c r="E788" s="86" t="str">
        <x:v>full</x:v>
      </x:c>
      <x:c r="F788" s="86" t="str">
        <x:v>L3</x:v>
      </x:c>
      <x:c r="G788" s="86" t="str">
        <x:v>source field-CAL-3</x:v>
      </x:c>
      <x:c r="H788" s="86" t="str">
        <x:v>T3</x:v>
      </x:c>
      <x:c r="I788" s="91" t="str">
        <x:v>OPEN</x:v>
      </x:c>
    </x:row>
    <x:row r="789">
      <x:c r="A789" s="86" t="str">
        <x:v>CH-0784</x:v>
      </x:c>
      <x:c r="B789" s="86" t="str">
        <x:v>source field</x:v>
      </x:c>
      <x:c r="C789" s="108" t="n">
        <x:v>16</x:v>
      </x:c>
      <x:c r="D789" s="86" t="str">
        <x:v>Z16</x:v>
      </x:c>
      <x:c r="E789" s="86" t="str">
        <x:v>full</x:v>
      </x:c>
      <x:c r="F789" s="86" t="str">
        <x:v>L4</x:v>
      </x:c>
      <x:c r="G789" s="86" t="str">
        <x:v>source field-CAL-4</x:v>
      </x:c>
      <x:c r="H789" s="86" t="str">
        <x:v>T4</x:v>
      </x:c>
      <x:c r="I789" s="91" t="str">
        <x:v>OPEN</x:v>
      </x:c>
    </x:row>
    <x:row r="790">
      <x:c r="A790" s="86" t="str">
        <x:v>CH-0785</x:v>
      </x:c>
      <x:c r="B790" s="86" t="str">
        <x:v>source field</x:v>
      </x:c>
      <x:c r="C790" s="108" t="n">
        <x:v>17</x:v>
      </x:c>
      <x:c r="D790" s="86" t="str">
        <x:v>Z01</x:v>
      </x:c>
      <x:c r="E790" s="86" t="str">
        <x:v>full</x:v>
      </x:c>
      <x:c r="F790" s="86" t="str">
        <x:v>L1</x:v>
      </x:c>
      <x:c r="G790" s="86" t="str">
        <x:v>source field-CAL-1</x:v>
      </x:c>
      <x:c r="H790" s="86" t="str">
        <x:v>T1</x:v>
      </x:c>
      <x:c r="I790" s="91" t="str">
        <x:v>OPEN</x:v>
      </x:c>
    </x:row>
    <x:row r="791">
      <x:c r="A791" s="86" t="str">
        <x:v>CH-0786</x:v>
      </x:c>
      <x:c r="B791" s="86" t="str">
        <x:v>source field</x:v>
      </x:c>
      <x:c r="C791" s="108" t="n">
        <x:v>18</x:v>
      </x:c>
      <x:c r="D791" s="86" t="str">
        <x:v>Z02</x:v>
      </x:c>
      <x:c r="E791" s="86" t="str">
        <x:v>full</x:v>
      </x:c>
      <x:c r="F791" s="86" t="str">
        <x:v>L2</x:v>
      </x:c>
      <x:c r="G791" s="86" t="str">
        <x:v>source field-CAL-2</x:v>
      </x:c>
      <x:c r="H791" s="86" t="str">
        <x:v>T2</x:v>
      </x:c>
      <x:c r="I791" s="91" t="str">
        <x:v>OPEN</x:v>
      </x:c>
    </x:row>
    <x:row r="792">
      <x:c r="A792" s="86" t="str">
        <x:v>CH-0787</x:v>
      </x:c>
      <x:c r="B792" s="86" t="str">
        <x:v>source field</x:v>
      </x:c>
      <x:c r="C792" s="108" t="n">
        <x:v>19</x:v>
      </x:c>
      <x:c r="D792" s="86" t="str">
        <x:v>Z03</x:v>
      </x:c>
      <x:c r="E792" s="86" t="str">
        <x:v>full</x:v>
      </x:c>
      <x:c r="F792" s="86" t="str">
        <x:v>L3</x:v>
      </x:c>
      <x:c r="G792" s="86" t="str">
        <x:v>source field-CAL-3</x:v>
      </x:c>
      <x:c r="H792" s="86" t="str">
        <x:v>T3</x:v>
      </x:c>
      <x:c r="I792" s="91" t="str">
        <x:v>OPEN</x:v>
      </x:c>
    </x:row>
    <x:row r="793">
      <x:c r="A793" s="86" t="str">
        <x:v>CH-0788</x:v>
      </x:c>
      <x:c r="B793" s="86" t="str">
        <x:v>source field</x:v>
      </x:c>
      <x:c r="C793" s="108" t="n">
        <x:v>20</x:v>
      </x:c>
      <x:c r="D793" s="86" t="str">
        <x:v>Z04</x:v>
      </x:c>
      <x:c r="E793" s="86" t="str">
        <x:v>full</x:v>
      </x:c>
      <x:c r="F793" s="86" t="str">
        <x:v>L4</x:v>
      </x:c>
      <x:c r="G793" s="86" t="str">
        <x:v>source field-CAL-4</x:v>
      </x:c>
      <x:c r="H793" s="86" t="str">
        <x:v>T4</x:v>
      </x:c>
      <x:c r="I793" s="91" t="str">
        <x:v>OPEN</x:v>
      </x:c>
    </x:row>
    <x:row r="794">
      <x:c r="A794" s="86" t="str">
        <x:v>CH-0789</x:v>
      </x:c>
      <x:c r="B794" s="86" t="str">
        <x:v>source field</x:v>
      </x:c>
      <x:c r="C794" s="108" t="n">
        <x:v>21</x:v>
      </x:c>
      <x:c r="D794" s="86" t="str">
        <x:v>Z05</x:v>
      </x:c>
      <x:c r="E794" s="86" t="str">
        <x:v>full</x:v>
      </x:c>
      <x:c r="F794" s="86" t="str">
        <x:v>L1</x:v>
      </x:c>
      <x:c r="G794" s="86" t="str">
        <x:v>source field-CAL-1</x:v>
      </x:c>
      <x:c r="H794" s="86" t="str">
        <x:v>T1</x:v>
      </x:c>
      <x:c r="I794" s="91" t="str">
        <x:v>OPEN</x:v>
      </x:c>
    </x:row>
    <x:row r="795">
      <x:c r="A795" s="86" t="str">
        <x:v>CH-0790</x:v>
      </x:c>
      <x:c r="B795" s="86" t="str">
        <x:v>source field</x:v>
      </x:c>
      <x:c r="C795" s="108" t="n">
        <x:v>22</x:v>
      </x:c>
      <x:c r="D795" s="86" t="str">
        <x:v>Z06</x:v>
      </x:c>
      <x:c r="E795" s="86" t="str">
        <x:v>full</x:v>
      </x:c>
      <x:c r="F795" s="86" t="str">
        <x:v>L2</x:v>
      </x:c>
      <x:c r="G795" s="86" t="str">
        <x:v>source field-CAL-2</x:v>
      </x:c>
      <x:c r="H795" s="86" t="str">
        <x:v>T2</x:v>
      </x:c>
      <x:c r="I795" s="91" t="str">
        <x:v>OPEN</x:v>
      </x:c>
    </x:row>
    <x:row r="796">
      <x:c r="A796" s="86" t="str">
        <x:v>CH-0791</x:v>
      </x:c>
      <x:c r="B796" s="86" t="str">
        <x:v>source field</x:v>
      </x:c>
      <x:c r="C796" s="108" t="n">
        <x:v>23</x:v>
      </x:c>
      <x:c r="D796" s="86" t="str">
        <x:v>Z07</x:v>
      </x:c>
      <x:c r="E796" s="86" t="str">
        <x:v>full</x:v>
      </x:c>
      <x:c r="F796" s="86" t="str">
        <x:v>L3</x:v>
      </x:c>
      <x:c r="G796" s="86" t="str">
        <x:v>source field-CAL-3</x:v>
      </x:c>
      <x:c r="H796" s="86" t="str">
        <x:v>T3</x:v>
      </x:c>
      <x:c r="I796" s="91" t="str">
        <x:v>OPEN</x:v>
      </x:c>
    </x:row>
    <x:row r="797">
      <x:c r="A797" s="86" t="str">
        <x:v>CH-0792</x:v>
      </x:c>
      <x:c r="B797" s="86" t="str">
        <x:v>source field</x:v>
      </x:c>
      <x:c r="C797" s="108" t="n">
        <x:v>24</x:v>
      </x:c>
      <x:c r="D797" s="86" t="str">
        <x:v>Z08</x:v>
      </x:c>
      <x:c r="E797" s="86" t="str">
        <x:v>full</x:v>
      </x:c>
      <x:c r="F797" s="86" t="str">
        <x:v>L4</x:v>
      </x:c>
      <x:c r="G797" s="86" t="str">
        <x:v>source field-CAL-4</x:v>
      </x:c>
      <x:c r="H797" s="86" t="str">
        <x:v>T4</x:v>
      </x:c>
      <x:c r="I797" s="91" t="str">
        <x:v>OPEN</x:v>
      </x:c>
    </x:row>
    <x:row r="798">
      <x:c r="A798" s="86" t="str">
        <x:v>CH-0793</x:v>
      </x:c>
      <x:c r="B798" s="86" t="str">
        <x:v>source field</x:v>
      </x:c>
      <x:c r="C798" s="108" t="n">
        <x:v>25</x:v>
      </x:c>
      <x:c r="D798" s="86" t="str">
        <x:v>Z09</x:v>
      </x:c>
      <x:c r="E798" s="86" t="str">
        <x:v>full</x:v>
      </x:c>
      <x:c r="F798" s="86" t="str">
        <x:v>L1</x:v>
      </x:c>
      <x:c r="G798" s="86" t="str">
        <x:v>source field-CAL-1</x:v>
      </x:c>
      <x:c r="H798" s="86" t="str">
        <x:v>T1</x:v>
      </x:c>
      <x:c r="I798" s="91" t="str">
        <x:v>OPEN</x:v>
      </x:c>
    </x:row>
    <x:row r="799">
      <x:c r="A799" s="86" t="str">
        <x:v>CH-0794</x:v>
      </x:c>
      <x:c r="B799" s="86" t="str">
        <x:v>source field</x:v>
      </x:c>
      <x:c r="C799" s="108" t="n">
        <x:v>26</x:v>
      </x:c>
      <x:c r="D799" s="86" t="str">
        <x:v>Z10</x:v>
      </x:c>
      <x:c r="E799" s="86" t="str">
        <x:v>full</x:v>
      </x:c>
      <x:c r="F799" s="86" t="str">
        <x:v>L2</x:v>
      </x:c>
      <x:c r="G799" s="86" t="str">
        <x:v>source field-CAL-2</x:v>
      </x:c>
      <x:c r="H799" s="86" t="str">
        <x:v>T2</x:v>
      </x:c>
      <x:c r="I799" s="91" t="str">
        <x:v>OPEN</x:v>
      </x:c>
    </x:row>
    <x:row r="800">
      <x:c r="A800" s="86" t="str">
        <x:v>CH-0795</x:v>
      </x:c>
      <x:c r="B800" s="86" t="str">
        <x:v>source field</x:v>
      </x:c>
      <x:c r="C800" s="108" t="n">
        <x:v>27</x:v>
      </x:c>
      <x:c r="D800" s="86" t="str">
        <x:v>Z11</x:v>
      </x:c>
      <x:c r="E800" s="86" t="str">
        <x:v>full</x:v>
      </x:c>
      <x:c r="F800" s="86" t="str">
        <x:v>L3</x:v>
      </x:c>
      <x:c r="G800" s="86" t="str">
        <x:v>source field-CAL-3</x:v>
      </x:c>
      <x:c r="H800" s="86" t="str">
        <x:v>T3</x:v>
      </x:c>
      <x:c r="I800" s="91" t="str">
        <x:v>OPEN</x:v>
      </x:c>
    </x:row>
    <x:row r="801">
      <x:c r="A801" s="86" t="str">
        <x:v>CH-0796</x:v>
      </x:c>
      <x:c r="B801" s="86" t="str">
        <x:v>source field</x:v>
      </x:c>
      <x:c r="C801" s="108" t="n">
        <x:v>28</x:v>
      </x:c>
      <x:c r="D801" s="86" t="str">
        <x:v>Z12</x:v>
      </x:c>
      <x:c r="E801" s="86" t="str">
        <x:v>full</x:v>
      </x:c>
      <x:c r="F801" s="86" t="str">
        <x:v>L4</x:v>
      </x:c>
      <x:c r="G801" s="86" t="str">
        <x:v>source field-CAL-4</x:v>
      </x:c>
      <x:c r="H801" s="86" t="str">
        <x:v>T4</x:v>
      </x:c>
      <x:c r="I801" s="91" t="str">
        <x:v>OPEN</x:v>
      </x:c>
    </x:row>
    <x:row r="802">
      <x:c r="A802" s="86" t="str">
        <x:v>CH-0797</x:v>
      </x:c>
      <x:c r="B802" s="86" t="str">
        <x:v>source field</x:v>
      </x:c>
      <x:c r="C802" s="108" t="n">
        <x:v>29</x:v>
      </x:c>
      <x:c r="D802" s="86" t="str">
        <x:v>Z13</x:v>
      </x:c>
      <x:c r="E802" s="86" t="str">
        <x:v>full</x:v>
      </x:c>
      <x:c r="F802" s="86" t="str">
        <x:v>L1</x:v>
      </x:c>
      <x:c r="G802" s="86" t="str">
        <x:v>source field-CAL-1</x:v>
      </x:c>
      <x:c r="H802" s="86" t="str">
        <x:v>T1</x:v>
      </x:c>
      <x:c r="I802" s="91" t="str">
        <x:v>OPEN</x:v>
      </x:c>
    </x:row>
    <x:row r="803">
      <x:c r="A803" s="86" t="str">
        <x:v>CH-0798</x:v>
      </x:c>
      <x:c r="B803" s="86" t="str">
        <x:v>source field</x:v>
      </x:c>
      <x:c r="C803" s="108" t="n">
        <x:v>30</x:v>
      </x:c>
      <x:c r="D803" s="86" t="str">
        <x:v>Z14</x:v>
      </x:c>
      <x:c r="E803" s="86" t="str">
        <x:v>full</x:v>
      </x:c>
      <x:c r="F803" s="86" t="str">
        <x:v>L2</x:v>
      </x:c>
      <x:c r="G803" s="86" t="str">
        <x:v>source field-CAL-2</x:v>
      </x:c>
      <x:c r="H803" s="86" t="str">
        <x:v>T2</x:v>
      </x:c>
      <x:c r="I803" s="91" t="str">
        <x:v>OPEN</x:v>
      </x:c>
    </x:row>
    <x:row r="804">
      <x:c r="A804" s="86" t="str">
        <x:v>CH-0799</x:v>
      </x:c>
      <x:c r="B804" s="86" t="str">
        <x:v>source field</x:v>
      </x:c>
      <x:c r="C804" s="108" t="n">
        <x:v>31</x:v>
      </x:c>
      <x:c r="D804" s="86" t="str">
        <x:v>Z15</x:v>
      </x:c>
      <x:c r="E804" s="86" t="str">
        <x:v>full</x:v>
      </x:c>
      <x:c r="F804" s="86" t="str">
        <x:v>L3</x:v>
      </x:c>
      <x:c r="G804" s="86" t="str">
        <x:v>source field-CAL-3</x:v>
      </x:c>
      <x:c r="H804" s="86" t="str">
        <x:v>T3</x:v>
      </x:c>
      <x:c r="I804" s="91" t="str">
        <x:v>OPEN</x:v>
      </x:c>
    </x:row>
    <x:row r="805">
      <x:c r="A805" s="86" t="str">
        <x:v>CH-0800</x:v>
      </x:c>
      <x:c r="B805" s="86" t="str">
        <x:v>source field</x:v>
      </x:c>
      <x:c r="C805" s="108" t="n">
        <x:v>32</x:v>
      </x:c>
      <x:c r="D805" s="86" t="str">
        <x:v>Z16</x:v>
      </x:c>
      <x:c r="E805" s="86" t="str">
        <x:v>full</x:v>
      </x:c>
      <x:c r="F805" s="86" t="str">
        <x:v>L4</x:v>
      </x:c>
      <x:c r="G805" s="86" t="str">
        <x:v>source field-CAL-4</x:v>
      </x:c>
      <x:c r="H805" s="86" t="str">
        <x:v>T4</x:v>
      </x:c>
      <x:c r="I805" s="91" t="str">
        <x:v>OPEN</x:v>
      </x:c>
    </x:row>
    <x:row r="806">
      <x:c r="A806" s="86" t="str">
        <x:v>CH-0801</x:v>
      </x:c>
      <x:c r="B806" s="86" t="str">
        <x:v>source field</x:v>
      </x:c>
      <x:c r="C806" s="108" t="n">
        <x:v>33</x:v>
      </x:c>
      <x:c r="D806" s="86" t="str">
        <x:v>Z01</x:v>
      </x:c>
      <x:c r="E806" s="86" t="str">
        <x:v>intermediate</x:v>
      </x:c>
      <x:c r="F806" s="86" t="str">
        <x:v>L1</x:v>
      </x:c>
      <x:c r="G806" s="86" t="str">
        <x:v>source field-CAL-1</x:v>
      </x:c>
      <x:c r="H806" s="86" t="str">
        <x:v>T1</x:v>
      </x:c>
      <x:c r="I806" s="91" t="str">
        <x:v>OPEN</x:v>
      </x:c>
    </x:row>
    <x:row r="807">
      <x:c r="A807" s="86" t="str">
        <x:v>CH-0802</x:v>
      </x:c>
      <x:c r="B807" s="86" t="str">
        <x:v>source field</x:v>
      </x:c>
      <x:c r="C807" s="108" t="n">
        <x:v>34</x:v>
      </x:c>
      <x:c r="D807" s="86" t="str">
        <x:v>Z02</x:v>
      </x:c>
      <x:c r="E807" s="86" t="str">
        <x:v>intermediate</x:v>
      </x:c>
      <x:c r="F807" s="86" t="str">
        <x:v>L2</x:v>
      </x:c>
      <x:c r="G807" s="86" t="str">
        <x:v>source field-CAL-2</x:v>
      </x:c>
      <x:c r="H807" s="86" t="str">
        <x:v>T2</x:v>
      </x:c>
      <x:c r="I807" s="91" t="str">
        <x:v>OPEN</x:v>
      </x:c>
    </x:row>
    <x:row r="808">
      <x:c r="A808" s="86" t="str">
        <x:v>CH-0803</x:v>
      </x:c>
      <x:c r="B808" s="86" t="str">
        <x:v>source field</x:v>
      </x:c>
      <x:c r="C808" s="108" t="n">
        <x:v>35</x:v>
      </x:c>
      <x:c r="D808" s="86" t="str">
        <x:v>Z03</x:v>
      </x:c>
      <x:c r="E808" s="86" t="str">
        <x:v>intermediate</x:v>
      </x:c>
      <x:c r="F808" s="86" t="str">
        <x:v>L3</x:v>
      </x:c>
      <x:c r="G808" s="86" t="str">
        <x:v>source field-CAL-3</x:v>
      </x:c>
      <x:c r="H808" s="86" t="str">
        <x:v>T3</x:v>
      </x:c>
      <x:c r="I808" s="91" t="str">
        <x:v>OPEN</x:v>
      </x:c>
    </x:row>
    <x:row r="809">
      <x:c r="A809" s="86" t="str">
        <x:v>CH-0804</x:v>
      </x:c>
      <x:c r="B809" s="86" t="str">
        <x:v>source field</x:v>
      </x:c>
      <x:c r="C809" s="108" t="n">
        <x:v>36</x:v>
      </x:c>
      <x:c r="D809" s="86" t="str">
        <x:v>Z04</x:v>
      </x:c>
      <x:c r="E809" s="86" t="str">
        <x:v>intermediate</x:v>
      </x:c>
      <x:c r="F809" s="86" t="str">
        <x:v>L4</x:v>
      </x:c>
      <x:c r="G809" s="86" t="str">
        <x:v>source field-CAL-4</x:v>
      </x:c>
      <x:c r="H809" s="86" t="str">
        <x:v>T4</x:v>
      </x:c>
      <x:c r="I809" s="91" t="str">
        <x:v>OPEN</x:v>
      </x:c>
    </x:row>
    <x:row r="810">
      <x:c r="A810" s="86" t="str">
        <x:v>CH-0805</x:v>
      </x:c>
      <x:c r="B810" s="86" t="str">
        <x:v>source field</x:v>
      </x:c>
      <x:c r="C810" s="108" t="n">
        <x:v>37</x:v>
      </x:c>
      <x:c r="D810" s="86" t="str">
        <x:v>Z05</x:v>
      </x:c>
      <x:c r="E810" s="86" t="str">
        <x:v>intermediate</x:v>
      </x:c>
      <x:c r="F810" s="86" t="str">
        <x:v>L1</x:v>
      </x:c>
      <x:c r="G810" s="86" t="str">
        <x:v>source field-CAL-1</x:v>
      </x:c>
      <x:c r="H810" s="86" t="str">
        <x:v>T1</x:v>
      </x:c>
      <x:c r="I810" s="91" t="str">
        <x:v>OPEN</x:v>
      </x:c>
    </x:row>
    <x:row r="811">
      <x:c r="A811" s="86" t="str">
        <x:v>CH-0806</x:v>
      </x:c>
      <x:c r="B811" s="86" t="str">
        <x:v>source field</x:v>
      </x:c>
      <x:c r="C811" s="108" t="n">
        <x:v>38</x:v>
      </x:c>
      <x:c r="D811" s="86" t="str">
        <x:v>Z06</x:v>
      </x:c>
      <x:c r="E811" s="86" t="str">
        <x:v>intermediate</x:v>
      </x:c>
      <x:c r="F811" s="86" t="str">
        <x:v>L2</x:v>
      </x:c>
      <x:c r="G811" s="86" t="str">
        <x:v>source field-CAL-2</x:v>
      </x:c>
      <x:c r="H811" s="86" t="str">
        <x:v>T2</x:v>
      </x:c>
      <x:c r="I811" s="91" t="str">
        <x:v>OPEN</x:v>
      </x:c>
    </x:row>
    <x:row r="812">
      <x:c r="A812" s="86" t="str">
        <x:v>CH-0807</x:v>
      </x:c>
      <x:c r="B812" s="86" t="str">
        <x:v>source field</x:v>
      </x:c>
      <x:c r="C812" s="108" t="n">
        <x:v>39</x:v>
      </x:c>
      <x:c r="D812" s="86" t="str">
        <x:v>Z07</x:v>
      </x:c>
      <x:c r="E812" s="86" t="str">
        <x:v>intermediate</x:v>
      </x:c>
      <x:c r="F812" s="86" t="str">
        <x:v>L3</x:v>
      </x:c>
      <x:c r="G812" s="86" t="str">
        <x:v>source field-CAL-3</x:v>
      </x:c>
      <x:c r="H812" s="86" t="str">
        <x:v>T3</x:v>
      </x:c>
      <x:c r="I812" s="91" t="str">
        <x:v>OPEN</x:v>
      </x:c>
    </x:row>
    <x:row r="813">
      <x:c r="A813" s="86" t="str">
        <x:v>CH-0808</x:v>
      </x:c>
      <x:c r="B813" s="86" t="str">
        <x:v>source field</x:v>
      </x:c>
      <x:c r="C813" s="108" t="n">
        <x:v>40</x:v>
      </x:c>
      <x:c r="D813" s="86" t="str">
        <x:v>Z08</x:v>
      </x:c>
      <x:c r="E813" s="86" t="str">
        <x:v>intermediate</x:v>
      </x:c>
      <x:c r="F813" s="86" t="str">
        <x:v>L4</x:v>
      </x:c>
      <x:c r="G813" s="86" t="str">
        <x:v>source field-CAL-4</x:v>
      </x:c>
      <x:c r="H813" s="86" t="str">
        <x:v>T4</x:v>
      </x:c>
      <x:c r="I813" s="91" t="str">
        <x:v>OPEN</x:v>
      </x:c>
    </x:row>
    <x:row r="814">
      <x:c r="A814" s="86" t="str">
        <x:v>CH-0809</x:v>
      </x:c>
      <x:c r="B814" s="86" t="str">
        <x:v>source field</x:v>
      </x:c>
      <x:c r="C814" s="108" t="n">
        <x:v>41</x:v>
      </x:c>
      <x:c r="D814" s="86" t="str">
        <x:v>Z09</x:v>
      </x:c>
      <x:c r="E814" s="86" t="str">
        <x:v>intermediate</x:v>
      </x:c>
      <x:c r="F814" s="86" t="str">
        <x:v>L1</x:v>
      </x:c>
      <x:c r="G814" s="86" t="str">
        <x:v>source field-CAL-1</x:v>
      </x:c>
      <x:c r="H814" s="86" t="str">
        <x:v>T1</x:v>
      </x:c>
      <x:c r="I814" s="91" t="str">
        <x:v>OPEN</x:v>
      </x:c>
    </x:row>
    <x:row r="815">
      <x:c r="A815" s="86" t="str">
        <x:v>CH-0810</x:v>
      </x:c>
      <x:c r="B815" s="86" t="str">
        <x:v>source field</x:v>
      </x:c>
      <x:c r="C815" s="108" t="n">
        <x:v>42</x:v>
      </x:c>
      <x:c r="D815" s="86" t="str">
        <x:v>Z10</x:v>
      </x:c>
      <x:c r="E815" s="86" t="str">
        <x:v>intermediate</x:v>
      </x:c>
      <x:c r="F815" s="86" t="str">
        <x:v>L2</x:v>
      </x:c>
      <x:c r="G815" s="86" t="str">
        <x:v>source field-CAL-2</x:v>
      </x:c>
      <x:c r="H815" s="86" t="str">
        <x:v>T2</x:v>
      </x:c>
      <x:c r="I815" s="91" t="str">
        <x:v>OPEN</x:v>
      </x:c>
    </x:row>
    <x:row r="816">
      <x:c r="A816" s="86" t="str">
        <x:v>CH-0811</x:v>
      </x:c>
      <x:c r="B816" s="86" t="str">
        <x:v>source field</x:v>
      </x:c>
      <x:c r="C816" s="108" t="n">
        <x:v>43</x:v>
      </x:c>
      <x:c r="D816" s="86" t="str">
        <x:v>Z11</x:v>
      </x:c>
      <x:c r="E816" s="86" t="str">
        <x:v>intermediate</x:v>
      </x:c>
      <x:c r="F816" s="86" t="str">
        <x:v>L3</x:v>
      </x:c>
      <x:c r="G816" s="86" t="str">
        <x:v>source field-CAL-3</x:v>
      </x:c>
      <x:c r="H816" s="86" t="str">
        <x:v>T3</x:v>
      </x:c>
      <x:c r="I816" s="91" t="str">
        <x:v>OPEN</x:v>
      </x:c>
    </x:row>
    <x:row r="817">
      <x:c r="A817" s="86" t="str">
        <x:v>CH-0812</x:v>
      </x:c>
      <x:c r="B817" s="86" t="str">
        <x:v>source field</x:v>
      </x:c>
      <x:c r="C817" s="108" t="n">
        <x:v>44</x:v>
      </x:c>
      <x:c r="D817" s="86" t="str">
        <x:v>Z12</x:v>
      </x:c>
      <x:c r="E817" s="86" t="str">
        <x:v>intermediate</x:v>
      </x:c>
      <x:c r="F817" s="86" t="str">
        <x:v>L4</x:v>
      </x:c>
      <x:c r="G817" s="86" t="str">
        <x:v>source field-CAL-4</x:v>
      </x:c>
      <x:c r="H817" s="86" t="str">
        <x:v>T4</x:v>
      </x:c>
      <x:c r="I817" s="91" t="str">
        <x:v>OPEN</x:v>
      </x:c>
    </x:row>
    <x:row r="818">
      <x:c r="A818" s="86" t="str">
        <x:v>CH-0813</x:v>
      </x:c>
      <x:c r="B818" s="86" t="str">
        <x:v>source field</x:v>
      </x:c>
      <x:c r="C818" s="108" t="n">
        <x:v>45</x:v>
      </x:c>
      <x:c r="D818" s="86" t="str">
        <x:v>Z13</x:v>
      </x:c>
      <x:c r="E818" s="86" t="str">
        <x:v>intermediate</x:v>
      </x:c>
      <x:c r="F818" s="86" t="str">
        <x:v>L1</x:v>
      </x:c>
      <x:c r="G818" s="86" t="str">
        <x:v>source field-CAL-1</x:v>
      </x:c>
      <x:c r="H818" s="86" t="str">
        <x:v>T1</x:v>
      </x:c>
      <x:c r="I818" s="91" t="str">
        <x:v>OPEN</x:v>
      </x:c>
    </x:row>
    <x:row r="819">
      <x:c r="A819" s="86" t="str">
        <x:v>CH-0814</x:v>
      </x:c>
      <x:c r="B819" s="86" t="str">
        <x:v>source field</x:v>
      </x:c>
      <x:c r="C819" s="108" t="n">
        <x:v>46</x:v>
      </x:c>
      <x:c r="D819" s="86" t="str">
        <x:v>Z14</x:v>
      </x:c>
      <x:c r="E819" s="86" t="str">
        <x:v>intermediate</x:v>
      </x:c>
      <x:c r="F819" s="86" t="str">
        <x:v>L2</x:v>
      </x:c>
      <x:c r="G819" s="86" t="str">
        <x:v>source field-CAL-2</x:v>
      </x:c>
      <x:c r="H819" s="86" t="str">
        <x:v>T2</x:v>
      </x:c>
      <x:c r="I819" s="91" t="str">
        <x:v>OPEN</x:v>
      </x:c>
    </x:row>
    <x:row r="820">
      <x:c r="A820" s="86" t="str">
        <x:v>CH-0815</x:v>
      </x:c>
      <x:c r="B820" s="86" t="str">
        <x:v>source field</x:v>
      </x:c>
      <x:c r="C820" s="108" t="n">
        <x:v>47</x:v>
      </x:c>
      <x:c r="D820" s="86" t="str">
        <x:v>Z15</x:v>
      </x:c>
      <x:c r="E820" s="86" t="str">
        <x:v>intermediate</x:v>
      </x:c>
      <x:c r="F820" s="86" t="str">
        <x:v>L3</x:v>
      </x:c>
      <x:c r="G820" s="86" t="str">
        <x:v>source field-CAL-3</x:v>
      </x:c>
      <x:c r="H820" s="86" t="str">
        <x:v>T3</x:v>
      </x:c>
      <x:c r="I820" s="91" t="str">
        <x:v>OPEN</x:v>
      </x:c>
    </x:row>
    <x:row r="821">
      <x:c r="A821" s="86" t="str">
        <x:v>CH-0816</x:v>
      </x:c>
      <x:c r="B821" s="86" t="str">
        <x:v>source field</x:v>
      </x:c>
      <x:c r="C821" s="108" t="n">
        <x:v>48</x:v>
      </x:c>
      <x:c r="D821" s="86" t="str">
        <x:v>Z16</x:v>
      </x:c>
      <x:c r="E821" s="86" t="str">
        <x:v>intermediate</x:v>
      </x:c>
      <x:c r="F821" s="86" t="str">
        <x:v>L4</x:v>
      </x:c>
      <x:c r="G821" s="86" t="str">
        <x:v>source field-CAL-4</x:v>
      </x:c>
      <x:c r="H821" s="86" t="str">
        <x:v>T4</x:v>
      </x:c>
      <x:c r="I821" s="91" t="str">
        <x:v>OPEN</x:v>
      </x:c>
    </x:row>
    <x:row r="822">
      <x:c r="A822" s="86" t="str">
        <x:v>CH-0817</x:v>
      </x:c>
      <x:c r="B822" s="86" t="str">
        <x:v>source field</x:v>
      </x:c>
      <x:c r="C822" s="108" t="n">
        <x:v>49</x:v>
      </x:c>
      <x:c r="D822" s="86" t="str">
        <x:v>Z01</x:v>
      </x:c>
      <x:c r="E822" s="86" t="str">
        <x:v>return</x:v>
      </x:c>
      <x:c r="F822" s="86" t="str">
        <x:v>L1</x:v>
      </x:c>
      <x:c r="G822" s="86" t="str">
        <x:v>source field-CAL-1</x:v>
      </x:c>
      <x:c r="H822" s="86" t="str">
        <x:v>T1</x:v>
      </x:c>
      <x:c r="I822" s="91" t="str">
        <x:v>OPEN</x:v>
      </x:c>
    </x:row>
    <x:row r="823">
      <x:c r="A823" s="86" t="str">
        <x:v>CH-0818</x:v>
      </x:c>
      <x:c r="B823" s="86" t="str">
        <x:v>source field</x:v>
      </x:c>
      <x:c r="C823" s="108" t="n">
        <x:v>50</x:v>
      </x:c>
      <x:c r="D823" s="86" t="str">
        <x:v>Z02</x:v>
      </x:c>
      <x:c r="E823" s="86" t="str">
        <x:v>return</x:v>
      </x:c>
      <x:c r="F823" s="86" t="str">
        <x:v>L2</x:v>
      </x:c>
      <x:c r="G823" s="86" t="str">
        <x:v>source field-CAL-2</x:v>
      </x:c>
      <x:c r="H823" s="86" t="str">
        <x:v>T2</x:v>
      </x:c>
      <x:c r="I823" s="91" t="str">
        <x:v>OPEN</x:v>
      </x:c>
    </x:row>
    <x:row r="824">
      <x:c r="A824" s="86" t="str">
        <x:v>CH-0819</x:v>
      </x:c>
      <x:c r="B824" s="86" t="str">
        <x:v>source field</x:v>
      </x:c>
      <x:c r="C824" s="108" t="n">
        <x:v>51</x:v>
      </x:c>
      <x:c r="D824" s="86" t="str">
        <x:v>Z03</x:v>
      </x:c>
      <x:c r="E824" s="86" t="str">
        <x:v>return</x:v>
      </x:c>
      <x:c r="F824" s="86" t="str">
        <x:v>L3</x:v>
      </x:c>
      <x:c r="G824" s="86" t="str">
        <x:v>source field-CAL-3</x:v>
      </x:c>
      <x:c r="H824" s="86" t="str">
        <x:v>T3</x:v>
      </x:c>
      <x:c r="I824" s="91" t="str">
        <x:v>OPEN</x:v>
      </x:c>
    </x:row>
    <x:row r="825">
      <x:c r="A825" s="86" t="str">
        <x:v>CH-0820</x:v>
      </x:c>
      <x:c r="B825" s="86" t="str">
        <x:v>source field</x:v>
      </x:c>
      <x:c r="C825" s="108" t="n">
        <x:v>52</x:v>
      </x:c>
      <x:c r="D825" s="86" t="str">
        <x:v>Z04</x:v>
      </x:c>
      <x:c r="E825" s="86" t="str">
        <x:v>return</x:v>
      </x:c>
      <x:c r="F825" s="86" t="str">
        <x:v>L4</x:v>
      </x:c>
      <x:c r="G825" s="86" t="str">
        <x:v>source field-CAL-4</x:v>
      </x:c>
      <x:c r="H825" s="86" t="str">
        <x:v>T4</x:v>
      </x:c>
      <x:c r="I825" s="91" t="str">
        <x:v>OPEN</x:v>
      </x:c>
    </x:row>
    <x:row r="826">
      <x:c r="A826" s="86" t="str">
        <x:v>CH-0821</x:v>
      </x:c>
      <x:c r="B826" s="86" t="str">
        <x:v>source field</x:v>
      </x:c>
      <x:c r="C826" s="108" t="n">
        <x:v>53</x:v>
      </x:c>
      <x:c r="D826" s="86" t="str">
        <x:v>Z05</x:v>
      </x:c>
      <x:c r="E826" s="86" t="str">
        <x:v>return</x:v>
      </x:c>
      <x:c r="F826" s="86" t="str">
        <x:v>L1</x:v>
      </x:c>
      <x:c r="G826" s="86" t="str">
        <x:v>source field-CAL-1</x:v>
      </x:c>
      <x:c r="H826" s="86" t="str">
        <x:v>T1</x:v>
      </x:c>
      <x:c r="I826" s="91" t="str">
        <x:v>OPEN</x:v>
      </x:c>
    </x:row>
    <x:row r="827">
      <x:c r="A827" s="86" t="str">
        <x:v>CH-0822</x:v>
      </x:c>
      <x:c r="B827" s="86" t="str">
        <x:v>source field</x:v>
      </x:c>
      <x:c r="C827" s="108" t="n">
        <x:v>54</x:v>
      </x:c>
      <x:c r="D827" s="86" t="str">
        <x:v>Z06</x:v>
      </x:c>
      <x:c r="E827" s="86" t="str">
        <x:v>return</x:v>
      </x:c>
      <x:c r="F827" s="86" t="str">
        <x:v>L2</x:v>
      </x:c>
      <x:c r="G827" s="86" t="str">
        <x:v>source field-CAL-2</x:v>
      </x:c>
      <x:c r="H827" s="86" t="str">
        <x:v>T2</x:v>
      </x:c>
      <x:c r="I827" s="91" t="str">
        <x:v>OPEN</x:v>
      </x:c>
    </x:row>
    <x:row r="828">
      <x:c r="A828" s="86" t="str">
        <x:v>CH-0823</x:v>
      </x:c>
      <x:c r="B828" s="86" t="str">
        <x:v>source field</x:v>
      </x:c>
      <x:c r="C828" s="108" t="n">
        <x:v>55</x:v>
      </x:c>
      <x:c r="D828" s="86" t="str">
        <x:v>Z07</x:v>
      </x:c>
      <x:c r="E828" s="86" t="str">
        <x:v>return</x:v>
      </x:c>
      <x:c r="F828" s="86" t="str">
        <x:v>L3</x:v>
      </x:c>
      <x:c r="G828" s="86" t="str">
        <x:v>source field-CAL-3</x:v>
      </x:c>
      <x:c r="H828" s="86" t="str">
        <x:v>T3</x:v>
      </x:c>
      <x:c r="I828" s="91" t="str">
        <x:v>OPEN</x:v>
      </x:c>
    </x:row>
    <x:row r="829">
      <x:c r="A829" s="86" t="str">
        <x:v>CH-0824</x:v>
      </x:c>
      <x:c r="B829" s="86" t="str">
        <x:v>source field</x:v>
      </x:c>
      <x:c r="C829" s="108" t="n">
        <x:v>56</x:v>
      </x:c>
      <x:c r="D829" s="86" t="str">
        <x:v>Z08</x:v>
      </x:c>
      <x:c r="E829" s="86" t="str">
        <x:v>return</x:v>
      </x:c>
      <x:c r="F829" s="86" t="str">
        <x:v>L4</x:v>
      </x:c>
      <x:c r="G829" s="86" t="str">
        <x:v>source field-CAL-4</x:v>
      </x:c>
      <x:c r="H829" s="86" t="str">
        <x:v>T4</x:v>
      </x:c>
      <x:c r="I829" s="91" t="str">
        <x:v>OPEN</x:v>
      </x:c>
    </x:row>
    <x:row r="830">
      <x:c r="A830" s="86" t="str">
        <x:v>CH-0825</x:v>
      </x:c>
      <x:c r="B830" s="86" t="str">
        <x:v>source field</x:v>
      </x:c>
      <x:c r="C830" s="108" t="n">
        <x:v>57</x:v>
      </x:c>
      <x:c r="D830" s="86" t="str">
        <x:v>Z09</x:v>
      </x:c>
      <x:c r="E830" s="86" t="str">
        <x:v>return</x:v>
      </x:c>
      <x:c r="F830" s="86" t="str">
        <x:v>L1</x:v>
      </x:c>
      <x:c r="G830" s="86" t="str">
        <x:v>source field-CAL-1</x:v>
      </x:c>
      <x:c r="H830" s="86" t="str">
        <x:v>T1</x:v>
      </x:c>
      <x:c r="I830" s="91" t="str">
        <x:v>OPEN</x:v>
      </x:c>
    </x:row>
    <x:row r="831">
      <x:c r="A831" s="86" t="str">
        <x:v>CH-0826</x:v>
      </x:c>
      <x:c r="B831" s="86" t="str">
        <x:v>source field</x:v>
      </x:c>
      <x:c r="C831" s="108" t="n">
        <x:v>58</x:v>
      </x:c>
      <x:c r="D831" s="86" t="str">
        <x:v>Z10</x:v>
      </x:c>
      <x:c r="E831" s="86" t="str">
        <x:v>return</x:v>
      </x:c>
      <x:c r="F831" s="86" t="str">
        <x:v>L2</x:v>
      </x:c>
      <x:c r="G831" s="86" t="str">
        <x:v>source field-CAL-2</x:v>
      </x:c>
      <x:c r="H831" s="86" t="str">
        <x:v>T2</x:v>
      </x:c>
      <x:c r="I831" s="91" t="str">
        <x:v>OPEN</x:v>
      </x:c>
    </x:row>
    <x:row r="832">
      <x:c r="A832" s="86" t="str">
        <x:v>CH-0827</x:v>
      </x:c>
      <x:c r="B832" s="86" t="str">
        <x:v>source field</x:v>
      </x:c>
      <x:c r="C832" s="108" t="n">
        <x:v>59</x:v>
      </x:c>
      <x:c r="D832" s="86" t="str">
        <x:v>Z11</x:v>
      </x:c>
      <x:c r="E832" s="86" t="str">
        <x:v>return</x:v>
      </x:c>
      <x:c r="F832" s="86" t="str">
        <x:v>L3</x:v>
      </x:c>
      <x:c r="G832" s="86" t="str">
        <x:v>source field-CAL-3</x:v>
      </x:c>
      <x:c r="H832" s="86" t="str">
        <x:v>T3</x:v>
      </x:c>
      <x:c r="I832" s="91" t="str">
        <x:v>OPEN</x:v>
      </x:c>
    </x:row>
    <x:row r="833">
      <x:c r="A833" s="86" t="str">
        <x:v>CH-0828</x:v>
      </x:c>
      <x:c r="B833" s="86" t="str">
        <x:v>source field</x:v>
      </x:c>
      <x:c r="C833" s="108" t="n">
        <x:v>60</x:v>
      </x:c>
      <x:c r="D833" s="86" t="str">
        <x:v>Z12</x:v>
      </x:c>
      <x:c r="E833" s="86" t="str">
        <x:v>return</x:v>
      </x:c>
      <x:c r="F833" s="86" t="str">
        <x:v>L4</x:v>
      </x:c>
      <x:c r="G833" s="86" t="str">
        <x:v>source field-CAL-4</x:v>
      </x:c>
      <x:c r="H833" s="86" t="str">
        <x:v>T4</x:v>
      </x:c>
      <x:c r="I833" s="91" t="str">
        <x:v>OPEN</x:v>
      </x:c>
    </x:row>
    <x:row r="834">
      <x:c r="A834" s="86" t="str">
        <x:v>CH-0829</x:v>
      </x:c>
      <x:c r="B834" s="86" t="str">
        <x:v>source field</x:v>
      </x:c>
      <x:c r="C834" s="108" t="n">
        <x:v>61</x:v>
      </x:c>
      <x:c r="D834" s="86" t="str">
        <x:v>Z13</x:v>
      </x:c>
      <x:c r="E834" s="86" t="str">
        <x:v>return</x:v>
      </x:c>
      <x:c r="F834" s="86" t="str">
        <x:v>L1</x:v>
      </x:c>
      <x:c r="G834" s="86" t="str">
        <x:v>source field-CAL-1</x:v>
      </x:c>
      <x:c r="H834" s="86" t="str">
        <x:v>T1</x:v>
      </x:c>
      <x:c r="I834" s="91" t="str">
        <x:v>OPEN</x:v>
      </x:c>
    </x:row>
    <x:row r="835">
      <x:c r="A835" s="86" t="str">
        <x:v>CH-0830</x:v>
      </x:c>
      <x:c r="B835" s="86" t="str">
        <x:v>source field</x:v>
      </x:c>
      <x:c r="C835" s="108" t="n">
        <x:v>62</x:v>
      </x:c>
      <x:c r="D835" s="86" t="str">
        <x:v>Z14</x:v>
      </x:c>
      <x:c r="E835" s="86" t="str">
        <x:v>return</x:v>
      </x:c>
      <x:c r="F835" s="86" t="str">
        <x:v>L2</x:v>
      </x:c>
      <x:c r="G835" s="86" t="str">
        <x:v>source field-CAL-2</x:v>
      </x:c>
      <x:c r="H835" s="86" t="str">
        <x:v>T2</x:v>
      </x:c>
      <x:c r="I835" s="91" t="str">
        <x:v>OPEN</x:v>
      </x:c>
    </x:row>
    <x:row r="836">
      <x:c r="A836" s="86" t="str">
        <x:v>CH-0831</x:v>
      </x:c>
      <x:c r="B836" s="86" t="str">
        <x:v>source field</x:v>
      </x:c>
      <x:c r="C836" s="108" t="n">
        <x:v>63</x:v>
      </x:c>
      <x:c r="D836" s="86" t="str">
        <x:v>Z15</x:v>
      </x:c>
      <x:c r="E836" s="86" t="str">
        <x:v>return</x:v>
      </x:c>
      <x:c r="F836" s="86" t="str">
        <x:v>L3</x:v>
      </x:c>
      <x:c r="G836" s="86" t="str">
        <x:v>source field-CAL-3</x:v>
      </x:c>
      <x:c r="H836" s="86" t="str">
        <x:v>T3</x:v>
      </x:c>
      <x:c r="I836" s="91" t="str">
        <x:v>OPEN</x:v>
      </x:c>
    </x:row>
    <x:row r="837">
      <x:c r="A837" s="86" t="str">
        <x:v>CH-0832</x:v>
      </x:c>
      <x:c r="B837" s="86" t="str">
        <x:v>source field</x:v>
      </x:c>
      <x:c r="C837" s="108" t="n">
        <x:v>64</x:v>
      </x:c>
      <x:c r="D837" s="86" t="str">
        <x:v>Z16</x:v>
      </x:c>
      <x:c r="E837" s="86" t="str">
        <x:v>return</x:v>
      </x:c>
      <x:c r="F837" s="86" t="str">
        <x:v>L4</x:v>
      </x:c>
      <x:c r="G837" s="86" t="str">
        <x:v>source field-CAL-4</x:v>
      </x:c>
      <x:c r="H837" s="86" t="str">
        <x:v>T4</x:v>
      </x:c>
      <x:c r="I837" s="91" t="str">
        <x:v>OPEN</x:v>
      </x:c>
    </x:row>
    <x:row r="838">
      <x:c r="A838" s="86" t="str">
        <x:v>CH-0833</x:v>
      </x:c>
      <x:c r="B838" s="86" t="str">
        <x:v>source route</x:v>
      </x:c>
      <x:c r="C838" s="108" t="n">
        <x:v>1</x:v>
      </x:c>
      <x:c r="D838" s="86" t="str">
        <x:v>Z01</x:v>
      </x:c>
      <x:c r="E838" s="86" t="str">
        <x:v>full</x:v>
      </x:c>
      <x:c r="F838" s="86" t="str">
        <x:v>L1</x:v>
      </x:c>
      <x:c r="G838" s="86" t="str">
        <x:v>source route-CAL-1</x:v>
      </x:c>
      <x:c r="H838" s="86" t="str">
        <x:v>T1</x:v>
      </x:c>
      <x:c r="I838" s="91" t="str">
        <x:v>OPEN</x:v>
      </x:c>
    </x:row>
    <x:row r="839">
      <x:c r="A839" s="86" t="str">
        <x:v>CH-0834</x:v>
      </x:c>
      <x:c r="B839" s="86" t="str">
        <x:v>source route</x:v>
      </x:c>
      <x:c r="C839" s="108" t="n">
        <x:v>2</x:v>
      </x:c>
      <x:c r="D839" s="86" t="str">
        <x:v>Z02</x:v>
      </x:c>
      <x:c r="E839" s="86" t="str">
        <x:v>full</x:v>
      </x:c>
      <x:c r="F839" s="86" t="str">
        <x:v>L2</x:v>
      </x:c>
      <x:c r="G839" s="86" t="str">
        <x:v>source route-CAL-2</x:v>
      </x:c>
      <x:c r="H839" s="86" t="str">
        <x:v>T2</x:v>
      </x:c>
      <x:c r="I839" s="91" t="str">
        <x:v>OPEN</x:v>
      </x:c>
    </x:row>
    <x:row r="840">
      <x:c r="A840" s="86" t="str">
        <x:v>CH-0835</x:v>
      </x:c>
      <x:c r="B840" s="86" t="str">
        <x:v>source route</x:v>
      </x:c>
      <x:c r="C840" s="108" t="n">
        <x:v>3</x:v>
      </x:c>
      <x:c r="D840" s="86" t="str">
        <x:v>Z03</x:v>
      </x:c>
      <x:c r="E840" s="86" t="str">
        <x:v>full</x:v>
      </x:c>
      <x:c r="F840" s="86" t="str">
        <x:v>L3</x:v>
      </x:c>
      <x:c r="G840" s="86" t="str">
        <x:v>source route-CAL-3</x:v>
      </x:c>
      <x:c r="H840" s="86" t="str">
        <x:v>T3</x:v>
      </x:c>
      <x:c r="I840" s="91" t="str">
        <x:v>OPEN</x:v>
      </x:c>
    </x:row>
    <x:row r="841">
      <x:c r="A841" s="86" t="str">
        <x:v>CH-0836</x:v>
      </x:c>
      <x:c r="B841" s="86" t="str">
        <x:v>source route</x:v>
      </x:c>
      <x:c r="C841" s="108" t="n">
        <x:v>4</x:v>
      </x:c>
      <x:c r="D841" s="86" t="str">
        <x:v>Z04</x:v>
      </x:c>
      <x:c r="E841" s="86" t="str">
        <x:v>full</x:v>
      </x:c>
      <x:c r="F841" s="86" t="str">
        <x:v>L4</x:v>
      </x:c>
      <x:c r="G841" s="86" t="str">
        <x:v>source route-CAL-4</x:v>
      </x:c>
      <x:c r="H841" s="86" t="str">
        <x:v>T4</x:v>
      </x:c>
      <x:c r="I841" s="91" t="str">
        <x:v>OPEN</x:v>
      </x:c>
    </x:row>
    <x:row r="842">
      <x:c r="A842" s="86" t="str">
        <x:v>CH-0837</x:v>
      </x:c>
      <x:c r="B842" s="86" t="str">
        <x:v>source route</x:v>
      </x:c>
      <x:c r="C842" s="108" t="n">
        <x:v>5</x:v>
      </x:c>
      <x:c r="D842" s="86" t="str">
        <x:v>Z05</x:v>
      </x:c>
      <x:c r="E842" s="86" t="str">
        <x:v>full</x:v>
      </x:c>
      <x:c r="F842" s="86" t="str">
        <x:v>L1</x:v>
      </x:c>
      <x:c r="G842" s="86" t="str">
        <x:v>source route-CAL-1</x:v>
      </x:c>
      <x:c r="H842" s="86" t="str">
        <x:v>T1</x:v>
      </x:c>
      <x:c r="I842" s="91" t="str">
        <x:v>OPEN</x:v>
      </x:c>
    </x:row>
    <x:row r="843">
      <x:c r="A843" s="86" t="str">
        <x:v>CH-0838</x:v>
      </x:c>
      <x:c r="B843" s="86" t="str">
        <x:v>source route</x:v>
      </x:c>
      <x:c r="C843" s="108" t="n">
        <x:v>6</x:v>
      </x:c>
      <x:c r="D843" s="86" t="str">
        <x:v>Z06</x:v>
      </x:c>
      <x:c r="E843" s="86" t="str">
        <x:v>full</x:v>
      </x:c>
      <x:c r="F843" s="86" t="str">
        <x:v>L2</x:v>
      </x:c>
      <x:c r="G843" s="86" t="str">
        <x:v>source route-CAL-2</x:v>
      </x:c>
      <x:c r="H843" s="86" t="str">
        <x:v>T2</x:v>
      </x:c>
      <x:c r="I843" s="91" t="str">
        <x:v>OPEN</x:v>
      </x:c>
    </x:row>
    <x:row r="844">
      <x:c r="A844" s="86" t="str">
        <x:v>CH-0839</x:v>
      </x:c>
      <x:c r="B844" s="86" t="str">
        <x:v>source route</x:v>
      </x:c>
      <x:c r="C844" s="108" t="n">
        <x:v>7</x:v>
      </x:c>
      <x:c r="D844" s="86" t="str">
        <x:v>Z07</x:v>
      </x:c>
      <x:c r="E844" s="86" t="str">
        <x:v>full</x:v>
      </x:c>
      <x:c r="F844" s="86" t="str">
        <x:v>L3</x:v>
      </x:c>
      <x:c r="G844" s="86" t="str">
        <x:v>source route-CAL-3</x:v>
      </x:c>
      <x:c r="H844" s="86" t="str">
        <x:v>T3</x:v>
      </x:c>
      <x:c r="I844" s="91" t="str">
        <x:v>OPEN</x:v>
      </x:c>
    </x:row>
    <x:row r="845">
      <x:c r="A845" s="86" t="str">
        <x:v>CH-0840</x:v>
      </x:c>
      <x:c r="B845" s="86" t="str">
        <x:v>source route</x:v>
      </x:c>
      <x:c r="C845" s="108" t="n">
        <x:v>8</x:v>
      </x:c>
      <x:c r="D845" s="86" t="str">
        <x:v>Z08</x:v>
      </x:c>
      <x:c r="E845" s="86" t="str">
        <x:v>full</x:v>
      </x:c>
      <x:c r="F845" s="86" t="str">
        <x:v>L4</x:v>
      </x:c>
      <x:c r="G845" s="86" t="str">
        <x:v>source route-CAL-4</x:v>
      </x:c>
      <x:c r="H845" s="86" t="str">
        <x:v>T4</x:v>
      </x:c>
      <x:c r="I845" s="91" t="str">
        <x:v>OPEN</x:v>
      </x:c>
    </x:row>
    <x:row r="846">
      <x:c r="A846" s="86" t="str">
        <x:v>CH-0841</x:v>
      </x:c>
      <x:c r="B846" s="86" t="str">
        <x:v>source route</x:v>
      </x:c>
      <x:c r="C846" s="108" t="n">
        <x:v>9</x:v>
      </x:c>
      <x:c r="D846" s="86" t="str">
        <x:v>Z09</x:v>
      </x:c>
      <x:c r="E846" s="86" t="str">
        <x:v>full</x:v>
      </x:c>
      <x:c r="F846" s="86" t="str">
        <x:v>L1</x:v>
      </x:c>
      <x:c r="G846" s="86" t="str">
        <x:v>source route-CAL-1</x:v>
      </x:c>
      <x:c r="H846" s="86" t="str">
        <x:v>T1</x:v>
      </x:c>
      <x:c r="I846" s="91" t="str">
        <x:v>OPEN</x:v>
      </x:c>
    </x:row>
    <x:row r="847">
      <x:c r="A847" s="86" t="str">
        <x:v>CH-0842</x:v>
      </x:c>
      <x:c r="B847" s="86" t="str">
        <x:v>source route</x:v>
      </x:c>
      <x:c r="C847" s="108" t="n">
        <x:v>10</x:v>
      </x:c>
      <x:c r="D847" s="86" t="str">
        <x:v>Z10</x:v>
      </x:c>
      <x:c r="E847" s="86" t="str">
        <x:v>full</x:v>
      </x:c>
      <x:c r="F847" s="86" t="str">
        <x:v>L2</x:v>
      </x:c>
      <x:c r="G847" s="86" t="str">
        <x:v>source route-CAL-2</x:v>
      </x:c>
      <x:c r="H847" s="86" t="str">
        <x:v>T2</x:v>
      </x:c>
      <x:c r="I847" s="91" t="str">
        <x:v>OPEN</x:v>
      </x:c>
    </x:row>
    <x:row r="848">
      <x:c r="A848" s="86" t="str">
        <x:v>CH-0843</x:v>
      </x:c>
      <x:c r="B848" s="86" t="str">
        <x:v>source route</x:v>
      </x:c>
      <x:c r="C848" s="108" t="n">
        <x:v>11</x:v>
      </x:c>
      <x:c r="D848" s="86" t="str">
        <x:v>Z11</x:v>
      </x:c>
      <x:c r="E848" s="86" t="str">
        <x:v>full</x:v>
      </x:c>
      <x:c r="F848" s="86" t="str">
        <x:v>L3</x:v>
      </x:c>
      <x:c r="G848" s="86" t="str">
        <x:v>source route-CAL-3</x:v>
      </x:c>
      <x:c r="H848" s="86" t="str">
        <x:v>T3</x:v>
      </x:c>
      <x:c r="I848" s="91" t="str">
        <x:v>OPEN</x:v>
      </x:c>
    </x:row>
    <x:row r="849">
      <x:c r="A849" s="86" t="str">
        <x:v>CH-0844</x:v>
      </x:c>
      <x:c r="B849" s="86" t="str">
        <x:v>source route</x:v>
      </x:c>
      <x:c r="C849" s="108" t="n">
        <x:v>12</x:v>
      </x:c>
      <x:c r="D849" s="86" t="str">
        <x:v>Z12</x:v>
      </x:c>
      <x:c r="E849" s="86" t="str">
        <x:v>full</x:v>
      </x:c>
      <x:c r="F849" s="86" t="str">
        <x:v>L4</x:v>
      </x:c>
      <x:c r="G849" s="86" t="str">
        <x:v>source route-CAL-4</x:v>
      </x:c>
      <x:c r="H849" s="86" t="str">
        <x:v>T4</x:v>
      </x:c>
      <x:c r="I849" s="91" t="str">
        <x:v>OPEN</x:v>
      </x:c>
    </x:row>
    <x:row r="850">
      <x:c r="A850" s="86" t="str">
        <x:v>CH-0845</x:v>
      </x:c>
      <x:c r="B850" s="86" t="str">
        <x:v>source route</x:v>
      </x:c>
      <x:c r="C850" s="108" t="n">
        <x:v>13</x:v>
      </x:c>
      <x:c r="D850" s="86" t="str">
        <x:v>Z13</x:v>
      </x:c>
      <x:c r="E850" s="86" t="str">
        <x:v>full</x:v>
      </x:c>
      <x:c r="F850" s="86" t="str">
        <x:v>L1</x:v>
      </x:c>
      <x:c r="G850" s="86" t="str">
        <x:v>source route-CAL-1</x:v>
      </x:c>
      <x:c r="H850" s="86" t="str">
        <x:v>T1</x:v>
      </x:c>
      <x:c r="I850" s="91" t="str">
        <x:v>OPEN</x:v>
      </x:c>
    </x:row>
    <x:row r="851">
      <x:c r="A851" s="86" t="str">
        <x:v>CH-0846</x:v>
      </x:c>
      <x:c r="B851" s="86" t="str">
        <x:v>source route</x:v>
      </x:c>
      <x:c r="C851" s="108" t="n">
        <x:v>14</x:v>
      </x:c>
      <x:c r="D851" s="86" t="str">
        <x:v>Z14</x:v>
      </x:c>
      <x:c r="E851" s="86" t="str">
        <x:v>full</x:v>
      </x:c>
      <x:c r="F851" s="86" t="str">
        <x:v>L2</x:v>
      </x:c>
      <x:c r="G851" s="86" t="str">
        <x:v>source route-CAL-2</x:v>
      </x:c>
      <x:c r="H851" s="86" t="str">
        <x:v>T2</x:v>
      </x:c>
      <x:c r="I851" s="91" t="str">
        <x:v>OPEN</x:v>
      </x:c>
    </x:row>
    <x:row r="852">
      <x:c r="A852" s="86" t="str">
        <x:v>CH-0847</x:v>
      </x:c>
      <x:c r="B852" s="86" t="str">
        <x:v>source route</x:v>
      </x:c>
      <x:c r="C852" s="108" t="n">
        <x:v>15</x:v>
      </x:c>
      <x:c r="D852" s="86" t="str">
        <x:v>Z15</x:v>
      </x:c>
      <x:c r="E852" s="86" t="str">
        <x:v>full</x:v>
      </x:c>
      <x:c r="F852" s="86" t="str">
        <x:v>L3</x:v>
      </x:c>
      <x:c r="G852" s="86" t="str">
        <x:v>source route-CAL-3</x:v>
      </x:c>
      <x:c r="H852" s="86" t="str">
        <x:v>T3</x:v>
      </x:c>
      <x:c r="I852" s="91" t="str">
        <x:v>OPEN</x:v>
      </x:c>
    </x:row>
    <x:row r="853">
      <x:c r="A853" s="86" t="str">
        <x:v>CH-0848</x:v>
      </x:c>
      <x:c r="B853" s="86" t="str">
        <x:v>source route</x:v>
      </x:c>
      <x:c r="C853" s="108" t="n">
        <x:v>16</x:v>
      </x:c>
      <x:c r="D853" s="86" t="str">
        <x:v>Z16</x:v>
      </x:c>
      <x:c r="E853" s="86" t="str">
        <x:v>full</x:v>
      </x:c>
      <x:c r="F853" s="86" t="str">
        <x:v>L4</x:v>
      </x:c>
      <x:c r="G853" s="86" t="str">
        <x:v>source route-CAL-4</x:v>
      </x:c>
      <x:c r="H853" s="86" t="str">
        <x:v>T4</x:v>
      </x:c>
      <x:c r="I853" s="91" t="str">
        <x:v>OPEN</x:v>
      </x:c>
    </x:row>
    <x:row r="854">
      <x:c r="A854" s="86" t="str">
        <x:v>CH-0849</x:v>
      </x:c>
      <x:c r="B854" s="86" t="str">
        <x:v>source route</x:v>
      </x:c>
      <x:c r="C854" s="108" t="n">
        <x:v>17</x:v>
      </x:c>
      <x:c r="D854" s="86" t="str">
        <x:v>Z01</x:v>
      </x:c>
      <x:c r="E854" s="86" t="str">
        <x:v>full</x:v>
      </x:c>
      <x:c r="F854" s="86" t="str">
        <x:v>L1</x:v>
      </x:c>
      <x:c r="G854" s="86" t="str">
        <x:v>source route-CAL-1</x:v>
      </x:c>
      <x:c r="H854" s="86" t="str">
        <x:v>T1</x:v>
      </x:c>
      <x:c r="I854" s="91" t="str">
        <x:v>OPEN</x:v>
      </x:c>
    </x:row>
    <x:row r="855">
      <x:c r="A855" s="86" t="str">
        <x:v>CH-0850</x:v>
      </x:c>
      <x:c r="B855" s="86" t="str">
        <x:v>source route</x:v>
      </x:c>
      <x:c r="C855" s="108" t="n">
        <x:v>18</x:v>
      </x:c>
      <x:c r="D855" s="86" t="str">
        <x:v>Z02</x:v>
      </x:c>
      <x:c r="E855" s="86" t="str">
        <x:v>full</x:v>
      </x:c>
      <x:c r="F855" s="86" t="str">
        <x:v>L2</x:v>
      </x:c>
      <x:c r="G855" s="86" t="str">
        <x:v>source route-CAL-2</x:v>
      </x:c>
      <x:c r="H855" s="86" t="str">
        <x:v>T2</x:v>
      </x:c>
      <x:c r="I855" s="91" t="str">
        <x:v>OPEN</x:v>
      </x:c>
    </x:row>
    <x:row r="856">
      <x:c r="A856" s="86" t="str">
        <x:v>CH-0851</x:v>
      </x:c>
      <x:c r="B856" s="86" t="str">
        <x:v>source route</x:v>
      </x:c>
      <x:c r="C856" s="108" t="n">
        <x:v>19</x:v>
      </x:c>
      <x:c r="D856" s="86" t="str">
        <x:v>Z03</x:v>
      </x:c>
      <x:c r="E856" s="86" t="str">
        <x:v>full</x:v>
      </x:c>
      <x:c r="F856" s="86" t="str">
        <x:v>L3</x:v>
      </x:c>
      <x:c r="G856" s="86" t="str">
        <x:v>source route-CAL-3</x:v>
      </x:c>
      <x:c r="H856" s="86" t="str">
        <x:v>T3</x:v>
      </x:c>
      <x:c r="I856" s="91" t="str">
        <x:v>OPEN</x:v>
      </x:c>
    </x:row>
    <x:row r="857">
      <x:c r="A857" s="86" t="str">
        <x:v>CH-0852</x:v>
      </x:c>
      <x:c r="B857" s="86" t="str">
        <x:v>source route</x:v>
      </x:c>
      <x:c r="C857" s="108" t="n">
        <x:v>20</x:v>
      </x:c>
      <x:c r="D857" s="86" t="str">
        <x:v>Z04</x:v>
      </x:c>
      <x:c r="E857" s="86" t="str">
        <x:v>full</x:v>
      </x:c>
      <x:c r="F857" s="86" t="str">
        <x:v>L4</x:v>
      </x:c>
      <x:c r="G857" s="86" t="str">
        <x:v>source route-CAL-4</x:v>
      </x:c>
      <x:c r="H857" s="86" t="str">
        <x:v>T4</x:v>
      </x:c>
      <x:c r="I857" s="91" t="str">
        <x:v>OPEN</x:v>
      </x:c>
    </x:row>
    <x:row r="858">
      <x:c r="A858" s="86" t="str">
        <x:v>CH-0853</x:v>
      </x:c>
      <x:c r="B858" s="86" t="str">
        <x:v>source route</x:v>
      </x:c>
      <x:c r="C858" s="108" t="n">
        <x:v>21</x:v>
      </x:c>
      <x:c r="D858" s="86" t="str">
        <x:v>Z05</x:v>
      </x:c>
      <x:c r="E858" s="86" t="str">
        <x:v>full</x:v>
      </x:c>
      <x:c r="F858" s="86" t="str">
        <x:v>L1</x:v>
      </x:c>
      <x:c r="G858" s="86" t="str">
        <x:v>source route-CAL-1</x:v>
      </x:c>
      <x:c r="H858" s="86" t="str">
        <x:v>T1</x:v>
      </x:c>
      <x:c r="I858" s="91" t="str">
        <x:v>OPEN</x:v>
      </x:c>
    </x:row>
    <x:row r="859">
      <x:c r="A859" s="86" t="str">
        <x:v>CH-0854</x:v>
      </x:c>
      <x:c r="B859" s="86" t="str">
        <x:v>source route</x:v>
      </x:c>
      <x:c r="C859" s="108" t="n">
        <x:v>22</x:v>
      </x:c>
      <x:c r="D859" s="86" t="str">
        <x:v>Z06</x:v>
      </x:c>
      <x:c r="E859" s="86" t="str">
        <x:v>full</x:v>
      </x:c>
      <x:c r="F859" s="86" t="str">
        <x:v>L2</x:v>
      </x:c>
      <x:c r="G859" s="86" t="str">
        <x:v>source route-CAL-2</x:v>
      </x:c>
      <x:c r="H859" s="86" t="str">
        <x:v>T2</x:v>
      </x:c>
      <x:c r="I859" s="91" t="str">
        <x:v>OPEN</x:v>
      </x:c>
    </x:row>
    <x:row r="860">
      <x:c r="A860" s="86" t="str">
        <x:v>CH-0855</x:v>
      </x:c>
      <x:c r="B860" s="86" t="str">
        <x:v>source route</x:v>
      </x:c>
      <x:c r="C860" s="108" t="n">
        <x:v>23</x:v>
      </x:c>
      <x:c r="D860" s="86" t="str">
        <x:v>Z07</x:v>
      </x:c>
      <x:c r="E860" s="86" t="str">
        <x:v>full</x:v>
      </x:c>
      <x:c r="F860" s="86" t="str">
        <x:v>L3</x:v>
      </x:c>
      <x:c r="G860" s="86" t="str">
        <x:v>source route-CAL-3</x:v>
      </x:c>
      <x:c r="H860" s="86" t="str">
        <x:v>T3</x:v>
      </x:c>
      <x:c r="I860" s="91" t="str">
        <x:v>OPEN</x:v>
      </x:c>
    </x:row>
    <x:row r="861">
      <x:c r="A861" s="86" t="str">
        <x:v>CH-0856</x:v>
      </x:c>
      <x:c r="B861" s="86" t="str">
        <x:v>source route</x:v>
      </x:c>
      <x:c r="C861" s="108" t="n">
        <x:v>24</x:v>
      </x:c>
      <x:c r="D861" s="86" t="str">
        <x:v>Z08</x:v>
      </x:c>
      <x:c r="E861" s="86" t="str">
        <x:v>full</x:v>
      </x:c>
      <x:c r="F861" s="86" t="str">
        <x:v>L4</x:v>
      </x:c>
      <x:c r="G861" s="86" t="str">
        <x:v>source route-CAL-4</x:v>
      </x:c>
      <x:c r="H861" s="86" t="str">
        <x:v>T4</x:v>
      </x:c>
      <x:c r="I861" s="91" t="str">
        <x:v>OPEN</x:v>
      </x:c>
    </x:row>
    <x:row r="862">
      <x:c r="A862" s="86" t="str">
        <x:v>CH-0857</x:v>
      </x:c>
      <x:c r="B862" s="86" t="str">
        <x:v>source route</x:v>
      </x:c>
      <x:c r="C862" s="108" t="n">
        <x:v>25</x:v>
      </x:c>
      <x:c r="D862" s="86" t="str">
        <x:v>Z09</x:v>
      </x:c>
      <x:c r="E862" s="86" t="str">
        <x:v>full</x:v>
      </x:c>
      <x:c r="F862" s="86" t="str">
        <x:v>L1</x:v>
      </x:c>
      <x:c r="G862" s="86" t="str">
        <x:v>source route-CAL-1</x:v>
      </x:c>
      <x:c r="H862" s="86" t="str">
        <x:v>T1</x:v>
      </x:c>
      <x:c r="I862" s="91" t="str">
        <x:v>OPEN</x:v>
      </x:c>
    </x:row>
    <x:row r="863">
      <x:c r="A863" s="86" t="str">
        <x:v>CH-0858</x:v>
      </x:c>
      <x:c r="B863" s="86" t="str">
        <x:v>source route</x:v>
      </x:c>
      <x:c r="C863" s="108" t="n">
        <x:v>26</x:v>
      </x:c>
      <x:c r="D863" s="86" t="str">
        <x:v>Z10</x:v>
      </x:c>
      <x:c r="E863" s="86" t="str">
        <x:v>full</x:v>
      </x:c>
      <x:c r="F863" s="86" t="str">
        <x:v>L2</x:v>
      </x:c>
      <x:c r="G863" s="86" t="str">
        <x:v>source route-CAL-2</x:v>
      </x:c>
      <x:c r="H863" s="86" t="str">
        <x:v>T2</x:v>
      </x:c>
      <x:c r="I863" s="91" t="str">
        <x:v>OPEN</x:v>
      </x:c>
    </x:row>
    <x:row r="864">
      <x:c r="A864" s="86" t="str">
        <x:v>CH-0859</x:v>
      </x:c>
      <x:c r="B864" s="86" t="str">
        <x:v>source route</x:v>
      </x:c>
      <x:c r="C864" s="108" t="n">
        <x:v>27</x:v>
      </x:c>
      <x:c r="D864" s="86" t="str">
        <x:v>Z11</x:v>
      </x:c>
      <x:c r="E864" s="86" t="str">
        <x:v>full</x:v>
      </x:c>
      <x:c r="F864" s="86" t="str">
        <x:v>L3</x:v>
      </x:c>
      <x:c r="G864" s="86" t="str">
        <x:v>source route-CAL-3</x:v>
      </x:c>
      <x:c r="H864" s="86" t="str">
        <x:v>T3</x:v>
      </x:c>
      <x:c r="I864" s="91" t="str">
        <x:v>OPEN</x:v>
      </x:c>
    </x:row>
    <x:row r="865">
      <x:c r="A865" s="86" t="str">
        <x:v>CH-0860</x:v>
      </x:c>
      <x:c r="B865" s="86" t="str">
        <x:v>source route</x:v>
      </x:c>
      <x:c r="C865" s="108" t="n">
        <x:v>28</x:v>
      </x:c>
      <x:c r="D865" s="86" t="str">
        <x:v>Z12</x:v>
      </x:c>
      <x:c r="E865" s="86" t="str">
        <x:v>full</x:v>
      </x:c>
      <x:c r="F865" s="86" t="str">
        <x:v>L4</x:v>
      </x:c>
      <x:c r="G865" s="86" t="str">
        <x:v>source route-CAL-4</x:v>
      </x:c>
      <x:c r="H865" s="86" t="str">
        <x:v>T4</x:v>
      </x:c>
      <x:c r="I865" s="91" t="str">
        <x:v>OPEN</x:v>
      </x:c>
    </x:row>
    <x:row r="866">
      <x:c r="A866" s="86" t="str">
        <x:v>CH-0861</x:v>
      </x:c>
      <x:c r="B866" s="86" t="str">
        <x:v>source route</x:v>
      </x:c>
      <x:c r="C866" s="108" t="n">
        <x:v>29</x:v>
      </x:c>
      <x:c r="D866" s="86" t="str">
        <x:v>Z13</x:v>
      </x:c>
      <x:c r="E866" s="86" t="str">
        <x:v>full</x:v>
      </x:c>
      <x:c r="F866" s="86" t="str">
        <x:v>L1</x:v>
      </x:c>
      <x:c r="G866" s="86" t="str">
        <x:v>source route-CAL-1</x:v>
      </x:c>
      <x:c r="H866" s="86" t="str">
        <x:v>T1</x:v>
      </x:c>
      <x:c r="I866" s="91" t="str">
        <x:v>OPEN</x:v>
      </x:c>
    </x:row>
    <x:row r="867">
      <x:c r="A867" s="86" t="str">
        <x:v>CH-0862</x:v>
      </x:c>
      <x:c r="B867" s="86" t="str">
        <x:v>source route</x:v>
      </x:c>
      <x:c r="C867" s="108" t="n">
        <x:v>30</x:v>
      </x:c>
      <x:c r="D867" s="86" t="str">
        <x:v>Z14</x:v>
      </x:c>
      <x:c r="E867" s="86" t="str">
        <x:v>full</x:v>
      </x:c>
      <x:c r="F867" s="86" t="str">
        <x:v>L2</x:v>
      </x:c>
      <x:c r="G867" s="86" t="str">
        <x:v>source route-CAL-2</x:v>
      </x:c>
      <x:c r="H867" s="86" t="str">
        <x:v>T2</x:v>
      </x:c>
      <x:c r="I867" s="91" t="str">
        <x:v>OPEN</x:v>
      </x:c>
    </x:row>
    <x:row r="868">
      <x:c r="A868" s="86" t="str">
        <x:v>CH-0863</x:v>
      </x:c>
      <x:c r="B868" s="86" t="str">
        <x:v>source route</x:v>
      </x:c>
      <x:c r="C868" s="108" t="n">
        <x:v>31</x:v>
      </x:c>
      <x:c r="D868" s="86" t="str">
        <x:v>Z15</x:v>
      </x:c>
      <x:c r="E868" s="86" t="str">
        <x:v>full</x:v>
      </x:c>
      <x:c r="F868" s="86" t="str">
        <x:v>L3</x:v>
      </x:c>
      <x:c r="G868" s="86" t="str">
        <x:v>source route-CAL-3</x:v>
      </x:c>
      <x:c r="H868" s="86" t="str">
        <x:v>T3</x:v>
      </x:c>
      <x:c r="I868" s="91" t="str">
        <x:v>OPEN</x:v>
      </x:c>
    </x:row>
    <x:row r="869">
      <x:c r="A869" s="86" t="str">
        <x:v>CH-0864</x:v>
      </x:c>
      <x:c r="B869" s="86" t="str">
        <x:v>source route</x:v>
      </x:c>
      <x:c r="C869" s="108" t="n">
        <x:v>32</x:v>
      </x:c>
      <x:c r="D869" s="86" t="str">
        <x:v>Z16</x:v>
      </x:c>
      <x:c r="E869" s="86" t="str">
        <x:v>full</x:v>
      </x:c>
      <x:c r="F869" s="86" t="str">
        <x:v>L4</x:v>
      </x:c>
      <x:c r="G869" s="86" t="str">
        <x:v>source route-CAL-4</x:v>
      </x:c>
      <x:c r="H869" s="86" t="str">
        <x:v>T4</x:v>
      </x:c>
      <x:c r="I869" s="91" t="str">
        <x:v>OPEN</x:v>
      </x:c>
    </x:row>
    <x:row r="870">
      <x:c r="A870" s="86" t="str">
        <x:v>CH-0865</x:v>
      </x:c>
      <x:c r="B870" s="86" t="str">
        <x:v>source route</x:v>
      </x:c>
      <x:c r="C870" s="108" t="n">
        <x:v>33</x:v>
      </x:c>
      <x:c r="D870" s="86" t="str">
        <x:v>Z01</x:v>
      </x:c>
      <x:c r="E870" s="86" t="str">
        <x:v>intermediate</x:v>
      </x:c>
      <x:c r="F870" s="86" t="str">
        <x:v>L1</x:v>
      </x:c>
      <x:c r="G870" s="86" t="str">
        <x:v>source route-CAL-1</x:v>
      </x:c>
      <x:c r="H870" s="86" t="str">
        <x:v>T1</x:v>
      </x:c>
      <x:c r="I870" s="91" t="str">
        <x:v>OPEN</x:v>
      </x:c>
    </x:row>
    <x:row r="871">
      <x:c r="A871" s="86" t="str">
        <x:v>CH-0866</x:v>
      </x:c>
      <x:c r="B871" s="86" t="str">
        <x:v>source route</x:v>
      </x:c>
      <x:c r="C871" s="108" t="n">
        <x:v>34</x:v>
      </x:c>
      <x:c r="D871" s="86" t="str">
        <x:v>Z02</x:v>
      </x:c>
      <x:c r="E871" s="86" t="str">
        <x:v>intermediate</x:v>
      </x:c>
      <x:c r="F871" s="86" t="str">
        <x:v>L2</x:v>
      </x:c>
      <x:c r="G871" s="86" t="str">
        <x:v>source route-CAL-2</x:v>
      </x:c>
      <x:c r="H871" s="86" t="str">
        <x:v>T2</x:v>
      </x:c>
      <x:c r="I871" s="91" t="str">
        <x:v>OPEN</x:v>
      </x:c>
    </x:row>
    <x:row r="872">
      <x:c r="A872" s="86" t="str">
        <x:v>CH-0867</x:v>
      </x:c>
      <x:c r="B872" s="86" t="str">
        <x:v>source route</x:v>
      </x:c>
      <x:c r="C872" s="108" t="n">
        <x:v>35</x:v>
      </x:c>
      <x:c r="D872" s="86" t="str">
        <x:v>Z03</x:v>
      </x:c>
      <x:c r="E872" s="86" t="str">
        <x:v>intermediate</x:v>
      </x:c>
      <x:c r="F872" s="86" t="str">
        <x:v>L3</x:v>
      </x:c>
      <x:c r="G872" s="86" t="str">
        <x:v>source route-CAL-3</x:v>
      </x:c>
      <x:c r="H872" s="86" t="str">
        <x:v>T3</x:v>
      </x:c>
      <x:c r="I872" s="91" t="str">
        <x:v>OPEN</x:v>
      </x:c>
    </x:row>
    <x:row r="873">
      <x:c r="A873" s="86" t="str">
        <x:v>CH-0868</x:v>
      </x:c>
      <x:c r="B873" s="86" t="str">
        <x:v>source route</x:v>
      </x:c>
      <x:c r="C873" s="108" t="n">
        <x:v>36</x:v>
      </x:c>
      <x:c r="D873" s="86" t="str">
        <x:v>Z04</x:v>
      </x:c>
      <x:c r="E873" s="86" t="str">
        <x:v>intermediate</x:v>
      </x:c>
      <x:c r="F873" s="86" t="str">
        <x:v>L4</x:v>
      </x:c>
      <x:c r="G873" s="86" t="str">
        <x:v>source route-CAL-4</x:v>
      </x:c>
      <x:c r="H873" s="86" t="str">
        <x:v>T4</x:v>
      </x:c>
      <x:c r="I873" s="91" t="str">
        <x:v>OPEN</x:v>
      </x:c>
    </x:row>
    <x:row r="874">
      <x:c r="A874" s="86" t="str">
        <x:v>CH-0869</x:v>
      </x:c>
      <x:c r="B874" s="86" t="str">
        <x:v>source route</x:v>
      </x:c>
      <x:c r="C874" s="108" t="n">
        <x:v>37</x:v>
      </x:c>
      <x:c r="D874" s="86" t="str">
        <x:v>Z05</x:v>
      </x:c>
      <x:c r="E874" s="86" t="str">
        <x:v>intermediate</x:v>
      </x:c>
      <x:c r="F874" s="86" t="str">
        <x:v>L1</x:v>
      </x:c>
      <x:c r="G874" s="86" t="str">
        <x:v>source route-CAL-1</x:v>
      </x:c>
      <x:c r="H874" s="86" t="str">
        <x:v>T1</x:v>
      </x:c>
      <x:c r="I874" s="91" t="str">
        <x:v>OPEN</x:v>
      </x:c>
    </x:row>
    <x:row r="875">
      <x:c r="A875" s="86" t="str">
        <x:v>CH-0870</x:v>
      </x:c>
      <x:c r="B875" s="86" t="str">
        <x:v>source route</x:v>
      </x:c>
      <x:c r="C875" s="108" t="n">
        <x:v>38</x:v>
      </x:c>
      <x:c r="D875" s="86" t="str">
        <x:v>Z06</x:v>
      </x:c>
      <x:c r="E875" s="86" t="str">
        <x:v>intermediate</x:v>
      </x:c>
      <x:c r="F875" s="86" t="str">
        <x:v>L2</x:v>
      </x:c>
      <x:c r="G875" s="86" t="str">
        <x:v>source route-CAL-2</x:v>
      </x:c>
      <x:c r="H875" s="86" t="str">
        <x:v>T2</x:v>
      </x:c>
      <x:c r="I875" s="91" t="str">
        <x:v>OPEN</x:v>
      </x:c>
    </x:row>
    <x:row r="876">
      <x:c r="A876" s="86" t="str">
        <x:v>CH-0871</x:v>
      </x:c>
      <x:c r="B876" s="86" t="str">
        <x:v>source route</x:v>
      </x:c>
      <x:c r="C876" s="108" t="n">
        <x:v>39</x:v>
      </x:c>
      <x:c r="D876" s="86" t="str">
        <x:v>Z07</x:v>
      </x:c>
      <x:c r="E876" s="86" t="str">
        <x:v>intermediate</x:v>
      </x:c>
      <x:c r="F876" s="86" t="str">
        <x:v>L3</x:v>
      </x:c>
      <x:c r="G876" s="86" t="str">
        <x:v>source route-CAL-3</x:v>
      </x:c>
      <x:c r="H876" s="86" t="str">
        <x:v>T3</x:v>
      </x:c>
      <x:c r="I876" s="91" t="str">
        <x:v>OPEN</x:v>
      </x:c>
    </x:row>
    <x:row r="877">
      <x:c r="A877" s="86" t="str">
        <x:v>CH-0872</x:v>
      </x:c>
      <x:c r="B877" s="86" t="str">
        <x:v>source route</x:v>
      </x:c>
      <x:c r="C877" s="108" t="n">
        <x:v>40</x:v>
      </x:c>
      <x:c r="D877" s="86" t="str">
        <x:v>Z08</x:v>
      </x:c>
      <x:c r="E877" s="86" t="str">
        <x:v>intermediate</x:v>
      </x:c>
      <x:c r="F877" s="86" t="str">
        <x:v>L4</x:v>
      </x:c>
      <x:c r="G877" s="86" t="str">
        <x:v>source route-CAL-4</x:v>
      </x:c>
      <x:c r="H877" s="86" t="str">
        <x:v>T4</x:v>
      </x:c>
      <x:c r="I877" s="91" t="str">
        <x:v>OPEN</x:v>
      </x:c>
    </x:row>
    <x:row r="878">
      <x:c r="A878" s="86" t="str">
        <x:v>CH-0873</x:v>
      </x:c>
      <x:c r="B878" s="86" t="str">
        <x:v>source route</x:v>
      </x:c>
      <x:c r="C878" s="108" t="n">
        <x:v>41</x:v>
      </x:c>
      <x:c r="D878" s="86" t="str">
        <x:v>Z09</x:v>
      </x:c>
      <x:c r="E878" s="86" t="str">
        <x:v>intermediate</x:v>
      </x:c>
      <x:c r="F878" s="86" t="str">
        <x:v>L1</x:v>
      </x:c>
      <x:c r="G878" s="86" t="str">
        <x:v>source route-CAL-1</x:v>
      </x:c>
      <x:c r="H878" s="86" t="str">
        <x:v>T1</x:v>
      </x:c>
      <x:c r="I878" s="91" t="str">
        <x:v>OPEN</x:v>
      </x:c>
    </x:row>
    <x:row r="879">
      <x:c r="A879" s="86" t="str">
        <x:v>CH-0874</x:v>
      </x:c>
      <x:c r="B879" s="86" t="str">
        <x:v>source route</x:v>
      </x:c>
      <x:c r="C879" s="108" t="n">
        <x:v>42</x:v>
      </x:c>
      <x:c r="D879" s="86" t="str">
        <x:v>Z10</x:v>
      </x:c>
      <x:c r="E879" s="86" t="str">
        <x:v>intermediate</x:v>
      </x:c>
      <x:c r="F879" s="86" t="str">
        <x:v>L2</x:v>
      </x:c>
      <x:c r="G879" s="86" t="str">
        <x:v>source route-CAL-2</x:v>
      </x:c>
      <x:c r="H879" s="86" t="str">
        <x:v>T2</x:v>
      </x:c>
      <x:c r="I879" s="91" t="str">
        <x:v>OPEN</x:v>
      </x:c>
    </x:row>
    <x:row r="880">
      <x:c r="A880" s="86" t="str">
        <x:v>CH-0875</x:v>
      </x:c>
      <x:c r="B880" s="86" t="str">
        <x:v>source route</x:v>
      </x:c>
      <x:c r="C880" s="108" t="n">
        <x:v>43</x:v>
      </x:c>
      <x:c r="D880" s="86" t="str">
        <x:v>Z11</x:v>
      </x:c>
      <x:c r="E880" s="86" t="str">
        <x:v>intermediate</x:v>
      </x:c>
      <x:c r="F880" s="86" t="str">
        <x:v>L3</x:v>
      </x:c>
      <x:c r="G880" s="86" t="str">
        <x:v>source route-CAL-3</x:v>
      </x:c>
      <x:c r="H880" s="86" t="str">
        <x:v>T3</x:v>
      </x:c>
      <x:c r="I880" s="91" t="str">
        <x:v>OPEN</x:v>
      </x:c>
    </x:row>
    <x:row r="881">
      <x:c r="A881" s="86" t="str">
        <x:v>CH-0876</x:v>
      </x:c>
      <x:c r="B881" s="86" t="str">
        <x:v>source route</x:v>
      </x:c>
      <x:c r="C881" s="108" t="n">
        <x:v>44</x:v>
      </x:c>
      <x:c r="D881" s="86" t="str">
        <x:v>Z12</x:v>
      </x:c>
      <x:c r="E881" s="86" t="str">
        <x:v>intermediate</x:v>
      </x:c>
      <x:c r="F881" s="86" t="str">
        <x:v>L4</x:v>
      </x:c>
      <x:c r="G881" s="86" t="str">
        <x:v>source route-CAL-4</x:v>
      </x:c>
      <x:c r="H881" s="86" t="str">
        <x:v>T4</x:v>
      </x:c>
      <x:c r="I881" s="91" t="str">
        <x:v>OPEN</x:v>
      </x:c>
    </x:row>
    <x:row r="882">
      <x:c r="A882" s="86" t="str">
        <x:v>CH-0877</x:v>
      </x:c>
      <x:c r="B882" s="86" t="str">
        <x:v>source route</x:v>
      </x:c>
      <x:c r="C882" s="108" t="n">
        <x:v>45</x:v>
      </x:c>
      <x:c r="D882" s="86" t="str">
        <x:v>Z13</x:v>
      </x:c>
      <x:c r="E882" s="86" t="str">
        <x:v>intermediate</x:v>
      </x:c>
      <x:c r="F882" s="86" t="str">
        <x:v>L1</x:v>
      </x:c>
      <x:c r="G882" s="86" t="str">
        <x:v>source route-CAL-1</x:v>
      </x:c>
      <x:c r="H882" s="86" t="str">
        <x:v>T1</x:v>
      </x:c>
      <x:c r="I882" s="91" t="str">
        <x:v>OPEN</x:v>
      </x:c>
    </x:row>
    <x:row r="883">
      <x:c r="A883" s="86" t="str">
        <x:v>CH-0878</x:v>
      </x:c>
      <x:c r="B883" s="86" t="str">
        <x:v>source route</x:v>
      </x:c>
      <x:c r="C883" s="108" t="n">
        <x:v>46</x:v>
      </x:c>
      <x:c r="D883" s="86" t="str">
        <x:v>Z14</x:v>
      </x:c>
      <x:c r="E883" s="86" t="str">
        <x:v>intermediate</x:v>
      </x:c>
      <x:c r="F883" s="86" t="str">
        <x:v>L2</x:v>
      </x:c>
      <x:c r="G883" s="86" t="str">
        <x:v>source route-CAL-2</x:v>
      </x:c>
      <x:c r="H883" s="86" t="str">
        <x:v>T2</x:v>
      </x:c>
      <x:c r="I883" s="91" t="str">
        <x:v>OPEN</x:v>
      </x:c>
    </x:row>
    <x:row r="884">
      <x:c r="A884" s="86" t="str">
        <x:v>CH-0879</x:v>
      </x:c>
      <x:c r="B884" s="86" t="str">
        <x:v>source route</x:v>
      </x:c>
      <x:c r="C884" s="108" t="n">
        <x:v>47</x:v>
      </x:c>
      <x:c r="D884" s="86" t="str">
        <x:v>Z15</x:v>
      </x:c>
      <x:c r="E884" s="86" t="str">
        <x:v>intermediate</x:v>
      </x:c>
      <x:c r="F884" s="86" t="str">
        <x:v>L3</x:v>
      </x:c>
      <x:c r="G884" s="86" t="str">
        <x:v>source route-CAL-3</x:v>
      </x:c>
      <x:c r="H884" s="86" t="str">
        <x:v>T3</x:v>
      </x:c>
      <x:c r="I884" s="91" t="str">
        <x:v>OPEN</x:v>
      </x:c>
    </x:row>
    <x:row r="885">
      <x:c r="A885" s="86" t="str">
        <x:v>CH-0880</x:v>
      </x:c>
      <x:c r="B885" s="86" t="str">
        <x:v>source route</x:v>
      </x:c>
      <x:c r="C885" s="108" t="n">
        <x:v>48</x:v>
      </x:c>
      <x:c r="D885" s="86" t="str">
        <x:v>Z16</x:v>
      </x:c>
      <x:c r="E885" s="86" t="str">
        <x:v>intermediate</x:v>
      </x:c>
      <x:c r="F885" s="86" t="str">
        <x:v>L4</x:v>
      </x:c>
      <x:c r="G885" s="86" t="str">
        <x:v>source route-CAL-4</x:v>
      </x:c>
      <x:c r="H885" s="86" t="str">
        <x:v>T4</x:v>
      </x:c>
      <x:c r="I885" s="91" t="str">
        <x:v>OPEN</x:v>
      </x:c>
    </x:row>
    <x:row r="886">
      <x:c r="A886" s="86" t="str">
        <x:v>CH-0881</x:v>
      </x:c>
      <x:c r="B886" s="86" t="str">
        <x:v>source route</x:v>
      </x:c>
      <x:c r="C886" s="108" t="n">
        <x:v>49</x:v>
      </x:c>
      <x:c r="D886" s="86" t="str">
        <x:v>Z01</x:v>
      </x:c>
      <x:c r="E886" s="86" t="str">
        <x:v>return</x:v>
      </x:c>
      <x:c r="F886" s="86" t="str">
        <x:v>L1</x:v>
      </x:c>
      <x:c r="G886" s="86" t="str">
        <x:v>source route-CAL-1</x:v>
      </x:c>
      <x:c r="H886" s="86" t="str">
        <x:v>T1</x:v>
      </x:c>
      <x:c r="I886" s="91" t="str">
        <x:v>OPEN</x:v>
      </x:c>
    </x:row>
    <x:row r="887">
      <x:c r="A887" s="86" t="str">
        <x:v>CH-0882</x:v>
      </x:c>
      <x:c r="B887" s="86" t="str">
        <x:v>source route</x:v>
      </x:c>
      <x:c r="C887" s="108" t="n">
        <x:v>50</x:v>
      </x:c>
      <x:c r="D887" s="86" t="str">
        <x:v>Z02</x:v>
      </x:c>
      <x:c r="E887" s="86" t="str">
        <x:v>return</x:v>
      </x:c>
      <x:c r="F887" s="86" t="str">
        <x:v>L2</x:v>
      </x:c>
      <x:c r="G887" s="86" t="str">
        <x:v>source route-CAL-2</x:v>
      </x:c>
      <x:c r="H887" s="86" t="str">
        <x:v>T2</x:v>
      </x:c>
      <x:c r="I887" s="91" t="str">
        <x:v>OPEN</x:v>
      </x:c>
    </x:row>
    <x:row r="888">
      <x:c r="A888" s="86" t="str">
        <x:v>CH-0883</x:v>
      </x:c>
      <x:c r="B888" s="86" t="str">
        <x:v>source route</x:v>
      </x:c>
      <x:c r="C888" s="108" t="n">
        <x:v>51</x:v>
      </x:c>
      <x:c r="D888" s="86" t="str">
        <x:v>Z03</x:v>
      </x:c>
      <x:c r="E888" s="86" t="str">
        <x:v>return</x:v>
      </x:c>
      <x:c r="F888" s="86" t="str">
        <x:v>L3</x:v>
      </x:c>
      <x:c r="G888" s="86" t="str">
        <x:v>source route-CAL-3</x:v>
      </x:c>
      <x:c r="H888" s="86" t="str">
        <x:v>T3</x:v>
      </x:c>
      <x:c r="I888" s="91" t="str">
        <x:v>OPEN</x:v>
      </x:c>
    </x:row>
    <x:row r="889">
      <x:c r="A889" s="86" t="str">
        <x:v>CH-0884</x:v>
      </x:c>
      <x:c r="B889" s="86" t="str">
        <x:v>source route</x:v>
      </x:c>
      <x:c r="C889" s="108" t="n">
        <x:v>52</x:v>
      </x:c>
      <x:c r="D889" s="86" t="str">
        <x:v>Z04</x:v>
      </x:c>
      <x:c r="E889" s="86" t="str">
        <x:v>return</x:v>
      </x:c>
      <x:c r="F889" s="86" t="str">
        <x:v>L4</x:v>
      </x:c>
      <x:c r="G889" s="86" t="str">
        <x:v>source route-CAL-4</x:v>
      </x:c>
      <x:c r="H889" s="86" t="str">
        <x:v>T4</x:v>
      </x:c>
      <x:c r="I889" s="91" t="str">
        <x:v>OPEN</x:v>
      </x:c>
    </x:row>
    <x:row r="890">
      <x:c r="A890" s="86" t="str">
        <x:v>CH-0885</x:v>
      </x:c>
      <x:c r="B890" s="86" t="str">
        <x:v>source route</x:v>
      </x:c>
      <x:c r="C890" s="108" t="n">
        <x:v>53</x:v>
      </x:c>
      <x:c r="D890" s="86" t="str">
        <x:v>Z05</x:v>
      </x:c>
      <x:c r="E890" s="86" t="str">
        <x:v>return</x:v>
      </x:c>
      <x:c r="F890" s="86" t="str">
        <x:v>L1</x:v>
      </x:c>
      <x:c r="G890" s="86" t="str">
        <x:v>source route-CAL-1</x:v>
      </x:c>
      <x:c r="H890" s="86" t="str">
        <x:v>T1</x:v>
      </x:c>
      <x:c r="I890" s="91" t="str">
        <x:v>OPEN</x:v>
      </x:c>
    </x:row>
    <x:row r="891">
      <x:c r="A891" s="86" t="str">
        <x:v>CH-0886</x:v>
      </x:c>
      <x:c r="B891" s="86" t="str">
        <x:v>source route</x:v>
      </x:c>
      <x:c r="C891" s="108" t="n">
        <x:v>54</x:v>
      </x:c>
      <x:c r="D891" s="86" t="str">
        <x:v>Z06</x:v>
      </x:c>
      <x:c r="E891" s="86" t="str">
        <x:v>return</x:v>
      </x:c>
      <x:c r="F891" s="86" t="str">
        <x:v>L2</x:v>
      </x:c>
      <x:c r="G891" s="86" t="str">
        <x:v>source route-CAL-2</x:v>
      </x:c>
      <x:c r="H891" s="86" t="str">
        <x:v>T2</x:v>
      </x:c>
      <x:c r="I891" s="91" t="str">
        <x:v>OPEN</x:v>
      </x:c>
    </x:row>
    <x:row r="892">
      <x:c r="A892" s="86" t="str">
        <x:v>CH-0887</x:v>
      </x:c>
      <x:c r="B892" s="86" t="str">
        <x:v>source route</x:v>
      </x:c>
      <x:c r="C892" s="108" t="n">
        <x:v>55</x:v>
      </x:c>
      <x:c r="D892" s="86" t="str">
        <x:v>Z07</x:v>
      </x:c>
      <x:c r="E892" s="86" t="str">
        <x:v>return</x:v>
      </x:c>
      <x:c r="F892" s="86" t="str">
        <x:v>L3</x:v>
      </x:c>
      <x:c r="G892" s="86" t="str">
        <x:v>source route-CAL-3</x:v>
      </x:c>
      <x:c r="H892" s="86" t="str">
        <x:v>T3</x:v>
      </x:c>
      <x:c r="I892" s="91" t="str">
        <x:v>OPEN</x:v>
      </x:c>
    </x:row>
    <x:row r="893">
      <x:c r="A893" s="86" t="str">
        <x:v>CH-0888</x:v>
      </x:c>
      <x:c r="B893" s="86" t="str">
        <x:v>source route</x:v>
      </x:c>
      <x:c r="C893" s="108" t="n">
        <x:v>56</x:v>
      </x:c>
      <x:c r="D893" s="86" t="str">
        <x:v>Z08</x:v>
      </x:c>
      <x:c r="E893" s="86" t="str">
        <x:v>return</x:v>
      </x:c>
      <x:c r="F893" s="86" t="str">
        <x:v>L4</x:v>
      </x:c>
      <x:c r="G893" s="86" t="str">
        <x:v>source route-CAL-4</x:v>
      </x:c>
      <x:c r="H893" s="86" t="str">
        <x:v>T4</x:v>
      </x:c>
      <x:c r="I893" s="91" t="str">
        <x:v>OPEN</x:v>
      </x:c>
    </x:row>
    <x:row r="894">
      <x:c r="A894" s="86" t="str">
        <x:v>CH-0889</x:v>
      </x:c>
      <x:c r="B894" s="86" t="str">
        <x:v>source route</x:v>
      </x:c>
      <x:c r="C894" s="108" t="n">
        <x:v>57</x:v>
      </x:c>
      <x:c r="D894" s="86" t="str">
        <x:v>Z09</x:v>
      </x:c>
      <x:c r="E894" s="86" t="str">
        <x:v>return</x:v>
      </x:c>
      <x:c r="F894" s="86" t="str">
        <x:v>L1</x:v>
      </x:c>
      <x:c r="G894" s="86" t="str">
        <x:v>source route-CAL-1</x:v>
      </x:c>
      <x:c r="H894" s="86" t="str">
        <x:v>T1</x:v>
      </x:c>
      <x:c r="I894" s="91" t="str">
        <x:v>OPEN</x:v>
      </x:c>
    </x:row>
    <x:row r="895">
      <x:c r="A895" s="86" t="str">
        <x:v>CH-0890</x:v>
      </x:c>
      <x:c r="B895" s="86" t="str">
        <x:v>source route</x:v>
      </x:c>
      <x:c r="C895" s="108" t="n">
        <x:v>58</x:v>
      </x:c>
      <x:c r="D895" s="86" t="str">
        <x:v>Z10</x:v>
      </x:c>
      <x:c r="E895" s="86" t="str">
        <x:v>return</x:v>
      </x:c>
      <x:c r="F895" s="86" t="str">
        <x:v>L2</x:v>
      </x:c>
      <x:c r="G895" s="86" t="str">
        <x:v>source route-CAL-2</x:v>
      </x:c>
      <x:c r="H895" s="86" t="str">
        <x:v>T2</x:v>
      </x:c>
      <x:c r="I895" s="91" t="str">
        <x:v>OPEN</x:v>
      </x:c>
    </x:row>
    <x:row r="896">
      <x:c r="A896" s="86" t="str">
        <x:v>CH-0891</x:v>
      </x:c>
      <x:c r="B896" s="86" t="str">
        <x:v>source route</x:v>
      </x:c>
      <x:c r="C896" s="108" t="n">
        <x:v>59</x:v>
      </x:c>
      <x:c r="D896" s="86" t="str">
        <x:v>Z11</x:v>
      </x:c>
      <x:c r="E896" s="86" t="str">
        <x:v>return</x:v>
      </x:c>
      <x:c r="F896" s="86" t="str">
        <x:v>L3</x:v>
      </x:c>
      <x:c r="G896" s="86" t="str">
        <x:v>source route-CAL-3</x:v>
      </x:c>
      <x:c r="H896" s="86" t="str">
        <x:v>T3</x:v>
      </x:c>
      <x:c r="I896" s="91" t="str">
        <x:v>OPEN</x:v>
      </x:c>
    </x:row>
    <x:row r="897">
      <x:c r="A897" s="86" t="str">
        <x:v>CH-0892</x:v>
      </x:c>
      <x:c r="B897" s="86" t="str">
        <x:v>source route</x:v>
      </x:c>
      <x:c r="C897" s="108" t="n">
        <x:v>60</x:v>
      </x:c>
      <x:c r="D897" s="86" t="str">
        <x:v>Z12</x:v>
      </x:c>
      <x:c r="E897" s="86" t="str">
        <x:v>return</x:v>
      </x:c>
      <x:c r="F897" s="86" t="str">
        <x:v>L4</x:v>
      </x:c>
      <x:c r="G897" s="86" t="str">
        <x:v>source route-CAL-4</x:v>
      </x:c>
      <x:c r="H897" s="86" t="str">
        <x:v>T4</x:v>
      </x:c>
      <x:c r="I897" s="91" t="str">
        <x:v>OPEN</x:v>
      </x:c>
    </x:row>
    <x:row r="898">
      <x:c r="A898" s="86" t="str">
        <x:v>CH-0893</x:v>
      </x:c>
      <x:c r="B898" s="86" t="str">
        <x:v>source route</x:v>
      </x:c>
      <x:c r="C898" s="108" t="n">
        <x:v>61</x:v>
      </x:c>
      <x:c r="D898" s="86" t="str">
        <x:v>Z13</x:v>
      </x:c>
      <x:c r="E898" s="86" t="str">
        <x:v>return</x:v>
      </x:c>
      <x:c r="F898" s="86" t="str">
        <x:v>L1</x:v>
      </x:c>
      <x:c r="G898" s="86" t="str">
        <x:v>source route-CAL-1</x:v>
      </x:c>
      <x:c r="H898" s="86" t="str">
        <x:v>T1</x:v>
      </x:c>
      <x:c r="I898" s="91" t="str">
        <x:v>OPEN</x:v>
      </x:c>
    </x:row>
    <x:row r="899">
      <x:c r="A899" s="86" t="str">
        <x:v>CH-0894</x:v>
      </x:c>
      <x:c r="B899" s="86" t="str">
        <x:v>source route</x:v>
      </x:c>
      <x:c r="C899" s="108" t="n">
        <x:v>62</x:v>
      </x:c>
      <x:c r="D899" s="86" t="str">
        <x:v>Z14</x:v>
      </x:c>
      <x:c r="E899" s="86" t="str">
        <x:v>return</x:v>
      </x:c>
      <x:c r="F899" s="86" t="str">
        <x:v>L2</x:v>
      </x:c>
      <x:c r="G899" s="86" t="str">
        <x:v>source route-CAL-2</x:v>
      </x:c>
      <x:c r="H899" s="86" t="str">
        <x:v>T2</x:v>
      </x:c>
      <x:c r="I899" s="91" t="str">
        <x:v>OPEN</x:v>
      </x:c>
    </x:row>
    <x:row r="900">
      <x:c r="A900" s="86" t="str">
        <x:v>CH-0895</x:v>
      </x:c>
      <x:c r="B900" s="86" t="str">
        <x:v>source route</x:v>
      </x:c>
      <x:c r="C900" s="108" t="n">
        <x:v>63</x:v>
      </x:c>
      <x:c r="D900" s="86" t="str">
        <x:v>Z15</x:v>
      </x:c>
      <x:c r="E900" s="86" t="str">
        <x:v>return</x:v>
      </x:c>
      <x:c r="F900" s="86" t="str">
        <x:v>L3</x:v>
      </x:c>
      <x:c r="G900" s="86" t="str">
        <x:v>source route-CAL-3</x:v>
      </x:c>
      <x:c r="H900" s="86" t="str">
        <x:v>T3</x:v>
      </x:c>
      <x:c r="I900" s="91" t="str">
        <x:v>OPEN</x:v>
      </x:c>
    </x:row>
    <x:row r="901">
      <x:c r="A901" s="86" t="str">
        <x:v>CH-0896</x:v>
      </x:c>
      <x:c r="B901" s="86" t="str">
        <x:v>source route</x:v>
      </x:c>
      <x:c r="C901" s="108" t="n">
        <x:v>64</x:v>
      </x:c>
      <x:c r="D901" s="86" t="str">
        <x:v>Z16</x:v>
      </x:c>
      <x:c r="E901" s="86" t="str">
        <x:v>return</x:v>
      </x:c>
      <x:c r="F901" s="86" t="str">
        <x:v>L4</x:v>
      </x:c>
      <x:c r="G901" s="86" t="str">
        <x:v>source route-CAL-4</x:v>
      </x:c>
      <x:c r="H901" s="86" t="str">
        <x:v>T4</x:v>
      </x:c>
      <x:c r="I901" s="91" t="str">
        <x:v>OPEN</x:v>
      </x:c>
    </x:row>
    <x:row r="902">
      <x:c r="A902" s="86" t="str">
        <x:v>CH-0897</x:v>
      </x:c>
      <x:c r="B902" s="86" t="str">
        <x:v>atmosphere supply</x:v>
      </x:c>
      <x:c r="C902" s="108" t="n">
        <x:v>1</x:v>
      </x:c>
      <x:c r="D902" s="86" t="str">
        <x:v>Z01</x:v>
      </x:c>
      <x:c r="E902" s="86" t="str">
        <x:v>full</x:v>
      </x:c>
      <x:c r="F902" s="86" t="str">
        <x:v>L1</x:v>
      </x:c>
      <x:c r="G902" s="86" t="str">
        <x:v>atmosphere supply-CAL-1</x:v>
      </x:c>
      <x:c r="H902" s="86" t="str">
        <x:v>T1</x:v>
      </x:c>
      <x:c r="I902" s="91" t="str">
        <x:v>OPEN</x:v>
      </x:c>
    </x:row>
    <x:row r="903">
      <x:c r="A903" s="86" t="str">
        <x:v>CH-0898</x:v>
      </x:c>
      <x:c r="B903" s="86" t="str">
        <x:v>atmosphere supply</x:v>
      </x:c>
      <x:c r="C903" s="108" t="n">
        <x:v>2</x:v>
      </x:c>
      <x:c r="D903" s="86" t="str">
        <x:v>Z02</x:v>
      </x:c>
      <x:c r="E903" s="86" t="str">
        <x:v>full</x:v>
      </x:c>
      <x:c r="F903" s="86" t="str">
        <x:v>L2</x:v>
      </x:c>
      <x:c r="G903" s="86" t="str">
        <x:v>atmosphere supply-CAL-2</x:v>
      </x:c>
      <x:c r="H903" s="86" t="str">
        <x:v>T2</x:v>
      </x:c>
      <x:c r="I903" s="91" t="str">
        <x:v>OPEN</x:v>
      </x:c>
    </x:row>
    <x:row r="904">
      <x:c r="A904" s="86" t="str">
        <x:v>CH-0899</x:v>
      </x:c>
      <x:c r="B904" s="86" t="str">
        <x:v>atmosphere supply</x:v>
      </x:c>
      <x:c r="C904" s="108" t="n">
        <x:v>3</x:v>
      </x:c>
      <x:c r="D904" s="86" t="str">
        <x:v>Z03</x:v>
      </x:c>
      <x:c r="E904" s="86" t="str">
        <x:v>full</x:v>
      </x:c>
      <x:c r="F904" s="86" t="str">
        <x:v>L3</x:v>
      </x:c>
      <x:c r="G904" s="86" t="str">
        <x:v>atmosphere supply-CAL-3</x:v>
      </x:c>
      <x:c r="H904" s="86" t="str">
        <x:v>T3</x:v>
      </x:c>
      <x:c r="I904" s="91" t="str">
        <x:v>OPEN</x:v>
      </x:c>
    </x:row>
    <x:row r="905">
      <x:c r="A905" s="86" t="str">
        <x:v>CH-0900</x:v>
      </x:c>
      <x:c r="B905" s="86" t="str">
        <x:v>atmosphere supply</x:v>
      </x:c>
      <x:c r="C905" s="108" t="n">
        <x:v>4</x:v>
      </x:c>
      <x:c r="D905" s="86" t="str">
        <x:v>Z04</x:v>
      </x:c>
      <x:c r="E905" s="86" t="str">
        <x:v>full</x:v>
      </x:c>
      <x:c r="F905" s="86" t="str">
        <x:v>L4</x:v>
      </x:c>
      <x:c r="G905" s="86" t="str">
        <x:v>atmosphere supply-CAL-4</x:v>
      </x:c>
      <x:c r="H905" s="86" t="str">
        <x:v>T4</x:v>
      </x:c>
      <x:c r="I905" s="91" t="str">
        <x:v>OPEN</x:v>
      </x:c>
    </x:row>
    <x:row r="906">
      <x:c r="A906" s="86" t="str">
        <x:v>CH-0901</x:v>
      </x:c>
      <x:c r="B906" s="86" t="str">
        <x:v>atmosphere supply</x:v>
      </x:c>
      <x:c r="C906" s="108" t="n">
        <x:v>5</x:v>
      </x:c>
      <x:c r="D906" s="86" t="str">
        <x:v>Z05</x:v>
      </x:c>
      <x:c r="E906" s="86" t="str">
        <x:v>full</x:v>
      </x:c>
      <x:c r="F906" s="86" t="str">
        <x:v>L1</x:v>
      </x:c>
      <x:c r="G906" s="86" t="str">
        <x:v>atmosphere supply-CAL-1</x:v>
      </x:c>
      <x:c r="H906" s="86" t="str">
        <x:v>T1</x:v>
      </x:c>
      <x:c r="I906" s="91" t="str">
        <x:v>OPEN</x:v>
      </x:c>
    </x:row>
    <x:row r="907">
      <x:c r="A907" s="86" t="str">
        <x:v>CH-0902</x:v>
      </x:c>
      <x:c r="B907" s="86" t="str">
        <x:v>atmosphere supply</x:v>
      </x:c>
      <x:c r="C907" s="108" t="n">
        <x:v>6</x:v>
      </x:c>
      <x:c r="D907" s="86" t="str">
        <x:v>Z06</x:v>
      </x:c>
      <x:c r="E907" s="86" t="str">
        <x:v>full</x:v>
      </x:c>
      <x:c r="F907" s="86" t="str">
        <x:v>L2</x:v>
      </x:c>
      <x:c r="G907" s="86" t="str">
        <x:v>atmosphere supply-CAL-2</x:v>
      </x:c>
      <x:c r="H907" s="86" t="str">
        <x:v>T2</x:v>
      </x:c>
      <x:c r="I907" s="91" t="str">
        <x:v>OPEN</x:v>
      </x:c>
    </x:row>
    <x:row r="908">
      <x:c r="A908" s="86" t="str">
        <x:v>CH-0903</x:v>
      </x:c>
      <x:c r="B908" s="86" t="str">
        <x:v>atmosphere supply</x:v>
      </x:c>
      <x:c r="C908" s="108" t="n">
        <x:v>7</x:v>
      </x:c>
      <x:c r="D908" s="86" t="str">
        <x:v>Z07</x:v>
      </x:c>
      <x:c r="E908" s="86" t="str">
        <x:v>full</x:v>
      </x:c>
      <x:c r="F908" s="86" t="str">
        <x:v>L3</x:v>
      </x:c>
      <x:c r="G908" s="86" t="str">
        <x:v>atmosphere supply-CAL-3</x:v>
      </x:c>
      <x:c r="H908" s="86" t="str">
        <x:v>T3</x:v>
      </x:c>
      <x:c r="I908" s="91" t="str">
        <x:v>OPEN</x:v>
      </x:c>
    </x:row>
    <x:row r="909">
      <x:c r="A909" s="86" t="str">
        <x:v>CH-0904</x:v>
      </x:c>
      <x:c r="B909" s="86" t="str">
        <x:v>atmosphere supply</x:v>
      </x:c>
      <x:c r="C909" s="108" t="n">
        <x:v>8</x:v>
      </x:c>
      <x:c r="D909" s="86" t="str">
        <x:v>Z08</x:v>
      </x:c>
      <x:c r="E909" s="86" t="str">
        <x:v>full</x:v>
      </x:c>
      <x:c r="F909" s="86" t="str">
        <x:v>L4</x:v>
      </x:c>
      <x:c r="G909" s="86" t="str">
        <x:v>atmosphere supply-CAL-4</x:v>
      </x:c>
      <x:c r="H909" s="86" t="str">
        <x:v>T4</x:v>
      </x:c>
      <x:c r="I909" s="91" t="str">
        <x:v>OPEN</x:v>
      </x:c>
    </x:row>
    <x:row r="910">
      <x:c r="A910" s="86" t="str">
        <x:v>CH-0905</x:v>
      </x:c>
      <x:c r="B910" s="86" t="str">
        <x:v>atmosphere supply</x:v>
      </x:c>
      <x:c r="C910" s="108" t="n">
        <x:v>9</x:v>
      </x:c>
      <x:c r="D910" s="86" t="str">
        <x:v>Z09</x:v>
      </x:c>
      <x:c r="E910" s="86" t="str">
        <x:v>full</x:v>
      </x:c>
      <x:c r="F910" s="86" t="str">
        <x:v>L1</x:v>
      </x:c>
      <x:c r="G910" s="86" t="str">
        <x:v>atmosphere supply-CAL-1</x:v>
      </x:c>
      <x:c r="H910" s="86" t="str">
        <x:v>T1</x:v>
      </x:c>
      <x:c r="I910" s="91" t="str">
        <x:v>OPEN</x:v>
      </x:c>
    </x:row>
    <x:row r="911">
      <x:c r="A911" s="86" t="str">
        <x:v>CH-0906</x:v>
      </x:c>
      <x:c r="B911" s="86" t="str">
        <x:v>atmosphere supply</x:v>
      </x:c>
      <x:c r="C911" s="108" t="n">
        <x:v>10</x:v>
      </x:c>
      <x:c r="D911" s="86" t="str">
        <x:v>Z10</x:v>
      </x:c>
      <x:c r="E911" s="86" t="str">
        <x:v>full</x:v>
      </x:c>
      <x:c r="F911" s="86" t="str">
        <x:v>L2</x:v>
      </x:c>
      <x:c r="G911" s="86" t="str">
        <x:v>atmosphere supply-CAL-2</x:v>
      </x:c>
      <x:c r="H911" s="86" t="str">
        <x:v>T2</x:v>
      </x:c>
      <x:c r="I911" s="91" t="str">
        <x:v>OPEN</x:v>
      </x:c>
    </x:row>
    <x:row r="912">
      <x:c r="A912" s="86" t="str">
        <x:v>CH-0907</x:v>
      </x:c>
      <x:c r="B912" s="86" t="str">
        <x:v>atmosphere supply</x:v>
      </x:c>
      <x:c r="C912" s="108" t="n">
        <x:v>11</x:v>
      </x:c>
      <x:c r="D912" s="86" t="str">
        <x:v>Z11</x:v>
      </x:c>
      <x:c r="E912" s="86" t="str">
        <x:v>full</x:v>
      </x:c>
      <x:c r="F912" s="86" t="str">
        <x:v>L3</x:v>
      </x:c>
      <x:c r="G912" s="86" t="str">
        <x:v>atmosphere supply-CAL-3</x:v>
      </x:c>
      <x:c r="H912" s="86" t="str">
        <x:v>T3</x:v>
      </x:c>
      <x:c r="I912" s="91" t="str">
        <x:v>OPEN</x:v>
      </x:c>
    </x:row>
    <x:row r="913">
      <x:c r="A913" s="86" t="str">
        <x:v>CH-0908</x:v>
      </x:c>
      <x:c r="B913" s="86" t="str">
        <x:v>atmosphere supply</x:v>
      </x:c>
      <x:c r="C913" s="108" t="n">
        <x:v>12</x:v>
      </x:c>
      <x:c r="D913" s="86" t="str">
        <x:v>Z12</x:v>
      </x:c>
      <x:c r="E913" s="86" t="str">
        <x:v>full</x:v>
      </x:c>
      <x:c r="F913" s="86" t="str">
        <x:v>L4</x:v>
      </x:c>
      <x:c r="G913" s="86" t="str">
        <x:v>atmosphere supply-CAL-4</x:v>
      </x:c>
      <x:c r="H913" s="86" t="str">
        <x:v>T4</x:v>
      </x:c>
      <x:c r="I913" s="91" t="str">
        <x:v>OPEN</x:v>
      </x:c>
    </x:row>
    <x:row r="914">
      <x:c r="A914" s="86" t="str">
        <x:v>CH-0909</x:v>
      </x:c>
      <x:c r="B914" s="86" t="str">
        <x:v>atmosphere supply</x:v>
      </x:c>
      <x:c r="C914" s="108" t="n">
        <x:v>13</x:v>
      </x:c>
      <x:c r="D914" s="86" t="str">
        <x:v>Z13</x:v>
      </x:c>
      <x:c r="E914" s="86" t="str">
        <x:v>full</x:v>
      </x:c>
      <x:c r="F914" s="86" t="str">
        <x:v>L1</x:v>
      </x:c>
      <x:c r="G914" s="86" t="str">
        <x:v>atmosphere supply-CAL-1</x:v>
      </x:c>
      <x:c r="H914" s="86" t="str">
        <x:v>T1</x:v>
      </x:c>
      <x:c r="I914" s="91" t="str">
        <x:v>OPEN</x:v>
      </x:c>
    </x:row>
    <x:row r="915">
      <x:c r="A915" s="86" t="str">
        <x:v>CH-0910</x:v>
      </x:c>
      <x:c r="B915" s="86" t="str">
        <x:v>atmosphere supply</x:v>
      </x:c>
      <x:c r="C915" s="108" t="n">
        <x:v>14</x:v>
      </x:c>
      <x:c r="D915" s="86" t="str">
        <x:v>Z14</x:v>
      </x:c>
      <x:c r="E915" s="86" t="str">
        <x:v>full</x:v>
      </x:c>
      <x:c r="F915" s="86" t="str">
        <x:v>L2</x:v>
      </x:c>
      <x:c r="G915" s="86" t="str">
        <x:v>atmosphere supply-CAL-2</x:v>
      </x:c>
      <x:c r="H915" s="86" t="str">
        <x:v>T2</x:v>
      </x:c>
      <x:c r="I915" s="91" t="str">
        <x:v>OPEN</x:v>
      </x:c>
    </x:row>
    <x:row r="916">
      <x:c r="A916" s="86" t="str">
        <x:v>CH-0911</x:v>
      </x:c>
      <x:c r="B916" s="86" t="str">
        <x:v>atmosphere supply</x:v>
      </x:c>
      <x:c r="C916" s="108" t="n">
        <x:v>15</x:v>
      </x:c>
      <x:c r="D916" s="86" t="str">
        <x:v>Z15</x:v>
      </x:c>
      <x:c r="E916" s="86" t="str">
        <x:v>full</x:v>
      </x:c>
      <x:c r="F916" s="86" t="str">
        <x:v>L3</x:v>
      </x:c>
      <x:c r="G916" s="86" t="str">
        <x:v>atmosphere supply-CAL-3</x:v>
      </x:c>
      <x:c r="H916" s="86" t="str">
        <x:v>T3</x:v>
      </x:c>
      <x:c r="I916" s="91" t="str">
        <x:v>OPEN</x:v>
      </x:c>
    </x:row>
    <x:row r="917">
      <x:c r="A917" s="86" t="str">
        <x:v>CH-0912</x:v>
      </x:c>
      <x:c r="B917" s="86" t="str">
        <x:v>atmosphere supply</x:v>
      </x:c>
      <x:c r="C917" s="108" t="n">
        <x:v>16</x:v>
      </x:c>
      <x:c r="D917" s="86" t="str">
        <x:v>Z16</x:v>
      </x:c>
      <x:c r="E917" s="86" t="str">
        <x:v>full</x:v>
      </x:c>
      <x:c r="F917" s="86" t="str">
        <x:v>L4</x:v>
      </x:c>
      <x:c r="G917" s="86" t="str">
        <x:v>atmosphere supply-CAL-4</x:v>
      </x:c>
      <x:c r="H917" s="86" t="str">
        <x:v>T4</x:v>
      </x:c>
      <x:c r="I917" s="91" t="str">
        <x:v>OPEN</x:v>
      </x:c>
    </x:row>
    <x:row r="918">
      <x:c r="A918" s="86" t="str">
        <x:v>CH-0913</x:v>
      </x:c>
      <x:c r="B918" s="86" t="str">
        <x:v>atmosphere supply</x:v>
      </x:c>
      <x:c r="C918" s="108" t="n">
        <x:v>17</x:v>
      </x:c>
      <x:c r="D918" s="86" t="str">
        <x:v>Z01</x:v>
      </x:c>
      <x:c r="E918" s="86" t="str">
        <x:v>full</x:v>
      </x:c>
      <x:c r="F918" s="86" t="str">
        <x:v>L1</x:v>
      </x:c>
      <x:c r="G918" s="86" t="str">
        <x:v>atmosphere supply-CAL-1</x:v>
      </x:c>
      <x:c r="H918" s="86" t="str">
        <x:v>T1</x:v>
      </x:c>
      <x:c r="I918" s="91" t="str">
        <x:v>OPEN</x:v>
      </x:c>
    </x:row>
    <x:row r="919">
      <x:c r="A919" s="86" t="str">
        <x:v>CH-0914</x:v>
      </x:c>
      <x:c r="B919" s="86" t="str">
        <x:v>atmosphere supply</x:v>
      </x:c>
      <x:c r="C919" s="108" t="n">
        <x:v>18</x:v>
      </x:c>
      <x:c r="D919" s="86" t="str">
        <x:v>Z02</x:v>
      </x:c>
      <x:c r="E919" s="86" t="str">
        <x:v>full</x:v>
      </x:c>
      <x:c r="F919" s="86" t="str">
        <x:v>L2</x:v>
      </x:c>
      <x:c r="G919" s="86" t="str">
        <x:v>atmosphere supply-CAL-2</x:v>
      </x:c>
      <x:c r="H919" s="86" t="str">
        <x:v>T2</x:v>
      </x:c>
      <x:c r="I919" s="91" t="str">
        <x:v>OPEN</x:v>
      </x:c>
    </x:row>
    <x:row r="920">
      <x:c r="A920" s="86" t="str">
        <x:v>CH-0915</x:v>
      </x:c>
      <x:c r="B920" s="86" t="str">
        <x:v>atmosphere supply</x:v>
      </x:c>
      <x:c r="C920" s="108" t="n">
        <x:v>19</x:v>
      </x:c>
      <x:c r="D920" s="86" t="str">
        <x:v>Z03</x:v>
      </x:c>
      <x:c r="E920" s="86" t="str">
        <x:v>full</x:v>
      </x:c>
      <x:c r="F920" s="86" t="str">
        <x:v>L3</x:v>
      </x:c>
      <x:c r="G920" s="86" t="str">
        <x:v>atmosphere supply-CAL-3</x:v>
      </x:c>
      <x:c r="H920" s="86" t="str">
        <x:v>T3</x:v>
      </x:c>
      <x:c r="I920" s="91" t="str">
        <x:v>OPEN</x:v>
      </x:c>
    </x:row>
    <x:row r="921">
      <x:c r="A921" s="86" t="str">
        <x:v>CH-0916</x:v>
      </x:c>
      <x:c r="B921" s="86" t="str">
        <x:v>atmosphere supply</x:v>
      </x:c>
      <x:c r="C921" s="108" t="n">
        <x:v>20</x:v>
      </x:c>
      <x:c r="D921" s="86" t="str">
        <x:v>Z04</x:v>
      </x:c>
      <x:c r="E921" s="86" t="str">
        <x:v>full</x:v>
      </x:c>
      <x:c r="F921" s="86" t="str">
        <x:v>L4</x:v>
      </x:c>
      <x:c r="G921" s="86" t="str">
        <x:v>atmosphere supply-CAL-4</x:v>
      </x:c>
      <x:c r="H921" s="86" t="str">
        <x:v>T4</x:v>
      </x:c>
      <x:c r="I921" s="91" t="str">
        <x:v>OPEN</x:v>
      </x:c>
    </x:row>
    <x:row r="922">
      <x:c r="A922" s="86" t="str">
        <x:v>CH-0917</x:v>
      </x:c>
      <x:c r="B922" s="86" t="str">
        <x:v>atmosphere supply</x:v>
      </x:c>
      <x:c r="C922" s="108" t="n">
        <x:v>21</x:v>
      </x:c>
      <x:c r="D922" s="86" t="str">
        <x:v>Z05</x:v>
      </x:c>
      <x:c r="E922" s="86" t="str">
        <x:v>full</x:v>
      </x:c>
      <x:c r="F922" s="86" t="str">
        <x:v>L1</x:v>
      </x:c>
      <x:c r="G922" s="86" t="str">
        <x:v>atmosphere supply-CAL-1</x:v>
      </x:c>
      <x:c r="H922" s="86" t="str">
        <x:v>T1</x:v>
      </x:c>
      <x:c r="I922" s="91" t="str">
        <x:v>OPEN</x:v>
      </x:c>
    </x:row>
    <x:row r="923">
      <x:c r="A923" s="86" t="str">
        <x:v>CH-0918</x:v>
      </x:c>
      <x:c r="B923" s="86" t="str">
        <x:v>atmosphere supply</x:v>
      </x:c>
      <x:c r="C923" s="108" t="n">
        <x:v>22</x:v>
      </x:c>
      <x:c r="D923" s="86" t="str">
        <x:v>Z06</x:v>
      </x:c>
      <x:c r="E923" s="86" t="str">
        <x:v>full</x:v>
      </x:c>
      <x:c r="F923" s="86" t="str">
        <x:v>L2</x:v>
      </x:c>
      <x:c r="G923" s="86" t="str">
        <x:v>atmosphere supply-CAL-2</x:v>
      </x:c>
      <x:c r="H923" s="86" t="str">
        <x:v>T2</x:v>
      </x:c>
      <x:c r="I923" s="91" t="str">
        <x:v>OPEN</x:v>
      </x:c>
    </x:row>
    <x:row r="924">
      <x:c r="A924" s="86" t="str">
        <x:v>CH-0919</x:v>
      </x:c>
      <x:c r="B924" s="86" t="str">
        <x:v>atmosphere supply</x:v>
      </x:c>
      <x:c r="C924" s="108" t="n">
        <x:v>23</x:v>
      </x:c>
      <x:c r="D924" s="86" t="str">
        <x:v>Z07</x:v>
      </x:c>
      <x:c r="E924" s="86" t="str">
        <x:v>full</x:v>
      </x:c>
      <x:c r="F924" s="86" t="str">
        <x:v>L3</x:v>
      </x:c>
      <x:c r="G924" s="86" t="str">
        <x:v>atmosphere supply-CAL-3</x:v>
      </x:c>
      <x:c r="H924" s="86" t="str">
        <x:v>T3</x:v>
      </x:c>
      <x:c r="I924" s="91" t="str">
        <x:v>OPEN</x:v>
      </x:c>
    </x:row>
    <x:row r="925">
      <x:c r="A925" s="86" t="str">
        <x:v>CH-0920</x:v>
      </x:c>
      <x:c r="B925" s="86" t="str">
        <x:v>atmosphere supply</x:v>
      </x:c>
      <x:c r="C925" s="108" t="n">
        <x:v>24</x:v>
      </x:c>
      <x:c r="D925" s="86" t="str">
        <x:v>Z08</x:v>
      </x:c>
      <x:c r="E925" s="86" t="str">
        <x:v>full</x:v>
      </x:c>
      <x:c r="F925" s="86" t="str">
        <x:v>L4</x:v>
      </x:c>
      <x:c r="G925" s="86" t="str">
        <x:v>atmosphere supply-CAL-4</x:v>
      </x:c>
      <x:c r="H925" s="86" t="str">
        <x:v>T4</x:v>
      </x:c>
      <x:c r="I925" s="91" t="str">
        <x:v>OPEN</x:v>
      </x:c>
    </x:row>
    <x:row r="926">
      <x:c r="A926" s="86" t="str">
        <x:v>CH-0921</x:v>
      </x:c>
      <x:c r="B926" s="86" t="str">
        <x:v>atmosphere supply</x:v>
      </x:c>
      <x:c r="C926" s="108" t="n">
        <x:v>25</x:v>
      </x:c>
      <x:c r="D926" s="86" t="str">
        <x:v>Z09</x:v>
      </x:c>
      <x:c r="E926" s="86" t="str">
        <x:v>full</x:v>
      </x:c>
      <x:c r="F926" s="86" t="str">
        <x:v>L1</x:v>
      </x:c>
      <x:c r="G926" s="86" t="str">
        <x:v>atmosphere supply-CAL-1</x:v>
      </x:c>
      <x:c r="H926" s="86" t="str">
        <x:v>T1</x:v>
      </x:c>
      <x:c r="I926" s="91" t="str">
        <x:v>OPEN</x:v>
      </x:c>
    </x:row>
    <x:row r="927">
      <x:c r="A927" s="86" t="str">
        <x:v>CH-0922</x:v>
      </x:c>
      <x:c r="B927" s="86" t="str">
        <x:v>atmosphere supply</x:v>
      </x:c>
      <x:c r="C927" s="108" t="n">
        <x:v>26</x:v>
      </x:c>
      <x:c r="D927" s="86" t="str">
        <x:v>Z10</x:v>
      </x:c>
      <x:c r="E927" s="86" t="str">
        <x:v>full</x:v>
      </x:c>
      <x:c r="F927" s="86" t="str">
        <x:v>L2</x:v>
      </x:c>
      <x:c r="G927" s="86" t="str">
        <x:v>atmosphere supply-CAL-2</x:v>
      </x:c>
      <x:c r="H927" s="86" t="str">
        <x:v>T2</x:v>
      </x:c>
      <x:c r="I927" s="91" t="str">
        <x:v>OPEN</x:v>
      </x:c>
    </x:row>
    <x:row r="928">
      <x:c r="A928" s="86" t="str">
        <x:v>CH-0923</x:v>
      </x:c>
      <x:c r="B928" s="86" t="str">
        <x:v>atmosphere supply</x:v>
      </x:c>
      <x:c r="C928" s="108" t="n">
        <x:v>27</x:v>
      </x:c>
      <x:c r="D928" s="86" t="str">
        <x:v>Z11</x:v>
      </x:c>
      <x:c r="E928" s="86" t="str">
        <x:v>full</x:v>
      </x:c>
      <x:c r="F928" s="86" t="str">
        <x:v>L3</x:v>
      </x:c>
      <x:c r="G928" s="86" t="str">
        <x:v>atmosphere supply-CAL-3</x:v>
      </x:c>
      <x:c r="H928" s="86" t="str">
        <x:v>T3</x:v>
      </x:c>
      <x:c r="I928" s="91" t="str">
        <x:v>OPEN</x:v>
      </x:c>
    </x:row>
    <x:row r="929">
      <x:c r="A929" s="86" t="str">
        <x:v>CH-0924</x:v>
      </x:c>
      <x:c r="B929" s="86" t="str">
        <x:v>atmosphere supply</x:v>
      </x:c>
      <x:c r="C929" s="108" t="n">
        <x:v>28</x:v>
      </x:c>
      <x:c r="D929" s="86" t="str">
        <x:v>Z12</x:v>
      </x:c>
      <x:c r="E929" s="86" t="str">
        <x:v>full</x:v>
      </x:c>
      <x:c r="F929" s="86" t="str">
        <x:v>L4</x:v>
      </x:c>
      <x:c r="G929" s="86" t="str">
        <x:v>atmosphere supply-CAL-4</x:v>
      </x:c>
      <x:c r="H929" s="86" t="str">
        <x:v>T4</x:v>
      </x:c>
      <x:c r="I929" s="91" t="str">
        <x:v>OPEN</x:v>
      </x:c>
    </x:row>
    <x:row r="930">
      <x:c r="A930" s="86" t="str">
        <x:v>CH-0925</x:v>
      </x:c>
      <x:c r="B930" s="86" t="str">
        <x:v>atmosphere supply</x:v>
      </x:c>
      <x:c r="C930" s="108" t="n">
        <x:v>29</x:v>
      </x:c>
      <x:c r="D930" s="86" t="str">
        <x:v>Z13</x:v>
      </x:c>
      <x:c r="E930" s="86" t="str">
        <x:v>full</x:v>
      </x:c>
      <x:c r="F930" s="86" t="str">
        <x:v>L1</x:v>
      </x:c>
      <x:c r="G930" s="86" t="str">
        <x:v>atmosphere supply-CAL-1</x:v>
      </x:c>
      <x:c r="H930" s="86" t="str">
        <x:v>T1</x:v>
      </x:c>
      <x:c r="I930" s="91" t="str">
        <x:v>OPEN</x:v>
      </x:c>
    </x:row>
    <x:row r="931">
      <x:c r="A931" s="86" t="str">
        <x:v>CH-0926</x:v>
      </x:c>
      <x:c r="B931" s="86" t="str">
        <x:v>atmosphere supply</x:v>
      </x:c>
      <x:c r="C931" s="108" t="n">
        <x:v>30</x:v>
      </x:c>
      <x:c r="D931" s="86" t="str">
        <x:v>Z14</x:v>
      </x:c>
      <x:c r="E931" s="86" t="str">
        <x:v>full</x:v>
      </x:c>
      <x:c r="F931" s="86" t="str">
        <x:v>L2</x:v>
      </x:c>
      <x:c r="G931" s="86" t="str">
        <x:v>atmosphere supply-CAL-2</x:v>
      </x:c>
      <x:c r="H931" s="86" t="str">
        <x:v>T2</x:v>
      </x:c>
      <x:c r="I931" s="91" t="str">
        <x:v>OPEN</x:v>
      </x:c>
    </x:row>
    <x:row r="932">
      <x:c r="A932" s="86" t="str">
        <x:v>CH-0927</x:v>
      </x:c>
      <x:c r="B932" s="86" t="str">
        <x:v>atmosphere supply</x:v>
      </x:c>
      <x:c r="C932" s="108" t="n">
        <x:v>31</x:v>
      </x:c>
      <x:c r="D932" s="86" t="str">
        <x:v>Z15</x:v>
      </x:c>
      <x:c r="E932" s="86" t="str">
        <x:v>full</x:v>
      </x:c>
      <x:c r="F932" s="86" t="str">
        <x:v>L3</x:v>
      </x:c>
      <x:c r="G932" s="86" t="str">
        <x:v>atmosphere supply-CAL-3</x:v>
      </x:c>
      <x:c r="H932" s="86" t="str">
        <x:v>T3</x:v>
      </x:c>
      <x:c r="I932" s="91" t="str">
        <x:v>OPEN</x:v>
      </x:c>
    </x:row>
    <x:row r="933">
      <x:c r="A933" s="86" t="str">
        <x:v>CH-0928</x:v>
      </x:c>
      <x:c r="B933" s="86" t="str">
        <x:v>atmosphere supply</x:v>
      </x:c>
      <x:c r="C933" s="108" t="n">
        <x:v>32</x:v>
      </x:c>
      <x:c r="D933" s="86" t="str">
        <x:v>Z16</x:v>
      </x:c>
      <x:c r="E933" s="86" t="str">
        <x:v>full</x:v>
      </x:c>
      <x:c r="F933" s="86" t="str">
        <x:v>L4</x:v>
      </x:c>
      <x:c r="G933" s="86" t="str">
        <x:v>atmosphere supply-CAL-4</x:v>
      </x:c>
      <x:c r="H933" s="86" t="str">
        <x:v>T4</x:v>
      </x:c>
      <x:c r="I933" s="91" t="str">
        <x:v>OPEN</x:v>
      </x:c>
    </x:row>
    <x:row r="934">
      <x:c r="A934" s="86" t="str">
        <x:v>CH-0929</x:v>
      </x:c>
      <x:c r="B934" s="86" t="str">
        <x:v>atmosphere supply</x:v>
      </x:c>
      <x:c r="C934" s="108" t="n">
        <x:v>33</x:v>
      </x:c>
      <x:c r="D934" s="86" t="str">
        <x:v>Z01</x:v>
      </x:c>
      <x:c r="E934" s="86" t="str">
        <x:v>intermediate</x:v>
      </x:c>
      <x:c r="F934" s="86" t="str">
        <x:v>L1</x:v>
      </x:c>
      <x:c r="G934" s="86" t="str">
        <x:v>atmosphere supply-CAL-1</x:v>
      </x:c>
      <x:c r="H934" s="86" t="str">
        <x:v>T1</x:v>
      </x:c>
      <x:c r="I934" s="91" t="str">
        <x:v>OPEN</x:v>
      </x:c>
    </x:row>
    <x:row r="935">
      <x:c r="A935" s="86" t="str">
        <x:v>CH-0930</x:v>
      </x:c>
      <x:c r="B935" s="86" t="str">
        <x:v>atmosphere supply</x:v>
      </x:c>
      <x:c r="C935" s="108" t="n">
        <x:v>34</x:v>
      </x:c>
      <x:c r="D935" s="86" t="str">
        <x:v>Z02</x:v>
      </x:c>
      <x:c r="E935" s="86" t="str">
        <x:v>intermediate</x:v>
      </x:c>
      <x:c r="F935" s="86" t="str">
        <x:v>L2</x:v>
      </x:c>
      <x:c r="G935" s="86" t="str">
        <x:v>atmosphere supply-CAL-2</x:v>
      </x:c>
      <x:c r="H935" s="86" t="str">
        <x:v>T2</x:v>
      </x:c>
      <x:c r="I935" s="91" t="str">
        <x:v>OPEN</x:v>
      </x:c>
    </x:row>
    <x:row r="936">
      <x:c r="A936" s="86" t="str">
        <x:v>CH-0931</x:v>
      </x:c>
      <x:c r="B936" s="86" t="str">
        <x:v>atmosphere supply</x:v>
      </x:c>
      <x:c r="C936" s="108" t="n">
        <x:v>35</x:v>
      </x:c>
      <x:c r="D936" s="86" t="str">
        <x:v>Z03</x:v>
      </x:c>
      <x:c r="E936" s="86" t="str">
        <x:v>intermediate</x:v>
      </x:c>
      <x:c r="F936" s="86" t="str">
        <x:v>L3</x:v>
      </x:c>
      <x:c r="G936" s="86" t="str">
        <x:v>atmosphere supply-CAL-3</x:v>
      </x:c>
      <x:c r="H936" s="86" t="str">
        <x:v>T3</x:v>
      </x:c>
      <x:c r="I936" s="91" t="str">
        <x:v>OPEN</x:v>
      </x:c>
    </x:row>
    <x:row r="937">
      <x:c r="A937" s="86" t="str">
        <x:v>CH-0932</x:v>
      </x:c>
      <x:c r="B937" s="86" t="str">
        <x:v>atmosphere supply</x:v>
      </x:c>
      <x:c r="C937" s="108" t="n">
        <x:v>36</x:v>
      </x:c>
      <x:c r="D937" s="86" t="str">
        <x:v>Z04</x:v>
      </x:c>
      <x:c r="E937" s="86" t="str">
        <x:v>intermediate</x:v>
      </x:c>
      <x:c r="F937" s="86" t="str">
        <x:v>L4</x:v>
      </x:c>
      <x:c r="G937" s="86" t="str">
        <x:v>atmosphere supply-CAL-4</x:v>
      </x:c>
      <x:c r="H937" s="86" t="str">
        <x:v>T4</x:v>
      </x:c>
      <x:c r="I937" s="91" t="str">
        <x:v>OPEN</x:v>
      </x:c>
    </x:row>
    <x:row r="938">
      <x:c r="A938" s="86" t="str">
        <x:v>CH-0933</x:v>
      </x:c>
      <x:c r="B938" s="86" t="str">
        <x:v>atmosphere supply</x:v>
      </x:c>
      <x:c r="C938" s="108" t="n">
        <x:v>37</x:v>
      </x:c>
      <x:c r="D938" s="86" t="str">
        <x:v>Z05</x:v>
      </x:c>
      <x:c r="E938" s="86" t="str">
        <x:v>intermediate</x:v>
      </x:c>
      <x:c r="F938" s="86" t="str">
        <x:v>L1</x:v>
      </x:c>
      <x:c r="G938" s="86" t="str">
        <x:v>atmosphere supply-CAL-1</x:v>
      </x:c>
      <x:c r="H938" s="86" t="str">
        <x:v>T1</x:v>
      </x:c>
      <x:c r="I938" s="91" t="str">
        <x:v>OPEN</x:v>
      </x:c>
    </x:row>
    <x:row r="939">
      <x:c r="A939" s="86" t="str">
        <x:v>CH-0934</x:v>
      </x:c>
      <x:c r="B939" s="86" t="str">
        <x:v>atmosphere supply</x:v>
      </x:c>
      <x:c r="C939" s="108" t="n">
        <x:v>38</x:v>
      </x:c>
      <x:c r="D939" s="86" t="str">
        <x:v>Z06</x:v>
      </x:c>
      <x:c r="E939" s="86" t="str">
        <x:v>intermediate</x:v>
      </x:c>
      <x:c r="F939" s="86" t="str">
        <x:v>L2</x:v>
      </x:c>
      <x:c r="G939" s="86" t="str">
        <x:v>atmosphere supply-CAL-2</x:v>
      </x:c>
      <x:c r="H939" s="86" t="str">
        <x:v>T2</x:v>
      </x:c>
      <x:c r="I939" s="91" t="str">
        <x:v>OPEN</x:v>
      </x:c>
    </x:row>
    <x:row r="940">
      <x:c r="A940" s="86" t="str">
        <x:v>CH-0935</x:v>
      </x:c>
      <x:c r="B940" s="86" t="str">
        <x:v>atmosphere supply</x:v>
      </x:c>
      <x:c r="C940" s="108" t="n">
        <x:v>39</x:v>
      </x:c>
      <x:c r="D940" s="86" t="str">
        <x:v>Z07</x:v>
      </x:c>
      <x:c r="E940" s="86" t="str">
        <x:v>intermediate</x:v>
      </x:c>
      <x:c r="F940" s="86" t="str">
        <x:v>L3</x:v>
      </x:c>
      <x:c r="G940" s="86" t="str">
        <x:v>atmosphere supply-CAL-3</x:v>
      </x:c>
      <x:c r="H940" s="86" t="str">
        <x:v>T3</x:v>
      </x:c>
      <x:c r="I940" s="91" t="str">
        <x:v>OPEN</x:v>
      </x:c>
    </x:row>
    <x:row r="941">
      <x:c r="A941" s="86" t="str">
        <x:v>CH-0936</x:v>
      </x:c>
      <x:c r="B941" s="86" t="str">
        <x:v>atmosphere supply</x:v>
      </x:c>
      <x:c r="C941" s="108" t="n">
        <x:v>40</x:v>
      </x:c>
      <x:c r="D941" s="86" t="str">
        <x:v>Z08</x:v>
      </x:c>
      <x:c r="E941" s="86" t="str">
        <x:v>intermediate</x:v>
      </x:c>
      <x:c r="F941" s="86" t="str">
        <x:v>L4</x:v>
      </x:c>
      <x:c r="G941" s="86" t="str">
        <x:v>atmosphere supply-CAL-4</x:v>
      </x:c>
      <x:c r="H941" s="86" t="str">
        <x:v>T4</x:v>
      </x:c>
      <x:c r="I941" s="91" t="str">
        <x:v>OPEN</x:v>
      </x:c>
    </x:row>
    <x:row r="942">
      <x:c r="A942" s="86" t="str">
        <x:v>CH-0937</x:v>
      </x:c>
      <x:c r="B942" s="86" t="str">
        <x:v>atmosphere supply</x:v>
      </x:c>
      <x:c r="C942" s="108" t="n">
        <x:v>41</x:v>
      </x:c>
      <x:c r="D942" s="86" t="str">
        <x:v>Z09</x:v>
      </x:c>
      <x:c r="E942" s="86" t="str">
        <x:v>intermediate</x:v>
      </x:c>
      <x:c r="F942" s="86" t="str">
        <x:v>L1</x:v>
      </x:c>
      <x:c r="G942" s="86" t="str">
        <x:v>atmosphere supply-CAL-1</x:v>
      </x:c>
      <x:c r="H942" s="86" t="str">
        <x:v>T1</x:v>
      </x:c>
      <x:c r="I942" s="91" t="str">
        <x:v>OPEN</x:v>
      </x:c>
    </x:row>
    <x:row r="943">
      <x:c r="A943" s="86" t="str">
        <x:v>CH-0938</x:v>
      </x:c>
      <x:c r="B943" s="86" t="str">
        <x:v>atmosphere supply</x:v>
      </x:c>
      <x:c r="C943" s="108" t="n">
        <x:v>42</x:v>
      </x:c>
      <x:c r="D943" s="86" t="str">
        <x:v>Z10</x:v>
      </x:c>
      <x:c r="E943" s="86" t="str">
        <x:v>intermediate</x:v>
      </x:c>
      <x:c r="F943" s="86" t="str">
        <x:v>L2</x:v>
      </x:c>
      <x:c r="G943" s="86" t="str">
        <x:v>atmosphere supply-CAL-2</x:v>
      </x:c>
      <x:c r="H943" s="86" t="str">
        <x:v>T2</x:v>
      </x:c>
      <x:c r="I943" s="91" t="str">
        <x:v>OPEN</x:v>
      </x:c>
    </x:row>
    <x:row r="944">
      <x:c r="A944" s="86" t="str">
        <x:v>CH-0939</x:v>
      </x:c>
      <x:c r="B944" s="86" t="str">
        <x:v>atmosphere supply</x:v>
      </x:c>
      <x:c r="C944" s="108" t="n">
        <x:v>43</x:v>
      </x:c>
      <x:c r="D944" s="86" t="str">
        <x:v>Z11</x:v>
      </x:c>
      <x:c r="E944" s="86" t="str">
        <x:v>intermediate</x:v>
      </x:c>
      <x:c r="F944" s="86" t="str">
        <x:v>L3</x:v>
      </x:c>
      <x:c r="G944" s="86" t="str">
        <x:v>atmosphere supply-CAL-3</x:v>
      </x:c>
      <x:c r="H944" s="86" t="str">
        <x:v>T3</x:v>
      </x:c>
      <x:c r="I944" s="91" t="str">
        <x:v>OPEN</x:v>
      </x:c>
    </x:row>
    <x:row r="945">
      <x:c r="A945" s="86" t="str">
        <x:v>CH-0940</x:v>
      </x:c>
      <x:c r="B945" s="86" t="str">
        <x:v>atmosphere supply</x:v>
      </x:c>
      <x:c r="C945" s="108" t="n">
        <x:v>44</x:v>
      </x:c>
      <x:c r="D945" s="86" t="str">
        <x:v>Z12</x:v>
      </x:c>
      <x:c r="E945" s="86" t="str">
        <x:v>intermediate</x:v>
      </x:c>
      <x:c r="F945" s="86" t="str">
        <x:v>L4</x:v>
      </x:c>
      <x:c r="G945" s="86" t="str">
        <x:v>atmosphere supply-CAL-4</x:v>
      </x:c>
      <x:c r="H945" s="86" t="str">
        <x:v>T4</x:v>
      </x:c>
      <x:c r="I945" s="91" t="str">
        <x:v>OPEN</x:v>
      </x:c>
    </x:row>
    <x:row r="946">
      <x:c r="A946" s="86" t="str">
        <x:v>CH-0941</x:v>
      </x:c>
      <x:c r="B946" s="86" t="str">
        <x:v>atmosphere supply</x:v>
      </x:c>
      <x:c r="C946" s="108" t="n">
        <x:v>45</x:v>
      </x:c>
      <x:c r="D946" s="86" t="str">
        <x:v>Z13</x:v>
      </x:c>
      <x:c r="E946" s="86" t="str">
        <x:v>intermediate</x:v>
      </x:c>
      <x:c r="F946" s="86" t="str">
        <x:v>L1</x:v>
      </x:c>
      <x:c r="G946" s="86" t="str">
        <x:v>atmosphere supply-CAL-1</x:v>
      </x:c>
      <x:c r="H946" s="86" t="str">
        <x:v>T1</x:v>
      </x:c>
      <x:c r="I946" s="91" t="str">
        <x:v>OPEN</x:v>
      </x:c>
    </x:row>
    <x:row r="947">
      <x:c r="A947" s="86" t="str">
        <x:v>CH-0942</x:v>
      </x:c>
      <x:c r="B947" s="86" t="str">
        <x:v>atmosphere supply</x:v>
      </x:c>
      <x:c r="C947" s="108" t="n">
        <x:v>46</x:v>
      </x:c>
      <x:c r="D947" s="86" t="str">
        <x:v>Z14</x:v>
      </x:c>
      <x:c r="E947" s="86" t="str">
        <x:v>intermediate</x:v>
      </x:c>
      <x:c r="F947" s="86" t="str">
        <x:v>L2</x:v>
      </x:c>
      <x:c r="G947" s="86" t="str">
        <x:v>atmosphere supply-CAL-2</x:v>
      </x:c>
      <x:c r="H947" s="86" t="str">
        <x:v>T2</x:v>
      </x:c>
      <x:c r="I947" s="91" t="str">
        <x:v>OPEN</x:v>
      </x:c>
    </x:row>
    <x:row r="948">
      <x:c r="A948" s="86" t="str">
        <x:v>CH-0943</x:v>
      </x:c>
      <x:c r="B948" s="86" t="str">
        <x:v>atmosphere supply</x:v>
      </x:c>
      <x:c r="C948" s="108" t="n">
        <x:v>47</x:v>
      </x:c>
      <x:c r="D948" s="86" t="str">
        <x:v>Z15</x:v>
      </x:c>
      <x:c r="E948" s="86" t="str">
        <x:v>intermediate</x:v>
      </x:c>
      <x:c r="F948" s="86" t="str">
        <x:v>L3</x:v>
      </x:c>
      <x:c r="G948" s="86" t="str">
        <x:v>atmosphere supply-CAL-3</x:v>
      </x:c>
      <x:c r="H948" s="86" t="str">
        <x:v>T3</x:v>
      </x:c>
      <x:c r="I948" s="91" t="str">
        <x:v>OPEN</x:v>
      </x:c>
    </x:row>
    <x:row r="949">
      <x:c r="A949" s="86" t="str">
        <x:v>CH-0944</x:v>
      </x:c>
      <x:c r="B949" s="86" t="str">
        <x:v>atmosphere supply</x:v>
      </x:c>
      <x:c r="C949" s="108" t="n">
        <x:v>48</x:v>
      </x:c>
      <x:c r="D949" s="86" t="str">
        <x:v>Z16</x:v>
      </x:c>
      <x:c r="E949" s="86" t="str">
        <x:v>intermediate</x:v>
      </x:c>
      <x:c r="F949" s="86" t="str">
        <x:v>L4</x:v>
      </x:c>
      <x:c r="G949" s="86" t="str">
        <x:v>atmosphere supply-CAL-4</x:v>
      </x:c>
      <x:c r="H949" s="86" t="str">
        <x:v>T4</x:v>
      </x:c>
      <x:c r="I949" s="91" t="str">
        <x:v>OPEN</x:v>
      </x:c>
    </x:row>
    <x:row r="950">
      <x:c r="A950" s="86" t="str">
        <x:v>CH-0945</x:v>
      </x:c>
      <x:c r="B950" s="86" t="str">
        <x:v>atmosphere supply</x:v>
      </x:c>
      <x:c r="C950" s="108" t="n">
        <x:v>49</x:v>
      </x:c>
      <x:c r="D950" s="86" t="str">
        <x:v>Z01</x:v>
      </x:c>
      <x:c r="E950" s="86" t="str">
        <x:v>return</x:v>
      </x:c>
      <x:c r="F950" s="86" t="str">
        <x:v>L1</x:v>
      </x:c>
      <x:c r="G950" s="86" t="str">
        <x:v>atmosphere supply-CAL-1</x:v>
      </x:c>
      <x:c r="H950" s="86" t="str">
        <x:v>T1</x:v>
      </x:c>
      <x:c r="I950" s="91" t="str">
        <x:v>OPEN</x:v>
      </x:c>
    </x:row>
    <x:row r="951">
      <x:c r="A951" s="86" t="str">
        <x:v>CH-0946</x:v>
      </x:c>
      <x:c r="B951" s="86" t="str">
        <x:v>atmosphere supply</x:v>
      </x:c>
      <x:c r="C951" s="108" t="n">
        <x:v>50</x:v>
      </x:c>
      <x:c r="D951" s="86" t="str">
        <x:v>Z02</x:v>
      </x:c>
      <x:c r="E951" s="86" t="str">
        <x:v>return</x:v>
      </x:c>
      <x:c r="F951" s="86" t="str">
        <x:v>L2</x:v>
      </x:c>
      <x:c r="G951" s="86" t="str">
        <x:v>atmosphere supply-CAL-2</x:v>
      </x:c>
      <x:c r="H951" s="86" t="str">
        <x:v>T2</x:v>
      </x:c>
      <x:c r="I951" s="91" t="str">
        <x:v>OPEN</x:v>
      </x:c>
    </x:row>
    <x:row r="952">
      <x:c r="A952" s="86" t="str">
        <x:v>CH-0947</x:v>
      </x:c>
      <x:c r="B952" s="86" t="str">
        <x:v>atmosphere supply</x:v>
      </x:c>
      <x:c r="C952" s="108" t="n">
        <x:v>51</x:v>
      </x:c>
      <x:c r="D952" s="86" t="str">
        <x:v>Z03</x:v>
      </x:c>
      <x:c r="E952" s="86" t="str">
        <x:v>return</x:v>
      </x:c>
      <x:c r="F952" s="86" t="str">
        <x:v>L3</x:v>
      </x:c>
      <x:c r="G952" s="86" t="str">
        <x:v>atmosphere supply-CAL-3</x:v>
      </x:c>
      <x:c r="H952" s="86" t="str">
        <x:v>T3</x:v>
      </x:c>
      <x:c r="I952" s="91" t="str">
        <x:v>OPEN</x:v>
      </x:c>
    </x:row>
    <x:row r="953">
      <x:c r="A953" s="86" t="str">
        <x:v>CH-0948</x:v>
      </x:c>
      <x:c r="B953" s="86" t="str">
        <x:v>atmosphere supply</x:v>
      </x:c>
      <x:c r="C953" s="108" t="n">
        <x:v>52</x:v>
      </x:c>
      <x:c r="D953" s="86" t="str">
        <x:v>Z04</x:v>
      </x:c>
      <x:c r="E953" s="86" t="str">
        <x:v>return</x:v>
      </x:c>
      <x:c r="F953" s="86" t="str">
        <x:v>L4</x:v>
      </x:c>
      <x:c r="G953" s="86" t="str">
        <x:v>atmosphere supply-CAL-4</x:v>
      </x:c>
      <x:c r="H953" s="86" t="str">
        <x:v>T4</x:v>
      </x:c>
      <x:c r="I953" s="91" t="str">
        <x:v>OPEN</x:v>
      </x:c>
    </x:row>
    <x:row r="954">
      <x:c r="A954" s="86" t="str">
        <x:v>CH-0949</x:v>
      </x:c>
      <x:c r="B954" s="86" t="str">
        <x:v>atmosphere supply</x:v>
      </x:c>
      <x:c r="C954" s="108" t="n">
        <x:v>53</x:v>
      </x:c>
      <x:c r="D954" s="86" t="str">
        <x:v>Z05</x:v>
      </x:c>
      <x:c r="E954" s="86" t="str">
        <x:v>return</x:v>
      </x:c>
      <x:c r="F954" s="86" t="str">
        <x:v>L1</x:v>
      </x:c>
      <x:c r="G954" s="86" t="str">
        <x:v>atmosphere supply-CAL-1</x:v>
      </x:c>
      <x:c r="H954" s="86" t="str">
        <x:v>T1</x:v>
      </x:c>
      <x:c r="I954" s="91" t="str">
        <x:v>OPEN</x:v>
      </x:c>
    </x:row>
    <x:row r="955">
      <x:c r="A955" s="86" t="str">
        <x:v>CH-0950</x:v>
      </x:c>
      <x:c r="B955" s="86" t="str">
        <x:v>atmosphere supply</x:v>
      </x:c>
      <x:c r="C955" s="108" t="n">
        <x:v>54</x:v>
      </x:c>
      <x:c r="D955" s="86" t="str">
        <x:v>Z06</x:v>
      </x:c>
      <x:c r="E955" s="86" t="str">
        <x:v>return</x:v>
      </x:c>
      <x:c r="F955" s="86" t="str">
        <x:v>L2</x:v>
      </x:c>
      <x:c r="G955" s="86" t="str">
        <x:v>atmosphere supply-CAL-2</x:v>
      </x:c>
      <x:c r="H955" s="86" t="str">
        <x:v>T2</x:v>
      </x:c>
      <x:c r="I955" s="91" t="str">
        <x:v>OPEN</x:v>
      </x:c>
    </x:row>
    <x:row r="956">
      <x:c r="A956" s="86" t="str">
        <x:v>CH-0951</x:v>
      </x:c>
      <x:c r="B956" s="86" t="str">
        <x:v>atmosphere supply</x:v>
      </x:c>
      <x:c r="C956" s="108" t="n">
        <x:v>55</x:v>
      </x:c>
      <x:c r="D956" s="86" t="str">
        <x:v>Z07</x:v>
      </x:c>
      <x:c r="E956" s="86" t="str">
        <x:v>return</x:v>
      </x:c>
      <x:c r="F956" s="86" t="str">
        <x:v>L3</x:v>
      </x:c>
      <x:c r="G956" s="86" t="str">
        <x:v>atmosphere supply-CAL-3</x:v>
      </x:c>
      <x:c r="H956" s="86" t="str">
        <x:v>T3</x:v>
      </x:c>
      <x:c r="I956" s="91" t="str">
        <x:v>OPEN</x:v>
      </x:c>
    </x:row>
    <x:row r="957">
      <x:c r="A957" s="86" t="str">
        <x:v>CH-0952</x:v>
      </x:c>
      <x:c r="B957" s="86" t="str">
        <x:v>atmosphere supply</x:v>
      </x:c>
      <x:c r="C957" s="108" t="n">
        <x:v>56</x:v>
      </x:c>
      <x:c r="D957" s="86" t="str">
        <x:v>Z08</x:v>
      </x:c>
      <x:c r="E957" s="86" t="str">
        <x:v>return</x:v>
      </x:c>
      <x:c r="F957" s="86" t="str">
        <x:v>L4</x:v>
      </x:c>
      <x:c r="G957" s="86" t="str">
        <x:v>atmosphere supply-CAL-4</x:v>
      </x:c>
      <x:c r="H957" s="86" t="str">
        <x:v>T4</x:v>
      </x:c>
      <x:c r="I957" s="91" t="str">
        <x:v>OPEN</x:v>
      </x:c>
    </x:row>
    <x:row r="958">
      <x:c r="A958" s="86" t="str">
        <x:v>CH-0953</x:v>
      </x:c>
      <x:c r="B958" s="86" t="str">
        <x:v>atmosphere supply</x:v>
      </x:c>
      <x:c r="C958" s="108" t="n">
        <x:v>57</x:v>
      </x:c>
      <x:c r="D958" s="86" t="str">
        <x:v>Z09</x:v>
      </x:c>
      <x:c r="E958" s="86" t="str">
        <x:v>return</x:v>
      </x:c>
      <x:c r="F958" s="86" t="str">
        <x:v>L1</x:v>
      </x:c>
      <x:c r="G958" s="86" t="str">
        <x:v>atmosphere supply-CAL-1</x:v>
      </x:c>
      <x:c r="H958" s="86" t="str">
        <x:v>T1</x:v>
      </x:c>
      <x:c r="I958" s="91" t="str">
        <x:v>OPEN</x:v>
      </x:c>
    </x:row>
    <x:row r="959">
      <x:c r="A959" s="86" t="str">
        <x:v>CH-0954</x:v>
      </x:c>
      <x:c r="B959" s="86" t="str">
        <x:v>atmosphere supply</x:v>
      </x:c>
      <x:c r="C959" s="108" t="n">
        <x:v>58</x:v>
      </x:c>
      <x:c r="D959" s="86" t="str">
        <x:v>Z10</x:v>
      </x:c>
      <x:c r="E959" s="86" t="str">
        <x:v>return</x:v>
      </x:c>
      <x:c r="F959" s="86" t="str">
        <x:v>L2</x:v>
      </x:c>
      <x:c r="G959" s="86" t="str">
        <x:v>atmosphere supply-CAL-2</x:v>
      </x:c>
      <x:c r="H959" s="86" t="str">
        <x:v>T2</x:v>
      </x:c>
      <x:c r="I959" s="91" t="str">
        <x:v>OPEN</x:v>
      </x:c>
    </x:row>
    <x:row r="960">
      <x:c r="A960" s="86" t="str">
        <x:v>CH-0955</x:v>
      </x:c>
      <x:c r="B960" s="86" t="str">
        <x:v>atmosphere supply</x:v>
      </x:c>
      <x:c r="C960" s="108" t="n">
        <x:v>59</x:v>
      </x:c>
      <x:c r="D960" s="86" t="str">
        <x:v>Z11</x:v>
      </x:c>
      <x:c r="E960" s="86" t="str">
        <x:v>return</x:v>
      </x:c>
      <x:c r="F960" s="86" t="str">
        <x:v>L3</x:v>
      </x:c>
      <x:c r="G960" s="86" t="str">
        <x:v>atmosphere supply-CAL-3</x:v>
      </x:c>
      <x:c r="H960" s="86" t="str">
        <x:v>T3</x:v>
      </x:c>
      <x:c r="I960" s="91" t="str">
        <x:v>OPEN</x:v>
      </x:c>
    </x:row>
    <x:row r="961">
      <x:c r="A961" s="86" t="str">
        <x:v>CH-0956</x:v>
      </x:c>
      <x:c r="B961" s="86" t="str">
        <x:v>atmosphere supply</x:v>
      </x:c>
      <x:c r="C961" s="108" t="n">
        <x:v>60</x:v>
      </x:c>
      <x:c r="D961" s="86" t="str">
        <x:v>Z12</x:v>
      </x:c>
      <x:c r="E961" s="86" t="str">
        <x:v>return</x:v>
      </x:c>
      <x:c r="F961" s="86" t="str">
        <x:v>L4</x:v>
      </x:c>
      <x:c r="G961" s="86" t="str">
        <x:v>atmosphere supply-CAL-4</x:v>
      </x:c>
      <x:c r="H961" s="86" t="str">
        <x:v>T4</x:v>
      </x:c>
      <x:c r="I961" s="91" t="str">
        <x:v>OPEN</x:v>
      </x:c>
    </x:row>
    <x:row r="962">
      <x:c r="A962" s="86" t="str">
        <x:v>CH-0957</x:v>
      </x:c>
      <x:c r="B962" s="86" t="str">
        <x:v>atmosphere supply</x:v>
      </x:c>
      <x:c r="C962" s="108" t="n">
        <x:v>61</x:v>
      </x:c>
      <x:c r="D962" s="86" t="str">
        <x:v>Z13</x:v>
      </x:c>
      <x:c r="E962" s="86" t="str">
        <x:v>return</x:v>
      </x:c>
      <x:c r="F962" s="86" t="str">
        <x:v>L1</x:v>
      </x:c>
      <x:c r="G962" s="86" t="str">
        <x:v>atmosphere supply-CAL-1</x:v>
      </x:c>
      <x:c r="H962" s="86" t="str">
        <x:v>T1</x:v>
      </x:c>
      <x:c r="I962" s="91" t="str">
        <x:v>OPEN</x:v>
      </x:c>
    </x:row>
    <x:row r="963">
      <x:c r="A963" s="86" t="str">
        <x:v>CH-0958</x:v>
      </x:c>
      <x:c r="B963" s="86" t="str">
        <x:v>atmosphere supply</x:v>
      </x:c>
      <x:c r="C963" s="108" t="n">
        <x:v>62</x:v>
      </x:c>
      <x:c r="D963" s="86" t="str">
        <x:v>Z14</x:v>
      </x:c>
      <x:c r="E963" s="86" t="str">
        <x:v>return</x:v>
      </x:c>
      <x:c r="F963" s="86" t="str">
        <x:v>L2</x:v>
      </x:c>
      <x:c r="G963" s="86" t="str">
        <x:v>atmosphere supply-CAL-2</x:v>
      </x:c>
      <x:c r="H963" s="86" t="str">
        <x:v>T2</x:v>
      </x:c>
      <x:c r="I963" s="91" t="str">
        <x:v>OPEN</x:v>
      </x:c>
    </x:row>
    <x:row r="964">
      <x:c r="A964" s="86" t="str">
        <x:v>CH-0959</x:v>
      </x:c>
      <x:c r="B964" s="86" t="str">
        <x:v>atmosphere supply</x:v>
      </x:c>
      <x:c r="C964" s="108" t="n">
        <x:v>63</x:v>
      </x:c>
      <x:c r="D964" s="86" t="str">
        <x:v>Z15</x:v>
      </x:c>
      <x:c r="E964" s="86" t="str">
        <x:v>return</x:v>
      </x:c>
      <x:c r="F964" s="86" t="str">
        <x:v>L3</x:v>
      </x:c>
      <x:c r="G964" s="86" t="str">
        <x:v>atmosphere supply-CAL-3</x:v>
      </x:c>
      <x:c r="H964" s="86" t="str">
        <x:v>T3</x:v>
      </x:c>
      <x:c r="I964" s="91" t="str">
        <x:v>OPEN</x:v>
      </x:c>
    </x:row>
    <x:row r="965">
      <x:c r="A965" s="86" t="str">
        <x:v>CH-0960</x:v>
      </x:c>
      <x:c r="B965" s="86" t="str">
        <x:v>atmosphere supply</x:v>
      </x:c>
      <x:c r="C965" s="108" t="n">
        <x:v>64</x:v>
      </x:c>
      <x:c r="D965" s="86" t="str">
        <x:v>Z16</x:v>
      </x:c>
      <x:c r="E965" s="86" t="str">
        <x:v>return</x:v>
      </x:c>
      <x:c r="F965" s="86" t="str">
        <x:v>L4</x:v>
      </x:c>
      <x:c r="G965" s="86" t="str">
        <x:v>atmosphere supply-CAL-4</x:v>
      </x:c>
      <x:c r="H965" s="86" t="str">
        <x:v>T4</x:v>
      </x:c>
      <x:c r="I965" s="91" t="str">
        <x:v>OPEN</x:v>
      </x:c>
    </x:row>
    <x:row r="966">
      <x:c r="A966" s="86" t="str">
        <x:v>CH-0961</x:v>
      </x:c>
      <x:c r="B966" s="86" t="str">
        <x:v>exhaust and bypass</x:v>
      </x:c>
      <x:c r="C966" s="108" t="n">
        <x:v>1</x:v>
      </x:c>
      <x:c r="D966" s="86" t="str">
        <x:v>Z01</x:v>
      </x:c>
      <x:c r="E966" s="86" t="str">
        <x:v>full</x:v>
      </x:c>
      <x:c r="F966" s="86" t="str">
        <x:v>L1</x:v>
      </x:c>
      <x:c r="G966" s="86" t="str">
        <x:v>exhaust and bypass-CAL-1</x:v>
      </x:c>
      <x:c r="H966" s="86" t="str">
        <x:v>T1</x:v>
      </x:c>
      <x:c r="I966" s="91" t="str">
        <x:v>OPEN</x:v>
      </x:c>
    </x:row>
    <x:row r="967">
      <x:c r="A967" s="86" t="str">
        <x:v>CH-0962</x:v>
      </x:c>
      <x:c r="B967" s="86" t="str">
        <x:v>exhaust and bypass</x:v>
      </x:c>
      <x:c r="C967" s="108" t="n">
        <x:v>2</x:v>
      </x:c>
      <x:c r="D967" s="86" t="str">
        <x:v>Z02</x:v>
      </x:c>
      <x:c r="E967" s="86" t="str">
        <x:v>full</x:v>
      </x:c>
      <x:c r="F967" s="86" t="str">
        <x:v>L2</x:v>
      </x:c>
      <x:c r="G967" s="86" t="str">
        <x:v>exhaust and bypass-CAL-2</x:v>
      </x:c>
      <x:c r="H967" s="86" t="str">
        <x:v>T2</x:v>
      </x:c>
      <x:c r="I967" s="91" t="str">
        <x:v>OPEN</x:v>
      </x:c>
    </x:row>
    <x:row r="968">
      <x:c r="A968" s="86" t="str">
        <x:v>CH-0963</x:v>
      </x:c>
      <x:c r="B968" s="86" t="str">
        <x:v>exhaust and bypass</x:v>
      </x:c>
      <x:c r="C968" s="108" t="n">
        <x:v>3</x:v>
      </x:c>
      <x:c r="D968" s="86" t="str">
        <x:v>Z03</x:v>
      </x:c>
      <x:c r="E968" s="86" t="str">
        <x:v>full</x:v>
      </x:c>
      <x:c r="F968" s="86" t="str">
        <x:v>L3</x:v>
      </x:c>
      <x:c r="G968" s="86" t="str">
        <x:v>exhaust and bypass-CAL-3</x:v>
      </x:c>
      <x:c r="H968" s="86" t="str">
        <x:v>T3</x:v>
      </x:c>
      <x:c r="I968" s="91" t="str">
        <x:v>OPEN</x:v>
      </x:c>
    </x:row>
    <x:row r="969">
      <x:c r="A969" s="86" t="str">
        <x:v>CH-0964</x:v>
      </x:c>
      <x:c r="B969" s="86" t="str">
        <x:v>exhaust and bypass</x:v>
      </x:c>
      <x:c r="C969" s="108" t="n">
        <x:v>4</x:v>
      </x:c>
      <x:c r="D969" s="86" t="str">
        <x:v>Z04</x:v>
      </x:c>
      <x:c r="E969" s="86" t="str">
        <x:v>full</x:v>
      </x:c>
      <x:c r="F969" s="86" t="str">
        <x:v>L4</x:v>
      </x:c>
      <x:c r="G969" s="86" t="str">
        <x:v>exhaust and bypass-CAL-4</x:v>
      </x:c>
      <x:c r="H969" s="86" t="str">
        <x:v>T4</x:v>
      </x:c>
      <x:c r="I969" s="91" t="str">
        <x:v>OPEN</x:v>
      </x:c>
    </x:row>
    <x:row r="970">
      <x:c r="A970" s="86" t="str">
        <x:v>CH-0965</x:v>
      </x:c>
      <x:c r="B970" s="86" t="str">
        <x:v>exhaust and bypass</x:v>
      </x:c>
      <x:c r="C970" s="108" t="n">
        <x:v>5</x:v>
      </x:c>
      <x:c r="D970" s="86" t="str">
        <x:v>Z05</x:v>
      </x:c>
      <x:c r="E970" s="86" t="str">
        <x:v>full</x:v>
      </x:c>
      <x:c r="F970" s="86" t="str">
        <x:v>L1</x:v>
      </x:c>
      <x:c r="G970" s="86" t="str">
        <x:v>exhaust and bypass-CAL-1</x:v>
      </x:c>
      <x:c r="H970" s="86" t="str">
        <x:v>T1</x:v>
      </x:c>
      <x:c r="I970" s="91" t="str">
        <x:v>OPEN</x:v>
      </x:c>
    </x:row>
    <x:row r="971">
      <x:c r="A971" s="86" t="str">
        <x:v>CH-0966</x:v>
      </x:c>
      <x:c r="B971" s="86" t="str">
        <x:v>exhaust and bypass</x:v>
      </x:c>
      <x:c r="C971" s="108" t="n">
        <x:v>6</x:v>
      </x:c>
      <x:c r="D971" s="86" t="str">
        <x:v>Z06</x:v>
      </x:c>
      <x:c r="E971" s="86" t="str">
        <x:v>full</x:v>
      </x:c>
      <x:c r="F971" s="86" t="str">
        <x:v>L2</x:v>
      </x:c>
      <x:c r="G971" s="86" t="str">
        <x:v>exhaust and bypass-CAL-2</x:v>
      </x:c>
      <x:c r="H971" s="86" t="str">
        <x:v>T2</x:v>
      </x:c>
      <x:c r="I971" s="91" t="str">
        <x:v>OPEN</x:v>
      </x:c>
    </x:row>
    <x:row r="972">
      <x:c r="A972" s="86" t="str">
        <x:v>CH-0967</x:v>
      </x:c>
      <x:c r="B972" s="86" t="str">
        <x:v>exhaust and bypass</x:v>
      </x:c>
      <x:c r="C972" s="108" t="n">
        <x:v>7</x:v>
      </x:c>
      <x:c r="D972" s="86" t="str">
        <x:v>Z07</x:v>
      </x:c>
      <x:c r="E972" s="86" t="str">
        <x:v>full</x:v>
      </x:c>
      <x:c r="F972" s="86" t="str">
        <x:v>L3</x:v>
      </x:c>
      <x:c r="G972" s="86" t="str">
        <x:v>exhaust and bypass-CAL-3</x:v>
      </x:c>
      <x:c r="H972" s="86" t="str">
        <x:v>T3</x:v>
      </x:c>
      <x:c r="I972" s="91" t="str">
        <x:v>OPEN</x:v>
      </x:c>
    </x:row>
    <x:row r="973">
      <x:c r="A973" s="86" t="str">
        <x:v>CH-0968</x:v>
      </x:c>
      <x:c r="B973" s="86" t="str">
        <x:v>exhaust and bypass</x:v>
      </x:c>
      <x:c r="C973" s="108" t="n">
        <x:v>8</x:v>
      </x:c>
      <x:c r="D973" s="86" t="str">
        <x:v>Z08</x:v>
      </x:c>
      <x:c r="E973" s="86" t="str">
        <x:v>full</x:v>
      </x:c>
      <x:c r="F973" s="86" t="str">
        <x:v>L4</x:v>
      </x:c>
      <x:c r="G973" s="86" t="str">
        <x:v>exhaust and bypass-CAL-4</x:v>
      </x:c>
      <x:c r="H973" s="86" t="str">
        <x:v>T4</x:v>
      </x:c>
      <x:c r="I973" s="91" t="str">
        <x:v>OPEN</x:v>
      </x:c>
    </x:row>
    <x:row r="974">
      <x:c r="A974" s="86" t="str">
        <x:v>CH-0969</x:v>
      </x:c>
      <x:c r="B974" s="86" t="str">
        <x:v>exhaust and bypass</x:v>
      </x:c>
      <x:c r="C974" s="108" t="n">
        <x:v>9</x:v>
      </x:c>
      <x:c r="D974" s="86" t="str">
        <x:v>Z09</x:v>
      </x:c>
      <x:c r="E974" s="86" t="str">
        <x:v>full</x:v>
      </x:c>
      <x:c r="F974" s="86" t="str">
        <x:v>L1</x:v>
      </x:c>
      <x:c r="G974" s="86" t="str">
        <x:v>exhaust and bypass-CAL-1</x:v>
      </x:c>
      <x:c r="H974" s="86" t="str">
        <x:v>T1</x:v>
      </x:c>
      <x:c r="I974" s="91" t="str">
        <x:v>OPEN</x:v>
      </x:c>
    </x:row>
    <x:row r="975">
      <x:c r="A975" s="86" t="str">
        <x:v>CH-0970</x:v>
      </x:c>
      <x:c r="B975" s="86" t="str">
        <x:v>exhaust and bypass</x:v>
      </x:c>
      <x:c r="C975" s="108" t="n">
        <x:v>10</x:v>
      </x:c>
      <x:c r="D975" s="86" t="str">
        <x:v>Z10</x:v>
      </x:c>
      <x:c r="E975" s="86" t="str">
        <x:v>full</x:v>
      </x:c>
      <x:c r="F975" s="86" t="str">
        <x:v>L2</x:v>
      </x:c>
      <x:c r="G975" s="86" t="str">
        <x:v>exhaust and bypass-CAL-2</x:v>
      </x:c>
      <x:c r="H975" s="86" t="str">
        <x:v>T2</x:v>
      </x:c>
      <x:c r="I975" s="91" t="str">
        <x:v>OPEN</x:v>
      </x:c>
    </x:row>
    <x:row r="976">
      <x:c r="A976" s="86" t="str">
        <x:v>CH-0971</x:v>
      </x:c>
      <x:c r="B976" s="86" t="str">
        <x:v>exhaust and bypass</x:v>
      </x:c>
      <x:c r="C976" s="108" t="n">
        <x:v>11</x:v>
      </x:c>
      <x:c r="D976" s="86" t="str">
        <x:v>Z11</x:v>
      </x:c>
      <x:c r="E976" s="86" t="str">
        <x:v>full</x:v>
      </x:c>
      <x:c r="F976" s="86" t="str">
        <x:v>L3</x:v>
      </x:c>
      <x:c r="G976" s="86" t="str">
        <x:v>exhaust and bypass-CAL-3</x:v>
      </x:c>
      <x:c r="H976" s="86" t="str">
        <x:v>T3</x:v>
      </x:c>
      <x:c r="I976" s="91" t="str">
        <x:v>OPEN</x:v>
      </x:c>
    </x:row>
    <x:row r="977">
      <x:c r="A977" s="86" t="str">
        <x:v>CH-0972</x:v>
      </x:c>
      <x:c r="B977" s="86" t="str">
        <x:v>exhaust and bypass</x:v>
      </x:c>
      <x:c r="C977" s="108" t="n">
        <x:v>12</x:v>
      </x:c>
      <x:c r="D977" s="86" t="str">
        <x:v>Z12</x:v>
      </x:c>
      <x:c r="E977" s="86" t="str">
        <x:v>full</x:v>
      </x:c>
      <x:c r="F977" s="86" t="str">
        <x:v>L4</x:v>
      </x:c>
      <x:c r="G977" s="86" t="str">
        <x:v>exhaust and bypass-CAL-4</x:v>
      </x:c>
      <x:c r="H977" s="86" t="str">
        <x:v>T4</x:v>
      </x:c>
      <x:c r="I977" s="91" t="str">
        <x:v>OPEN</x:v>
      </x:c>
    </x:row>
    <x:row r="978">
      <x:c r="A978" s="86" t="str">
        <x:v>CH-0973</x:v>
      </x:c>
      <x:c r="B978" s="86" t="str">
        <x:v>exhaust and bypass</x:v>
      </x:c>
      <x:c r="C978" s="108" t="n">
        <x:v>13</x:v>
      </x:c>
      <x:c r="D978" s="86" t="str">
        <x:v>Z13</x:v>
      </x:c>
      <x:c r="E978" s="86" t="str">
        <x:v>full</x:v>
      </x:c>
      <x:c r="F978" s="86" t="str">
        <x:v>L1</x:v>
      </x:c>
      <x:c r="G978" s="86" t="str">
        <x:v>exhaust and bypass-CAL-1</x:v>
      </x:c>
      <x:c r="H978" s="86" t="str">
        <x:v>T1</x:v>
      </x:c>
      <x:c r="I978" s="91" t="str">
        <x:v>OPEN</x:v>
      </x:c>
    </x:row>
    <x:row r="979">
      <x:c r="A979" s="86" t="str">
        <x:v>CH-0974</x:v>
      </x:c>
      <x:c r="B979" s="86" t="str">
        <x:v>exhaust and bypass</x:v>
      </x:c>
      <x:c r="C979" s="108" t="n">
        <x:v>14</x:v>
      </x:c>
      <x:c r="D979" s="86" t="str">
        <x:v>Z14</x:v>
      </x:c>
      <x:c r="E979" s="86" t="str">
        <x:v>full</x:v>
      </x:c>
      <x:c r="F979" s="86" t="str">
        <x:v>L2</x:v>
      </x:c>
      <x:c r="G979" s="86" t="str">
        <x:v>exhaust and bypass-CAL-2</x:v>
      </x:c>
      <x:c r="H979" s="86" t="str">
        <x:v>T2</x:v>
      </x:c>
      <x:c r="I979" s="91" t="str">
        <x:v>OPEN</x:v>
      </x:c>
    </x:row>
    <x:row r="980">
      <x:c r="A980" s="86" t="str">
        <x:v>CH-0975</x:v>
      </x:c>
      <x:c r="B980" s="86" t="str">
        <x:v>exhaust and bypass</x:v>
      </x:c>
      <x:c r="C980" s="108" t="n">
        <x:v>15</x:v>
      </x:c>
      <x:c r="D980" s="86" t="str">
        <x:v>Z15</x:v>
      </x:c>
      <x:c r="E980" s="86" t="str">
        <x:v>full</x:v>
      </x:c>
      <x:c r="F980" s="86" t="str">
        <x:v>L3</x:v>
      </x:c>
      <x:c r="G980" s="86" t="str">
        <x:v>exhaust and bypass-CAL-3</x:v>
      </x:c>
      <x:c r="H980" s="86" t="str">
        <x:v>T3</x:v>
      </x:c>
      <x:c r="I980" s="91" t="str">
        <x:v>OPEN</x:v>
      </x:c>
    </x:row>
    <x:row r="981">
      <x:c r="A981" s="86" t="str">
        <x:v>CH-0976</x:v>
      </x:c>
      <x:c r="B981" s="86" t="str">
        <x:v>exhaust and bypass</x:v>
      </x:c>
      <x:c r="C981" s="108" t="n">
        <x:v>16</x:v>
      </x:c>
      <x:c r="D981" s="86" t="str">
        <x:v>Z16</x:v>
      </x:c>
      <x:c r="E981" s="86" t="str">
        <x:v>full</x:v>
      </x:c>
      <x:c r="F981" s="86" t="str">
        <x:v>L4</x:v>
      </x:c>
      <x:c r="G981" s="86" t="str">
        <x:v>exhaust and bypass-CAL-4</x:v>
      </x:c>
      <x:c r="H981" s="86" t="str">
        <x:v>T4</x:v>
      </x:c>
      <x:c r="I981" s="91" t="str">
        <x:v>OPEN</x:v>
      </x:c>
    </x:row>
    <x:row r="982">
      <x:c r="A982" s="86" t="str">
        <x:v>CH-0977</x:v>
      </x:c>
      <x:c r="B982" s="86" t="str">
        <x:v>exhaust and bypass</x:v>
      </x:c>
      <x:c r="C982" s="108" t="n">
        <x:v>17</x:v>
      </x:c>
      <x:c r="D982" s="86" t="str">
        <x:v>Z01</x:v>
      </x:c>
      <x:c r="E982" s="86" t="str">
        <x:v>full</x:v>
      </x:c>
      <x:c r="F982" s="86" t="str">
        <x:v>L1</x:v>
      </x:c>
      <x:c r="G982" s="86" t="str">
        <x:v>exhaust and bypass-CAL-1</x:v>
      </x:c>
      <x:c r="H982" s="86" t="str">
        <x:v>T1</x:v>
      </x:c>
      <x:c r="I982" s="91" t="str">
        <x:v>OPEN</x:v>
      </x:c>
    </x:row>
    <x:row r="983">
      <x:c r="A983" s="86" t="str">
        <x:v>CH-0978</x:v>
      </x:c>
      <x:c r="B983" s="86" t="str">
        <x:v>exhaust and bypass</x:v>
      </x:c>
      <x:c r="C983" s="108" t="n">
        <x:v>18</x:v>
      </x:c>
      <x:c r="D983" s="86" t="str">
        <x:v>Z02</x:v>
      </x:c>
      <x:c r="E983" s="86" t="str">
        <x:v>full</x:v>
      </x:c>
      <x:c r="F983" s="86" t="str">
        <x:v>L2</x:v>
      </x:c>
      <x:c r="G983" s="86" t="str">
        <x:v>exhaust and bypass-CAL-2</x:v>
      </x:c>
      <x:c r="H983" s="86" t="str">
        <x:v>T2</x:v>
      </x:c>
      <x:c r="I983" s="91" t="str">
        <x:v>OPEN</x:v>
      </x:c>
    </x:row>
    <x:row r="984">
      <x:c r="A984" s="86" t="str">
        <x:v>CH-0979</x:v>
      </x:c>
      <x:c r="B984" s="86" t="str">
        <x:v>exhaust and bypass</x:v>
      </x:c>
      <x:c r="C984" s="108" t="n">
        <x:v>19</x:v>
      </x:c>
      <x:c r="D984" s="86" t="str">
        <x:v>Z03</x:v>
      </x:c>
      <x:c r="E984" s="86" t="str">
        <x:v>full</x:v>
      </x:c>
      <x:c r="F984" s="86" t="str">
        <x:v>L3</x:v>
      </x:c>
      <x:c r="G984" s="86" t="str">
        <x:v>exhaust and bypass-CAL-3</x:v>
      </x:c>
      <x:c r="H984" s="86" t="str">
        <x:v>T3</x:v>
      </x:c>
      <x:c r="I984" s="91" t="str">
        <x:v>OPEN</x:v>
      </x:c>
    </x:row>
    <x:row r="985">
      <x:c r="A985" s="86" t="str">
        <x:v>CH-0980</x:v>
      </x:c>
      <x:c r="B985" s="86" t="str">
        <x:v>exhaust and bypass</x:v>
      </x:c>
      <x:c r="C985" s="108" t="n">
        <x:v>20</x:v>
      </x:c>
      <x:c r="D985" s="86" t="str">
        <x:v>Z04</x:v>
      </x:c>
      <x:c r="E985" s="86" t="str">
        <x:v>full</x:v>
      </x:c>
      <x:c r="F985" s="86" t="str">
        <x:v>L4</x:v>
      </x:c>
      <x:c r="G985" s="86" t="str">
        <x:v>exhaust and bypass-CAL-4</x:v>
      </x:c>
      <x:c r="H985" s="86" t="str">
        <x:v>T4</x:v>
      </x:c>
      <x:c r="I985" s="91" t="str">
        <x:v>OPEN</x:v>
      </x:c>
    </x:row>
    <x:row r="986">
      <x:c r="A986" s="86" t="str">
        <x:v>CH-0981</x:v>
      </x:c>
      <x:c r="B986" s="86" t="str">
        <x:v>exhaust and bypass</x:v>
      </x:c>
      <x:c r="C986" s="108" t="n">
        <x:v>21</x:v>
      </x:c>
      <x:c r="D986" s="86" t="str">
        <x:v>Z05</x:v>
      </x:c>
      <x:c r="E986" s="86" t="str">
        <x:v>full</x:v>
      </x:c>
      <x:c r="F986" s="86" t="str">
        <x:v>L1</x:v>
      </x:c>
      <x:c r="G986" s="86" t="str">
        <x:v>exhaust and bypass-CAL-1</x:v>
      </x:c>
      <x:c r="H986" s="86" t="str">
        <x:v>T1</x:v>
      </x:c>
      <x:c r="I986" s="91" t="str">
        <x:v>OPEN</x:v>
      </x:c>
    </x:row>
    <x:row r="987">
      <x:c r="A987" s="86" t="str">
        <x:v>CH-0982</x:v>
      </x:c>
      <x:c r="B987" s="86" t="str">
        <x:v>exhaust and bypass</x:v>
      </x:c>
      <x:c r="C987" s="108" t="n">
        <x:v>22</x:v>
      </x:c>
      <x:c r="D987" s="86" t="str">
        <x:v>Z06</x:v>
      </x:c>
      <x:c r="E987" s="86" t="str">
        <x:v>full</x:v>
      </x:c>
      <x:c r="F987" s="86" t="str">
        <x:v>L2</x:v>
      </x:c>
      <x:c r="G987" s="86" t="str">
        <x:v>exhaust and bypass-CAL-2</x:v>
      </x:c>
      <x:c r="H987" s="86" t="str">
        <x:v>T2</x:v>
      </x:c>
      <x:c r="I987" s="91" t="str">
        <x:v>OPEN</x:v>
      </x:c>
    </x:row>
    <x:row r="988">
      <x:c r="A988" s="86" t="str">
        <x:v>CH-0983</x:v>
      </x:c>
      <x:c r="B988" s="86" t="str">
        <x:v>exhaust and bypass</x:v>
      </x:c>
      <x:c r="C988" s="108" t="n">
        <x:v>23</x:v>
      </x:c>
      <x:c r="D988" s="86" t="str">
        <x:v>Z07</x:v>
      </x:c>
      <x:c r="E988" s="86" t="str">
        <x:v>full</x:v>
      </x:c>
      <x:c r="F988" s="86" t="str">
        <x:v>L3</x:v>
      </x:c>
      <x:c r="G988" s="86" t="str">
        <x:v>exhaust and bypass-CAL-3</x:v>
      </x:c>
      <x:c r="H988" s="86" t="str">
        <x:v>T3</x:v>
      </x:c>
      <x:c r="I988" s="91" t="str">
        <x:v>OPEN</x:v>
      </x:c>
    </x:row>
    <x:row r="989">
      <x:c r="A989" s="86" t="str">
        <x:v>CH-0984</x:v>
      </x:c>
      <x:c r="B989" s="86" t="str">
        <x:v>exhaust and bypass</x:v>
      </x:c>
      <x:c r="C989" s="108" t="n">
        <x:v>24</x:v>
      </x:c>
      <x:c r="D989" s="86" t="str">
        <x:v>Z08</x:v>
      </x:c>
      <x:c r="E989" s="86" t="str">
        <x:v>full</x:v>
      </x:c>
      <x:c r="F989" s="86" t="str">
        <x:v>L4</x:v>
      </x:c>
      <x:c r="G989" s="86" t="str">
        <x:v>exhaust and bypass-CAL-4</x:v>
      </x:c>
      <x:c r="H989" s="86" t="str">
        <x:v>T4</x:v>
      </x:c>
      <x:c r="I989" s="91" t="str">
        <x:v>OPEN</x:v>
      </x:c>
    </x:row>
    <x:row r="990">
      <x:c r="A990" s="86" t="str">
        <x:v>CH-0985</x:v>
      </x:c>
      <x:c r="B990" s="86" t="str">
        <x:v>exhaust and bypass</x:v>
      </x:c>
      <x:c r="C990" s="108" t="n">
        <x:v>25</x:v>
      </x:c>
      <x:c r="D990" s="86" t="str">
        <x:v>Z09</x:v>
      </x:c>
      <x:c r="E990" s="86" t="str">
        <x:v>full</x:v>
      </x:c>
      <x:c r="F990" s="86" t="str">
        <x:v>L1</x:v>
      </x:c>
      <x:c r="G990" s="86" t="str">
        <x:v>exhaust and bypass-CAL-1</x:v>
      </x:c>
      <x:c r="H990" s="86" t="str">
        <x:v>T1</x:v>
      </x:c>
      <x:c r="I990" s="91" t="str">
        <x:v>OPEN</x:v>
      </x:c>
    </x:row>
    <x:row r="991">
      <x:c r="A991" s="86" t="str">
        <x:v>CH-0986</x:v>
      </x:c>
      <x:c r="B991" s="86" t="str">
        <x:v>exhaust and bypass</x:v>
      </x:c>
      <x:c r="C991" s="108" t="n">
        <x:v>26</x:v>
      </x:c>
      <x:c r="D991" s="86" t="str">
        <x:v>Z10</x:v>
      </x:c>
      <x:c r="E991" s="86" t="str">
        <x:v>full</x:v>
      </x:c>
      <x:c r="F991" s="86" t="str">
        <x:v>L2</x:v>
      </x:c>
      <x:c r="G991" s="86" t="str">
        <x:v>exhaust and bypass-CAL-2</x:v>
      </x:c>
      <x:c r="H991" s="86" t="str">
        <x:v>T2</x:v>
      </x:c>
      <x:c r="I991" s="91" t="str">
        <x:v>OPEN</x:v>
      </x:c>
    </x:row>
    <x:row r="992">
      <x:c r="A992" s="86" t="str">
        <x:v>CH-0987</x:v>
      </x:c>
      <x:c r="B992" s="86" t="str">
        <x:v>exhaust and bypass</x:v>
      </x:c>
      <x:c r="C992" s="108" t="n">
        <x:v>27</x:v>
      </x:c>
      <x:c r="D992" s="86" t="str">
        <x:v>Z11</x:v>
      </x:c>
      <x:c r="E992" s="86" t="str">
        <x:v>full</x:v>
      </x:c>
      <x:c r="F992" s="86" t="str">
        <x:v>L3</x:v>
      </x:c>
      <x:c r="G992" s="86" t="str">
        <x:v>exhaust and bypass-CAL-3</x:v>
      </x:c>
      <x:c r="H992" s="86" t="str">
        <x:v>T3</x:v>
      </x:c>
      <x:c r="I992" s="91" t="str">
        <x:v>OPEN</x:v>
      </x:c>
    </x:row>
    <x:row r="993">
      <x:c r="A993" s="86" t="str">
        <x:v>CH-0988</x:v>
      </x:c>
      <x:c r="B993" s="86" t="str">
        <x:v>exhaust and bypass</x:v>
      </x:c>
      <x:c r="C993" s="108" t="n">
        <x:v>28</x:v>
      </x:c>
      <x:c r="D993" s="86" t="str">
        <x:v>Z12</x:v>
      </x:c>
      <x:c r="E993" s="86" t="str">
        <x:v>full</x:v>
      </x:c>
      <x:c r="F993" s="86" t="str">
        <x:v>L4</x:v>
      </x:c>
      <x:c r="G993" s="86" t="str">
        <x:v>exhaust and bypass-CAL-4</x:v>
      </x:c>
      <x:c r="H993" s="86" t="str">
        <x:v>T4</x:v>
      </x:c>
      <x:c r="I993" s="91" t="str">
        <x:v>OPEN</x:v>
      </x:c>
    </x:row>
    <x:row r="994">
      <x:c r="A994" s="86" t="str">
        <x:v>CH-0989</x:v>
      </x:c>
      <x:c r="B994" s="86" t="str">
        <x:v>exhaust and bypass</x:v>
      </x:c>
      <x:c r="C994" s="108" t="n">
        <x:v>29</x:v>
      </x:c>
      <x:c r="D994" s="86" t="str">
        <x:v>Z13</x:v>
      </x:c>
      <x:c r="E994" s="86" t="str">
        <x:v>full</x:v>
      </x:c>
      <x:c r="F994" s="86" t="str">
        <x:v>L1</x:v>
      </x:c>
      <x:c r="G994" s="86" t="str">
        <x:v>exhaust and bypass-CAL-1</x:v>
      </x:c>
      <x:c r="H994" s="86" t="str">
        <x:v>T1</x:v>
      </x:c>
      <x:c r="I994" s="91" t="str">
        <x:v>OPEN</x:v>
      </x:c>
    </x:row>
    <x:row r="995">
      <x:c r="A995" s="86" t="str">
        <x:v>CH-0990</x:v>
      </x:c>
      <x:c r="B995" s="86" t="str">
        <x:v>exhaust and bypass</x:v>
      </x:c>
      <x:c r="C995" s="108" t="n">
        <x:v>30</x:v>
      </x:c>
      <x:c r="D995" s="86" t="str">
        <x:v>Z14</x:v>
      </x:c>
      <x:c r="E995" s="86" t="str">
        <x:v>full</x:v>
      </x:c>
      <x:c r="F995" s="86" t="str">
        <x:v>L2</x:v>
      </x:c>
      <x:c r="G995" s="86" t="str">
        <x:v>exhaust and bypass-CAL-2</x:v>
      </x:c>
      <x:c r="H995" s="86" t="str">
        <x:v>T2</x:v>
      </x:c>
      <x:c r="I995" s="91" t="str">
        <x:v>OPEN</x:v>
      </x:c>
    </x:row>
    <x:row r="996">
      <x:c r="A996" s="86" t="str">
        <x:v>CH-0991</x:v>
      </x:c>
      <x:c r="B996" s="86" t="str">
        <x:v>exhaust and bypass</x:v>
      </x:c>
      <x:c r="C996" s="108" t="n">
        <x:v>31</x:v>
      </x:c>
      <x:c r="D996" s="86" t="str">
        <x:v>Z15</x:v>
      </x:c>
      <x:c r="E996" s="86" t="str">
        <x:v>full</x:v>
      </x:c>
      <x:c r="F996" s="86" t="str">
        <x:v>L3</x:v>
      </x:c>
      <x:c r="G996" s="86" t="str">
        <x:v>exhaust and bypass-CAL-3</x:v>
      </x:c>
      <x:c r="H996" s="86" t="str">
        <x:v>T3</x:v>
      </x:c>
      <x:c r="I996" s="91" t="str">
        <x:v>OPEN</x:v>
      </x:c>
    </x:row>
    <x:row r="997">
      <x:c r="A997" s="86" t="str">
        <x:v>CH-0992</x:v>
      </x:c>
      <x:c r="B997" s="86" t="str">
        <x:v>exhaust and bypass</x:v>
      </x:c>
      <x:c r="C997" s="108" t="n">
        <x:v>32</x:v>
      </x:c>
      <x:c r="D997" s="86" t="str">
        <x:v>Z16</x:v>
      </x:c>
      <x:c r="E997" s="86" t="str">
        <x:v>full</x:v>
      </x:c>
      <x:c r="F997" s="86" t="str">
        <x:v>L4</x:v>
      </x:c>
      <x:c r="G997" s="86" t="str">
        <x:v>exhaust and bypass-CAL-4</x:v>
      </x:c>
      <x:c r="H997" s="86" t="str">
        <x:v>T4</x:v>
      </x:c>
      <x:c r="I997" s="91" t="str">
        <x:v>OPEN</x:v>
      </x:c>
    </x:row>
    <x:row r="998">
      <x:c r="A998" s="86" t="str">
        <x:v>CH-0993</x:v>
      </x:c>
      <x:c r="B998" s="86" t="str">
        <x:v>exhaust and bypass</x:v>
      </x:c>
      <x:c r="C998" s="108" t="n">
        <x:v>33</x:v>
      </x:c>
      <x:c r="D998" s="86" t="str">
        <x:v>Z01</x:v>
      </x:c>
      <x:c r="E998" s="86" t="str">
        <x:v>intermediate</x:v>
      </x:c>
      <x:c r="F998" s="86" t="str">
        <x:v>L1</x:v>
      </x:c>
      <x:c r="G998" s="86" t="str">
        <x:v>exhaust and bypass-CAL-1</x:v>
      </x:c>
      <x:c r="H998" s="86" t="str">
        <x:v>T1</x:v>
      </x:c>
      <x:c r="I998" s="91" t="str">
        <x:v>OPEN</x:v>
      </x:c>
    </x:row>
    <x:row r="999">
      <x:c r="A999" s="86" t="str">
        <x:v>CH-0994</x:v>
      </x:c>
      <x:c r="B999" s="86" t="str">
        <x:v>exhaust and bypass</x:v>
      </x:c>
      <x:c r="C999" s="108" t="n">
        <x:v>34</x:v>
      </x:c>
      <x:c r="D999" s="86" t="str">
        <x:v>Z02</x:v>
      </x:c>
      <x:c r="E999" s="86" t="str">
        <x:v>intermediate</x:v>
      </x:c>
      <x:c r="F999" s="86" t="str">
        <x:v>L2</x:v>
      </x:c>
      <x:c r="G999" s="86" t="str">
        <x:v>exhaust and bypass-CAL-2</x:v>
      </x:c>
      <x:c r="H999" s="86" t="str">
        <x:v>T2</x:v>
      </x:c>
      <x:c r="I999" s="91" t="str">
        <x:v>OPEN</x:v>
      </x:c>
    </x:row>
    <x:row r="1000">
      <x:c r="A1000" s="86" t="str">
        <x:v>CH-0995</x:v>
      </x:c>
      <x:c r="B1000" s="86" t="str">
        <x:v>exhaust and bypass</x:v>
      </x:c>
      <x:c r="C1000" s="108" t="n">
        <x:v>35</x:v>
      </x:c>
      <x:c r="D1000" s="86" t="str">
        <x:v>Z03</x:v>
      </x:c>
      <x:c r="E1000" s="86" t="str">
        <x:v>intermediate</x:v>
      </x:c>
      <x:c r="F1000" s="86" t="str">
        <x:v>L3</x:v>
      </x:c>
      <x:c r="G1000" s="86" t="str">
        <x:v>exhaust and bypass-CAL-3</x:v>
      </x:c>
      <x:c r="H1000" s="86" t="str">
        <x:v>T3</x:v>
      </x:c>
      <x:c r="I1000" s="91" t="str">
        <x:v>OPEN</x:v>
      </x:c>
    </x:row>
    <x:row r="1001">
      <x:c r="A1001" s="86" t="str">
        <x:v>CH-0996</x:v>
      </x:c>
      <x:c r="B1001" s="86" t="str">
        <x:v>exhaust and bypass</x:v>
      </x:c>
      <x:c r="C1001" s="108" t="n">
        <x:v>36</x:v>
      </x:c>
      <x:c r="D1001" s="86" t="str">
        <x:v>Z04</x:v>
      </x:c>
      <x:c r="E1001" s="86" t="str">
        <x:v>intermediate</x:v>
      </x:c>
      <x:c r="F1001" s="86" t="str">
        <x:v>L4</x:v>
      </x:c>
      <x:c r="G1001" s="86" t="str">
        <x:v>exhaust and bypass-CAL-4</x:v>
      </x:c>
      <x:c r="H1001" s="86" t="str">
        <x:v>T4</x:v>
      </x:c>
      <x:c r="I1001" s="91" t="str">
        <x:v>OPEN</x:v>
      </x:c>
    </x:row>
    <x:row r="1002">
      <x:c r="A1002" s="86" t="str">
        <x:v>CH-0997</x:v>
      </x:c>
      <x:c r="B1002" s="86" t="str">
        <x:v>exhaust and bypass</x:v>
      </x:c>
      <x:c r="C1002" s="108" t="n">
        <x:v>37</x:v>
      </x:c>
      <x:c r="D1002" s="86" t="str">
        <x:v>Z05</x:v>
      </x:c>
      <x:c r="E1002" s="86" t="str">
        <x:v>intermediate</x:v>
      </x:c>
      <x:c r="F1002" s="86" t="str">
        <x:v>L1</x:v>
      </x:c>
      <x:c r="G1002" s="86" t="str">
        <x:v>exhaust and bypass-CAL-1</x:v>
      </x:c>
      <x:c r="H1002" s="86" t="str">
        <x:v>T1</x:v>
      </x:c>
      <x:c r="I1002" s="91" t="str">
        <x:v>OPEN</x:v>
      </x:c>
    </x:row>
    <x:row r="1003">
      <x:c r="A1003" s="86" t="str">
        <x:v>CH-0998</x:v>
      </x:c>
      <x:c r="B1003" s="86" t="str">
        <x:v>exhaust and bypass</x:v>
      </x:c>
      <x:c r="C1003" s="108" t="n">
        <x:v>38</x:v>
      </x:c>
      <x:c r="D1003" s="86" t="str">
        <x:v>Z06</x:v>
      </x:c>
      <x:c r="E1003" s="86" t="str">
        <x:v>intermediate</x:v>
      </x:c>
      <x:c r="F1003" s="86" t="str">
        <x:v>L2</x:v>
      </x:c>
      <x:c r="G1003" s="86" t="str">
        <x:v>exhaust and bypass-CAL-2</x:v>
      </x:c>
      <x:c r="H1003" s="86" t="str">
        <x:v>T2</x:v>
      </x:c>
      <x:c r="I1003" s="91" t="str">
        <x:v>OPEN</x:v>
      </x:c>
    </x:row>
    <x:row r="1004">
      <x:c r="A1004" s="86" t="str">
        <x:v>CH-0999</x:v>
      </x:c>
      <x:c r="B1004" s="86" t="str">
        <x:v>exhaust and bypass</x:v>
      </x:c>
      <x:c r="C1004" s="108" t="n">
        <x:v>39</x:v>
      </x:c>
      <x:c r="D1004" s="86" t="str">
        <x:v>Z07</x:v>
      </x:c>
      <x:c r="E1004" s="86" t="str">
        <x:v>intermediate</x:v>
      </x:c>
      <x:c r="F1004" s="86" t="str">
        <x:v>L3</x:v>
      </x:c>
      <x:c r="G1004" s="86" t="str">
        <x:v>exhaust and bypass-CAL-3</x:v>
      </x:c>
      <x:c r="H1004" s="86" t="str">
        <x:v>T3</x:v>
      </x:c>
      <x:c r="I1004" s="91" t="str">
        <x:v>OPEN</x:v>
      </x:c>
    </x:row>
    <x:row r="1005">
      <x:c r="A1005" s="86" t="str">
        <x:v>CH-1000</x:v>
      </x:c>
      <x:c r="B1005" s="86" t="str">
        <x:v>exhaust and bypass</x:v>
      </x:c>
      <x:c r="C1005" s="108" t="n">
        <x:v>40</x:v>
      </x:c>
      <x:c r="D1005" s="86" t="str">
        <x:v>Z08</x:v>
      </x:c>
      <x:c r="E1005" s="86" t="str">
        <x:v>intermediate</x:v>
      </x:c>
      <x:c r="F1005" s="86" t="str">
        <x:v>L4</x:v>
      </x:c>
      <x:c r="G1005" s="86" t="str">
        <x:v>exhaust and bypass-CAL-4</x:v>
      </x:c>
      <x:c r="H1005" s="86" t="str">
        <x:v>T4</x:v>
      </x:c>
      <x:c r="I1005" s="91" t="str">
        <x:v>OPEN</x:v>
      </x:c>
    </x:row>
    <x:row r="1006">
      <x:c r="A1006" s="86" t="str">
        <x:v>CH-1001</x:v>
      </x:c>
      <x:c r="B1006" s="86" t="str">
        <x:v>exhaust and bypass</x:v>
      </x:c>
      <x:c r="C1006" s="108" t="n">
        <x:v>41</x:v>
      </x:c>
      <x:c r="D1006" s="86" t="str">
        <x:v>Z09</x:v>
      </x:c>
      <x:c r="E1006" s="86" t="str">
        <x:v>intermediate</x:v>
      </x:c>
      <x:c r="F1006" s="86" t="str">
        <x:v>L1</x:v>
      </x:c>
      <x:c r="G1006" s="86" t="str">
        <x:v>exhaust and bypass-CAL-1</x:v>
      </x:c>
      <x:c r="H1006" s="86" t="str">
        <x:v>T1</x:v>
      </x:c>
      <x:c r="I1006" s="91" t="str">
        <x:v>OPEN</x:v>
      </x:c>
    </x:row>
    <x:row r="1007">
      <x:c r="A1007" s="86" t="str">
        <x:v>CH-1002</x:v>
      </x:c>
      <x:c r="B1007" s="86" t="str">
        <x:v>exhaust and bypass</x:v>
      </x:c>
      <x:c r="C1007" s="108" t="n">
        <x:v>42</x:v>
      </x:c>
      <x:c r="D1007" s="86" t="str">
        <x:v>Z10</x:v>
      </x:c>
      <x:c r="E1007" s="86" t="str">
        <x:v>intermediate</x:v>
      </x:c>
      <x:c r="F1007" s="86" t="str">
        <x:v>L2</x:v>
      </x:c>
      <x:c r="G1007" s="86" t="str">
        <x:v>exhaust and bypass-CAL-2</x:v>
      </x:c>
      <x:c r="H1007" s="86" t="str">
        <x:v>T2</x:v>
      </x:c>
      <x:c r="I1007" s="91" t="str">
        <x:v>OPEN</x:v>
      </x:c>
    </x:row>
    <x:row r="1008">
      <x:c r="A1008" s="86" t="str">
        <x:v>CH-1003</x:v>
      </x:c>
      <x:c r="B1008" s="86" t="str">
        <x:v>exhaust and bypass</x:v>
      </x:c>
      <x:c r="C1008" s="108" t="n">
        <x:v>43</x:v>
      </x:c>
      <x:c r="D1008" s="86" t="str">
        <x:v>Z11</x:v>
      </x:c>
      <x:c r="E1008" s="86" t="str">
        <x:v>intermediate</x:v>
      </x:c>
      <x:c r="F1008" s="86" t="str">
        <x:v>L3</x:v>
      </x:c>
      <x:c r="G1008" s="86" t="str">
        <x:v>exhaust and bypass-CAL-3</x:v>
      </x:c>
      <x:c r="H1008" s="86" t="str">
        <x:v>T3</x:v>
      </x:c>
      <x:c r="I1008" s="91" t="str">
        <x:v>OPEN</x:v>
      </x:c>
    </x:row>
    <x:row r="1009">
      <x:c r="A1009" s="86" t="str">
        <x:v>CH-1004</x:v>
      </x:c>
      <x:c r="B1009" s="86" t="str">
        <x:v>exhaust and bypass</x:v>
      </x:c>
      <x:c r="C1009" s="108" t="n">
        <x:v>44</x:v>
      </x:c>
      <x:c r="D1009" s="86" t="str">
        <x:v>Z12</x:v>
      </x:c>
      <x:c r="E1009" s="86" t="str">
        <x:v>intermediate</x:v>
      </x:c>
      <x:c r="F1009" s="86" t="str">
        <x:v>L4</x:v>
      </x:c>
      <x:c r="G1009" s="86" t="str">
        <x:v>exhaust and bypass-CAL-4</x:v>
      </x:c>
      <x:c r="H1009" s="86" t="str">
        <x:v>T4</x:v>
      </x:c>
      <x:c r="I1009" s="91" t="str">
        <x:v>OPEN</x:v>
      </x:c>
    </x:row>
    <x:row r="1010">
      <x:c r="A1010" s="86" t="str">
        <x:v>CH-1005</x:v>
      </x:c>
      <x:c r="B1010" s="86" t="str">
        <x:v>exhaust and bypass</x:v>
      </x:c>
      <x:c r="C1010" s="108" t="n">
        <x:v>45</x:v>
      </x:c>
      <x:c r="D1010" s="86" t="str">
        <x:v>Z13</x:v>
      </x:c>
      <x:c r="E1010" s="86" t="str">
        <x:v>intermediate</x:v>
      </x:c>
      <x:c r="F1010" s="86" t="str">
        <x:v>L1</x:v>
      </x:c>
      <x:c r="G1010" s="86" t="str">
        <x:v>exhaust and bypass-CAL-1</x:v>
      </x:c>
      <x:c r="H1010" s="86" t="str">
        <x:v>T1</x:v>
      </x:c>
      <x:c r="I1010" s="91" t="str">
        <x:v>OPEN</x:v>
      </x:c>
    </x:row>
    <x:row r="1011">
      <x:c r="A1011" s="86" t="str">
        <x:v>CH-1006</x:v>
      </x:c>
      <x:c r="B1011" s="86" t="str">
        <x:v>exhaust and bypass</x:v>
      </x:c>
      <x:c r="C1011" s="108" t="n">
        <x:v>46</x:v>
      </x:c>
      <x:c r="D1011" s="86" t="str">
        <x:v>Z14</x:v>
      </x:c>
      <x:c r="E1011" s="86" t="str">
        <x:v>intermediate</x:v>
      </x:c>
      <x:c r="F1011" s="86" t="str">
        <x:v>L2</x:v>
      </x:c>
      <x:c r="G1011" s="86" t="str">
        <x:v>exhaust and bypass-CAL-2</x:v>
      </x:c>
      <x:c r="H1011" s="86" t="str">
        <x:v>T2</x:v>
      </x:c>
      <x:c r="I1011" s="91" t="str">
        <x:v>OPEN</x:v>
      </x:c>
    </x:row>
    <x:row r="1012">
      <x:c r="A1012" s="86" t="str">
        <x:v>CH-1007</x:v>
      </x:c>
      <x:c r="B1012" s="86" t="str">
        <x:v>exhaust and bypass</x:v>
      </x:c>
      <x:c r="C1012" s="108" t="n">
        <x:v>47</x:v>
      </x:c>
      <x:c r="D1012" s="86" t="str">
        <x:v>Z15</x:v>
      </x:c>
      <x:c r="E1012" s="86" t="str">
        <x:v>intermediate</x:v>
      </x:c>
      <x:c r="F1012" s="86" t="str">
        <x:v>L3</x:v>
      </x:c>
      <x:c r="G1012" s="86" t="str">
        <x:v>exhaust and bypass-CAL-3</x:v>
      </x:c>
      <x:c r="H1012" s="86" t="str">
        <x:v>T3</x:v>
      </x:c>
      <x:c r="I1012" s="91" t="str">
        <x:v>OPEN</x:v>
      </x:c>
    </x:row>
    <x:row r="1013">
      <x:c r="A1013" s="86" t="str">
        <x:v>CH-1008</x:v>
      </x:c>
      <x:c r="B1013" s="86" t="str">
        <x:v>exhaust and bypass</x:v>
      </x:c>
      <x:c r="C1013" s="108" t="n">
        <x:v>48</x:v>
      </x:c>
      <x:c r="D1013" s="86" t="str">
        <x:v>Z16</x:v>
      </x:c>
      <x:c r="E1013" s="86" t="str">
        <x:v>intermediate</x:v>
      </x:c>
      <x:c r="F1013" s="86" t="str">
        <x:v>L4</x:v>
      </x:c>
      <x:c r="G1013" s="86" t="str">
        <x:v>exhaust and bypass-CAL-4</x:v>
      </x:c>
      <x:c r="H1013" s="86" t="str">
        <x:v>T4</x:v>
      </x:c>
      <x:c r="I1013" s="91" t="str">
        <x:v>OPEN</x:v>
      </x:c>
    </x:row>
    <x:row r="1014">
      <x:c r="A1014" s="86" t="str">
        <x:v>CH-1009</x:v>
      </x:c>
      <x:c r="B1014" s="86" t="str">
        <x:v>exhaust and bypass</x:v>
      </x:c>
      <x:c r="C1014" s="108" t="n">
        <x:v>49</x:v>
      </x:c>
      <x:c r="D1014" s="86" t="str">
        <x:v>Z01</x:v>
      </x:c>
      <x:c r="E1014" s="86" t="str">
        <x:v>return</x:v>
      </x:c>
      <x:c r="F1014" s="86" t="str">
        <x:v>L1</x:v>
      </x:c>
      <x:c r="G1014" s="86" t="str">
        <x:v>exhaust and bypass-CAL-1</x:v>
      </x:c>
      <x:c r="H1014" s="86" t="str">
        <x:v>T1</x:v>
      </x:c>
      <x:c r="I1014" s="91" t="str">
        <x:v>OPEN</x:v>
      </x:c>
    </x:row>
    <x:row r="1015">
      <x:c r="A1015" s="86" t="str">
        <x:v>CH-1010</x:v>
      </x:c>
      <x:c r="B1015" s="86" t="str">
        <x:v>exhaust and bypass</x:v>
      </x:c>
      <x:c r="C1015" s="108" t="n">
        <x:v>50</x:v>
      </x:c>
      <x:c r="D1015" s="86" t="str">
        <x:v>Z02</x:v>
      </x:c>
      <x:c r="E1015" s="86" t="str">
        <x:v>return</x:v>
      </x:c>
      <x:c r="F1015" s="86" t="str">
        <x:v>L2</x:v>
      </x:c>
      <x:c r="G1015" s="86" t="str">
        <x:v>exhaust and bypass-CAL-2</x:v>
      </x:c>
      <x:c r="H1015" s="86" t="str">
        <x:v>T2</x:v>
      </x:c>
      <x:c r="I1015" s="91" t="str">
        <x:v>OPEN</x:v>
      </x:c>
    </x:row>
    <x:row r="1016">
      <x:c r="A1016" s="86" t="str">
        <x:v>CH-1011</x:v>
      </x:c>
      <x:c r="B1016" s="86" t="str">
        <x:v>exhaust and bypass</x:v>
      </x:c>
      <x:c r="C1016" s="108" t="n">
        <x:v>51</x:v>
      </x:c>
      <x:c r="D1016" s="86" t="str">
        <x:v>Z03</x:v>
      </x:c>
      <x:c r="E1016" s="86" t="str">
        <x:v>return</x:v>
      </x:c>
      <x:c r="F1016" s="86" t="str">
        <x:v>L3</x:v>
      </x:c>
      <x:c r="G1016" s="86" t="str">
        <x:v>exhaust and bypass-CAL-3</x:v>
      </x:c>
      <x:c r="H1016" s="86" t="str">
        <x:v>T3</x:v>
      </x:c>
      <x:c r="I1016" s="91" t="str">
        <x:v>OPEN</x:v>
      </x:c>
    </x:row>
    <x:row r="1017">
      <x:c r="A1017" s="86" t="str">
        <x:v>CH-1012</x:v>
      </x:c>
      <x:c r="B1017" s="86" t="str">
        <x:v>exhaust and bypass</x:v>
      </x:c>
      <x:c r="C1017" s="108" t="n">
        <x:v>52</x:v>
      </x:c>
      <x:c r="D1017" s="86" t="str">
        <x:v>Z04</x:v>
      </x:c>
      <x:c r="E1017" s="86" t="str">
        <x:v>return</x:v>
      </x:c>
      <x:c r="F1017" s="86" t="str">
        <x:v>L4</x:v>
      </x:c>
      <x:c r="G1017" s="86" t="str">
        <x:v>exhaust and bypass-CAL-4</x:v>
      </x:c>
      <x:c r="H1017" s="86" t="str">
        <x:v>T4</x:v>
      </x:c>
      <x:c r="I1017" s="91" t="str">
        <x:v>OPEN</x:v>
      </x:c>
    </x:row>
    <x:row r="1018">
      <x:c r="A1018" s="86" t="str">
        <x:v>CH-1013</x:v>
      </x:c>
      <x:c r="B1018" s="86" t="str">
        <x:v>exhaust and bypass</x:v>
      </x:c>
      <x:c r="C1018" s="108" t="n">
        <x:v>53</x:v>
      </x:c>
      <x:c r="D1018" s="86" t="str">
        <x:v>Z05</x:v>
      </x:c>
      <x:c r="E1018" s="86" t="str">
        <x:v>return</x:v>
      </x:c>
      <x:c r="F1018" s="86" t="str">
        <x:v>L1</x:v>
      </x:c>
      <x:c r="G1018" s="86" t="str">
        <x:v>exhaust and bypass-CAL-1</x:v>
      </x:c>
      <x:c r="H1018" s="86" t="str">
        <x:v>T1</x:v>
      </x:c>
      <x:c r="I1018" s="91" t="str">
        <x:v>OPEN</x:v>
      </x:c>
    </x:row>
    <x:row r="1019">
      <x:c r="A1019" s="86" t="str">
        <x:v>CH-1014</x:v>
      </x:c>
      <x:c r="B1019" s="86" t="str">
        <x:v>exhaust and bypass</x:v>
      </x:c>
      <x:c r="C1019" s="108" t="n">
        <x:v>54</x:v>
      </x:c>
      <x:c r="D1019" s="86" t="str">
        <x:v>Z06</x:v>
      </x:c>
      <x:c r="E1019" s="86" t="str">
        <x:v>return</x:v>
      </x:c>
      <x:c r="F1019" s="86" t="str">
        <x:v>L2</x:v>
      </x:c>
      <x:c r="G1019" s="86" t="str">
        <x:v>exhaust and bypass-CAL-2</x:v>
      </x:c>
      <x:c r="H1019" s="86" t="str">
        <x:v>T2</x:v>
      </x:c>
      <x:c r="I1019" s="91" t="str">
        <x:v>OPEN</x:v>
      </x:c>
    </x:row>
    <x:row r="1020">
      <x:c r="A1020" s="86" t="str">
        <x:v>CH-1015</x:v>
      </x:c>
      <x:c r="B1020" s="86" t="str">
        <x:v>exhaust and bypass</x:v>
      </x:c>
      <x:c r="C1020" s="108" t="n">
        <x:v>55</x:v>
      </x:c>
      <x:c r="D1020" s="86" t="str">
        <x:v>Z07</x:v>
      </x:c>
      <x:c r="E1020" s="86" t="str">
        <x:v>return</x:v>
      </x:c>
      <x:c r="F1020" s="86" t="str">
        <x:v>L3</x:v>
      </x:c>
      <x:c r="G1020" s="86" t="str">
        <x:v>exhaust and bypass-CAL-3</x:v>
      </x:c>
      <x:c r="H1020" s="86" t="str">
        <x:v>T3</x:v>
      </x:c>
      <x:c r="I1020" s="91" t="str">
        <x:v>OPEN</x:v>
      </x:c>
    </x:row>
    <x:row r="1021">
      <x:c r="A1021" s="86" t="str">
        <x:v>CH-1016</x:v>
      </x:c>
      <x:c r="B1021" s="86" t="str">
        <x:v>exhaust and bypass</x:v>
      </x:c>
      <x:c r="C1021" s="108" t="n">
        <x:v>56</x:v>
      </x:c>
      <x:c r="D1021" s="86" t="str">
        <x:v>Z08</x:v>
      </x:c>
      <x:c r="E1021" s="86" t="str">
        <x:v>return</x:v>
      </x:c>
      <x:c r="F1021" s="86" t="str">
        <x:v>L4</x:v>
      </x:c>
      <x:c r="G1021" s="86" t="str">
        <x:v>exhaust and bypass-CAL-4</x:v>
      </x:c>
      <x:c r="H1021" s="86" t="str">
        <x:v>T4</x:v>
      </x:c>
      <x:c r="I1021" s="91" t="str">
        <x:v>OPEN</x:v>
      </x:c>
    </x:row>
    <x:row r="1022">
      <x:c r="A1022" s="86" t="str">
        <x:v>CH-1017</x:v>
      </x:c>
      <x:c r="B1022" s="86" t="str">
        <x:v>exhaust and bypass</x:v>
      </x:c>
      <x:c r="C1022" s="108" t="n">
        <x:v>57</x:v>
      </x:c>
      <x:c r="D1022" s="86" t="str">
        <x:v>Z09</x:v>
      </x:c>
      <x:c r="E1022" s="86" t="str">
        <x:v>return</x:v>
      </x:c>
      <x:c r="F1022" s="86" t="str">
        <x:v>L1</x:v>
      </x:c>
      <x:c r="G1022" s="86" t="str">
        <x:v>exhaust and bypass-CAL-1</x:v>
      </x:c>
      <x:c r="H1022" s="86" t="str">
        <x:v>T1</x:v>
      </x:c>
      <x:c r="I1022" s="91" t="str">
        <x:v>OPEN</x:v>
      </x:c>
    </x:row>
    <x:row r="1023">
      <x:c r="A1023" s="86" t="str">
        <x:v>CH-1018</x:v>
      </x:c>
      <x:c r="B1023" s="86" t="str">
        <x:v>exhaust and bypass</x:v>
      </x:c>
      <x:c r="C1023" s="108" t="n">
        <x:v>58</x:v>
      </x:c>
      <x:c r="D1023" s="86" t="str">
        <x:v>Z10</x:v>
      </x:c>
      <x:c r="E1023" s="86" t="str">
        <x:v>return</x:v>
      </x:c>
      <x:c r="F1023" s="86" t="str">
        <x:v>L2</x:v>
      </x:c>
      <x:c r="G1023" s="86" t="str">
        <x:v>exhaust and bypass-CAL-2</x:v>
      </x:c>
      <x:c r="H1023" s="86" t="str">
        <x:v>T2</x:v>
      </x:c>
      <x:c r="I1023" s="91" t="str">
        <x:v>OPEN</x:v>
      </x:c>
    </x:row>
    <x:row r="1024">
      <x:c r="A1024" s="86" t="str">
        <x:v>CH-1019</x:v>
      </x:c>
      <x:c r="B1024" s="86" t="str">
        <x:v>exhaust and bypass</x:v>
      </x:c>
      <x:c r="C1024" s="108" t="n">
        <x:v>59</x:v>
      </x:c>
      <x:c r="D1024" s="86" t="str">
        <x:v>Z11</x:v>
      </x:c>
      <x:c r="E1024" s="86" t="str">
        <x:v>return</x:v>
      </x:c>
      <x:c r="F1024" s="86" t="str">
        <x:v>L3</x:v>
      </x:c>
      <x:c r="G1024" s="86" t="str">
        <x:v>exhaust and bypass-CAL-3</x:v>
      </x:c>
      <x:c r="H1024" s="86" t="str">
        <x:v>T3</x:v>
      </x:c>
      <x:c r="I1024" s="91" t="str">
        <x:v>OPEN</x:v>
      </x:c>
    </x:row>
    <x:row r="1025">
      <x:c r="A1025" s="86" t="str">
        <x:v>CH-1020</x:v>
      </x:c>
      <x:c r="B1025" s="86" t="str">
        <x:v>exhaust and bypass</x:v>
      </x:c>
      <x:c r="C1025" s="108" t="n">
        <x:v>60</x:v>
      </x:c>
      <x:c r="D1025" s="86" t="str">
        <x:v>Z12</x:v>
      </x:c>
      <x:c r="E1025" s="86" t="str">
        <x:v>return</x:v>
      </x:c>
      <x:c r="F1025" s="86" t="str">
        <x:v>L4</x:v>
      </x:c>
      <x:c r="G1025" s="86" t="str">
        <x:v>exhaust and bypass-CAL-4</x:v>
      </x:c>
      <x:c r="H1025" s="86" t="str">
        <x:v>T4</x:v>
      </x:c>
      <x:c r="I1025" s="91" t="str">
        <x:v>OPEN</x:v>
      </x:c>
    </x:row>
    <x:row r="1026">
      <x:c r="A1026" s="86" t="str">
        <x:v>CH-1021</x:v>
      </x:c>
      <x:c r="B1026" s="86" t="str">
        <x:v>exhaust and bypass</x:v>
      </x:c>
      <x:c r="C1026" s="108" t="n">
        <x:v>61</x:v>
      </x:c>
      <x:c r="D1026" s="86" t="str">
        <x:v>Z13</x:v>
      </x:c>
      <x:c r="E1026" s="86" t="str">
        <x:v>return</x:v>
      </x:c>
      <x:c r="F1026" s="86" t="str">
        <x:v>L1</x:v>
      </x:c>
      <x:c r="G1026" s="86" t="str">
        <x:v>exhaust and bypass-CAL-1</x:v>
      </x:c>
      <x:c r="H1026" s="86" t="str">
        <x:v>T1</x:v>
      </x:c>
      <x:c r="I1026" s="91" t="str">
        <x:v>OPEN</x:v>
      </x:c>
    </x:row>
    <x:row r="1027">
      <x:c r="A1027" s="86" t="str">
        <x:v>CH-1022</x:v>
      </x:c>
      <x:c r="B1027" s="86" t="str">
        <x:v>exhaust and bypass</x:v>
      </x:c>
      <x:c r="C1027" s="108" t="n">
        <x:v>62</x:v>
      </x:c>
      <x:c r="D1027" s="86" t="str">
        <x:v>Z14</x:v>
      </x:c>
      <x:c r="E1027" s="86" t="str">
        <x:v>return</x:v>
      </x:c>
      <x:c r="F1027" s="86" t="str">
        <x:v>L2</x:v>
      </x:c>
      <x:c r="G1027" s="86" t="str">
        <x:v>exhaust and bypass-CAL-2</x:v>
      </x:c>
      <x:c r="H1027" s="86" t="str">
        <x:v>T2</x:v>
      </x:c>
      <x:c r="I1027" s="91" t="str">
        <x:v>OPEN</x:v>
      </x:c>
    </x:row>
    <x:row r="1028">
      <x:c r="A1028" s="86" t="str">
        <x:v>CH-1023</x:v>
      </x:c>
      <x:c r="B1028" s="86" t="str">
        <x:v>exhaust and bypass</x:v>
      </x:c>
      <x:c r="C1028" s="108" t="n">
        <x:v>63</x:v>
      </x:c>
      <x:c r="D1028" s="86" t="str">
        <x:v>Z15</x:v>
      </x:c>
      <x:c r="E1028" s="86" t="str">
        <x:v>return</x:v>
      </x:c>
      <x:c r="F1028" s="86" t="str">
        <x:v>L3</x:v>
      </x:c>
      <x:c r="G1028" s="86" t="str">
        <x:v>exhaust and bypass-CAL-3</x:v>
      </x:c>
      <x:c r="H1028" s="86" t="str">
        <x:v>T3</x:v>
      </x:c>
      <x:c r="I1028" s="91" t="str">
        <x:v>OPEN</x:v>
      </x:c>
    </x:row>
    <x:row r="1029">
      <x:c r="A1029" s="86" t="str">
        <x:v>CH-1024</x:v>
      </x:c>
      <x:c r="B1029" s="86" t="str">
        <x:v>exhaust and bypass</x:v>
      </x:c>
      <x:c r="C1029" s="108" t="n">
        <x:v>64</x:v>
      </x:c>
      <x:c r="D1029" s="86" t="str">
        <x:v>Z16</x:v>
      </x:c>
      <x:c r="E1029" s="86" t="str">
        <x:v>return</x:v>
      </x:c>
      <x:c r="F1029" s="86" t="str">
        <x:v>L4</x:v>
      </x:c>
      <x:c r="G1029" s="86" t="str">
        <x:v>exhaust and bypass-CAL-4</x:v>
      </x:c>
      <x:c r="H1029" s="86" t="str">
        <x:v>T4</x:v>
      </x:c>
      <x:c r="I1029" s="91" t="str">
        <x:v>OPEN</x:v>
      </x:c>
    </x:row>
    <x:row r="1030">
      <x:c r="A1030" s="86" t="str">
        <x:v>CH-1025</x:v>
      </x:c>
      <x:c r="B1030" s="86" t="str">
        <x:v>igniter</x:v>
      </x:c>
      <x:c r="C1030" s="108" t="n">
        <x:v>1</x:v>
      </x:c>
      <x:c r="D1030" s="86" t="str">
        <x:v>Z01</x:v>
      </x:c>
      <x:c r="E1030" s="86" t="str">
        <x:v>full</x:v>
      </x:c>
      <x:c r="F1030" s="86" t="str">
        <x:v>L1</x:v>
      </x:c>
      <x:c r="G1030" s="86" t="str">
        <x:v>igniter-CAL-1</x:v>
      </x:c>
      <x:c r="H1030" s="86" t="str">
        <x:v>T1</x:v>
      </x:c>
      <x:c r="I1030" s="91" t="str">
        <x:v>OPEN</x:v>
      </x:c>
    </x:row>
    <x:row r="1031">
      <x:c r="A1031" s="86" t="str">
        <x:v>CH-1026</x:v>
      </x:c>
      <x:c r="B1031" s="86" t="str">
        <x:v>igniter</x:v>
      </x:c>
      <x:c r="C1031" s="108" t="n">
        <x:v>2</x:v>
      </x:c>
      <x:c r="D1031" s="86" t="str">
        <x:v>Z02</x:v>
      </x:c>
      <x:c r="E1031" s="86" t="str">
        <x:v>full</x:v>
      </x:c>
      <x:c r="F1031" s="86" t="str">
        <x:v>L2</x:v>
      </x:c>
      <x:c r="G1031" s="86" t="str">
        <x:v>igniter-CAL-2</x:v>
      </x:c>
      <x:c r="H1031" s="86" t="str">
        <x:v>T2</x:v>
      </x:c>
      <x:c r="I1031" s="91" t="str">
        <x:v>OPEN</x:v>
      </x:c>
    </x:row>
    <x:row r="1032">
      <x:c r="A1032" s="86" t="str">
        <x:v>CH-1027</x:v>
      </x:c>
      <x:c r="B1032" s="86" t="str">
        <x:v>igniter</x:v>
      </x:c>
      <x:c r="C1032" s="108" t="n">
        <x:v>3</x:v>
      </x:c>
      <x:c r="D1032" s="86" t="str">
        <x:v>Z03</x:v>
      </x:c>
      <x:c r="E1032" s="86" t="str">
        <x:v>full</x:v>
      </x:c>
      <x:c r="F1032" s="86" t="str">
        <x:v>L3</x:v>
      </x:c>
      <x:c r="G1032" s="86" t="str">
        <x:v>igniter-CAL-3</x:v>
      </x:c>
      <x:c r="H1032" s="86" t="str">
        <x:v>T3</x:v>
      </x:c>
      <x:c r="I1032" s="91" t="str">
        <x:v>OPEN</x:v>
      </x:c>
    </x:row>
    <x:row r="1033">
      <x:c r="A1033" s="86" t="str">
        <x:v>CH-1028</x:v>
      </x:c>
      <x:c r="B1033" s="86" t="str">
        <x:v>igniter</x:v>
      </x:c>
      <x:c r="C1033" s="108" t="n">
        <x:v>4</x:v>
      </x:c>
      <x:c r="D1033" s="86" t="str">
        <x:v>Z04</x:v>
      </x:c>
      <x:c r="E1033" s="86" t="str">
        <x:v>full</x:v>
      </x:c>
      <x:c r="F1033" s="86" t="str">
        <x:v>L4</x:v>
      </x:c>
      <x:c r="G1033" s="86" t="str">
        <x:v>igniter-CAL-4</x:v>
      </x:c>
      <x:c r="H1033" s="86" t="str">
        <x:v>T4</x:v>
      </x:c>
      <x:c r="I1033" s="91" t="str">
        <x:v>OPEN</x:v>
      </x:c>
    </x:row>
    <x:row r="1034">
      <x:c r="A1034" s="86" t="str">
        <x:v>CH-1029</x:v>
      </x:c>
      <x:c r="B1034" s="86" t="str">
        <x:v>igniter</x:v>
      </x:c>
      <x:c r="C1034" s="108" t="n">
        <x:v>5</x:v>
      </x:c>
      <x:c r="D1034" s="86" t="str">
        <x:v>Z05</x:v>
      </x:c>
      <x:c r="E1034" s="86" t="str">
        <x:v>full</x:v>
      </x:c>
      <x:c r="F1034" s="86" t="str">
        <x:v>L1</x:v>
      </x:c>
      <x:c r="G1034" s="86" t="str">
        <x:v>igniter-CAL-1</x:v>
      </x:c>
      <x:c r="H1034" s="86" t="str">
        <x:v>T1</x:v>
      </x:c>
      <x:c r="I1034" s="91" t="str">
        <x:v>OPEN</x:v>
      </x:c>
    </x:row>
    <x:row r="1035">
      <x:c r="A1035" s="86" t="str">
        <x:v>CH-1030</x:v>
      </x:c>
      <x:c r="B1035" s="86" t="str">
        <x:v>igniter</x:v>
      </x:c>
      <x:c r="C1035" s="108" t="n">
        <x:v>6</x:v>
      </x:c>
      <x:c r="D1035" s="86" t="str">
        <x:v>Z06</x:v>
      </x:c>
      <x:c r="E1035" s="86" t="str">
        <x:v>full</x:v>
      </x:c>
      <x:c r="F1035" s="86" t="str">
        <x:v>L2</x:v>
      </x:c>
      <x:c r="G1035" s="86" t="str">
        <x:v>igniter-CAL-2</x:v>
      </x:c>
      <x:c r="H1035" s="86" t="str">
        <x:v>T2</x:v>
      </x:c>
      <x:c r="I1035" s="91" t="str">
        <x:v>OPEN</x:v>
      </x:c>
    </x:row>
    <x:row r="1036">
      <x:c r="A1036" s="86" t="str">
        <x:v>CH-1031</x:v>
      </x:c>
      <x:c r="B1036" s="86" t="str">
        <x:v>igniter</x:v>
      </x:c>
      <x:c r="C1036" s="108" t="n">
        <x:v>7</x:v>
      </x:c>
      <x:c r="D1036" s="86" t="str">
        <x:v>Z07</x:v>
      </x:c>
      <x:c r="E1036" s="86" t="str">
        <x:v>full</x:v>
      </x:c>
      <x:c r="F1036" s="86" t="str">
        <x:v>L3</x:v>
      </x:c>
      <x:c r="G1036" s="86" t="str">
        <x:v>igniter-CAL-3</x:v>
      </x:c>
      <x:c r="H1036" s="86" t="str">
        <x:v>T3</x:v>
      </x:c>
      <x:c r="I1036" s="91" t="str">
        <x:v>OPEN</x:v>
      </x:c>
    </x:row>
    <x:row r="1037">
      <x:c r="A1037" s="86" t="str">
        <x:v>CH-1032</x:v>
      </x:c>
      <x:c r="B1037" s="86" t="str">
        <x:v>igniter</x:v>
      </x:c>
      <x:c r="C1037" s="108" t="n">
        <x:v>8</x:v>
      </x:c>
      <x:c r="D1037" s="86" t="str">
        <x:v>Z08</x:v>
      </x:c>
      <x:c r="E1037" s="86" t="str">
        <x:v>full</x:v>
      </x:c>
      <x:c r="F1037" s="86" t="str">
        <x:v>L4</x:v>
      </x:c>
      <x:c r="G1037" s="86" t="str">
        <x:v>igniter-CAL-4</x:v>
      </x:c>
      <x:c r="H1037" s="86" t="str">
        <x:v>T4</x:v>
      </x:c>
      <x:c r="I1037" s="91" t="str">
        <x:v>OPEN</x:v>
      </x:c>
    </x:row>
    <x:row r="1038">
      <x:c r="A1038" s="86" t="str">
        <x:v>CH-1033</x:v>
      </x:c>
      <x:c r="B1038" s="86" t="str">
        <x:v>igniter</x:v>
      </x:c>
      <x:c r="C1038" s="108" t="n">
        <x:v>9</x:v>
      </x:c>
      <x:c r="D1038" s="86" t="str">
        <x:v>Z09</x:v>
      </x:c>
      <x:c r="E1038" s="86" t="str">
        <x:v>full</x:v>
      </x:c>
      <x:c r="F1038" s="86" t="str">
        <x:v>L1</x:v>
      </x:c>
      <x:c r="G1038" s="86" t="str">
        <x:v>igniter-CAL-1</x:v>
      </x:c>
      <x:c r="H1038" s="86" t="str">
        <x:v>T1</x:v>
      </x:c>
      <x:c r="I1038" s="91" t="str">
        <x:v>OPEN</x:v>
      </x:c>
    </x:row>
    <x:row r="1039">
      <x:c r="A1039" s="86" t="str">
        <x:v>CH-1034</x:v>
      </x:c>
      <x:c r="B1039" s="86" t="str">
        <x:v>igniter</x:v>
      </x:c>
      <x:c r="C1039" s="108" t="n">
        <x:v>10</x:v>
      </x:c>
      <x:c r="D1039" s="86" t="str">
        <x:v>Z10</x:v>
      </x:c>
      <x:c r="E1039" s="86" t="str">
        <x:v>full</x:v>
      </x:c>
      <x:c r="F1039" s="86" t="str">
        <x:v>L2</x:v>
      </x:c>
      <x:c r="G1039" s="86" t="str">
        <x:v>igniter-CAL-2</x:v>
      </x:c>
      <x:c r="H1039" s="86" t="str">
        <x:v>T2</x:v>
      </x:c>
      <x:c r="I1039" s="91" t="str">
        <x:v>OPEN</x:v>
      </x:c>
    </x:row>
    <x:row r="1040">
      <x:c r="A1040" s="86" t="str">
        <x:v>CH-1035</x:v>
      </x:c>
      <x:c r="B1040" s="86" t="str">
        <x:v>igniter</x:v>
      </x:c>
      <x:c r="C1040" s="108" t="n">
        <x:v>11</x:v>
      </x:c>
      <x:c r="D1040" s="86" t="str">
        <x:v>Z11</x:v>
      </x:c>
      <x:c r="E1040" s="86" t="str">
        <x:v>full</x:v>
      </x:c>
      <x:c r="F1040" s="86" t="str">
        <x:v>L3</x:v>
      </x:c>
      <x:c r="G1040" s="86" t="str">
        <x:v>igniter-CAL-3</x:v>
      </x:c>
      <x:c r="H1040" s="86" t="str">
        <x:v>T3</x:v>
      </x:c>
      <x:c r="I1040" s="91" t="str">
        <x:v>OPEN</x:v>
      </x:c>
    </x:row>
    <x:row r="1041">
      <x:c r="A1041" s="86" t="str">
        <x:v>CH-1036</x:v>
      </x:c>
      <x:c r="B1041" s="86" t="str">
        <x:v>igniter</x:v>
      </x:c>
      <x:c r="C1041" s="108" t="n">
        <x:v>12</x:v>
      </x:c>
      <x:c r="D1041" s="86" t="str">
        <x:v>Z12</x:v>
      </x:c>
      <x:c r="E1041" s="86" t="str">
        <x:v>full</x:v>
      </x:c>
      <x:c r="F1041" s="86" t="str">
        <x:v>L4</x:v>
      </x:c>
      <x:c r="G1041" s="86" t="str">
        <x:v>igniter-CAL-4</x:v>
      </x:c>
      <x:c r="H1041" s="86" t="str">
        <x:v>T4</x:v>
      </x:c>
      <x:c r="I1041" s="91" t="str">
        <x:v>OPEN</x:v>
      </x:c>
    </x:row>
    <x:row r="1042">
      <x:c r="A1042" s="86" t="str">
        <x:v>CH-1037</x:v>
      </x:c>
      <x:c r="B1042" s="86" t="str">
        <x:v>igniter</x:v>
      </x:c>
      <x:c r="C1042" s="108" t="n">
        <x:v>13</x:v>
      </x:c>
      <x:c r="D1042" s="86" t="str">
        <x:v>Z13</x:v>
      </x:c>
      <x:c r="E1042" s="86" t="str">
        <x:v>full</x:v>
      </x:c>
      <x:c r="F1042" s="86" t="str">
        <x:v>L1</x:v>
      </x:c>
      <x:c r="G1042" s="86" t="str">
        <x:v>igniter-CAL-1</x:v>
      </x:c>
      <x:c r="H1042" s="86" t="str">
        <x:v>T1</x:v>
      </x:c>
      <x:c r="I1042" s="91" t="str">
        <x:v>OPEN</x:v>
      </x:c>
    </x:row>
    <x:row r="1043">
      <x:c r="A1043" s="86" t="str">
        <x:v>CH-1038</x:v>
      </x:c>
      <x:c r="B1043" s="86" t="str">
        <x:v>igniter</x:v>
      </x:c>
      <x:c r="C1043" s="108" t="n">
        <x:v>14</x:v>
      </x:c>
      <x:c r="D1043" s="86" t="str">
        <x:v>Z14</x:v>
      </x:c>
      <x:c r="E1043" s="86" t="str">
        <x:v>full</x:v>
      </x:c>
      <x:c r="F1043" s="86" t="str">
        <x:v>L2</x:v>
      </x:c>
      <x:c r="G1043" s="86" t="str">
        <x:v>igniter-CAL-2</x:v>
      </x:c>
      <x:c r="H1043" s="86" t="str">
        <x:v>T2</x:v>
      </x:c>
      <x:c r="I1043" s="91" t="str">
        <x:v>OPEN</x:v>
      </x:c>
    </x:row>
    <x:row r="1044">
      <x:c r="A1044" s="86" t="str">
        <x:v>CH-1039</x:v>
      </x:c>
      <x:c r="B1044" s="86" t="str">
        <x:v>igniter</x:v>
      </x:c>
      <x:c r="C1044" s="108" t="n">
        <x:v>15</x:v>
      </x:c>
      <x:c r="D1044" s="86" t="str">
        <x:v>Z15</x:v>
      </x:c>
      <x:c r="E1044" s="86" t="str">
        <x:v>full</x:v>
      </x:c>
      <x:c r="F1044" s="86" t="str">
        <x:v>L3</x:v>
      </x:c>
      <x:c r="G1044" s="86" t="str">
        <x:v>igniter-CAL-3</x:v>
      </x:c>
      <x:c r="H1044" s="86" t="str">
        <x:v>T3</x:v>
      </x:c>
      <x:c r="I1044" s="91" t="str">
        <x:v>OPEN</x:v>
      </x:c>
    </x:row>
    <x:row r="1045">
      <x:c r="A1045" s="86" t="str">
        <x:v>CH-1040</x:v>
      </x:c>
      <x:c r="B1045" s="86" t="str">
        <x:v>igniter</x:v>
      </x:c>
      <x:c r="C1045" s="108" t="n">
        <x:v>16</x:v>
      </x:c>
      <x:c r="D1045" s="86" t="str">
        <x:v>Z16</x:v>
      </x:c>
      <x:c r="E1045" s="86" t="str">
        <x:v>full</x:v>
      </x:c>
      <x:c r="F1045" s="86" t="str">
        <x:v>L4</x:v>
      </x:c>
      <x:c r="G1045" s="86" t="str">
        <x:v>igniter-CAL-4</x:v>
      </x:c>
      <x:c r="H1045" s="86" t="str">
        <x:v>T4</x:v>
      </x:c>
      <x:c r="I1045" s="91" t="str">
        <x:v>OPEN</x:v>
      </x:c>
    </x:row>
    <x:row r="1046">
      <x:c r="A1046" s="86" t="str">
        <x:v>CH-1041</x:v>
      </x:c>
      <x:c r="B1046" s="86" t="str">
        <x:v>igniter</x:v>
      </x:c>
      <x:c r="C1046" s="108" t="n">
        <x:v>17</x:v>
      </x:c>
      <x:c r="D1046" s="86" t="str">
        <x:v>Z01</x:v>
      </x:c>
      <x:c r="E1046" s="86" t="str">
        <x:v>full</x:v>
      </x:c>
      <x:c r="F1046" s="86" t="str">
        <x:v>L1</x:v>
      </x:c>
      <x:c r="G1046" s="86" t="str">
        <x:v>igniter-CAL-1</x:v>
      </x:c>
      <x:c r="H1046" s="86" t="str">
        <x:v>T1</x:v>
      </x:c>
      <x:c r="I1046" s="91" t="str">
        <x:v>OPEN</x:v>
      </x:c>
    </x:row>
    <x:row r="1047">
      <x:c r="A1047" s="86" t="str">
        <x:v>CH-1042</x:v>
      </x:c>
      <x:c r="B1047" s="86" t="str">
        <x:v>igniter</x:v>
      </x:c>
      <x:c r="C1047" s="108" t="n">
        <x:v>18</x:v>
      </x:c>
      <x:c r="D1047" s="86" t="str">
        <x:v>Z02</x:v>
      </x:c>
      <x:c r="E1047" s="86" t="str">
        <x:v>full</x:v>
      </x:c>
      <x:c r="F1047" s="86" t="str">
        <x:v>L2</x:v>
      </x:c>
      <x:c r="G1047" s="86" t="str">
        <x:v>igniter-CAL-2</x:v>
      </x:c>
      <x:c r="H1047" s="86" t="str">
        <x:v>T2</x:v>
      </x:c>
      <x:c r="I1047" s="91" t="str">
        <x:v>OPEN</x:v>
      </x:c>
    </x:row>
    <x:row r="1048">
      <x:c r="A1048" s="86" t="str">
        <x:v>CH-1043</x:v>
      </x:c>
      <x:c r="B1048" s="86" t="str">
        <x:v>igniter</x:v>
      </x:c>
      <x:c r="C1048" s="108" t="n">
        <x:v>19</x:v>
      </x:c>
      <x:c r="D1048" s="86" t="str">
        <x:v>Z03</x:v>
      </x:c>
      <x:c r="E1048" s="86" t="str">
        <x:v>full</x:v>
      </x:c>
      <x:c r="F1048" s="86" t="str">
        <x:v>L3</x:v>
      </x:c>
      <x:c r="G1048" s="86" t="str">
        <x:v>igniter-CAL-3</x:v>
      </x:c>
      <x:c r="H1048" s="86" t="str">
        <x:v>T3</x:v>
      </x:c>
      <x:c r="I1048" s="91" t="str">
        <x:v>OPEN</x:v>
      </x:c>
    </x:row>
    <x:row r="1049">
      <x:c r="A1049" s="86" t="str">
        <x:v>CH-1044</x:v>
      </x:c>
      <x:c r="B1049" s="86" t="str">
        <x:v>igniter</x:v>
      </x:c>
      <x:c r="C1049" s="108" t="n">
        <x:v>20</x:v>
      </x:c>
      <x:c r="D1049" s="86" t="str">
        <x:v>Z04</x:v>
      </x:c>
      <x:c r="E1049" s="86" t="str">
        <x:v>full</x:v>
      </x:c>
      <x:c r="F1049" s="86" t="str">
        <x:v>L4</x:v>
      </x:c>
      <x:c r="G1049" s="86" t="str">
        <x:v>igniter-CAL-4</x:v>
      </x:c>
      <x:c r="H1049" s="86" t="str">
        <x:v>T4</x:v>
      </x:c>
      <x:c r="I1049" s="91" t="str">
        <x:v>OPEN</x:v>
      </x:c>
    </x:row>
    <x:row r="1050">
      <x:c r="A1050" s="86" t="str">
        <x:v>CH-1045</x:v>
      </x:c>
      <x:c r="B1050" s="86" t="str">
        <x:v>igniter</x:v>
      </x:c>
      <x:c r="C1050" s="108" t="n">
        <x:v>21</x:v>
      </x:c>
      <x:c r="D1050" s="86" t="str">
        <x:v>Z05</x:v>
      </x:c>
      <x:c r="E1050" s="86" t="str">
        <x:v>full</x:v>
      </x:c>
      <x:c r="F1050" s="86" t="str">
        <x:v>L1</x:v>
      </x:c>
      <x:c r="G1050" s="86" t="str">
        <x:v>igniter-CAL-1</x:v>
      </x:c>
      <x:c r="H1050" s="86" t="str">
        <x:v>T1</x:v>
      </x:c>
      <x:c r="I1050" s="91" t="str">
        <x:v>OPEN</x:v>
      </x:c>
    </x:row>
    <x:row r="1051">
      <x:c r="A1051" s="86" t="str">
        <x:v>CH-1046</x:v>
      </x:c>
      <x:c r="B1051" s="86" t="str">
        <x:v>igniter</x:v>
      </x:c>
      <x:c r="C1051" s="108" t="n">
        <x:v>22</x:v>
      </x:c>
      <x:c r="D1051" s="86" t="str">
        <x:v>Z06</x:v>
      </x:c>
      <x:c r="E1051" s="86" t="str">
        <x:v>full</x:v>
      </x:c>
      <x:c r="F1051" s="86" t="str">
        <x:v>L2</x:v>
      </x:c>
      <x:c r="G1051" s="86" t="str">
        <x:v>igniter-CAL-2</x:v>
      </x:c>
      <x:c r="H1051" s="86" t="str">
        <x:v>T2</x:v>
      </x:c>
      <x:c r="I1051" s="91" t="str">
        <x:v>OPEN</x:v>
      </x:c>
    </x:row>
    <x:row r="1052">
      <x:c r="A1052" s="86" t="str">
        <x:v>CH-1047</x:v>
      </x:c>
      <x:c r="B1052" s="86" t="str">
        <x:v>igniter</x:v>
      </x:c>
      <x:c r="C1052" s="108" t="n">
        <x:v>23</x:v>
      </x:c>
      <x:c r="D1052" s="86" t="str">
        <x:v>Z07</x:v>
      </x:c>
      <x:c r="E1052" s="86" t="str">
        <x:v>full</x:v>
      </x:c>
      <x:c r="F1052" s="86" t="str">
        <x:v>L3</x:v>
      </x:c>
      <x:c r="G1052" s="86" t="str">
        <x:v>igniter-CAL-3</x:v>
      </x:c>
      <x:c r="H1052" s="86" t="str">
        <x:v>T3</x:v>
      </x:c>
      <x:c r="I1052" s="91" t="str">
        <x:v>OPEN</x:v>
      </x:c>
    </x:row>
    <x:row r="1053">
      <x:c r="A1053" s="86" t="str">
        <x:v>CH-1048</x:v>
      </x:c>
      <x:c r="B1053" s="86" t="str">
        <x:v>igniter</x:v>
      </x:c>
      <x:c r="C1053" s="108" t="n">
        <x:v>24</x:v>
      </x:c>
      <x:c r="D1053" s="86" t="str">
        <x:v>Z08</x:v>
      </x:c>
      <x:c r="E1053" s="86" t="str">
        <x:v>full</x:v>
      </x:c>
      <x:c r="F1053" s="86" t="str">
        <x:v>L4</x:v>
      </x:c>
      <x:c r="G1053" s="86" t="str">
        <x:v>igniter-CAL-4</x:v>
      </x:c>
      <x:c r="H1053" s="86" t="str">
        <x:v>T4</x:v>
      </x:c>
      <x:c r="I1053" s="91" t="str">
        <x:v>OPEN</x:v>
      </x:c>
    </x:row>
    <x:row r="1054">
      <x:c r="A1054" s="86" t="str">
        <x:v>CH-1049</x:v>
      </x:c>
      <x:c r="B1054" s="86" t="str">
        <x:v>igniter</x:v>
      </x:c>
      <x:c r="C1054" s="108" t="n">
        <x:v>25</x:v>
      </x:c>
      <x:c r="D1054" s="86" t="str">
        <x:v>Z09</x:v>
      </x:c>
      <x:c r="E1054" s="86" t="str">
        <x:v>full</x:v>
      </x:c>
      <x:c r="F1054" s="86" t="str">
        <x:v>L1</x:v>
      </x:c>
      <x:c r="G1054" s="86" t="str">
        <x:v>igniter-CAL-1</x:v>
      </x:c>
      <x:c r="H1054" s="86" t="str">
        <x:v>T1</x:v>
      </x:c>
      <x:c r="I1054" s="91" t="str">
        <x:v>OPEN</x:v>
      </x:c>
    </x:row>
    <x:row r="1055">
      <x:c r="A1055" s="86" t="str">
        <x:v>CH-1050</x:v>
      </x:c>
      <x:c r="B1055" s="86" t="str">
        <x:v>igniter</x:v>
      </x:c>
      <x:c r="C1055" s="108" t="n">
        <x:v>26</x:v>
      </x:c>
      <x:c r="D1055" s="86" t="str">
        <x:v>Z10</x:v>
      </x:c>
      <x:c r="E1055" s="86" t="str">
        <x:v>full</x:v>
      </x:c>
      <x:c r="F1055" s="86" t="str">
        <x:v>L2</x:v>
      </x:c>
      <x:c r="G1055" s="86" t="str">
        <x:v>igniter-CAL-2</x:v>
      </x:c>
      <x:c r="H1055" s="86" t="str">
        <x:v>T2</x:v>
      </x:c>
      <x:c r="I1055" s="91" t="str">
        <x:v>OPEN</x:v>
      </x:c>
    </x:row>
    <x:row r="1056">
      <x:c r="A1056" s="86" t="str">
        <x:v>CH-1051</x:v>
      </x:c>
      <x:c r="B1056" s="86" t="str">
        <x:v>igniter</x:v>
      </x:c>
      <x:c r="C1056" s="108" t="n">
        <x:v>27</x:v>
      </x:c>
      <x:c r="D1056" s="86" t="str">
        <x:v>Z11</x:v>
      </x:c>
      <x:c r="E1056" s="86" t="str">
        <x:v>full</x:v>
      </x:c>
      <x:c r="F1056" s="86" t="str">
        <x:v>L3</x:v>
      </x:c>
      <x:c r="G1056" s="86" t="str">
        <x:v>igniter-CAL-3</x:v>
      </x:c>
      <x:c r="H1056" s="86" t="str">
        <x:v>T3</x:v>
      </x:c>
      <x:c r="I1056" s="91" t="str">
        <x:v>OPEN</x:v>
      </x:c>
    </x:row>
    <x:row r="1057">
      <x:c r="A1057" s="86" t="str">
        <x:v>CH-1052</x:v>
      </x:c>
      <x:c r="B1057" s="86" t="str">
        <x:v>igniter</x:v>
      </x:c>
      <x:c r="C1057" s="108" t="n">
        <x:v>28</x:v>
      </x:c>
      <x:c r="D1057" s="86" t="str">
        <x:v>Z12</x:v>
      </x:c>
      <x:c r="E1057" s="86" t="str">
        <x:v>full</x:v>
      </x:c>
      <x:c r="F1057" s="86" t="str">
        <x:v>L4</x:v>
      </x:c>
      <x:c r="G1057" s="86" t="str">
        <x:v>igniter-CAL-4</x:v>
      </x:c>
      <x:c r="H1057" s="86" t="str">
        <x:v>T4</x:v>
      </x:c>
      <x:c r="I1057" s="91" t="str">
        <x:v>OPEN</x:v>
      </x:c>
    </x:row>
    <x:row r="1058">
      <x:c r="A1058" s="86" t="str">
        <x:v>CH-1053</x:v>
      </x:c>
      <x:c r="B1058" s="86" t="str">
        <x:v>igniter</x:v>
      </x:c>
      <x:c r="C1058" s="108" t="n">
        <x:v>29</x:v>
      </x:c>
      <x:c r="D1058" s="86" t="str">
        <x:v>Z13</x:v>
      </x:c>
      <x:c r="E1058" s="86" t="str">
        <x:v>full</x:v>
      </x:c>
      <x:c r="F1058" s="86" t="str">
        <x:v>L1</x:v>
      </x:c>
      <x:c r="G1058" s="86" t="str">
        <x:v>igniter-CAL-1</x:v>
      </x:c>
      <x:c r="H1058" s="86" t="str">
        <x:v>T1</x:v>
      </x:c>
      <x:c r="I1058" s="91" t="str">
        <x:v>OPEN</x:v>
      </x:c>
    </x:row>
    <x:row r="1059">
      <x:c r="A1059" s="86" t="str">
        <x:v>CH-1054</x:v>
      </x:c>
      <x:c r="B1059" s="86" t="str">
        <x:v>igniter</x:v>
      </x:c>
      <x:c r="C1059" s="108" t="n">
        <x:v>30</x:v>
      </x:c>
      <x:c r="D1059" s="86" t="str">
        <x:v>Z14</x:v>
      </x:c>
      <x:c r="E1059" s="86" t="str">
        <x:v>full</x:v>
      </x:c>
      <x:c r="F1059" s="86" t="str">
        <x:v>L2</x:v>
      </x:c>
      <x:c r="G1059" s="86" t="str">
        <x:v>igniter-CAL-2</x:v>
      </x:c>
      <x:c r="H1059" s="86" t="str">
        <x:v>T2</x:v>
      </x:c>
      <x:c r="I1059" s="91" t="str">
        <x:v>OPEN</x:v>
      </x:c>
    </x:row>
    <x:row r="1060">
      <x:c r="A1060" s="86" t="str">
        <x:v>CH-1055</x:v>
      </x:c>
      <x:c r="B1060" s="86" t="str">
        <x:v>igniter</x:v>
      </x:c>
      <x:c r="C1060" s="108" t="n">
        <x:v>31</x:v>
      </x:c>
      <x:c r="D1060" s="86" t="str">
        <x:v>Z15</x:v>
      </x:c>
      <x:c r="E1060" s="86" t="str">
        <x:v>full</x:v>
      </x:c>
      <x:c r="F1060" s="86" t="str">
        <x:v>L3</x:v>
      </x:c>
      <x:c r="G1060" s="86" t="str">
        <x:v>igniter-CAL-3</x:v>
      </x:c>
      <x:c r="H1060" s="86" t="str">
        <x:v>T3</x:v>
      </x:c>
      <x:c r="I1060" s="91" t="str">
        <x:v>OPEN</x:v>
      </x:c>
    </x:row>
    <x:row r="1061">
      <x:c r="A1061" s="86" t="str">
        <x:v>CH-1056</x:v>
      </x:c>
      <x:c r="B1061" s="86" t="str">
        <x:v>igniter</x:v>
      </x:c>
      <x:c r="C1061" s="108" t="n">
        <x:v>32</x:v>
      </x:c>
      <x:c r="D1061" s="86" t="str">
        <x:v>Z16</x:v>
      </x:c>
      <x:c r="E1061" s="86" t="str">
        <x:v>full</x:v>
      </x:c>
      <x:c r="F1061" s="86" t="str">
        <x:v>L4</x:v>
      </x:c>
      <x:c r="G1061" s="86" t="str">
        <x:v>igniter-CAL-4</x:v>
      </x:c>
      <x:c r="H1061" s="86" t="str">
        <x:v>T4</x:v>
      </x:c>
      <x:c r="I1061" s="91" t="str">
        <x:v>OPEN</x:v>
      </x:c>
    </x:row>
    <x:row r="1062">
      <x:c r="A1062" s="86" t="str">
        <x:v>CH-1057</x:v>
      </x:c>
      <x:c r="B1062" s="86" t="str">
        <x:v>igniter</x:v>
      </x:c>
      <x:c r="C1062" s="108" t="n">
        <x:v>33</x:v>
      </x:c>
      <x:c r="D1062" s="86" t="str">
        <x:v>Z01</x:v>
      </x:c>
      <x:c r="E1062" s="86" t="str">
        <x:v>intermediate</x:v>
      </x:c>
      <x:c r="F1062" s="86" t="str">
        <x:v>L1</x:v>
      </x:c>
      <x:c r="G1062" s="86" t="str">
        <x:v>igniter-CAL-1</x:v>
      </x:c>
      <x:c r="H1062" s="86" t="str">
        <x:v>T1</x:v>
      </x:c>
      <x:c r="I1062" s="91" t="str">
        <x:v>OPEN</x:v>
      </x:c>
    </x:row>
    <x:row r="1063">
      <x:c r="A1063" s="86" t="str">
        <x:v>CH-1058</x:v>
      </x:c>
      <x:c r="B1063" s="86" t="str">
        <x:v>igniter</x:v>
      </x:c>
      <x:c r="C1063" s="108" t="n">
        <x:v>34</x:v>
      </x:c>
      <x:c r="D1063" s="86" t="str">
        <x:v>Z02</x:v>
      </x:c>
      <x:c r="E1063" s="86" t="str">
        <x:v>intermediate</x:v>
      </x:c>
      <x:c r="F1063" s="86" t="str">
        <x:v>L2</x:v>
      </x:c>
      <x:c r="G1063" s="86" t="str">
        <x:v>igniter-CAL-2</x:v>
      </x:c>
      <x:c r="H1063" s="86" t="str">
        <x:v>T2</x:v>
      </x:c>
      <x:c r="I1063" s="91" t="str">
        <x:v>OPEN</x:v>
      </x:c>
    </x:row>
    <x:row r="1064">
      <x:c r="A1064" s="86" t="str">
        <x:v>CH-1059</x:v>
      </x:c>
      <x:c r="B1064" s="86" t="str">
        <x:v>igniter</x:v>
      </x:c>
      <x:c r="C1064" s="108" t="n">
        <x:v>35</x:v>
      </x:c>
      <x:c r="D1064" s="86" t="str">
        <x:v>Z03</x:v>
      </x:c>
      <x:c r="E1064" s="86" t="str">
        <x:v>intermediate</x:v>
      </x:c>
      <x:c r="F1064" s="86" t="str">
        <x:v>L3</x:v>
      </x:c>
      <x:c r="G1064" s="86" t="str">
        <x:v>igniter-CAL-3</x:v>
      </x:c>
      <x:c r="H1064" s="86" t="str">
        <x:v>T3</x:v>
      </x:c>
      <x:c r="I1064" s="91" t="str">
        <x:v>OPEN</x:v>
      </x:c>
    </x:row>
    <x:row r="1065">
      <x:c r="A1065" s="86" t="str">
        <x:v>CH-1060</x:v>
      </x:c>
      <x:c r="B1065" s="86" t="str">
        <x:v>igniter</x:v>
      </x:c>
      <x:c r="C1065" s="108" t="n">
        <x:v>36</x:v>
      </x:c>
      <x:c r="D1065" s="86" t="str">
        <x:v>Z04</x:v>
      </x:c>
      <x:c r="E1065" s="86" t="str">
        <x:v>intermediate</x:v>
      </x:c>
      <x:c r="F1065" s="86" t="str">
        <x:v>L4</x:v>
      </x:c>
      <x:c r="G1065" s="86" t="str">
        <x:v>igniter-CAL-4</x:v>
      </x:c>
      <x:c r="H1065" s="86" t="str">
        <x:v>T4</x:v>
      </x:c>
      <x:c r="I1065" s="91" t="str">
        <x:v>OPEN</x:v>
      </x:c>
    </x:row>
    <x:row r="1066">
      <x:c r="A1066" s="86" t="str">
        <x:v>CH-1061</x:v>
      </x:c>
      <x:c r="B1066" s="86" t="str">
        <x:v>igniter</x:v>
      </x:c>
      <x:c r="C1066" s="108" t="n">
        <x:v>37</x:v>
      </x:c>
      <x:c r="D1066" s="86" t="str">
        <x:v>Z05</x:v>
      </x:c>
      <x:c r="E1066" s="86" t="str">
        <x:v>intermediate</x:v>
      </x:c>
      <x:c r="F1066" s="86" t="str">
        <x:v>L1</x:v>
      </x:c>
      <x:c r="G1066" s="86" t="str">
        <x:v>igniter-CAL-1</x:v>
      </x:c>
      <x:c r="H1066" s="86" t="str">
        <x:v>T1</x:v>
      </x:c>
      <x:c r="I1066" s="91" t="str">
        <x:v>OPEN</x:v>
      </x:c>
    </x:row>
    <x:row r="1067">
      <x:c r="A1067" s="86" t="str">
        <x:v>CH-1062</x:v>
      </x:c>
      <x:c r="B1067" s="86" t="str">
        <x:v>igniter</x:v>
      </x:c>
      <x:c r="C1067" s="108" t="n">
        <x:v>38</x:v>
      </x:c>
      <x:c r="D1067" s="86" t="str">
        <x:v>Z06</x:v>
      </x:c>
      <x:c r="E1067" s="86" t="str">
        <x:v>intermediate</x:v>
      </x:c>
      <x:c r="F1067" s="86" t="str">
        <x:v>L2</x:v>
      </x:c>
      <x:c r="G1067" s="86" t="str">
        <x:v>igniter-CAL-2</x:v>
      </x:c>
      <x:c r="H1067" s="86" t="str">
        <x:v>T2</x:v>
      </x:c>
      <x:c r="I1067" s="91" t="str">
        <x:v>OPEN</x:v>
      </x:c>
    </x:row>
    <x:row r="1068">
      <x:c r="A1068" s="86" t="str">
        <x:v>CH-1063</x:v>
      </x:c>
      <x:c r="B1068" s="86" t="str">
        <x:v>igniter</x:v>
      </x:c>
      <x:c r="C1068" s="108" t="n">
        <x:v>39</x:v>
      </x:c>
      <x:c r="D1068" s="86" t="str">
        <x:v>Z07</x:v>
      </x:c>
      <x:c r="E1068" s="86" t="str">
        <x:v>intermediate</x:v>
      </x:c>
      <x:c r="F1068" s="86" t="str">
        <x:v>L3</x:v>
      </x:c>
      <x:c r="G1068" s="86" t="str">
        <x:v>igniter-CAL-3</x:v>
      </x:c>
      <x:c r="H1068" s="86" t="str">
        <x:v>T3</x:v>
      </x:c>
      <x:c r="I1068" s="91" t="str">
        <x:v>OPEN</x:v>
      </x:c>
    </x:row>
    <x:row r="1069">
      <x:c r="A1069" s="86" t="str">
        <x:v>CH-1064</x:v>
      </x:c>
      <x:c r="B1069" s="86" t="str">
        <x:v>igniter</x:v>
      </x:c>
      <x:c r="C1069" s="108" t="n">
        <x:v>40</x:v>
      </x:c>
      <x:c r="D1069" s="86" t="str">
        <x:v>Z08</x:v>
      </x:c>
      <x:c r="E1069" s="86" t="str">
        <x:v>intermediate</x:v>
      </x:c>
      <x:c r="F1069" s="86" t="str">
        <x:v>L4</x:v>
      </x:c>
      <x:c r="G1069" s="86" t="str">
        <x:v>igniter-CAL-4</x:v>
      </x:c>
      <x:c r="H1069" s="86" t="str">
        <x:v>T4</x:v>
      </x:c>
      <x:c r="I1069" s="91" t="str">
        <x:v>OPEN</x:v>
      </x:c>
    </x:row>
    <x:row r="1070">
      <x:c r="A1070" s="86" t="str">
        <x:v>CH-1065</x:v>
      </x:c>
      <x:c r="B1070" s="86" t="str">
        <x:v>igniter</x:v>
      </x:c>
      <x:c r="C1070" s="108" t="n">
        <x:v>41</x:v>
      </x:c>
      <x:c r="D1070" s="86" t="str">
        <x:v>Z09</x:v>
      </x:c>
      <x:c r="E1070" s="86" t="str">
        <x:v>intermediate</x:v>
      </x:c>
      <x:c r="F1070" s="86" t="str">
        <x:v>L1</x:v>
      </x:c>
      <x:c r="G1070" s="86" t="str">
        <x:v>igniter-CAL-1</x:v>
      </x:c>
      <x:c r="H1070" s="86" t="str">
        <x:v>T1</x:v>
      </x:c>
      <x:c r="I1070" s="91" t="str">
        <x:v>OPEN</x:v>
      </x:c>
    </x:row>
    <x:row r="1071">
      <x:c r="A1071" s="86" t="str">
        <x:v>CH-1066</x:v>
      </x:c>
      <x:c r="B1071" s="86" t="str">
        <x:v>igniter</x:v>
      </x:c>
      <x:c r="C1071" s="108" t="n">
        <x:v>42</x:v>
      </x:c>
      <x:c r="D1071" s="86" t="str">
        <x:v>Z10</x:v>
      </x:c>
      <x:c r="E1071" s="86" t="str">
        <x:v>intermediate</x:v>
      </x:c>
      <x:c r="F1071" s="86" t="str">
        <x:v>L2</x:v>
      </x:c>
      <x:c r="G1071" s="86" t="str">
        <x:v>igniter-CAL-2</x:v>
      </x:c>
      <x:c r="H1071" s="86" t="str">
        <x:v>T2</x:v>
      </x:c>
      <x:c r="I1071" s="91" t="str">
        <x:v>OPEN</x:v>
      </x:c>
    </x:row>
    <x:row r="1072">
      <x:c r="A1072" s="86" t="str">
        <x:v>CH-1067</x:v>
      </x:c>
      <x:c r="B1072" s="86" t="str">
        <x:v>igniter</x:v>
      </x:c>
      <x:c r="C1072" s="108" t="n">
        <x:v>43</x:v>
      </x:c>
      <x:c r="D1072" s="86" t="str">
        <x:v>Z11</x:v>
      </x:c>
      <x:c r="E1072" s="86" t="str">
        <x:v>intermediate</x:v>
      </x:c>
      <x:c r="F1072" s="86" t="str">
        <x:v>L3</x:v>
      </x:c>
      <x:c r="G1072" s="86" t="str">
        <x:v>igniter-CAL-3</x:v>
      </x:c>
      <x:c r="H1072" s="86" t="str">
        <x:v>T3</x:v>
      </x:c>
      <x:c r="I1072" s="91" t="str">
        <x:v>OPEN</x:v>
      </x:c>
    </x:row>
    <x:row r="1073">
      <x:c r="A1073" s="86" t="str">
        <x:v>CH-1068</x:v>
      </x:c>
      <x:c r="B1073" s="86" t="str">
        <x:v>igniter</x:v>
      </x:c>
      <x:c r="C1073" s="108" t="n">
        <x:v>44</x:v>
      </x:c>
      <x:c r="D1073" s="86" t="str">
        <x:v>Z12</x:v>
      </x:c>
      <x:c r="E1073" s="86" t="str">
        <x:v>intermediate</x:v>
      </x:c>
      <x:c r="F1073" s="86" t="str">
        <x:v>L4</x:v>
      </x:c>
      <x:c r="G1073" s="86" t="str">
        <x:v>igniter-CAL-4</x:v>
      </x:c>
      <x:c r="H1073" s="86" t="str">
        <x:v>T4</x:v>
      </x:c>
      <x:c r="I1073" s="91" t="str">
        <x:v>OPEN</x:v>
      </x:c>
    </x:row>
    <x:row r="1074">
      <x:c r="A1074" s="86" t="str">
        <x:v>CH-1069</x:v>
      </x:c>
      <x:c r="B1074" s="86" t="str">
        <x:v>igniter</x:v>
      </x:c>
      <x:c r="C1074" s="108" t="n">
        <x:v>45</x:v>
      </x:c>
      <x:c r="D1074" s="86" t="str">
        <x:v>Z13</x:v>
      </x:c>
      <x:c r="E1074" s="86" t="str">
        <x:v>intermediate</x:v>
      </x:c>
      <x:c r="F1074" s="86" t="str">
        <x:v>L1</x:v>
      </x:c>
      <x:c r="G1074" s="86" t="str">
        <x:v>igniter-CAL-1</x:v>
      </x:c>
      <x:c r="H1074" s="86" t="str">
        <x:v>T1</x:v>
      </x:c>
      <x:c r="I1074" s="91" t="str">
        <x:v>OPEN</x:v>
      </x:c>
    </x:row>
    <x:row r="1075">
      <x:c r="A1075" s="86" t="str">
        <x:v>CH-1070</x:v>
      </x:c>
      <x:c r="B1075" s="86" t="str">
        <x:v>igniter</x:v>
      </x:c>
      <x:c r="C1075" s="108" t="n">
        <x:v>46</x:v>
      </x:c>
      <x:c r="D1075" s="86" t="str">
        <x:v>Z14</x:v>
      </x:c>
      <x:c r="E1075" s="86" t="str">
        <x:v>intermediate</x:v>
      </x:c>
      <x:c r="F1075" s="86" t="str">
        <x:v>L2</x:v>
      </x:c>
      <x:c r="G1075" s="86" t="str">
        <x:v>igniter-CAL-2</x:v>
      </x:c>
      <x:c r="H1075" s="86" t="str">
        <x:v>T2</x:v>
      </x:c>
      <x:c r="I1075" s="91" t="str">
        <x:v>OPEN</x:v>
      </x:c>
    </x:row>
    <x:row r="1076">
      <x:c r="A1076" s="86" t="str">
        <x:v>CH-1071</x:v>
      </x:c>
      <x:c r="B1076" s="86" t="str">
        <x:v>igniter</x:v>
      </x:c>
      <x:c r="C1076" s="108" t="n">
        <x:v>47</x:v>
      </x:c>
      <x:c r="D1076" s="86" t="str">
        <x:v>Z15</x:v>
      </x:c>
      <x:c r="E1076" s="86" t="str">
        <x:v>intermediate</x:v>
      </x:c>
      <x:c r="F1076" s="86" t="str">
        <x:v>L3</x:v>
      </x:c>
      <x:c r="G1076" s="86" t="str">
        <x:v>igniter-CAL-3</x:v>
      </x:c>
      <x:c r="H1076" s="86" t="str">
        <x:v>T3</x:v>
      </x:c>
      <x:c r="I1076" s="91" t="str">
        <x:v>OPEN</x:v>
      </x:c>
    </x:row>
    <x:row r="1077">
      <x:c r="A1077" s="86" t="str">
        <x:v>CH-1072</x:v>
      </x:c>
      <x:c r="B1077" s="86" t="str">
        <x:v>igniter</x:v>
      </x:c>
      <x:c r="C1077" s="108" t="n">
        <x:v>48</x:v>
      </x:c>
      <x:c r="D1077" s="86" t="str">
        <x:v>Z16</x:v>
      </x:c>
      <x:c r="E1077" s="86" t="str">
        <x:v>intermediate</x:v>
      </x:c>
      <x:c r="F1077" s="86" t="str">
        <x:v>L4</x:v>
      </x:c>
      <x:c r="G1077" s="86" t="str">
        <x:v>igniter-CAL-4</x:v>
      </x:c>
      <x:c r="H1077" s="86" t="str">
        <x:v>T4</x:v>
      </x:c>
      <x:c r="I1077" s="91" t="str">
        <x:v>OPEN</x:v>
      </x:c>
    </x:row>
    <x:row r="1078">
      <x:c r="A1078" s="86" t="str">
        <x:v>CH-1073</x:v>
      </x:c>
      <x:c r="B1078" s="86" t="str">
        <x:v>igniter</x:v>
      </x:c>
      <x:c r="C1078" s="108" t="n">
        <x:v>49</x:v>
      </x:c>
      <x:c r="D1078" s="86" t="str">
        <x:v>Z01</x:v>
      </x:c>
      <x:c r="E1078" s="86" t="str">
        <x:v>return</x:v>
      </x:c>
      <x:c r="F1078" s="86" t="str">
        <x:v>L1</x:v>
      </x:c>
      <x:c r="G1078" s="86" t="str">
        <x:v>igniter-CAL-1</x:v>
      </x:c>
      <x:c r="H1078" s="86" t="str">
        <x:v>T1</x:v>
      </x:c>
      <x:c r="I1078" s="91" t="str">
        <x:v>OPEN</x:v>
      </x:c>
    </x:row>
    <x:row r="1079">
      <x:c r="A1079" s="86" t="str">
        <x:v>CH-1074</x:v>
      </x:c>
      <x:c r="B1079" s="86" t="str">
        <x:v>igniter</x:v>
      </x:c>
      <x:c r="C1079" s="108" t="n">
        <x:v>50</x:v>
      </x:c>
      <x:c r="D1079" s="86" t="str">
        <x:v>Z02</x:v>
      </x:c>
      <x:c r="E1079" s="86" t="str">
        <x:v>return</x:v>
      </x:c>
      <x:c r="F1079" s="86" t="str">
        <x:v>L2</x:v>
      </x:c>
      <x:c r="G1079" s="86" t="str">
        <x:v>igniter-CAL-2</x:v>
      </x:c>
      <x:c r="H1079" s="86" t="str">
        <x:v>T2</x:v>
      </x:c>
      <x:c r="I1079" s="91" t="str">
        <x:v>OPEN</x:v>
      </x:c>
    </x:row>
    <x:row r="1080">
      <x:c r="A1080" s="86" t="str">
        <x:v>CH-1075</x:v>
      </x:c>
      <x:c r="B1080" s="86" t="str">
        <x:v>igniter</x:v>
      </x:c>
      <x:c r="C1080" s="108" t="n">
        <x:v>51</x:v>
      </x:c>
      <x:c r="D1080" s="86" t="str">
        <x:v>Z03</x:v>
      </x:c>
      <x:c r="E1080" s="86" t="str">
        <x:v>return</x:v>
      </x:c>
      <x:c r="F1080" s="86" t="str">
        <x:v>L3</x:v>
      </x:c>
      <x:c r="G1080" s="86" t="str">
        <x:v>igniter-CAL-3</x:v>
      </x:c>
      <x:c r="H1080" s="86" t="str">
        <x:v>T3</x:v>
      </x:c>
      <x:c r="I1080" s="91" t="str">
        <x:v>OPEN</x:v>
      </x:c>
    </x:row>
    <x:row r="1081">
      <x:c r="A1081" s="86" t="str">
        <x:v>CH-1076</x:v>
      </x:c>
      <x:c r="B1081" s="86" t="str">
        <x:v>igniter</x:v>
      </x:c>
      <x:c r="C1081" s="108" t="n">
        <x:v>52</x:v>
      </x:c>
      <x:c r="D1081" s="86" t="str">
        <x:v>Z04</x:v>
      </x:c>
      <x:c r="E1081" s="86" t="str">
        <x:v>return</x:v>
      </x:c>
      <x:c r="F1081" s="86" t="str">
        <x:v>L4</x:v>
      </x:c>
      <x:c r="G1081" s="86" t="str">
        <x:v>igniter-CAL-4</x:v>
      </x:c>
      <x:c r="H1081" s="86" t="str">
        <x:v>T4</x:v>
      </x:c>
      <x:c r="I1081" s="91" t="str">
        <x:v>OPEN</x:v>
      </x:c>
    </x:row>
    <x:row r="1082">
      <x:c r="A1082" s="86" t="str">
        <x:v>CH-1077</x:v>
      </x:c>
      <x:c r="B1082" s="86" t="str">
        <x:v>igniter</x:v>
      </x:c>
      <x:c r="C1082" s="108" t="n">
        <x:v>53</x:v>
      </x:c>
      <x:c r="D1082" s="86" t="str">
        <x:v>Z05</x:v>
      </x:c>
      <x:c r="E1082" s="86" t="str">
        <x:v>return</x:v>
      </x:c>
      <x:c r="F1082" s="86" t="str">
        <x:v>L1</x:v>
      </x:c>
      <x:c r="G1082" s="86" t="str">
        <x:v>igniter-CAL-1</x:v>
      </x:c>
      <x:c r="H1082" s="86" t="str">
        <x:v>T1</x:v>
      </x:c>
      <x:c r="I1082" s="91" t="str">
        <x:v>OPEN</x:v>
      </x:c>
    </x:row>
    <x:row r="1083">
      <x:c r="A1083" s="86" t="str">
        <x:v>CH-1078</x:v>
      </x:c>
      <x:c r="B1083" s="86" t="str">
        <x:v>igniter</x:v>
      </x:c>
      <x:c r="C1083" s="108" t="n">
        <x:v>54</x:v>
      </x:c>
      <x:c r="D1083" s="86" t="str">
        <x:v>Z06</x:v>
      </x:c>
      <x:c r="E1083" s="86" t="str">
        <x:v>return</x:v>
      </x:c>
      <x:c r="F1083" s="86" t="str">
        <x:v>L2</x:v>
      </x:c>
      <x:c r="G1083" s="86" t="str">
        <x:v>igniter-CAL-2</x:v>
      </x:c>
      <x:c r="H1083" s="86" t="str">
        <x:v>T2</x:v>
      </x:c>
      <x:c r="I1083" s="91" t="str">
        <x:v>OPEN</x:v>
      </x:c>
    </x:row>
    <x:row r="1084">
      <x:c r="A1084" s="86" t="str">
        <x:v>CH-1079</x:v>
      </x:c>
      <x:c r="B1084" s="86" t="str">
        <x:v>igniter</x:v>
      </x:c>
      <x:c r="C1084" s="108" t="n">
        <x:v>55</x:v>
      </x:c>
      <x:c r="D1084" s="86" t="str">
        <x:v>Z07</x:v>
      </x:c>
      <x:c r="E1084" s="86" t="str">
        <x:v>return</x:v>
      </x:c>
      <x:c r="F1084" s="86" t="str">
        <x:v>L3</x:v>
      </x:c>
      <x:c r="G1084" s="86" t="str">
        <x:v>igniter-CAL-3</x:v>
      </x:c>
      <x:c r="H1084" s="86" t="str">
        <x:v>T3</x:v>
      </x:c>
      <x:c r="I1084" s="91" t="str">
        <x:v>OPEN</x:v>
      </x:c>
    </x:row>
    <x:row r="1085">
      <x:c r="A1085" s="86" t="str">
        <x:v>CH-1080</x:v>
      </x:c>
      <x:c r="B1085" s="86" t="str">
        <x:v>igniter</x:v>
      </x:c>
      <x:c r="C1085" s="108" t="n">
        <x:v>56</x:v>
      </x:c>
      <x:c r="D1085" s="86" t="str">
        <x:v>Z08</x:v>
      </x:c>
      <x:c r="E1085" s="86" t="str">
        <x:v>return</x:v>
      </x:c>
      <x:c r="F1085" s="86" t="str">
        <x:v>L4</x:v>
      </x:c>
      <x:c r="G1085" s="86" t="str">
        <x:v>igniter-CAL-4</x:v>
      </x:c>
      <x:c r="H1085" s="86" t="str">
        <x:v>T4</x:v>
      </x:c>
      <x:c r="I1085" s="91" t="str">
        <x:v>OPEN</x:v>
      </x:c>
    </x:row>
    <x:row r="1086">
      <x:c r="A1086" s="86" t="str">
        <x:v>CH-1081</x:v>
      </x:c>
      <x:c r="B1086" s="86" t="str">
        <x:v>igniter</x:v>
      </x:c>
      <x:c r="C1086" s="108" t="n">
        <x:v>57</x:v>
      </x:c>
      <x:c r="D1086" s="86" t="str">
        <x:v>Z09</x:v>
      </x:c>
      <x:c r="E1086" s="86" t="str">
        <x:v>return</x:v>
      </x:c>
      <x:c r="F1086" s="86" t="str">
        <x:v>L1</x:v>
      </x:c>
      <x:c r="G1086" s="86" t="str">
        <x:v>igniter-CAL-1</x:v>
      </x:c>
      <x:c r="H1086" s="86" t="str">
        <x:v>T1</x:v>
      </x:c>
      <x:c r="I1086" s="91" t="str">
        <x:v>OPEN</x:v>
      </x:c>
    </x:row>
    <x:row r="1087">
      <x:c r="A1087" s="86" t="str">
        <x:v>CH-1082</x:v>
      </x:c>
      <x:c r="B1087" s="86" t="str">
        <x:v>igniter</x:v>
      </x:c>
      <x:c r="C1087" s="108" t="n">
        <x:v>58</x:v>
      </x:c>
      <x:c r="D1087" s="86" t="str">
        <x:v>Z10</x:v>
      </x:c>
      <x:c r="E1087" s="86" t="str">
        <x:v>return</x:v>
      </x:c>
      <x:c r="F1087" s="86" t="str">
        <x:v>L2</x:v>
      </x:c>
      <x:c r="G1087" s="86" t="str">
        <x:v>igniter-CAL-2</x:v>
      </x:c>
      <x:c r="H1087" s="86" t="str">
        <x:v>T2</x:v>
      </x:c>
      <x:c r="I1087" s="91" t="str">
        <x:v>OPEN</x:v>
      </x:c>
    </x:row>
    <x:row r="1088">
      <x:c r="A1088" s="86" t="str">
        <x:v>CH-1083</x:v>
      </x:c>
      <x:c r="B1088" s="86" t="str">
        <x:v>igniter</x:v>
      </x:c>
      <x:c r="C1088" s="108" t="n">
        <x:v>59</x:v>
      </x:c>
      <x:c r="D1088" s="86" t="str">
        <x:v>Z11</x:v>
      </x:c>
      <x:c r="E1088" s="86" t="str">
        <x:v>return</x:v>
      </x:c>
      <x:c r="F1088" s="86" t="str">
        <x:v>L3</x:v>
      </x:c>
      <x:c r="G1088" s="86" t="str">
        <x:v>igniter-CAL-3</x:v>
      </x:c>
      <x:c r="H1088" s="86" t="str">
        <x:v>T3</x:v>
      </x:c>
      <x:c r="I1088" s="91" t="str">
        <x:v>OPEN</x:v>
      </x:c>
    </x:row>
    <x:row r="1089">
      <x:c r="A1089" s="86" t="str">
        <x:v>CH-1084</x:v>
      </x:c>
      <x:c r="B1089" s="86" t="str">
        <x:v>igniter</x:v>
      </x:c>
      <x:c r="C1089" s="108" t="n">
        <x:v>60</x:v>
      </x:c>
      <x:c r="D1089" s="86" t="str">
        <x:v>Z12</x:v>
      </x:c>
      <x:c r="E1089" s="86" t="str">
        <x:v>return</x:v>
      </x:c>
      <x:c r="F1089" s="86" t="str">
        <x:v>L4</x:v>
      </x:c>
      <x:c r="G1089" s="86" t="str">
        <x:v>igniter-CAL-4</x:v>
      </x:c>
      <x:c r="H1089" s="86" t="str">
        <x:v>T4</x:v>
      </x:c>
      <x:c r="I1089" s="91" t="str">
        <x:v>OPEN</x:v>
      </x:c>
    </x:row>
    <x:row r="1090">
      <x:c r="A1090" s="86" t="str">
        <x:v>CH-1085</x:v>
      </x:c>
      <x:c r="B1090" s="86" t="str">
        <x:v>igniter</x:v>
      </x:c>
      <x:c r="C1090" s="108" t="n">
        <x:v>61</x:v>
      </x:c>
      <x:c r="D1090" s="86" t="str">
        <x:v>Z13</x:v>
      </x:c>
      <x:c r="E1090" s="86" t="str">
        <x:v>return</x:v>
      </x:c>
      <x:c r="F1090" s="86" t="str">
        <x:v>L1</x:v>
      </x:c>
      <x:c r="G1090" s="86" t="str">
        <x:v>igniter-CAL-1</x:v>
      </x:c>
      <x:c r="H1090" s="86" t="str">
        <x:v>T1</x:v>
      </x:c>
      <x:c r="I1090" s="91" t="str">
        <x:v>OPEN</x:v>
      </x:c>
    </x:row>
    <x:row r="1091">
      <x:c r="A1091" s="86" t="str">
        <x:v>CH-1086</x:v>
      </x:c>
      <x:c r="B1091" s="86" t="str">
        <x:v>igniter</x:v>
      </x:c>
      <x:c r="C1091" s="108" t="n">
        <x:v>62</x:v>
      </x:c>
      <x:c r="D1091" s="86" t="str">
        <x:v>Z14</x:v>
      </x:c>
      <x:c r="E1091" s="86" t="str">
        <x:v>return</x:v>
      </x:c>
      <x:c r="F1091" s="86" t="str">
        <x:v>L2</x:v>
      </x:c>
      <x:c r="G1091" s="86" t="str">
        <x:v>igniter-CAL-2</x:v>
      </x:c>
      <x:c r="H1091" s="86" t="str">
        <x:v>T2</x:v>
      </x:c>
      <x:c r="I1091" s="91" t="str">
        <x:v>OPEN</x:v>
      </x:c>
    </x:row>
    <x:row r="1092">
      <x:c r="A1092" s="86" t="str">
        <x:v>CH-1087</x:v>
      </x:c>
      <x:c r="B1092" s="86" t="str">
        <x:v>igniter</x:v>
      </x:c>
      <x:c r="C1092" s="108" t="n">
        <x:v>63</x:v>
      </x:c>
      <x:c r="D1092" s="86" t="str">
        <x:v>Z15</x:v>
      </x:c>
      <x:c r="E1092" s="86" t="str">
        <x:v>return</x:v>
      </x:c>
      <x:c r="F1092" s="86" t="str">
        <x:v>L3</x:v>
      </x:c>
      <x:c r="G1092" s="86" t="str">
        <x:v>igniter-CAL-3</x:v>
      </x:c>
      <x:c r="H1092" s="86" t="str">
        <x:v>T3</x:v>
      </x:c>
      <x:c r="I1092" s="91" t="str">
        <x:v>OPEN</x:v>
      </x:c>
    </x:row>
    <x:row r="1093">
      <x:c r="A1093" s="86" t="str">
        <x:v>CH-1088</x:v>
      </x:c>
      <x:c r="B1093" s="86" t="str">
        <x:v>igniter</x:v>
      </x:c>
      <x:c r="C1093" s="108" t="n">
        <x:v>64</x:v>
      </x:c>
      <x:c r="D1093" s="86" t="str">
        <x:v>Z16</x:v>
      </x:c>
      <x:c r="E1093" s="86" t="str">
        <x:v>return</x:v>
      </x:c>
      <x:c r="F1093" s="86" t="str">
        <x:v>L4</x:v>
      </x:c>
      <x:c r="G1093" s="86" t="str">
        <x:v>igniter-CAL-4</x:v>
      </x:c>
      <x:c r="H1093" s="86" t="str">
        <x:v>T4</x:v>
      </x:c>
      <x:c r="I1093" s="91" t="str">
        <x:v>OPEN</x:v>
      </x:c>
    </x:row>
    <x:row r="1094">
      <x:c r="A1094" s="86" t="str">
        <x:v>CH-1089</x:v>
      </x:c>
      <x:c r="B1094" s="86" t="str">
        <x:v>safeing and environment</x:v>
      </x:c>
      <x:c r="C1094" s="108" t="n">
        <x:v>1</x:v>
      </x:c>
      <x:c r="D1094" s="86" t="str">
        <x:v>Z01</x:v>
      </x:c>
      <x:c r="E1094" s="86" t="str">
        <x:v>full</x:v>
      </x:c>
      <x:c r="F1094" s="86" t="str">
        <x:v>L1</x:v>
      </x:c>
      <x:c r="G1094" s="86" t="str">
        <x:v>safeing and environment-CAL-1</x:v>
      </x:c>
      <x:c r="H1094" s="86" t="str">
        <x:v>T1</x:v>
      </x:c>
      <x:c r="I1094" s="91" t="str">
        <x:v>OPEN</x:v>
      </x:c>
    </x:row>
    <x:row r="1095">
      <x:c r="A1095" s="86" t="str">
        <x:v>CH-1090</x:v>
      </x:c>
      <x:c r="B1095" s="86" t="str">
        <x:v>safeing and environment</x:v>
      </x:c>
      <x:c r="C1095" s="108" t="n">
        <x:v>2</x:v>
      </x:c>
      <x:c r="D1095" s="86" t="str">
        <x:v>Z02</x:v>
      </x:c>
      <x:c r="E1095" s="86" t="str">
        <x:v>full</x:v>
      </x:c>
      <x:c r="F1095" s="86" t="str">
        <x:v>L2</x:v>
      </x:c>
      <x:c r="G1095" s="86" t="str">
        <x:v>safeing and environment-CAL-2</x:v>
      </x:c>
      <x:c r="H1095" s="86" t="str">
        <x:v>T2</x:v>
      </x:c>
      <x:c r="I1095" s="91" t="str">
        <x:v>OPEN</x:v>
      </x:c>
    </x:row>
    <x:row r="1096">
      <x:c r="A1096" s="86" t="str">
        <x:v>CH-1091</x:v>
      </x:c>
      <x:c r="B1096" s="86" t="str">
        <x:v>safeing and environment</x:v>
      </x:c>
      <x:c r="C1096" s="108" t="n">
        <x:v>3</x:v>
      </x:c>
      <x:c r="D1096" s="86" t="str">
        <x:v>Z03</x:v>
      </x:c>
      <x:c r="E1096" s="86" t="str">
        <x:v>full</x:v>
      </x:c>
      <x:c r="F1096" s="86" t="str">
        <x:v>L3</x:v>
      </x:c>
      <x:c r="G1096" s="86" t="str">
        <x:v>safeing and environment-CAL-3</x:v>
      </x:c>
      <x:c r="H1096" s="86" t="str">
        <x:v>T3</x:v>
      </x:c>
      <x:c r="I1096" s="91" t="str">
        <x:v>OPEN</x:v>
      </x:c>
    </x:row>
    <x:row r="1097">
      <x:c r="A1097" s="86" t="str">
        <x:v>CH-1092</x:v>
      </x:c>
      <x:c r="B1097" s="86" t="str">
        <x:v>safeing and environment</x:v>
      </x:c>
      <x:c r="C1097" s="108" t="n">
        <x:v>4</x:v>
      </x:c>
      <x:c r="D1097" s="86" t="str">
        <x:v>Z04</x:v>
      </x:c>
      <x:c r="E1097" s="86" t="str">
        <x:v>full</x:v>
      </x:c>
      <x:c r="F1097" s="86" t="str">
        <x:v>L4</x:v>
      </x:c>
      <x:c r="G1097" s="86" t="str">
        <x:v>safeing and environment-CAL-4</x:v>
      </x:c>
      <x:c r="H1097" s="86" t="str">
        <x:v>T4</x:v>
      </x:c>
      <x:c r="I1097" s="91" t="str">
        <x:v>OPEN</x:v>
      </x:c>
    </x:row>
    <x:row r="1098">
      <x:c r="A1098" s="86" t="str">
        <x:v>CH-1093</x:v>
      </x:c>
      <x:c r="B1098" s="86" t="str">
        <x:v>safeing and environment</x:v>
      </x:c>
      <x:c r="C1098" s="108" t="n">
        <x:v>5</x:v>
      </x:c>
      <x:c r="D1098" s="86" t="str">
        <x:v>Z05</x:v>
      </x:c>
      <x:c r="E1098" s="86" t="str">
        <x:v>full</x:v>
      </x:c>
      <x:c r="F1098" s="86" t="str">
        <x:v>L1</x:v>
      </x:c>
      <x:c r="G1098" s="86" t="str">
        <x:v>safeing and environment-CAL-1</x:v>
      </x:c>
      <x:c r="H1098" s="86" t="str">
        <x:v>T1</x:v>
      </x:c>
      <x:c r="I1098" s="91" t="str">
        <x:v>OPEN</x:v>
      </x:c>
    </x:row>
    <x:row r="1099">
      <x:c r="A1099" s="86" t="str">
        <x:v>CH-1094</x:v>
      </x:c>
      <x:c r="B1099" s="86" t="str">
        <x:v>safeing and environment</x:v>
      </x:c>
      <x:c r="C1099" s="108" t="n">
        <x:v>6</x:v>
      </x:c>
      <x:c r="D1099" s="86" t="str">
        <x:v>Z06</x:v>
      </x:c>
      <x:c r="E1099" s="86" t="str">
        <x:v>full</x:v>
      </x:c>
      <x:c r="F1099" s="86" t="str">
        <x:v>L2</x:v>
      </x:c>
      <x:c r="G1099" s="86" t="str">
        <x:v>safeing and environment-CAL-2</x:v>
      </x:c>
      <x:c r="H1099" s="86" t="str">
        <x:v>T2</x:v>
      </x:c>
      <x:c r="I1099" s="91" t="str">
        <x:v>OPEN</x:v>
      </x:c>
    </x:row>
    <x:row r="1100">
      <x:c r="A1100" s="86" t="str">
        <x:v>CH-1095</x:v>
      </x:c>
      <x:c r="B1100" s="86" t="str">
        <x:v>safeing and environment</x:v>
      </x:c>
      <x:c r="C1100" s="108" t="n">
        <x:v>7</x:v>
      </x:c>
      <x:c r="D1100" s="86" t="str">
        <x:v>Z07</x:v>
      </x:c>
      <x:c r="E1100" s="86" t="str">
        <x:v>full</x:v>
      </x:c>
      <x:c r="F1100" s="86" t="str">
        <x:v>L3</x:v>
      </x:c>
      <x:c r="G1100" s="86" t="str">
        <x:v>safeing and environment-CAL-3</x:v>
      </x:c>
      <x:c r="H1100" s="86" t="str">
        <x:v>T3</x:v>
      </x:c>
      <x:c r="I1100" s="91" t="str">
        <x:v>OPEN</x:v>
      </x:c>
    </x:row>
    <x:row r="1101">
      <x:c r="A1101" s="86" t="str">
        <x:v>CH-1096</x:v>
      </x:c>
      <x:c r="B1101" s="86" t="str">
        <x:v>safeing and environment</x:v>
      </x:c>
      <x:c r="C1101" s="108" t="n">
        <x:v>8</x:v>
      </x:c>
      <x:c r="D1101" s="86" t="str">
        <x:v>Z08</x:v>
      </x:c>
      <x:c r="E1101" s="86" t="str">
        <x:v>full</x:v>
      </x:c>
      <x:c r="F1101" s="86" t="str">
        <x:v>L4</x:v>
      </x:c>
      <x:c r="G1101" s="86" t="str">
        <x:v>safeing and environment-CAL-4</x:v>
      </x:c>
      <x:c r="H1101" s="86" t="str">
        <x:v>T4</x:v>
      </x:c>
      <x:c r="I1101" s="91" t="str">
        <x:v>OPEN</x:v>
      </x:c>
    </x:row>
    <x:row r="1102">
      <x:c r="A1102" s="86" t="str">
        <x:v>CH-1097</x:v>
      </x:c>
      <x:c r="B1102" s="86" t="str">
        <x:v>safeing and environment</x:v>
      </x:c>
      <x:c r="C1102" s="108" t="n">
        <x:v>9</x:v>
      </x:c>
      <x:c r="D1102" s="86" t="str">
        <x:v>Z09</x:v>
      </x:c>
      <x:c r="E1102" s="86" t="str">
        <x:v>full</x:v>
      </x:c>
      <x:c r="F1102" s="86" t="str">
        <x:v>L1</x:v>
      </x:c>
      <x:c r="G1102" s="86" t="str">
        <x:v>safeing and environment-CAL-1</x:v>
      </x:c>
      <x:c r="H1102" s="86" t="str">
        <x:v>T1</x:v>
      </x:c>
      <x:c r="I1102" s="91" t="str">
        <x:v>OPEN</x:v>
      </x:c>
    </x:row>
    <x:row r="1103">
      <x:c r="A1103" s="86" t="str">
        <x:v>CH-1098</x:v>
      </x:c>
      <x:c r="B1103" s="86" t="str">
        <x:v>safeing and environment</x:v>
      </x:c>
      <x:c r="C1103" s="108" t="n">
        <x:v>10</x:v>
      </x:c>
      <x:c r="D1103" s="86" t="str">
        <x:v>Z10</x:v>
      </x:c>
      <x:c r="E1103" s="86" t="str">
        <x:v>full</x:v>
      </x:c>
      <x:c r="F1103" s="86" t="str">
        <x:v>L2</x:v>
      </x:c>
      <x:c r="G1103" s="86" t="str">
        <x:v>safeing and environment-CAL-2</x:v>
      </x:c>
      <x:c r="H1103" s="86" t="str">
        <x:v>T2</x:v>
      </x:c>
      <x:c r="I1103" s="91" t="str">
        <x:v>OPEN</x:v>
      </x:c>
    </x:row>
    <x:row r="1104">
      <x:c r="A1104" s="86" t="str">
        <x:v>CH-1099</x:v>
      </x:c>
      <x:c r="B1104" s="86" t="str">
        <x:v>safeing and environment</x:v>
      </x:c>
      <x:c r="C1104" s="108" t="n">
        <x:v>11</x:v>
      </x:c>
      <x:c r="D1104" s="86" t="str">
        <x:v>Z11</x:v>
      </x:c>
      <x:c r="E1104" s="86" t="str">
        <x:v>full</x:v>
      </x:c>
      <x:c r="F1104" s="86" t="str">
        <x:v>L3</x:v>
      </x:c>
      <x:c r="G1104" s="86" t="str">
        <x:v>safeing and environment-CAL-3</x:v>
      </x:c>
      <x:c r="H1104" s="86" t="str">
        <x:v>T3</x:v>
      </x:c>
      <x:c r="I1104" s="91" t="str">
        <x:v>OPEN</x:v>
      </x:c>
    </x:row>
    <x:row r="1105">
      <x:c r="A1105" s="86" t="str">
        <x:v>CH-1100</x:v>
      </x:c>
      <x:c r="B1105" s="86" t="str">
        <x:v>safeing and environment</x:v>
      </x:c>
      <x:c r="C1105" s="108" t="n">
        <x:v>12</x:v>
      </x:c>
      <x:c r="D1105" s="86" t="str">
        <x:v>Z12</x:v>
      </x:c>
      <x:c r="E1105" s="86" t="str">
        <x:v>full</x:v>
      </x:c>
      <x:c r="F1105" s="86" t="str">
        <x:v>L4</x:v>
      </x:c>
      <x:c r="G1105" s="86" t="str">
        <x:v>safeing and environment-CAL-4</x:v>
      </x:c>
      <x:c r="H1105" s="86" t="str">
        <x:v>T4</x:v>
      </x:c>
      <x:c r="I1105" s="91" t="str">
        <x:v>OPEN</x:v>
      </x:c>
    </x:row>
    <x:row r="1106">
      <x:c r="A1106" s="86" t="str">
        <x:v>CH-1101</x:v>
      </x:c>
      <x:c r="B1106" s="86" t="str">
        <x:v>safeing and environment</x:v>
      </x:c>
      <x:c r="C1106" s="108" t="n">
        <x:v>13</x:v>
      </x:c>
      <x:c r="D1106" s="86" t="str">
        <x:v>Z13</x:v>
      </x:c>
      <x:c r="E1106" s="86" t="str">
        <x:v>full</x:v>
      </x:c>
      <x:c r="F1106" s="86" t="str">
        <x:v>L1</x:v>
      </x:c>
      <x:c r="G1106" s="86" t="str">
        <x:v>safeing and environment-CAL-1</x:v>
      </x:c>
      <x:c r="H1106" s="86" t="str">
        <x:v>T1</x:v>
      </x:c>
      <x:c r="I1106" s="91" t="str">
        <x:v>OPEN</x:v>
      </x:c>
    </x:row>
    <x:row r="1107">
      <x:c r="A1107" s="86" t="str">
        <x:v>CH-1102</x:v>
      </x:c>
      <x:c r="B1107" s="86" t="str">
        <x:v>safeing and environment</x:v>
      </x:c>
      <x:c r="C1107" s="108" t="n">
        <x:v>14</x:v>
      </x:c>
      <x:c r="D1107" s="86" t="str">
        <x:v>Z14</x:v>
      </x:c>
      <x:c r="E1107" s="86" t="str">
        <x:v>full</x:v>
      </x:c>
      <x:c r="F1107" s="86" t="str">
        <x:v>L2</x:v>
      </x:c>
      <x:c r="G1107" s="86" t="str">
        <x:v>safeing and environment-CAL-2</x:v>
      </x:c>
      <x:c r="H1107" s="86" t="str">
        <x:v>T2</x:v>
      </x:c>
      <x:c r="I1107" s="91" t="str">
        <x:v>OPEN</x:v>
      </x:c>
    </x:row>
    <x:row r="1108">
      <x:c r="A1108" s="86" t="str">
        <x:v>CH-1103</x:v>
      </x:c>
      <x:c r="B1108" s="86" t="str">
        <x:v>safeing and environment</x:v>
      </x:c>
      <x:c r="C1108" s="108" t="n">
        <x:v>15</x:v>
      </x:c>
      <x:c r="D1108" s="86" t="str">
        <x:v>Z15</x:v>
      </x:c>
      <x:c r="E1108" s="86" t="str">
        <x:v>full</x:v>
      </x:c>
      <x:c r="F1108" s="86" t="str">
        <x:v>L3</x:v>
      </x:c>
      <x:c r="G1108" s="86" t="str">
        <x:v>safeing and environment-CAL-3</x:v>
      </x:c>
      <x:c r="H1108" s="86" t="str">
        <x:v>T3</x:v>
      </x:c>
      <x:c r="I1108" s="91" t="str">
        <x:v>OPEN</x:v>
      </x:c>
    </x:row>
    <x:row r="1109">
      <x:c r="A1109" s="86" t="str">
        <x:v>CH-1104</x:v>
      </x:c>
      <x:c r="B1109" s="86" t="str">
        <x:v>safeing and environment</x:v>
      </x:c>
      <x:c r="C1109" s="108" t="n">
        <x:v>16</x:v>
      </x:c>
      <x:c r="D1109" s="86" t="str">
        <x:v>Z16</x:v>
      </x:c>
      <x:c r="E1109" s="86" t="str">
        <x:v>full</x:v>
      </x:c>
      <x:c r="F1109" s="86" t="str">
        <x:v>L4</x:v>
      </x:c>
      <x:c r="G1109" s="86" t="str">
        <x:v>safeing and environment-CAL-4</x:v>
      </x:c>
      <x:c r="H1109" s="86" t="str">
        <x:v>T4</x:v>
      </x:c>
      <x:c r="I1109" s="91" t="str">
        <x:v>OPEN</x:v>
      </x:c>
    </x:row>
    <x:row r="1110">
      <x:c r="A1110" s="86" t="str">
        <x:v>CH-1105</x:v>
      </x:c>
      <x:c r="B1110" s="86" t="str">
        <x:v>safeing and environment</x:v>
      </x:c>
      <x:c r="C1110" s="108" t="n">
        <x:v>17</x:v>
      </x:c>
      <x:c r="D1110" s="86" t="str">
        <x:v>Z01</x:v>
      </x:c>
      <x:c r="E1110" s="86" t="str">
        <x:v>full</x:v>
      </x:c>
      <x:c r="F1110" s="86" t="str">
        <x:v>L1</x:v>
      </x:c>
      <x:c r="G1110" s="86" t="str">
        <x:v>safeing and environment-CAL-1</x:v>
      </x:c>
      <x:c r="H1110" s="86" t="str">
        <x:v>T1</x:v>
      </x:c>
      <x:c r="I1110" s="91" t="str">
        <x:v>OPEN</x:v>
      </x:c>
    </x:row>
    <x:row r="1111">
      <x:c r="A1111" s="86" t="str">
        <x:v>CH-1106</x:v>
      </x:c>
      <x:c r="B1111" s="86" t="str">
        <x:v>safeing and environment</x:v>
      </x:c>
      <x:c r="C1111" s="108" t="n">
        <x:v>18</x:v>
      </x:c>
      <x:c r="D1111" s="86" t="str">
        <x:v>Z02</x:v>
      </x:c>
      <x:c r="E1111" s="86" t="str">
        <x:v>full</x:v>
      </x:c>
      <x:c r="F1111" s="86" t="str">
        <x:v>L2</x:v>
      </x:c>
      <x:c r="G1111" s="86" t="str">
        <x:v>safeing and environment-CAL-2</x:v>
      </x:c>
      <x:c r="H1111" s="86" t="str">
        <x:v>T2</x:v>
      </x:c>
      <x:c r="I1111" s="91" t="str">
        <x:v>OPEN</x:v>
      </x:c>
    </x:row>
    <x:row r="1112">
      <x:c r="A1112" s="86" t="str">
        <x:v>CH-1107</x:v>
      </x:c>
      <x:c r="B1112" s="86" t="str">
        <x:v>safeing and environment</x:v>
      </x:c>
      <x:c r="C1112" s="108" t="n">
        <x:v>19</x:v>
      </x:c>
      <x:c r="D1112" s="86" t="str">
        <x:v>Z03</x:v>
      </x:c>
      <x:c r="E1112" s="86" t="str">
        <x:v>full</x:v>
      </x:c>
      <x:c r="F1112" s="86" t="str">
        <x:v>L3</x:v>
      </x:c>
      <x:c r="G1112" s="86" t="str">
        <x:v>safeing and environment-CAL-3</x:v>
      </x:c>
      <x:c r="H1112" s="86" t="str">
        <x:v>T3</x:v>
      </x:c>
      <x:c r="I1112" s="91" t="str">
        <x:v>OPEN</x:v>
      </x:c>
    </x:row>
    <x:row r="1113">
      <x:c r="A1113" s="86" t="str">
        <x:v>CH-1108</x:v>
      </x:c>
      <x:c r="B1113" s="86" t="str">
        <x:v>safeing and environment</x:v>
      </x:c>
      <x:c r="C1113" s="108" t="n">
        <x:v>20</x:v>
      </x:c>
      <x:c r="D1113" s="86" t="str">
        <x:v>Z04</x:v>
      </x:c>
      <x:c r="E1113" s="86" t="str">
        <x:v>full</x:v>
      </x:c>
      <x:c r="F1113" s="86" t="str">
        <x:v>L4</x:v>
      </x:c>
      <x:c r="G1113" s="86" t="str">
        <x:v>safeing and environment-CAL-4</x:v>
      </x:c>
      <x:c r="H1113" s="86" t="str">
        <x:v>T4</x:v>
      </x:c>
      <x:c r="I1113" s="91" t="str">
        <x:v>OPEN</x:v>
      </x:c>
    </x:row>
    <x:row r="1114">
      <x:c r="A1114" s="86" t="str">
        <x:v>CH-1109</x:v>
      </x:c>
      <x:c r="B1114" s="86" t="str">
        <x:v>safeing and environment</x:v>
      </x:c>
      <x:c r="C1114" s="108" t="n">
        <x:v>21</x:v>
      </x:c>
      <x:c r="D1114" s="86" t="str">
        <x:v>Z05</x:v>
      </x:c>
      <x:c r="E1114" s="86" t="str">
        <x:v>full</x:v>
      </x:c>
      <x:c r="F1114" s="86" t="str">
        <x:v>L1</x:v>
      </x:c>
      <x:c r="G1114" s="86" t="str">
        <x:v>safeing and environment-CAL-1</x:v>
      </x:c>
      <x:c r="H1114" s="86" t="str">
        <x:v>T1</x:v>
      </x:c>
      <x:c r="I1114" s="91" t="str">
        <x:v>OPEN</x:v>
      </x:c>
    </x:row>
    <x:row r="1115">
      <x:c r="A1115" s="86" t="str">
        <x:v>CH-1110</x:v>
      </x:c>
      <x:c r="B1115" s="86" t="str">
        <x:v>safeing and environment</x:v>
      </x:c>
      <x:c r="C1115" s="108" t="n">
        <x:v>22</x:v>
      </x:c>
      <x:c r="D1115" s="86" t="str">
        <x:v>Z06</x:v>
      </x:c>
      <x:c r="E1115" s="86" t="str">
        <x:v>full</x:v>
      </x:c>
      <x:c r="F1115" s="86" t="str">
        <x:v>L2</x:v>
      </x:c>
      <x:c r="G1115" s="86" t="str">
        <x:v>safeing and environment-CAL-2</x:v>
      </x:c>
      <x:c r="H1115" s="86" t="str">
        <x:v>T2</x:v>
      </x:c>
      <x:c r="I1115" s="91" t="str">
        <x:v>OPEN</x:v>
      </x:c>
    </x:row>
    <x:row r="1116">
      <x:c r="A1116" s="86" t="str">
        <x:v>CH-1111</x:v>
      </x:c>
      <x:c r="B1116" s="86" t="str">
        <x:v>safeing and environment</x:v>
      </x:c>
      <x:c r="C1116" s="108" t="n">
        <x:v>23</x:v>
      </x:c>
      <x:c r="D1116" s="86" t="str">
        <x:v>Z07</x:v>
      </x:c>
      <x:c r="E1116" s="86" t="str">
        <x:v>full</x:v>
      </x:c>
      <x:c r="F1116" s="86" t="str">
        <x:v>L3</x:v>
      </x:c>
      <x:c r="G1116" s="86" t="str">
        <x:v>safeing and environment-CAL-3</x:v>
      </x:c>
      <x:c r="H1116" s="86" t="str">
        <x:v>T3</x:v>
      </x:c>
      <x:c r="I1116" s="91" t="str">
        <x:v>OPEN</x:v>
      </x:c>
    </x:row>
    <x:row r="1117">
      <x:c r="A1117" s="86" t="str">
        <x:v>CH-1112</x:v>
      </x:c>
      <x:c r="B1117" s="86" t="str">
        <x:v>safeing and environment</x:v>
      </x:c>
      <x:c r="C1117" s="108" t="n">
        <x:v>24</x:v>
      </x:c>
      <x:c r="D1117" s="86" t="str">
        <x:v>Z08</x:v>
      </x:c>
      <x:c r="E1117" s="86" t="str">
        <x:v>full</x:v>
      </x:c>
      <x:c r="F1117" s="86" t="str">
        <x:v>L4</x:v>
      </x:c>
      <x:c r="G1117" s="86" t="str">
        <x:v>safeing and environment-CAL-4</x:v>
      </x:c>
      <x:c r="H1117" s="86" t="str">
        <x:v>T4</x:v>
      </x:c>
      <x:c r="I1117" s="91" t="str">
        <x:v>OPEN</x:v>
      </x:c>
    </x:row>
    <x:row r="1118">
      <x:c r="A1118" s="86" t="str">
        <x:v>CH-1113</x:v>
      </x:c>
      <x:c r="B1118" s="86" t="str">
        <x:v>safeing and environment</x:v>
      </x:c>
      <x:c r="C1118" s="108" t="n">
        <x:v>25</x:v>
      </x:c>
      <x:c r="D1118" s="86" t="str">
        <x:v>Z09</x:v>
      </x:c>
      <x:c r="E1118" s="86" t="str">
        <x:v>full</x:v>
      </x:c>
      <x:c r="F1118" s="86" t="str">
        <x:v>L1</x:v>
      </x:c>
      <x:c r="G1118" s="86" t="str">
        <x:v>safeing and environment-CAL-1</x:v>
      </x:c>
      <x:c r="H1118" s="86" t="str">
        <x:v>T1</x:v>
      </x:c>
      <x:c r="I1118" s="91" t="str">
        <x:v>OPEN</x:v>
      </x:c>
    </x:row>
    <x:row r="1119">
      <x:c r="A1119" s="86" t="str">
        <x:v>CH-1114</x:v>
      </x:c>
      <x:c r="B1119" s="86" t="str">
        <x:v>safeing and environment</x:v>
      </x:c>
      <x:c r="C1119" s="108" t="n">
        <x:v>26</x:v>
      </x:c>
      <x:c r="D1119" s="86" t="str">
        <x:v>Z10</x:v>
      </x:c>
      <x:c r="E1119" s="86" t="str">
        <x:v>full</x:v>
      </x:c>
      <x:c r="F1119" s="86" t="str">
        <x:v>L2</x:v>
      </x:c>
      <x:c r="G1119" s="86" t="str">
        <x:v>safeing and environment-CAL-2</x:v>
      </x:c>
      <x:c r="H1119" s="86" t="str">
        <x:v>T2</x:v>
      </x:c>
      <x:c r="I1119" s="91" t="str">
        <x:v>OPEN</x:v>
      </x:c>
    </x:row>
    <x:row r="1120">
      <x:c r="A1120" s="86" t="str">
        <x:v>CH-1115</x:v>
      </x:c>
      <x:c r="B1120" s="86" t="str">
        <x:v>safeing and environment</x:v>
      </x:c>
      <x:c r="C1120" s="108" t="n">
        <x:v>27</x:v>
      </x:c>
      <x:c r="D1120" s="86" t="str">
        <x:v>Z11</x:v>
      </x:c>
      <x:c r="E1120" s="86" t="str">
        <x:v>full</x:v>
      </x:c>
      <x:c r="F1120" s="86" t="str">
        <x:v>L3</x:v>
      </x:c>
      <x:c r="G1120" s="86" t="str">
        <x:v>safeing and environment-CAL-3</x:v>
      </x:c>
      <x:c r="H1120" s="86" t="str">
        <x:v>T3</x:v>
      </x:c>
      <x:c r="I1120" s="91" t="str">
        <x:v>OPEN</x:v>
      </x:c>
    </x:row>
    <x:row r="1121">
      <x:c r="A1121" s="86" t="str">
        <x:v>CH-1116</x:v>
      </x:c>
      <x:c r="B1121" s="86" t="str">
        <x:v>safeing and environment</x:v>
      </x:c>
      <x:c r="C1121" s="108" t="n">
        <x:v>28</x:v>
      </x:c>
      <x:c r="D1121" s="86" t="str">
        <x:v>Z12</x:v>
      </x:c>
      <x:c r="E1121" s="86" t="str">
        <x:v>full</x:v>
      </x:c>
      <x:c r="F1121" s="86" t="str">
        <x:v>L4</x:v>
      </x:c>
      <x:c r="G1121" s="86" t="str">
        <x:v>safeing and environment-CAL-4</x:v>
      </x:c>
      <x:c r="H1121" s="86" t="str">
        <x:v>T4</x:v>
      </x:c>
      <x:c r="I1121" s="91" t="str">
        <x:v>OPEN</x:v>
      </x:c>
    </x:row>
    <x:row r="1122">
      <x:c r="A1122" s="86" t="str">
        <x:v>CH-1117</x:v>
      </x:c>
      <x:c r="B1122" s="86" t="str">
        <x:v>safeing and environment</x:v>
      </x:c>
      <x:c r="C1122" s="108" t="n">
        <x:v>29</x:v>
      </x:c>
      <x:c r="D1122" s="86" t="str">
        <x:v>Z13</x:v>
      </x:c>
      <x:c r="E1122" s="86" t="str">
        <x:v>full</x:v>
      </x:c>
      <x:c r="F1122" s="86" t="str">
        <x:v>L1</x:v>
      </x:c>
      <x:c r="G1122" s="86" t="str">
        <x:v>safeing and environment-CAL-1</x:v>
      </x:c>
      <x:c r="H1122" s="86" t="str">
        <x:v>T1</x:v>
      </x:c>
      <x:c r="I1122" s="91" t="str">
        <x:v>OPEN</x:v>
      </x:c>
    </x:row>
    <x:row r="1123">
      <x:c r="A1123" s="86" t="str">
        <x:v>CH-1118</x:v>
      </x:c>
      <x:c r="B1123" s="86" t="str">
        <x:v>safeing and environment</x:v>
      </x:c>
      <x:c r="C1123" s="108" t="n">
        <x:v>30</x:v>
      </x:c>
      <x:c r="D1123" s="86" t="str">
        <x:v>Z14</x:v>
      </x:c>
      <x:c r="E1123" s="86" t="str">
        <x:v>full</x:v>
      </x:c>
      <x:c r="F1123" s="86" t="str">
        <x:v>L2</x:v>
      </x:c>
      <x:c r="G1123" s="86" t="str">
        <x:v>safeing and environment-CAL-2</x:v>
      </x:c>
      <x:c r="H1123" s="86" t="str">
        <x:v>T2</x:v>
      </x:c>
      <x:c r="I1123" s="91" t="str">
        <x:v>OPEN</x:v>
      </x:c>
    </x:row>
    <x:row r="1124">
      <x:c r="A1124" s="86" t="str">
        <x:v>CH-1119</x:v>
      </x:c>
      <x:c r="B1124" s="86" t="str">
        <x:v>safeing and environment</x:v>
      </x:c>
      <x:c r="C1124" s="108" t="n">
        <x:v>31</x:v>
      </x:c>
      <x:c r="D1124" s="86" t="str">
        <x:v>Z15</x:v>
      </x:c>
      <x:c r="E1124" s="86" t="str">
        <x:v>full</x:v>
      </x:c>
      <x:c r="F1124" s="86" t="str">
        <x:v>L3</x:v>
      </x:c>
      <x:c r="G1124" s="86" t="str">
        <x:v>safeing and environment-CAL-3</x:v>
      </x:c>
      <x:c r="H1124" s="86" t="str">
        <x:v>T3</x:v>
      </x:c>
      <x:c r="I1124" s="91" t="str">
        <x:v>OPEN</x:v>
      </x:c>
    </x:row>
    <x:row r="1125">
      <x:c r="A1125" s="86" t="str">
        <x:v>CH-1120</x:v>
      </x:c>
      <x:c r="B1125" s="86" t="str">
        <x:v>safeing and environment</x:v>
      </x:c>
      <x:c r="C1125" s="108" t="n">
        <x:v>32</x:v>
      </x:c>
      <x:c r="D1125" s="86" t="str">
        <x:v>Z16</x:v>
      </x:c>
      <x:c r="E1125" s="86" t="str">
        <x:v>full</x:v>
      </x:c>
      <x:c r="F1125" s="86" t="str">
        <x:v>L4</x:v>
      </x:c>
      <x:c r="G1125" s="86" t="str">
        <x:v>safeing and environment-CAL-4</x:v>
      </x:c>
      <x:c r="H1125" s="86" t="str">
        <x:v>T4</x:v>
      </x:c>
      <x:c r="I1125" s="91" t="str">
        <x:v>OPEN</x:v>
      </x:c>
    </x:row>
    <x:row r="1126">
      <x:c r="A1126" s="86" t="str">
        <x:v>CH-1121</x:v>
      </x:c>
      <x:c r="B1126" s="86" t="str">
        <x:v>safeing and environment</x:v>
      </x:c>
      <x:c r="C1126" s="108" t="n">
        <x:v>33</x:v>
      </x:c>
      <x:c r="D1126" s="86" t="str">
        <x:v>Z01</x:v>
      </x:c>
      <x:c r="E1126" s="86" t="str">
        <x:v>intermediate</x:v>
      </x:c>
      <x:c r="F1126" s="86" t="str">
        <x:v>L1</x:v>
      </x:c>
      <x:c r="G1126" s="86" t="str">
        <x:v>safeing and environment-CAL-1</x:v>
      </x:c>
      <x:c r="H1126" s="86" t="str">
        <x:v>T1</x:v>
      </x:c>
      <x:c r="I1126" s="91" t="str">
        <x:v>OPEN</x:v>
      </x:c>
    </x:row>
    <x:row r="1127">
      <x:c r="A1127" s="86" t="str">
        <x:v>CH-1122</x:v>
      </x:c>
      <x:c r="B1127" s="86" t="str">
        <x:v>safeing and environment</x:v>
      </x:c>
      <x:c r="C1127" s="108" t="n">
        <x:v>34</x:v>
      </x:c>
      <x:c r="D1127" s="86" t="str">
        <x:v>Z02</x:v>
      </x:c>
      <x:c r="E1127" s="86" t="str">
        <x:v>intermediate</x:v>
      </x:c>
      <x:c r="F1127" s="86" t="str">
        <x:v>L2</x:v>
      </x:c>
      <x:c r="G1127" s="86" t="str">
        <x:v>safeing and environment-CAL-2</x:v>
      </x:c>
      <x:c r="H1127" s="86" t="str">
        <x:v>T2</x:v>
      </x:c>
      <x:c r="I1127" s="91" t="str">
        <x:v>OPEN</x:v>
      </x:c>
    </x:row>
    <x:row r="1128">
      <x:c r="A1128" s="86" t="str">
        <x:v>CH-1123</x:v>
      </x:c>
      <x:c r="B1128" s="86" t="str">
        <x:v>safeing and environment</x:v>
      </x:c>
      <x:c r="C1128" s="108" t="n">
        <x:v>35</x:v>
      </x:c>
      <x:c r="D1128" s="86" t="str">
        <x:v>Z03</x:v>
      </x:c>
      <x:c r="E1128" s="86" t="str">
        <x:v>intermediate</x:v>
      </x:c>
      <x:c r="F1128" s="86" t="str">
        <x:v>L3</x:v>
      </x:c>
      <x:c r="G1128" s="86" t="str">
        <x:v>safeing and environment-CAL-3</x:v>
      </x:c>
      <x:c r="H1128" s="86" t="str">
        <x:v>T3</x:v>
      </x:c>
      <x:c r="I1128" s="91" t="str">
        <x:v>OPEN</x:v>
      </x:c>
    </x:row>
    <x:row r="1129">
      <x:c r="A1129" s="86" t="str">
        <x:v>CH-1124</x:v>
      </x:c>
      <x:c r="B1129" s="86" t="str">
        <x:v>safeing and environment</x:v>
      </x:c>
      <x:c r="C1129" s="108" t="n">
        <x:v>36</x:v>
      </x:c>
      <x:c r="D1129" s="86" t="str">
        <x:v>Z04</x:v>
      </x:c>
      <x:c r="E1129" s="86" t="str">
        <x:v>intermediate</x:v>
      </x:c>
      <x:c r="F1129" s="86" t="str">
        <x:v>L4</x:v>
      </x:c>
      <x:c r="G1129" s="86" t="str">
        <x:v>safeing and environment-CAL-4</x:v>
      </x:c>
      <x:c r="H1129" s="86" t="str">
        <x:v>T4</x:v>
      </x:c>
      <x:c r="I1129" s="91" t="str">
        <x:v>OPEN</x:v>
      </x:c>
    </x:row>
    <x:row r="1130">
      <x:c r="A1130" s="86" t="str">
        <x:v>CH-1125</x:v>
      </x:c>
      <x:c r="B1130" s="86" t="str">
        <x:v>safeing and environment</x:v>
      </x:c>
      <x:c r="C1130" s="108" t="n">
        <x:v>37</x:v>
      </x:c>
      <x:c r="D1130" s="86" t="str">
        <x:v>Z05</x:v>
      </x:c>
      <x:c r="E1130" s="86" t="str">
        <x:v>intermediate</x:v>
      </x:c>
      <x:c r="F1130" s="86" t="str">
        <x:v>L1</x:v>
      </x:c>
      <x:c r="G1130" s="86" t="str">
        <x:v>safeing and environment-CAL-1</x:v>
      </x:c>
      <x:c r="H1130" s="86" t="str">
        <x:v>T1</x:v>
      </x:c>
      <x:c r="I1130" s="91" t="str">
        <x:v>OPEN</x:v>
      </x:c>
    </x:row>
    <x:row r="1131">
      <x:c r="A1131" s="86" t="str">
        <x:v>CH-1126</x:v>
      </x:c>
      <x:c r="B1131" s="86" t="str">
        <x:v>safeing and environment</x:v>
      </x:c>
      <x:c r="C1131" s="108" t="n">
        <x:v>38</x:v>
      </x:c>
      <x:c r="D1131" s="86" t="str">
        <x:v>Z06</x:v>
      </x:c>
      <x:c r="E1131" s="86" t="str">
        <x:v>intermediate</x:v>
      </x:c>
      <x:c r="F1131" s="86" t="str">
        <x:v>L2</x:v>
      </x:c>
      <x:c r="G1131" s="86" t="str">
        <x:v>safeing and environment-CAL-2</x:v>
      </x:c>
      <x:c r="H1131" s="86" t="str">
        <x:v>T2</x:v>
      </x:c>
      <x:c r="I1131" s="91" t="str">
        <x:v>OPEN</x:v>
      </x:c>
    </x:row>
    <x:row r="1132">
      <x:c r="A1132" s="86" t="str">
        <x:v>CH-1127</x:v>
      </x:c>
      <x:c r="B1132" s="86" t="str">
        <x:v>safeing and environment</x:v>
      </x:c>
      <x:c r="C1132" s="108" t="n">
        <x:v>39</x:v>
      </x:c>
      <x:c r="D1132" s="86" t="str">
        <x:v>Z07</x:v>
      </x:c>
      <x:c r="E1132" s="86" t="str">
        <x:v>intermediate</x:v>
      </x:c>
      <x:c r="F1132" s="86" t="str">
        <x:v>L3</x:v>
      </x:c>
      <x:c r="G1132" s="86" t="str">
        <x:v>safeing and environment-CAL-3</x:v>
      </x:c>
      <x:c r="H1132" s="86" t="str">
        <x:v>T3</x:v>
      </x:c>
      <x:c r="I1132" s="91" t="str">
        <x:v>OPEN</x:v>
      </x:c>
    </x:row>
    <x:row r="1133">
      <x:c r="A1133" s="86" t="str">
        <x:v>CH-1128</x:v>
      </x:c>
      <x:c r="B1133" s="86" t="str">
        <x:v>safeing and environment</x:v>
      </x:c>
      <x:c r="C1133" s="108" t="n">
        <x:v>40</x:v>
      </x:c>
      <x:c r="D1133" s="86" t="str">
        <x:v>Z08</x:v>
      </x:c>
      <x:c r="E1133" s="86" t="str">
        <x:v>intermediate</x:v>
      </x:c>
      <x:c r="F1133" s="86" t="str">
        <x:v>L4</x:v>
      </x:c>
      <x:c r="G1133" s="86" t="str">
        <x:v>safeing and environment-CAL-4</x:v>
      </x:c>
      <x:c r="H1133" s="86" t="str">
        <x:v>T4</x:v>
      </x:c>
      <x:c r="I1133" s="91" t="str">
        <x:v>OPEN</x:v>
      </x:c>
    </x:row>
    <x:row r="1134">
      <x:c r="A1134" s="86" t="str">
        <x:v>CH-1129</x:v>
      </x:c>
      <x:c r="B1134" s="86" t="str">
        <x:v>safeing and environment</x:v>
      </x:c>
      <x:c r="C1134" s="108" t="n">
        <x:v>41</x:v>
      </x:c>
      <x:c r="D1134" s="86" t="str">
        <x:v>Z09</x:v>
      </x:c>
      <x:c r="E1134" s="86" t="str">
        <x:v>intermediate</x:v>
      </x:c>
      <x:c r="F1134" s="86" t="str">
        <x:v>L1</x:v>
      </x:c>
      <x:c r="G1134" s="86" t="str">
        <x:v>safeing and environment-CAL-1</x:v>
      </x:c>
      <x:c r="H1134" s="86" t="str">
        <x:v>T1</x:v>
      </x:c>
      <x:c r="I1134" s="91" t="str">
        <x:v>OPEN</x:v>
      </x:c>
    </x:row>
    <x:row r="1135">
      <x:c r="A1135" s="86" t="str">
        <x:v>CH-1130</x:v>
      </x:c>
      <x:c r="B1135" s="86" t="str">
        <x:v>safeing and environment</x:v>
      </x:c>
      <x:c r="C1135" s="108" t="n">
        <x:v>42</x:v>
      </x:c>
      <x:c r="D1135" s="86" t="str">
        <x:v>Z10</x:v>
      </x:c>
      <x:c r="E1135" s="86" t="str">
        <x:v>intermediate</x:v>
      </x:c>
      <x:c r="F1135" s="86" t="str">
        <x:v>L2</x:v>
      </x:c>
      <x:c r="G1135" s="86" t="str">
        <x:v>safeing and environment-CAL-2</x:v>
      </x:c>
      <x:c r="H1135" s="86" t="str">
        <x:v>T2</x:v>
      </x:c>
      <x:c r="I1135" s="91" t="str">
        <x:v>OPEN</x:v>
      </x:c>
    </x:row>
    <x:row r="1136">
      <x:c r="A1136" s="86" t="str">
        <x:v>CH-1131</x:v>
      </x:c>
      <x:c r="B1136" s="86" t="str">
        <x:v>safeing and environment</x:v>
      </x:c>
      <x:c r="C1136" s="108" t="n">
        <x:v>43</x:v>
      </x:c>
      <x:c r="D1136" s="86" t="str">
        <x:v>Z11</x:v>
      </x:c>
      <x:c r="E1136" s="86" t="str">
        <x:v>intermediate</x:v>
      </x:c>
      <x:c r="F1136" s="86" t="str">
        <x:v>L3</x:v>
      </x:c>
      <x:c r="G1136" s="86" t="str">
        <x:v>safeing and environment-CAL-3</x:v>
      </x:c>
      <x:c r="H1136" s="86" t="str">
        <x:v>T3</x:v>
      </x:c>
      <x:c r="I1136" s="91" t="str">
        <x:v>OPEN</x:v>
      </x:c>
    </x:row>
    <x:row r="1137">
      <x:c r="A1137" s="86" t="str">
        <x:v>CH-1132</x:v>
      </x:c>
      <x:c r="B1137" s="86" t="str">
        <x:v>safeing and environment</x:v>
      </x:c>
      <x:c r="C1137" s="108" t="n">
        <x:v>44</x:v>
      </x:c>
      <x:c r="D1137" s="86" t="str">
        <x:v>Z12</x:v>
      </x:c>
      <x:c r="E1137" s="86" t="str">
        <x:v>intermediate</x:v>
      </x:c>
      <x:c r="F1137" s="86" t="str">
        <x:v>L4</x:v>
      </x:c>
      <x:c r="G1137" s="86" t="str">
        <x:v>safeing and environment-CAL-4</x:v>
      </x:c>
      <x:c r="H1137" s="86" t="str">
        <x:v>T4</x:v>
      </x:c>
      <x:c r="I1137" s="91" t="str">
        <x:v>OPEN</x:v>
      </x:c>
    </x:row>
    <x:row r="1138">
      <x:c r="A1138" s="86" t="str">
        <x:v>CH-1133</x:v>
      </x:c>
      <x:c r="B1138" s="86" t="str">
        <x:v>safeing and environment</x:v>
      </x:c>
      <x:c r="C1138" s="108" t="n">
        <x:v>45</x:v>
      </x:c>
      <x:c r="D1138" s="86" t="str">
        <x:v>Z13</x:v>
      </x:c>
      <x:c r="E1138" s="86" t="str">
        <x:v>intermediate</x:v>
      </x:c>
      <x:c r="F1138" s="86" t="str">
        <x:v>L1</x:v>
      </x:c>
      <x:c r="G1138" s="86" t="str">
        <x:v>safeing and environment-CAL-1</x:v>
      </x:c>
      <x:c r="H1138" s="86" t="str">
        <x:v>T1</x:v>
      </x:c>
      <x:c r="I1138" s="91" t="str">
        <x:v>OPEN</x:v>
      </x:c>
    </x:row>
    <x:row r="1139">
      <x:c r="A1139" s="86" t="str">
        <x:v>CH-1134</x:v>
      </x:c>
      <x:c r="B1139" s="86" t="str">
        <x:v>safeing and environment</x:v>
      </x:c>
      <x:c r="C1139" s="108" t="n">
        <x:v>46</x:v>
      </x:c>
      <x:c r="D1139" s="86" t="str">
        <x:v>Z14</x:v>
      </x:c>
      <x:c r="E1139" s="86" t="str">
        <x:v>intermediate</x:v>
      </x:c>
      <x:c r="F1139" s="86" t="str">
        <x:v>L2</x:v>
      </x:c>
      <x:c r="G1139" s="86" t="str">
        <x:v>safeing and environment-CAL-2</x:v>
      </x:c>
      <x:c r="H1139" s="86" t="str">
        <x:v>T2</x:v>
      </x:c>
      <x:c r="I1139" s="91" t="str">
        <x:v>OPEN</x:v>
      </x:c>
    </x:row>
    <x:row r="1140">
      <x:c r="A1140" s="86" t="str">
        <x:v>CH-1135</x:v>
      </x:c>
      <x:c r="B1140" s="86" t="str">
        <x:v>safeing and environment</x:v>
      </x:c>
      <x:c r="C1140" s="108" t="n">
        <x:v>47</x:v>
      </x:c>
      <x:c r="D1140" s="86" t="str">
        <x:v>Z15</x:v>
      </x:c>
      <x:c r="E1140" s="86" t="str">
        <x:v>intermediate</x:v>
      </x:c>
      <x:c r="F1140" s="86" t="str">
        <x:v>L3</x:v>
      </x:c>
      <x:c r="G1140" s="86" t="str">
        <x:v>safeing and environment-CAL-3</x:v>
      </x:c>
      <x:c r="H1140" s="86" t="str">
        <x:v>T3</x:v>
      </x:c>
      <x:c r="I1140" s="91" t="str">
        <x:v>OPEN</x:v>
      </x:c>
    </x:row>
    <x:row r="1141">
      <x:c r="A1141" s="86" t="str">
        <x:v>CH-1136</x:v>
      </x:c>
      <x:c r="B1141" s="86" t="str">
        <x:v>safeing and environment</x:v>
      </x:c>
      <x:c r="C1141" s="108" t="n">
        <x:v>48</x:v>
      </x:c>
      <x:c r="D1141" s="86" t="str">
        <x:v>Z16</x:v>
      </x:c>
      <x:c r="E1141" s="86" t="str">
        <x:v>intermediate</x:v>
      </x:c>
      <x:c r="F1141" s="86" t="str">
        <x:v>L4</x:v>
      </x:c>
      <x:c r="G1141" s="86" t="str">
        <x:v>safeing and environment-CAL-4</x:v>
      </x:c>
      <x:c r="H1141" s="86" t="str">
        <x:v>T4</x:v>
      </x:c>
      <x:c r="I1141" s="91" t="str">
        <x:v>OPEN</x:v>
      </x:c>
    </x:row>
    <x:row r="1142">
      <x:c r="A1142" s="86" t="str">
        <x:v>CH-1137</x:v>
      </x:c>
      <x:c r="B1142" s="86" t="str">
        <x:v>safeing and environment</x:v>
      </x:c>
      <x:c r="C1142" s="108" t="n">
        <x:v>49</x:v>
      </x:c>
      <x:c r="D1142" s="86" t="str">
        <x:v>Z01</x:v>
      </x:c>
      <x:c r="E1142" s="86" t="str">
        <x:v>return</x:v>
      </x:c>
      <x:c r="F1142" s="86" t="str">
        <x:v>L1</x:v>
      </x:c>
      <x:c r="G1142" s="86" t="str">
        <x:v>safeing and environment-CAL-1</x:v>
      </x:c>
      <x:c r="H1142" s="86" t="str">
        <x:v>T1</x:v>
      </x:c>
      <x:c r="I1142" s="91" t="str">
        <x:v>OPEN</x:v>
      </x:c>
    </x:row>
    <x:row r="1143">
      <x:c r="A1143" s="86" t="str">
        <x:v>CH-1138</x:v>
      </x:c>
      <x:c r="B1143" s="86" t="str">
        <x:v>safeing and environment</x:v>
      </x:c>
      <x:c r="C1143" s="108" t="n">
        <x:v>50</x:v>
      </x:c>
      <x:c r="D1143" s="86" t="str">
        <x:v>Z02</x:v>
      </x:c>
      <x:c r="E1143" s="86" t="str">
        <x:v>return</x:v>
      </x:c>
      <x:c r="F1143" s="86" t="str">
        <x:v>L2</x:v>
      </x:c>
      <x:c r="G1143" s="86" t="str">
        <x:v>safeing and environment-CAL-2</x:v>
      </x:c>
      <x:c r="H1143" s="86" t="str">
        <x:v>T2</x:v>
      </x:c>
      <x:c r="I1143" s="91" t="str">
        <x:v>OPEN</x:v>
      </x:c>
    </x:row>
    <x:row r="1144">
      <x:c r="A1144" s="86" t="str">
        <x:v>CH-1139</x:v>
      </x:c>
      <x:c r="B1144" s="86" t="str">
        <x:v>safeing and environment</x:v>
      </x:c>
      <x:c r="C1144" s="108" t="n">
        <x:v>51</x:v>
      </x:c>
      <x:c r="D1144" s="86" t="str">
        <x:v>Z03</x:v>
      </x:c>
      <x:c r="E1144" s="86" t="str">
        <x:v>return</x:v>
      </x:c>
      <x:c r="F1144" s="86" t="str">
        <x:v>L3</x:v>
      </x:c>
      <x:c r="G1144" s="86" t="str">
        <x:v>safeing and environment-CAL-3</x:v>
      </x:c>
      <x:c r="H1144" s="86" t="str">
        <x:v>T3</x:v>
      </x:c>
      <x:c r="I1144" s="91" t="str">
        <x:v>OPEN</x:v>
      </x:c>
    </x:row>
    <x:row r="1145">
      <x:c r="A1145" s="86" t="str">
        <x:v>CH-1140</x:v>
      </x:c>
      <x:c r="B1145" s="86" t="str">
        <x:v>safeing and environment</x:v>
      </x:c>
      <x:c r="C1145" s="108" t="n">
        <x:v>52</x:v>
      </x:c>
      <x:c r="D1145" s="86" t="str">
        <x:v>Z04</x:v>
      </x:c>
      <x:c r="E1145" s="86" t="str">
        <x:v>return</x:v>
      </x:c>
      <x:c r="F1145" s="86" t="str">
        <x:v>L4</x:v>
      </x:c>
      <x:c r="G1145" s="86" t="str">
        <x:v>safeing and environment-CAL-4</x:v>
      </x:c>
      <x:c r="H1145" s="86" t="str">
        <x:v>T4</x:v>
      </x:c>
      <x:c r="I1145" s="91" t="str">
        <x:v>OPEN</x:v>
      </x:c>
    </x:row>
    <x:row r="1146">
      <x:c r="A1146" s="86" t="str">
        <x:v>CH-1141</x:v>
      </x:c>
      <x:c r="B1146" s="86" t="str">
        <x:v>safeing and environment</x:v>
      </x:c>
      <x:c r="C1146" s="108" t="n">
        <x:v>53</x:v>
      </x:c>
      <x:c r="D1146" s="86" t="str">
        <x:v>Z05</x:v>
      </x:c>
      <x:c r="E1146" s="86" t="str">
        <x:v>return</x:v>
      </x:c>
      <x:c r="F1146" s="86" t="str">
        <x:v>L1</x:v>
      </x:c>
      <x:c r="G1146" s="86" t="str">
        <x:v>safeing and environment-CAL-1</x:v>
      </x:c>
      <x:c r="H1146" s="86" t="str">
        <x:v>T1</x:v>
      </x:c>
      <x:c r="I1146" s="91" t="str">
        <x:v>OPEN</x:v>
      </x:c>
    </x:row>
    <x:row r="1147">
      <x:c r="A1147" s="86" t="str">
        <x:v>CH-1142</x:v>
      </x:c>
      <x:c r="B1147" s="86" t="str">
        <x:v>safeing and environment</x:v>
      </x:c>
      <x:c r="C1147" s="108" t="n">
        <x:v>54</x:v>
      </x:c>
      <x:c r="D1147" s="86" t="str">
        <x:v>Z06</x:v>
      </x:c>
      <x:c r="E1147" s="86" t="str">
        <x:v>return</x:v>
      </x:c>
      <x:c r="F1147" s="86" t="str">
        <x:v>L2</x:v>
      </x:c>
      <x:c r="G1147" s="86" t="str">
        <x:v>safeing and environment-CAL-2</x:v>
      </x:c>
      <x:c r="H1147" s="86" t="str">
        <x:v>T2</x:v>
      </x:c>
      <x:c r="I1147" s="91" t="str">
        <x:v>OPEN</x:v>
      </x:c>
    </x:row>
    <x:row r="1148">
      <x:c r="A1148" s="86" t="str">
        <x:v>CH-1143</x:v>
      </x:c>
      <x:c r="B1148" s="86" t="str">
        <x:v>safeing and environment</x:v>
      </x:c>
      <x:c r="C1148" s="108" t="n">
        <x:v>55</x:v>
      </x:c>
      <x:c r="D1148" s="86" t="str">
        <x:v>Z07</x:v>
      </x:c>
      <x:c r="E1148" s="86" t="str">
        <x:v>return</x:v>
      </x:c>
      <x:c r="F1148" s="86" t="str">
        <x:v>L3</x:v>
      </x:c>
      <x:c r="G1148" s="86" t="str">
        <x:v>safeing and environment-CAL-3</x:v>
      </x:c>
      <x:c r="H1148" s="86" t="str">
        <x:v>T3</x:v>
      </x:c>
      <x:c r="I1148" s="91" t="str">
        <x:v>OPEN</x:v>
      </x:c>
    </x:row>
    <x:row r="1149">
      <x:c r="A1149" s="86" t="str">
        <x:v>CH-1144</x:v>
      </x:c>
      <x:c r="B1149" s="86" t="str">
        <x:v>safeing and environment</x:v>
      </x:c>
      <x:c r="C1149" s="108" t="n">
        <x:v>56</x:v>
      </x:c>
      <x:c r="D1149" s="86" t="str">
        <x:v>Z08</x:v>
      </x:c>
      <x:c r="E1149" s="86" t="str">
        <x:v>return</x:v>
      </x:c>
      <x:c r="F1149" s="86" t="str">
        <x:v>L4</x:v>
      </x:c>
      <x:c r="G1149" s="86" t="str">
        <x:v>safeing and environment-CAL-4</x:v>
      </x:c>
      <x:c r="H1149" s="86" t="str">
        <x:v>T4</x:v>
      </x:c>
      <x:c r="I1149" s="91" t="str">
        <x:v>OPEN</x:v>
      </x:c>
    </x:row>
    <x:row r="1150">
      <x:c r="A1150" s="86" t="str">
        <x:v>CH-1145</x:v>
      </x:c>
      <x:c r="B1150" s="86" t="str">
        <x:v>safeing and environment</x:v>
      </x:c>
      <x:c r="C1150" s="108" t="n">
        <x:v>57</x:v>
      </x:c>
      <x:c r="D1150" s="86" t="str">
        <x:v>Z09</x:v>
      </x:c>
      <x:c r="E1150" s="86" t="str">
        <x:v>return</x:v>
      </x:c>
      <x:c r="F1150" s="86" t="str">
        <x:v>L1</x:v>
      </x:c>
      <x:c r="G1150" s="86" t="str">
        <x:v>safeing and environment-CAL-1</x:v>
      </x:c>
      <x:c r="H1150" s="86" t="str">
        <x:v>T1</x:v>
      </x:c>
      <x:c r="I1150" s="91" t="str">
        <x:v>OPEN</x:v>
      </x:c>
    </x:row>
    <x:row r="1151">
      <x:c r="A1151" s="86" t="str">
        <x:v>CH-1146</x:v>
      </x:c>
      <x:c r="B1151" s="86" t="str">
        <x:v>safeing and environment</x:v>
      </x:c>
      <x:c r="C1151" s="108" t="n">
        <x:v>58</x:v>
      </x:c>
      <x:c r="D1151" s="86" t="str">
        <x:v>Z10</x:v>
      </x:c>
      <x:c r="E1151" s="86" t="str">
        <x:v>return</x:v>
      </x:c>
      <x:c r="F1151" s="86" t="str">
        <x:v>L2</x:v>
      </x:c>
      <x:c r="G1151" s="86" t="str">
        <x:v>safeing and environment-CAL-2</x:v>
      </x:c>
      <x:c r="H1151" s="86" t="str">
        <x:v>T2</x:v>
      </x:c>
      <x:c r="I1151" s="91" t="str">
        <x:v>OPEN</x:v>
      </x:c>
    </x:row>
    <x:row r="1152">
      <x:c r="A1152" s="86" t="str">
        <x:v>CH-1147</x:v>
      </x:c>
      <x:c r="B1152" s="86" t="str">
        <x:v>safeing and environment</x:v>
      </x:c>
      <x:c r="C1152" s="108" t="n">
        <x:v>59</x:v>
      </x:c>
      <x:c r="D1152" s="86" t="str">
        <x:v>Z11</x:v>
      </x:c>
      <x:c r="E1152" s="86" t="str">
        <x:v>return</x:v>
      </x:c>
      <x:c r="F1152" s="86" t="str">
        <x:v>L3</x:v>
      </x:c>
      <x:c r="G1152" s="86" t="str">
        <x:v>safeing and environment-CAL-3</x:v>
      </x:c>
      <x:c r="H1152" s="86" t="str">
        <x:v>T3</x:v>
      </x:c>
      <x:c r="I1152" s="91" t="str">
        <x:v>OPEN</x:v>
      </x:c>
    </x:row>
    <x:row r="1153">
      <x:c r="A1153" s="86" t="str">
        <x:v>CH-1148</x:v>
      </x:c>
      <x:c r="B1153" s="86" t="str">
        <x:v>safeing and environment</x:v>
      </x:c>
      <x:c r="C1153" s="108" t="n">
        <x:v>60</x:v>
      </x:c>
      <x:c r="D1153" s="86" t="str">
        <x:v>Z12</x:v>
      </x:c>
      <x:c r="E1153" s="86" t="str">
        <x:v>return</x:v>
      </x:c>
      <x:c r="F1153" s="86" t="str">
        <x:v>L4</x:v>
      </x:c>
      <x:c r="G1153" s="86" t="str">
        <x:v>safeing and environment-CAL-4</x:v>
      </x:c>
      <x:c r="H1153" s="86" t="str">
        <x:v>T4</x:v>
      </x:c>
      <x:c r="I1153" s="91" t="str">
        <x:v>OPEN</x:v>
      </x:c>
    </x:row>
    <x:row r="1154">
      <x:c r="A1154" s="86" t="str">
        <x:v>CH-1149</x:v>
      </x:c>
      <x:c r="B1154" s="86" t="str">
        <x:v>safeing and environment</x:v>
      </x:c>
      <x:c r="C1154" s="108" t="n">
        <x:v>61</x:v>
      </x:c>
      <x:c r="D1154" s="86" t="str">
        <x:v>Z13</x:v>
      </x:c>
      <x:c r="E1154" s="86" t="str">
        <x:v>return</x:v>
      </x:c>
      <x:c r="F1154" s="86" t="str">
        <x:v>L1</x:v>
      </x:c>
      <x:c r="G1154" s="86" t="str">
        <x:v>safeing and environment-CAL-1</x:v>
      </x:c>
      <x:c r="H1154" s="86" t="str">
        <x:v>T1</x:v>
      </x:c>
      <x:c r="I1154" s="91" t="str">
        <x:v>OPEN</x:v>
      </x:c>
    </x:row>
    <x:row r="1155">
      <x:c r="A1155" s="86" t="str">
        <x:v>CH-1150</x:v>
      </x:c>
      <x:c r="B1155" s="86" t="str">
        <x:v>safeing and environment</x:v>
      </x:c>
      <x:c r="C1155" s="108" t="n">
        <x:v>62</x:v>
      </x:c>
      <x:c r="D1155" s="86" t="str">
        <x:v>Z14</x:v>
      </x:c>
      <x:c r="E1155" s="86" t="str">
        <x:v>return</x:v>
      </x:c>
      <x:c r="F1155" s="86" t="str">
        <x:v>L2</x:v>
      </x:c>
      <x:c r="G1155" s="86" t="str">
        <x:v>safeing and environment-CAL-2</x:v>
      </x:c>
      <x:c r="H1155" s="86" t="str">
        <x:v>T2</x:v>
      </x:c>
      <x:c r="I1155" s="91" t="str">
        <x:v>OPEN</x:v>
      </x:c>
    </x:row>
    <x:row r="1156">
      <x:c r="A1156" s="86" t="str">
        <x:v>CH-1151</x:v>
      </x:c>
      <x:c r="B1156" s="86" t="str">
        <x:v>safeing and environment</x:v>
      </x:c>
      <x:c r="C1156" s="108" t="n">
        <x:v>63</x:v>
      </x:c>
      <x:c r="D1156" s="86" t="str">
        <x:v>Z15</x:v>
      </x:c>
      <x:c r="E1156" s="86" t="str">
        <x:v>return</x:v>
      </x:c>
      <x:c r="F1156" s="86" t="str">
        <x:v>L3</x:v>
      </x:c>
      <x:c r="G1156" s="86" t="str">
        <x:v>safeing and environment-CAL-3</x:v>
      </x:c>
      <x:c r="H1156" s="86" t="str">
        <x:v>T3</x:v>
      </x:c>
      <x:c r="I1156" s="91" t="str">
        <x:v>OPEN</x:v>
      </x:c>
    </x:row>
    <x:row r="1157">
      <x:c r="A1157" s="87" t="str">
        <x:v>CH-1152</x:v>
      </x:c>
      <x:c r="B1157" s="87" t="str">
        <x:v>safeing and environment</x:v>
      </x:c>
      <x:c r="C1157" s="110" t="n">
        <x:v>64</x:v>
      </x:c>
      <x:c r="D1157" s="87" t="str">
        <x:v>Z16</x:v>
      </x:c>
      <x:c r="E1157" s="87" t="str">
        <x:v>return</x:v>
      </x:c>
      <x:c r="F1157" s="87" t="str">
        <x:v>L4</x:v>
      </x:c>
      <x:c r="G1157" s="87" t="str">
        <x:v>safeing and environment-CAL-4</x:v>
      </x:c>
      <x:c r="H1157" s="87" t="str">
        <x:v>T4</x:v>
      </x:c>
      <x:c r="I1157" s="95" t="str">
        <x:v>OPEN</x:v>
      </x:c>
    </x:row>
  </x:sheetData>
  <x:mergeCells>
    <x:mergeCell ref="A2:I2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4" hidden="0" customWidth="1"/>
    <x:col min="2" max="2" width="38" hidden="0" customWidth="1"/>
    <x:col min="3" max="3" width="16" hidden="0" customWidth="1"/>
    <x:col min="4" max="4" width="18" hidden="0" customWidth="1"/>
    <x:col min="5" max="5" width="22" hidden="0" customWidth="1"/>
    <x:col min="6" max="6" width="22" hidden="0" customWidth="1"/>
    <x:col min="7" max="7" width="20" hidden="0" customWidth="1"/>
    <x:col min="8" max="8" width="20" hidden="0" customWidth="1"/>
    <x:col min="9" max="9" width="20" hidden="0" customWidth="1"/>
  </x:cols>
  <x:sheetData>
    <x:row r="2" ht="24" customHeight="1">
      <x:c r="A2" s="82" t="str">
        <x:v>Thirty-six independently witnessed safeing paths</x:v>
      </x:c>
      <x:c r="B2" s="83"/>
      <x:c r="C2" s="83"/>
      <x:c r="D2" s="83"/>
      <x:c r="E2" s="83"/>
      <x:c r="F2" s="83"/>
      <x:c r="G2" s="83"/>
      <x:c r="H2" s="83"/>
      <x:c r="I2" s="83"/>
    </x:row>
    <x:row r="3">
      <x:c r="A3" s="84"/>
      <x:c r="B3" s="84"/>
      <x:c r="C3" s="84"/>
      <x:c r="D3" s="84"/>
      <x:c r="E3" s="84"/>
      <x:c r="F3" s="84"/>
      <x:c r="G3" s="84"/>
      <x:c r="H3" s="84"/>
      <x:c r="I3" s="84"/>
    </x:row>
    <x:row r="4">
      <x:c r="A4" s="83"/>
      <x:c r="B4" s="83"/>
      <x:c r="C4" s="83"/>
      <x:c r="D4" s="83"/>
      <x:c r="E4" s="83"/>
      <x:c r="F4" s="83"/>
      <x:c r="G4" s="83"/>
      <x:c r="H4" s="83"/>
      <x:c r="I4" s="83"/>
    </x:row>
    <x:row r="5" ht="22" customHeight="1">
      <x:c r="A5" s="7" t="str">
        <x:v>Path</x:v>
      </x:c>
      <x:c r="B5" s="8" t="str">
        <x:v>Function</x:v>
      </x:c>
      <x:c r="C5" s="8" t="str">
        <x:v>Path type</x:v>
      </x:c>
      <x:c r="D5" s="8" t="str">
        <x:v>Motive energy</x:v>
      </x:c>
      <x:c r="E5" s="8" t="str">
        <x:v>Trigger or command</x:v>
      </x:c>
      <x:c r="F5" s="8" t="str">
        <x:v>Final element</x:v>
      </x:c>
      <x:c r="G5" s="8" t="str">
        <x:v>State witness</x:v>
      </x:c>
      <x:c r="H5" s="8" t="str">
        <x:v>Physical result</x:v>
      </x:c>
      <x:c r="I5" s="9" t="str">
        <x:v>Credit effect</x:v>
      </x:c>
    </x:row>
    <x:row r="6">
      <x:c r="A6" s="85" t="str">
        <x:v>SP-01</x:v>
      </x:c>
      <x:c r="B6" s="85" t="str">
        <x:v>source isolation</x:v>
      </x:c>
      <x:c r="C6" s="85" t="str">
        <x:v>primary</x:v>
      </x:c>
      <x:c r="D6" s="100" t="str"/>
      <x:c r="E6" s="100" t="str"/>
      <x:c r="F6" s="100" t="str"/>
      <x:c r="G6" s="100" t="str"/>
      <x:c r="H6" s="100" t="str"/>
      <x:c r="I6" s="85" t="str">
        <x:v>hard condition</x:v>
      </x:c>
    </x:row>
    <x:row r="7">
      <x:c r="A7" s="86" t="str">
        <x:v>SP-02</x:v>
      </x:c>
      <x:c r="B7" s="86" t="str">
        <x:v>source isolation</x:v>
      </x:c>
      <x:c r="C7" s="86" t="str">
        <x:v>diverse</x:v>
      </x:c>
      <x:c r="D7" s="91" t="str"/>
      <x:c r="E7" s="91" t="str"/>
      <x:c r="F7" s="91" t="str"/>
      <x:c r="G7" s="91" t="str"/>
      <x:c r="H7" s="91" t="str"/>
      <x:c r="I7" s="86" t="str">
        <x:v>hard condition</x:v>
      </x:c>
    </x:row>
    <x:row r="8">
      <x:c r="A8" s="86" t="str">
        <x:v>SP-03</x:v>
      </x:c>
      <x:c r="B8" s="86" t="str">
        <x:v>source isolation</x:v>
      </x:c>
      <x:c r="C8" s="86" t="str">
        <x:v>passive</x:v>
      </x:c>
      <x:c r="D8" s="91" t="str"/>
      <x:c r="E8" s="91" t="str"/>
      <x:c r="F8" s="91" t="str"/>
      <x:c r="G8" s="91" t="str"/>
      <x:c r="H8" s="91" t="str"/>
      <x:c r="I8" s="86" t="str">
        <x:v>hard condition</x:v>
      </x:c>
    </x:row>
    <x:row r="9">
      <x:c r="A9" s="86" t="str">
        <x:v>SP-04</x:v>
      </x:c>
      <x:c r="B9" s="86" t="str">
        <x:v>source isolation</x:v>
      </x:c>
      <x:c r="C9" s="86" t="str">
        <x:v>manual</x:v>
      </x:c>
      <x:c r="D9" s="91" t="str"/>
      <x:c r="E9" s="91" t="str"/>
      <x:c r="F9" s="91" t="str"/>
      <x:c r="G9" s="91" t="str"/>
      <x:c r="H9" s="91" t="str"/>
      <x:c r="I9" s="86" t="str">
        <x:v>hard condition</x:v>
      </x:c>
    </x:row>
    <x:row r="10">
      <x:c r="A10" s="86" t="str">
        <x:v>SP-05</x:v>
      </x:c>
      <x:c r="B10" s="86" t="str">
        <x:v>source-field retention or diversion</x:v>
      </x:c>
      <x:c r="C10" s="86" t="str">
        <x:v>primary</x:v>
      </x:c>
      <x:c r="D10" s="91" t="str"/>
      <x:c r="E10" s="91" t="str"/>
      <x:c r="F10" s="91" t="str"/>
      <x:c r="G10" s="91" t="str"/>
      <x:c r="H10" s="91" t="str"/>
      <x:c r="I10" s="86" t="str">
        <x:v>hard condition</x:v>
      </x:c>
    </x:row>
    <x:row r="11">
      <x:c r="A11" s="86" t="str">
        <x:v>SP-06</x:v>
      </x:c>
      <x:c r="B11" s="86" t="str">
        <x:v>source-field retention or diversion</x:v>
      </x:c>
      <x:c r="C11" s="86" t="str">
        <x:v>diverse</x:v>
      </x:c>
      <x:c r="D11" s="91" t="str"/>
      <x:c r="E11" s="91" t="str"/>
      <x:c r="F11" s="91" t="str"/>
      <x:c r="G11" s="91" t="str"/>
      <x:c r="H11" s="91" t="str"/>
      <x:c r="I11" s="86" t="str">
        <x:v>hard condition</x:v>
      </x:c>
    </x:row>
    <x:row r="12">
      <x:c r="A12" s="86" t="str">
        <x:v>SP-07</x:v>
      </x:c>
      <x:c r="B12" s="86" t="str">
        <x:v>source-field retention or diversion</x:v>
      </x:c>
      <x:c r="C12" s="86" t="str">
        <x:v>passive</x:v>
      </x:c>
      <x:c r="D12" s="91" t="str"/>
      <x:c r="E12" s="91" t="str"/>
      <x:c r="F12" s="91" t="str"/>
      <x:c r="G12" s="91" t="str"/>
      <x:c r="H12" s="91" t="str"/>
      <x:c r="I12" s="86" t="str">
        <x:v>hard condition</x:v>
      </x:c>
    </x:row>
    <x:row r="13">
      <x:c r="A13" s="86" t="str">
        <x:v>SP-08</x:v>
      </x:c>
      <x:c r="B13" s="86" t="str">
        <x:v>source-field retention or diversion</x:v>
      </x:c>
      <x:c r="C13" s="86" t="str">
        <x:v>manual</x:v>
      </x:c>
      <x:c r="D13" s="91" t="str"/>
      <x:c r="E13" s="91" t="str"/>
      <x:c r="F13" s="91" t="str"/>
      <x:c r="G13" s="91" t="str"/>
      <x:c r="H13" s="91" t="str"/>
      <x:c r="I13" s="86" t="str">
        <x:v>hard condition</x:v>
      </x:c>
    </x:row>
    <x:row r="14">
      <x:c r="A14" s="86" t="str">
        <x:v>SP-09</x:v>
      </x:c>
      <x:c r="B14" s="86" t="str">
        <x:v>ignition-energy removal</x:v>
      </x:c>
      <x:c r="C14" s="86" t="str">
        <x:v>primary</x:v>
      </x:c>
      <x:c r="D14" s="91" t="str"/>
      <x:c r="E14" s="91" t="str"/>
      <x:c r="F14" s="91" t="str"/>
      <x:c r="G14" s="91" t="str"/>
      <x:c r="H14" s="91" t="str"/>
      <x:c r="I14" s="86" t="str">
        <x:v>hard condition</x:v>
      </x:c>
    </x:row>
    <x:row r="15">
      <x:c r="A15" s="86" t="str">
        <x:v>SP-10</x:v>
      </x:c>
      <x:c r="B15" s="86" t="str">
        <x:v>ignition-energy removal</x:v>
      </x:c>
      <x:c r="C15" s="86" t="str">
        <x:v>diverse</x:v>
      </x:c>
      <x:c r="D15" s="91" t="str"/>
      <x:c r="E15" s="91" t="str"/>
      <x:c r="F15" s="91" t="str"/>
      <x:c r="G15" s="91" t="str"/>
      <x:c r="H15" s="91" t="str"/>
      <x:c r="I15" s="86" t="str">
        <x:v>hard condition</x:v>
      </x:c>
    </x:row>
    <x:row r="16">
      <x:c r="A16" s="86" t="str">
        <x:v>SP-11</x:v>
      </x:c>
      <x:c r="B16" s="86" t="str">
        <x:v>ignition-energy removal</x:v>
      </x:c>
      <x:c r="C16" s="86" t="str">
        <x:v>passive</x:v>
      </x:c>
      <x:c r="D16" s="91" t="str"/>
      <x:c r="E16" s="91" t="str"/>
      <x:c r="F16" s="91" t="str"/>
      <x:c r="G16" s="91" t="str"/>
      <x:c r="H16" s="91" t="str"/>
      <x:c r="I16" s="86" t="str">
        <x:v>hard condition</x:v>
      </x:c>
    </x:row>
    <x:row r="17">
      <x:c r="A17" s="86" t="str">
        <x:v>SP-12</x:v>
      </x:c>
      <x:c r="B17" s="86" t="str">
        <x:v>ignition-energy removal</x:v>
      </x:c>
      <x:c r="C17" s="86" t="str">
        <x:v>manual</x:v>
      </x:c>
      <x:c r="D17" s="91" t="str"/>
      <x:c r="E17" s="91" t="str"/>
      <x:c r="F17" s="91" t="str"/>
      <x:c r="G17" s="91" t="str"/>
      <x:c r="H17" s="91" t="str"/>
      <x:c r="I17" s="86" t="str">
        <x:v>hard condition</x:v>
      </x:c>
    </x:row>
    <x:row r="18">
      <x:c r="A18" s="86" t="str">
        <x:v>SP-13</x:v>
      </x:c>
      <x:c r="B18" s="86" t="str">
        <x:v>atmosphere supply safe state</x:v>
      </x:c>
      <x:c r="C18" s="86" t="str">
        <x:v>primary</x:v>
      </x:c>
      <x:c r="D18" s="91" t="str"/>
      <x:c r="E18" s="91" t="str"/>
      <x:c r="F18" s="91" t="str"/>
      <x:c r="G18" s="91" t="str"/>
      <x:c r="H18" s="91" t="str"/>
      <x:c r="I18" s="86" t="str">
        <x:v>hard condition</x:v>
      </x:c>
    </x:row>
    <x:row r="19">
      <x:c r="A19" s="86" t="str">
        <x:v>SP-14</x:v>
      </x:c>
      <x:c r="B19" s="86" t="str">
        <x:v>atmosphere supply safe state</x:v>
      </x:c>
      <x:c r="C19" s="86" t="str">
        <x:v>diverse</x:v>
      </x:c>
      <x:c r="D19" s="91" t="str"/>
      <x:c r="E19" s="91" t="str"/>
      <x:c r="F19" s="91" t="str"/>
      <x:c r="G19" s="91" t="str"/>
      <x:c r="H19" s="91" t="str"/>
      <x:c r="I19" s="86" t="str">
        <x:v>hard condition</x:v>
      </x:c>
    </x:row>
    <x:row r="20">
      <x:c r="A20" s="86" t="str">
        <x:v>SP-15</x:v>
      </x:c>
      <x:c r="B20" s="86" t="str">
        <x:v>atmosphere supply safe state</x:v>
      </x:c>
      <x:c r="C20" s="86" t="str">
        <x:v>passive</x:v>
      </x:c>
      <x:c r="D20" s="91" t="str"/>
      <x:c r="E20" s="91" t="str"/>
      <x:c r="F20" s="91" t="str"/>
      <x:c r="G20" s="91" t="str"/>
      <x:c r="H20" s="91" t="str"/>
      <x:c r="I20" s="86" t="str">
        <x:v>hard condition</x:v>
      </x:c>
    </x:row>
    <x:row r="21">
      <x:c r="A21" s="86" t="str">
        <x:v>SP-16</x:v>
      </x:c>
      <x:c r="B21" s="86" t="str">
        <x:v>atmosphere supply safe state</x:v>
      </x:c>
      <x:c r="C21" s="86" t="str">
        <x:v>manual</x:v>
      </x:c>
      <x:c r="D21" s="91" t="str"/>
      <x:c r="E21" s="91" t="str"/>
      <x:c r="F21" s="91" t="str"/>
      <x:c r="G21" s="91" t="str"/>
      <x:c r="H21" s="91" t="str"/>
      <x:c r="I21" s="86" t="str">
        <x:v>hard condition</x:v>
      </x:c>
    </x:row>
    <x:row r="22">
      <x:c r="A22" s="86" t="str">
        <x:v>SP-17</x:v>
      </x:c>
      <x:c r="B22" s="86" t="str">
        <x:v>exhaust and bypass safe state</x:v>
      </x:c>
      <x:c r="C22" s="86" t="str">
        <x:v>primary</x:v>
      </x:c>
      <x:c r="D22" s="91" t="str"/>
      <x:c r="E22" s="91" t="str"/>
      <x:c r="F22" s="91" t="str"/>
      <x:c r="G22" s="91" t="str"/>
      <x:c r="H22" s="91" t="str"/>
      <x:c r="I22" s="86" t="str">
        <x:v>hard condition</x:v>
      </x:c>
    </x:row>
    <x:row r="23">
      <x:c r="A23" s="86" t="str">
        <x:v>SP-18</x:v>
      </x:c>
      <x:c r="B23" s="86" t="str">
        <x:v>exhaust and bypass safe state</x:v>
      </x:c>
      <x:c r="C23" s="86" t="str">
        <x:v>diverse</x:v>
      </x:c>
      <x:c r="D23" s="91" t="str"/>
      <x:c r="E23" s="91" t="str"/>
      <x:c r="F23" s="91" t="str"/>
      <x:c r="G23" s="91" t="str"/>
      <x:c r="H23" s="91" t="str"/>
      <x:c r="I23" s="86" t="str">
        <x:v>hard condition</x:v>
      </x:c>
    </x:row>
    <x:row r="24">
      <x:c r="A24" s="86" t="str">
        <x:v>SP-19</x:v>
      </x:c>
      <x:c r="B24" s="86" t="str">
        <x:v>exhaust and bypass safe state</x:v>
      </x:c>
      <x:c r="C24" s="86" t="str">
        <x:v>passive</x:v>
      </x:c>
      <x:c r="D24" s="91" t="str"/>
      <x:c r="E24" s="91" t="str"/>
      <x:c r="F24" s="91" t="str"/>
      <x:c r="G24" s="91" t="str"/>
      <x:c r="H24" s="91" t="str"/>
      <x:c r="I24" s="86" t="str">
        <x:v>hard condition</x:v>
      </x:c>
    </x:row>
    <x:row r="25">
      <x:c r="A25" s="86" t="str">
        <x:v>SP-20</x:v>
      </x:c>
      <x:c r="B25" s="86" t="str">
        <x:v>exhaust and bypass safe state</x:v>
      </x:c>
      <x:c r="C25" s="86" t="str">
        <x:v>manual</x:v>
      </x:c>
      <x:c r="D25" s="91" t="str"/>
      <x:c r="E25" s="91" t="str"/>
      <x:c r="F25" s="91" t="str"/>
      <x:c r="G25" s="91" t="str"/>
      <x:c r="H25" s="91" t="str"/>
      <x:c r="I25" s="86" t="str">
        <x:v>hard condition</x:v>
      </x:c>
    </x:row>
    <x:row r="26">
      <x:c r="A26" s="86" t="str">
        <x:v>SP-21</x:v>
      </x:c>
      <x:c r="B26" s="86" t="str">
        <x:v>field thermal isolation</x:v>
      </x:c>
      <x:c r="C26" s="86" t="str">
        <x:v>primary</x:v>
      </x:c>
      <x:c r="D26" s="91" t="str"/>
      <x:c r="E26" s="91" t="str"/>
      <x:c r="F26" s="91" t="str"/>
      <x:c r="G26" s="91" t="str"/>
      <x:c r="H26" s="91" t="str"/>
      <x:c r="I26" s="86" t="str">
        <x:v>hard condition</x:v>
      </x:c>
    </x:row>
    <x:row r="27">
      <x:c r="A27" s="86" t="str">
        <x:v>SP-22</x:v>
      </x:c>
      <x:c r="B27" s="86" t="str">
        <x:v>field thermal isolation</x:v>
      </x:c>
      <x:c r="C27" s="86" t="str">
        <x:v>diverse</x:v>
      </x:c>
      <x:c r="D27" s="91" t="str"/>
      <x:c r="E27" s="91" t="str"/>
      <x:c r="F27" s="91" t="str"/>
      <x:c r="G27" s="91" t="str"/>
      <x:c r="H27" s="91" t="str"/>
      <x:c r="I27" s="86" t="str">
        <x:v>hard condition</x:v>
      </x:c>
    </x:row>
    <x:row r="28">
      <x:c r="A28" s="86" t="str">
        <x:v>SP-23</x:v>
      </x:c>
      <x:c r="B28" s="86" t="str">
        <x:v>field thermal isolation</x:v>
      </x:c>
      <x:c r="C28" s="86" t="str">
        <x:v>passive</x:v>
      </x:c>
      <x:c r="D28" s="91" t="str"/>
      <x:c r="E28" s="91" t="str"/>
      <x:c r="F28" s="91" t="str"/>
      <x:c r="G28" s="91" t="str"/>
      <x:c r="H28" s="91" t="str"/>
      <x:c r="I28" s="86" t="str">
        <x:v>hard condition</x:v>
      </x:c>
    </x:row>
    <x:row r="29">
      <x:c r="A29" s="86" t="str">
        <x:v>SP-24</x:v>
      </x:c>
      <x:c r="B29" s="86" t="str">
        <x:v>field thermal isolation</x:v>
      </x:c>
      <x:c r="C29" s="86" t="str">
        <x:v>manual</x:v>
      </x:c>
      <x:c r="D29" s="91" t="str"/>
      <x:c r="E29" s="91" t="str"/>
      <x:c r="F29" s="91" t="str"/>
      <x:c r="G29" s="91" t="str"/>
      <x:c r="H29" s="91" t="str"/>
      <x:c r="I29" s="86" t="str">
        <x:v>hard condition</x:v>
      </x:c>
    </x:row>
    <x:row r="30">
      <x:c r="A30" s="86" t="str">
        <x:v>SP-25</x:v>
      </x:c>
      <x:c r="B30" s="86" t="str">
        <x:v>public-intervention admission</x:v>
      </x:c>
      <x:c r="C30" s="86" t="str">
        <x:v>primary</x:v>
      </x:c>
      <x:c r="D30" s="91" t="str"/>
      <x:c r="E30" s="91" t="str"/>
      <x:c r="F30" s="91" t="str"/>
      <x:c r="G30" s="91" t="str"/>
      <x:c r="H30" s="91" t="str"/>
      <x:c r="I30" s="86" t="str">
        <x:v>hard condition</x:v>
      </x:c>
    </x:row>
    <x:row r="31">
      <x:c r="A31" s="86" t="str">
        <x:v>SP-26</x:v>
      </x:c>
      <x:c r="B31" s="86" t="str">
        <x:v>public-intervention admission</x:v>
      </x:c>
      <x:c r="C31" s="86" t="str">
        <x:v>diverse</x:v>
      </x:c>
      <x:c r="D31" s="91" t="str"/>
      <x:c r="E31" s="91" t="str"/>
      <x:c r="F31" s="91" t="str"/>
      <x:c r="G31" s="91" t="str"/>
      <x:c r="H31" s="91" t="str"/>
      <x:c r="I31" s="86" t="str">
        <x:v>hard condition</x:v>
      </x:c>
    </x:row>
    <x:row r="32">
      <x:c r="A32" s="86" t="str">
        <x:v>SP-27</x:v>
      </x:c>
      <x:c r="B32" s="86" t="str">
        <x:v>public-intervention admission</x:v>
      </x:c>
      <x:c r="C32" s="86" t="str">
        <x:v>passive</x:v>
      </x:c>
      <x:c r="D32" s="91" t="str"/>
      <x:c r="E32" s="91" t="str"/>
      <x:c r="F32" s="91" t="str"/>
      <x:c r="G32" s="91" t="str"/>
      <x:c r="H32" s="91" t="str"/>
      <x:c r="I32" s="86" t="str">
        <x:v>hard condition</x:v>
      </x:c>
    </x:row>
    <x:row r="33">
      <x:c r="A33" s="86" t="str">
        <x:v>SP-28</x:v>
      </x:c>
      <x:c r="B33" s="86" t="str">
        <x:v>public-intervention admission</x:v>
      </x:c>
      <x:c r="C33" s="86" t="str">
        <x:v>manual</x:v>
      </x:c>
      <x:c r="D33" s="91" t="str"/>
      <x:c r="E33" s="91" t="str"/>
      <x:c r="F33" s="91" t="str"/>
      <x:c r="G33" s="91" t="str"/>
      <x:c r="H33" s="91" t="str"/>
      <x:c r="I33" s="86" t="str">
        <x:v>hard condition</x:v>
      </x:c>
    </x:row>
    <x:row r="34">
      <x:c r="A34" s="86" t="str">
        <x:v>SP-29</x:v>
      </x:c>
      <x:c r="B34" s="86" t="str">
        <x:v>evidence safe-state latch</x:v>
      </x:c>
      <x:c r="C34" s="86" t="str">
        <x:v>primary</x:v>
      </x:c>
      <x:c r="D34" s="91" t="str"/>
      <x:c r="E34" s="91" t="str"/>
      <x:c r="F34" s="91" t="str"/>
      <x:c r="G34" s="91" t="str"/>
      <x:c r="H34" s="91" t="str"/>
      <x:c r="I34" s="86" t="str">
        <x:v>hard condition</x:v>
      </x:c>
    </x:row>
    <x:row r="35">
      <x:c r="A35" s="86" t="str">
        <x:v>SP-30</x:v>
      </x:c>
      <x:c r="B35" s="86" t="str">
        <x:v>evidence safe-state latch</x:v>
      </x:c>
      <x:c r="C35" s="86" t="str">
        <x:v>diverse</x:v>
      </x:c>
      <x:c r="D35" s="91" t="str"/>
      <x:c r="E35" s="91" t="str"/>
      <x:c r="F35" s="91" t="str"/>
      <x:c r="G35" s="91" t="str"/>
      <x:c r="H35" s="91" t="str"/>
      <x:c r="I35" s="86" t="str">
        <x:v>hard condition</x:v>
      </x:c>
    </x:row>
    <x:row r="36">
      <x:c r="A36" s="86" t="str">
        <x:v>SP-31</x:v>
      </x:c>
      <x:c r="B36" s="86" t="str">
        <x:v>evidence safe-state latch</x:v>
      </x:c>
      <x:c r="C36" s="86" t="str">
        <x:v>passive</x:v>
      </x:c>
      <x:c r="D36" s="91" t="str"/>
      <x:c r="E36" s="91" t="str"/>
      <x:c r="F36" s="91" t="str"/>
      <x:c r="G36" s="91" t="str"/>
      <x:c r="H36" s="91" t="str"/>
      <x:c r="I36" s="86" t="str">
        <x:v>hard condition</x:v>
      </x:c>
    </x:row>
    <x:row r="37">
      <x:c r="A37" s="86" t="str">
        <x:v>SP-32</x:v>
      </x:c>
      <x:c r="B37" s="86" t="str">
        <x:v>evidence safe-state latch</x:v>
      </x:c>
      <x:c r="C37" s="86" t="str">
        <x:v>manual</x:v>
      </x:c>
      <x:c r="D37" s="91" t="str"/>
      <x:c r="E37" s="91" t="str"/>
      <x:c r="F37" s="91" t="str"/>
      <x:c r="G37" s="91" t="str"/>
      <x:c r="H37" s="91" t="str"/>
      <x:c r="I37" s="86" t="str">
        <x:v>hard condition</x:v>
      </x:c>
    </x:row>
    <x:row r="38">
      <x:c r="A38" s="86" t="str">
        <x:v>SP-33</x:v>
      </x:c>
      <x:c r="B38" s="86" t="str">
        <x:v>environment and receiver isolation</x:v>
      </x:c>
      <x:c r="C38" s="86" t="str">
        <x:v>primary</x:v>
      </x:c>
      <x:c r="D38" s="91" t="str"/>
      <x:c r="E38" s="91" t="str"/>
      <x:c r="F38" s="91" t="str"/>
      <x:c r="G38" s="91" t="str"/>
      <x:c r="H38" s="91" t="str"/>
      <x:c r="I38" s="86" t="str">
        <x:v>hard condition</x:v>
      </x:c>
    </x:row>
    <x:row r="39">
      <x:c r="A39" s="86" t="str">
        <x:v>SP-34</x:v>
      </x:c>
      <x:c r="B39" s="86" t="str">
        <x:v>environment and receiver isolation</x:v>
      </x:c>
      <x:c r="C39" s="86" t="str">
        <x:v>diverse</x:v>
      </x:c>
      <x:c r="D39" s="91" t="str"/>
      <x:c r="E39" s="91" t="str"/>
      <x:c r="F39" s="91" t="str"/>
      <x:c r="G39" s="91" t="str"/>
      <x:c r="H39" s="91" t="str"/>
      <x:c r="I39" s="86" t="str">
        <x:v>hard condition</x:v>
      </x:c>
    </x:row>
    <x:row r="40">
      <x:c r="A40" s="86" t="str">
        <x:v>SP-35</x:v>
      </x:c>
      <x:c r="B40" s="86" t="str">
        <x:v>environment and receiver isolation</x:v>
      </x:c>
      <x:c r="C40" s="86" t="str">
        <x:v>passive</x:v>
      </x:c>
      <x:c r="D40" s="91" t="str"/>
      <x:c r="E40" s="91" t="str"/>
      <x:c r="F40" s="91" t="str"/>
      <x:c r="G40" s="91" t="str"/>
      <x:c r="H40" s="91" t="str"/>
      <x:c r="I40" s="86" t="str">
        <x:v>hard condition</x:v>
      </x:c>
    </x:row>
    <x:row r="41">
      <x:c r="A41" s="87" t="str">
        <x:v>SP-36</x:v>
      </x:c>
      <x:c r="B41" s="87" t="str">
        <x:v>environment and receiver isolation</x:v>
      </x:c>
      <x:c r="C41" s="87" t="str">
        <x:v>manual</x:v>
      </x:c>
      <x:c r="D41" s="95" t="str"/>
      <x:c r="E41" s="95" t="str"/>
      <x:c r="F41" s="95" t="str"/>
      <x:c r="G41" s="95" t="str"/>
      <x:c r="H41" s="95" t="str"/>
      <x:c r="I41" s="87" t="str">
        <x:v>hard condition</x:v>
      </x:c>
    </x:row>
  </x:sheetData>
  <x:mergeCells>
    <x:mergeCell ref="A2:I2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22" hidden="0" customWidth="1"/>
    <x:col min="3" max="3" width="18" hidden="0" customWidth="1"/>
    <x:col min="4" max="4" width="42" hidden="0" customWidth="1"/>
    <x:col min="5" max="5" width="16" hidden="0" customWidth="1"/>
    <x:col min="6" max="6" width="22" hidden="0" customWidth="1"/>
  </x:cols>
  <x:sheetData>
    <x:row r="2" ht="24" customHeight="1">
      <x:c r="A2" s="82" t="str">
        <x:v>Source-equivalent terminal account</x:v>
      </x:c>
      <x:c r="B2" s="83"/>
      <x:c r="C2" s="83"/>
      <x:c r="D2" s="83"/>
      <x:c r="E2" s="83"/>
      <x:c r="F2" s="83"/>
    </x:row>
    <x:row r="3">
      <x:c r="A3" s="84"/>
      <x:c r="B3" s="84"/>
      <x:c r="C3" s="84"/>
      <x:c r="D3" s="84"/>
      <x:c r="E3" s="84"/>
      <x:c r="F3" s="84"/>
    </x:row>
    <x:row r="4">
      <x:c r="A4" s="83"/>
      <x:c r="B4" s="83"/>
      <x:c r="C4" s="83"/>
      <x:c r="D4" s="83"/>
      <x:c r="E4" s="83"/>
      <x:c r="F4" s="83"/>
    </x:row>
    <x:row r="5" ht="22" customHeight="1">
      <x:c r="A5" s="7" t="str">
        <x:v>Destination</x:v>
      </x:c>
      <x:c r="B5" s="8" t="str">
        <x:v>Observed amount</x:v>
      </x:c>
      <x:c r="C5" s="8" t="str">
        <x:v>Unit</x:v>
      </x:c>
      <x:c r="D5" s="8" t="str">
        <x:v>Required witness</x:v>
      </x:c>
      <x:c r="E5" s="8" t="str">
        <x:v>State</x:v>
      </x:c>
      <x:c r="F5" s="9" t="str">
        <x:v>Credit effect</x:v>
      </x:c>
    </x:row>
    <x:row r="6">
      <x:c r="A6" s="85" t="str">
        <x:v>source-vessel residual</x:v>
      </x:c>
      <x:c r="B6" s="100" t="str"/>
      <x:c r="C6" s="85" t="str">
        <x:v>kg source-eq</x:v>
      </x:c>
      <x:c r="D6" s="85" t="str">
        <x:v>independent terminal custody</x:v>
      </x:c>
      <x:c r="E6" s="85" t="str">
        <x:v>OPEN</x:v>
      </x:c>
      <x:c r="F6" s="85" t="str">
        <x:v>hard condition</x:v>
      </x:c>
    </x:row>
    <x:row r="7">
      <x:c r="A7" s="86" t="str">
        <x:v>metering and route residual</x:v>
      </x:c>
      <x:c r="B7" s="91" t="str"/>
      <x:c r="C7" s="86" t="str">
        <x:v>kg source-eq</x:v>
      </x:c>
      <x:c r="D7" s="86" t="str">
        <x:v>independent terminal custody</x:v>
      </x:c>
      <x:c r="E7" s="86" t="str">
        <x:v>OPEN</x:v>
      </x:c>
      <x:c r="F7" s="86" t="str">
        <x:v>hard condition</x:v>
      </x:c>
    </x:row>
    <x:row r="8">
      <x:c r="A8" s="86" t="str">
        <x:v>field inventory</x:v>
      </x:c>
      <x:c r="B8" s="91" t="str"/>
      <x:c r="C8" s="86" t="str">
        <x:v>kg source-eq</x:v>
      </x:c>
      <x:c r="D8" s="86" t="str">
        <x:v>independent terminal custody</x:v>
      </x:c>
      <x:c r="E8" s="86" t="str">
        <x:v>OPEN</x:v>
      </x:c>
      <x:c r="F8" s="86" t="str">
        <x:v>hard condition</x:v>
      </x:c>
    </x:row>
    <x:row r="9">
      <x:c r="A9" s="86" t="str">
        <x:v>transformed products</x:v>
      </x:c>
      <x:c r="B9" s="91" t="str"/>
      <x:c r="C9" s="86" t="str">
        <x:v>kg source-eq</x:v>
      </x:c>
      <x:c r="D9" s="86" t="str">
        <x:v>independent terminal custody</x:v>
      </x:c>
      <x:c r="E9" s="86" t="str">
        <x:v>OPEN</x:v>
      </x:c>
      <x:c r="F9" s="86" t="str">
        <x:v>hard condition</x:v>
      </x:c>
    </x:row>
    <x:row r="10">
      <x:c r="A10" s="86" t="str">
        <x:v>wall and liner deposits</x:v>
      </x:c>
      <x:c r="B10" s="91" t="str"/>
      <x:c r="C10" s="86" t="str">
        <x:v>kg source-eq</x:v>
      </x:c>
      <x:c r="D10" s="86" t="str">
        <x:v>independent terminal custody</x:v>
      </x:c>
      <x:c r="E10" s="86" t="str">
        <x:v>OPEN</x:v>
      </x:c>
      <x:c r="F10" s="86" t="str">
        <x:v>hard condition</x:v>
      </x:c>
    </x:row>
    <x:row r="11">
      <x:c r="A11" s="86" t="str">
        <x:v>condensate</x:v>
      </x:c>
      <x:c r="B11" s="91" t="str"/>
      <x:c r="C11" s="86" t="str">
        <x:v>kg source-eq</x:v>
      </x:c>
      <x:c r="D11" s="86" t="str">
        <x:v>independent terminal custody</x:v>
      </x:c>
      <x:c r="E11" s="86" t="str">
        <x:v>OPEN</x:v>
      </x:c>
      <x:c r="F11" s="86" t="str">
        <x:v>hard condition</x:v>
      </x:c>
    </x:row>
    <x:row r="12">
      <x:c r="A12" s="86" t="str">
        <x:v>filters</x:v>
      </x:c>
      <x:c r="B12" s="91" t="str"/>
      <x:c r="C12" s="86" t="str">
        <x:v>kg source-eq</x:v>
      </x:c>
      <x:c r="D12" s="86" t="str">
        <x:v>independent terminal custody</x:v>
      </x:c>
      <x:c r="E12" s="86" t="str">
        <x:v>OPEN</x:v>
      </x:c>
      <x:c r="F12" s="86" t="str">
        <x:v>hard condition</x:v>
      </x:c>
    </x:row>
    <x:row r="13">
      <x:c r="A13" s="86" t="str">
        <x:v>drains and receivers</x:v>
      </x:c>
      <x:c r="B13" s="91" t="str"/>
      <x:c r="C13" s="86" t="str">
        <x:v>kg source-eq</x:v>
      </x:c>
      <x:c r="D13" s="86" t="str">
        <x:v>independent terminal custody</x:v>
      </x:c>
      <x:c r="E13" s="86" t="str">
        <x:v>OPEN</x:v>
      </x:c>
      <x:c r="F13" s="86" t="str">
        <x:v>hard condition</x:v>
      </x:c>
    </x:row>
    <x:row r="14">
      <x:c r="A14" s="86" t="str">
        <x:v>samples</x:v>
      </x:c>
      <x:c r="B14" s="91" t="str"/>
      <x:c r="C14" s="86" t="str">
        <x:v>kg source-eq</x:v>
      </x:c>
      <x:c r="D14" s="86" t="str">
        <x:v>independent terminal custody</x:v>
      </x:c>
      <x:c r="E14" s="86" t="str">
        <x:v>OPEN</x:v>
      </x:c>
      <x:c r="F14" s="86" t="str">
        <x:v>hard condition</x:v>
      </x:c>
    </x:row>
    <x:row r="15">
      <x:c r="A15" s="86" t="str">
        <x:v>recovered material</x:v>
      </x:c>
      <x:c r="B15" s="91" t="str"/>
      <x:c r="C15" s="86" t="str">
        <x:v>kg source-eq</x:v>
      </x:c>
      <x:c r="D15" s="86" t="str">
        <x:v>independent terminal custody</x:v>
      </x:c>
      <x:c r="E15" s="86" t="str">
        <x:v>OPEN</x:v>
      </x:c>
      <x:c r="F15" s="86" t="str">
        <x:v>hard condition</x:v>
      </x:c>
    </x:row>
    <x:row r="16">
      <x:c r="A16" s="86" t="str">
        <x:v>environment</x:v>
      </x:c>
      <x:c r="B16" s="91" t="str"/>
      <x:c r="C16" s="86" t="str">
        <x:v>kg source-eq</x:v>
      </x:c>
      <x:c r="D16" s="86" t="str">
        <x:v>independent terminal custody</x:v>
      </x:c>
      <x:c r="E16" s="86" t="str">
        <x:v>OPEN</x:v>
      </x:c>
      <x:c r="F16" s="86" t="str">
        <x:v>hard condition</x:v>
      </x:c>
    </x:row>
    <x:row r="17">
      <x:c r="A17" s="87" t="str">
        <x:v>unaccounted source</x:v>
      </x:c>
      <x:c r="B17" s="95" t="str"/>
      <x:c r="C17" s="87" t="str">
        <x:v>kg source-eq</x:v>
      </x:c>
      <x:c r="D17" s="87" t="str">
        <x:v>independent terminal custody</x:v>
      </x:c>
      <x:c r="E17" s="87" t="str">
        <x:v>OPEN</x:v>
      </x:c>
      <x:c r="F17" s="87" t="str">
        <x:v>hard condition</x:v>
      </x:c>
    </x:row>
    <x:row r="18">
      <x:c r="A18" s="83"/>
      <x:c r="B18" s="83"/>
      <x:c r="C18" s="83"/>
      <x:c r="D18" s="83"/>
      <x:c r="E18" s="83"/>
      <x:c r="F18" s="83"/>
    </x:row>
    <x:row r="19">
      <x:c r="A19" s="83"/>
      <x:c r="B19" s="83"/>
      <x:c r="C19" s="83"/>
      <x:c r="D19" s="83"/>
      <x:c r="E19" s="83"/>
      <x:c r="F19" s="83"/>
    </x:row>
    <x:row r="20" ht="22" customHeight="1">
      <x:c r="A20" s="40" t="str">
        <x:v>Source account</x:v>
      </x:c>
      <x:c r="B20" s="42" t="str">
        <x:v>Result</x:v>
      </x:c>
      <x:c r="C20" s="83"/>
      <x:c r="D20" s="83"/>
      <x:c r="E20" s="83"/>
      <x:c r="F20" s="83"/>
    </x:row>
    <x:row r="21">
      <x:c r="A21" s="85" t="str">
        <x:v>Registered input</x:v>
      </x:c>
      <x:c r="B21" s="123" t="n">
        <x:f>'Assumptions'!B8</x:f>
        <x:v>500</x:v>
      </x:c>
      <x:c r="C21" s="83"/>
      <x:c r="D21" s="83"/>
      <x:c r="E21" s="83"/>
      <x:c r="F21" s="83"/>
    </x:row>
    <x:row r="22">
      <x:c r="A22" s="86" t="str">
        <x:v>Observed destination sum</x:v>
      </x:c>
      <x:c r="B22" s="124" t="str">
        <x:f>IF(COUNT(B6:B17)=12,SUM(B6:B17),"n.a.")</x:f>
        <x:v>n.a.</x:v>
      </x:c>
      <x:c r="C22" s="83"/>
      <x:c r="D22" s="83"/>
      <x:c r="E22" s="83"/>
      <x:c r="F22" s="83"/>
    </x:row>
    <x:row r="23">
      <x:c r="A23" s="86" t="str">
        <x:v>Difference</x:v>
      </x:c>
      <x:c r="B23" s="124" t="str">
        <x:f>IF(ISNUMBER(B22),B22-B21,"n.a.")</x:f>
        <x:v>n.a.</x:v>
      </x:c>
      <x:c r="C23" s="83"/>
      <x:c r="D23" s="83"/>
      <x:c r="E23" s="83"/>
      <x:c r="F23" s="83"/>
    </x:row>
    <x:row r="24">
      <x:c r="A24" s="87" t="str">
        <x:v>Account state</x:v>
      </x:c>
      <x:c r="B24" s="125" t="str">
        <x:f>IF(ISNUMBER(B23),IF(ABS(B23)&lt;0.000001,"CLOSED","ADVERSE"),"OPEN")</x:f>
        <x:v>OPEN</x:v>
      </x:c>
      <x:c r="C24" s="83"/>
      <x:c r="D24" s="83"/>
      <x:c r="E24" s="83"/>
      <x:c r="F24" s="83"/>
    </x:row>
  </x:sheetData>
  <x:mergeCells>
    <x:mergeCell ref="A2:F2"/>
  </x:mergeCell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22" hidden="0" customWidth="1"/>
    <x:col min="3" max="3" width="18" hidden="0" customWidth="1"/>
    <x:col min="4" max="4" width="42" hidden="0" customWidth="1"/>
    <x:col min="5" max="5" width="16" hidden="0" customWidth="1"/>
    <x:col min="6" max="6" width="22" hidden="0" customWidth="1"/>
  </x:cols>
  <x:sheetData>
    <x:row r="2" ht="24" customHeight="1">
      <x:c r="A2" s="82" t="str">
        <x:v>Source-derived product account</x:v>
      </x:c>
      <x:c r="B2" s="83"/>
      <x:c r="C2" s="83"/>
      <x:c r="D2" s="83"/>
      <x:c r="E2" s="83"/>
      <x:c r="F2" s="83"/>
    </x:row>
    <x:row r="3">
      <x:c r="A3" s="84"/>
      <x:c r="B3" s="84"/>
      <x:c r="C3" s="84"/>
      <x:c r="D3" s="84"/>
      <x:c r="E3" s="84"/>
      <x:c r="F3" s="84"/>
    </x:row>
    <x:row r="4">
      <x:c r="A4" s="83"/>
      <x:c r="B4" s="83"/>
      <x:c r="C4" s="83"/>
      <x:c r="D4" s="83"/>
      <x:c r="E4" s="83"/>
      <x:c r="F4" s="83"/>
    </x:row>
    <x:row r="5" ht="22" customHeight="1">
      <x:c r="A5" s="7" t="str">
        <x:v>Destination</x:v>
      </x:c>
      <x:c r="B5" s="8" t="str">
        <x:v>Observed amount</x:v>
      </x:c>
      <x:c r="C5" s="8" t="str">
        <x:v>Unit</x:v>
      </x:c>
      <x:c r="D5" s="8" t="str">
        <x:v>Required witness</x:v>
      </x:c>
      <x:c r="E5" s="8" t="str">
        <x:v>State</x:v>
      </x:c>
      <x:c r="F5" s="9" t="str">
        <x:v>Credit effect</x:v>
      </x:c>
    </x:row>
    <x:row r="6">
      <x:c r="A6" s="85" t="str">
        <x:v>gas</x:v>
      </x:c>
      <x:c r="B6" s="100" t="str"/>
      <x:c r="C6" s="85" t="str">
        <x:v>kg source-eq</x:v>
      </x:c>
      <x:c r="D6" s="85" t="str">
        <x:v>independent terminal custody</x:v>
      </x:c>
      <x:c r="E6" s="85" t="str">
        <x:v>OPEN</x:v>
      </x:c>
      <x:c r="F6" s="85" t="str">
        <x:v>hard condition</x:v>
      </x:c>
    </x:row>
    <x:row r="7">
      <x:c r="A7" s="86" t="str">
        <x:v>particulate</x:v>
      </x:c>
      <x:c r="B7" s="91" t="str"/>
      <x:c r="C7" s="86" t="str">
        <x:v>kg source-eq</x:v>
      </x:c>
      <x:c r="D7" s="86" t="str">
        <x:v>independent terminal custody</x:v>
      </x:c>
      <x:c r="E7" s="86" t="str">
        <x:v>OPEN</x:v>
      </x:c>
      <x:c r="F7" s="86" t="str">
        <x:v>hard condition</x:v>
      </x:c>
    </x:row>
    <x:row r="8">
      <x:c r="A8" s="86" t="str">
        <x:v>condensate</x:v>
      </x:c>
      <x:c r="B8" s="91" t="str"/>
      <x:c r="C8" s="86" t="str">
        <x:v>kg source-eq</x:v>
      </x:c>
      <x:c r="D8" s="86" t="str">
        <x:v>independent terminal custody</x:v>
      </x:c>
      <x:c r="E8" s="86" t="str">
        <x:v>OPEN</x:v>
      </x:c>
      <x:c r="F8" s="86" t="str">
        <x:v>hard condition</x:v>
      </x:c>
    </x:row>
    <x:row r="9">
      <x:c r="A9" s="86" t="str">
        <x:v>wall deposit</x:v>
      </x:c>
      <x:c r="B9" s="91" t="str"/>
      <x:c r="C9" s="86" t="str">
        <x:v>kg source-eq</x:v>
      </x:c>
      <x:c r="D9" s="86" t="str">
        <x:v>independent terminal custody</x:v>
      </x:c>
      <x:c r="E9" s="86" t="str">
        <x:v>OPEN</x:v>
      </x:c>
      <x:c r="F9" s="86" t="str">
        <x:v>hard condition</x:v>
      </x:c>
    </x:row>
    <x:row r="10">
      <x:c r="A10" s="86" t="str">
        <x:v>liner absorption</x:v>
      </x:c>
      <x:c r="B10" s="91" t="str"/>
      <x:c r="C10" s="86" t="str">
        <x:v>kg source-eq</x:v>
      </x:c>
      <x:c r="D10" s="86" t="str">
        <x:v>independent terminal custody</x:v>
      </x:c>
      <x:c r="E10" s="86" t="str">
        <x:v>OPEN</x:v>
      </x:c>
      <x:c r="F10" s="86" t="str">
        <x:v>hard condition</x:v>
      </x:c>
    </x:row>
    <x:row r="11">
      <x:c r="A11" s="86" t="str">
        <x:v>filter loading</x:v>
      </x:c>
      <x:c r="B11" s="91" t="str"/>
      <x:c r="C11" s="86" t="str">
        <x:v>kg source-eq</x:v>
      </x:c>
      <x:c r="D11" s="86" t="str">
        <x:v>independent terminal custody</x:v>
      </x:c>
      <x:c r="E11" s="86" t="str">
        <x:v>OPEN</x:v>
      </x:c>
      <x:c r="F11" s="86" t="str">
        <x:v>hard condition</x:v>
      </x:c>
    </x:row>
    <x:row r="12">
      <x:c r="A12" s="86" t="str">
        <x:v>drain material</x:v>
      </x:c>
      <x:c r="B12" s="91" t="str"/>
      <x:c r="C12" s="86" t="str">
        <x:v>kg source-eq</x:v>
      </x:c>
      <x:c r="D12" s="86" t="str">
        <x:v>independent terminal custody</x:v>
      </x:c>
      <x:c r="E12" s="86" t="str">
        <x:v>OPEN</x:v>
      </x:c>
      <x:c r="F12" s="86" t="str">
        <x:v>hard condition</x:v>
      </x:c>
    </x:row>
    <x:row r="13">
      <x:c r="A13" s="86" t="str">
        <x:v>receiver material</x:v>
      </x:c>
      <x:c r="B13" s="91" t="str"/>
      <x:c r="C13" s="86" t="str">
        <x:v>kg source-eq</x:v>
      </x:c>
      <x:c r="D13" s="86" t="str">
        <x:v>independent terminal custody</x:v>
      </x:c>
      <x:c r="E13" s="86" t="str">
        <x:v>OPEN</x:v>
      </x:c>
      <x:c r="F13" s="86" t="str">
        <x:v>hard condition</x:v>
      </x:c>
    </x:row>
    <x:row r="14">
      <x:c r="A14" s="86" t="str">
        <x:v>residue</x:v>
      </x:c>
      <x:c r="B14" s="91" t="str"/>
      <x:c r="C14" s="86" t="str">
        <x:v>kg source-eq</x:v>
      </x:c>
      <x:c r="D14" s="86" t="str">
        <x:v>independent terminal custody</x:v>
      </x:c>
      <x:c r="E14" s="86" t="str">
        <x:v>OPEN</x:v>
      </x:c>
      <x:c r="F14" s="86" t="str">
        <x:v>hard condition</x:v>
      </x:c>
    </x:row>
    <x:row r="15">
      <x:c r="A15" s="86" t="str">
        <x:v>samples</x:v>
      </x:c>
      <x:c r="B15" s="91" t="str"/>
      <x:c r="C15" s="86" t="str">
        <x:v>kg source-eq</x:v>
      </x:c>
      <x:c r="D15" s="86" t="str">
        <x:v>independent terminal custody</x:v>
      </x:c>
      <x:c r="E15" s="86" t="str">
        <x:v>OPEN</x:v>
      </x:c>
      <x:c r="F15" s="86" t="str">
        <x:v>hard condition</x:v>
      </x:c>
    </x:row>
    <x:row r="16">
      <x:c r="A16" s="86" t="str">
        <x:v>environment</x:v>
      </x:c>
      <x:c r="B16" s="91" t="str"/>
      <x:c r="C16" s="86" t="str">
        <x:v>kg source-eq</x:v>
      </x:c>
      <x:c r="D16" s="86" t="str">
        <x:v>independent terminal custody</x:v>
      </x:c>
      <x:c r="E16" s="86" t="str">
        <x:v>OPEN</x:v>
      </x:c>
      <x:c r="F16" s="86" t="str">
        <x:v>hard condition</x:v>
      </x:c>
    </x:row>
    <x:row r="17">
      <x:c r="A17" s="87" t="str">
        <x:v>unaccounted product</x:v>
      </x:c>
      <x:c r="B17" s="95" t="str"/>
      <x:c r="C17" s="87" t="str">
        <x:v>kg source-eq</x:v>
      </x:c>
      <x:c r="D17" s="87" t="str">
        <x:v>independent terminal custody</x:v>
      </x:c>
      <x:c r="E17" s="87" t="str">
        <x:v>OPEN</x:v>
      </x:c>
      <x:c r="F17" s="87" t="str">
        <x:v>hard condition</x:v>
      </x:c>
    </x:row>
    <x:row r="18">
      <x:c r="A18" s="83"/>
      <x:c r="B18" s="83"/>
      <x:c r="C18" s="83"/>
      <x:c r="D18" s="83"/>
      <x:c r="E18" s="83"/>
      <x:c r="F18" s="83"/>
    </x:row>
    <x:row r="19">
      <x:c r="A19" s="83"/>
      <x:c r="B19" s="83"/>
      <x:c r="C19" s="83"/>
      <x:c r="D19" s="83"/>
      <x:c r="E19" s="83"/>
      <x:c r="F19" s="83"/>
    </x:row>
    <x:row r="20" ht="22" customHeight="1">
      <x:c r="A20" s="40" t="str">
        <x:v>Product account</x:v>
      </x:c>
      <x:c r="B20" s="42" t="str">
        <x:v>Result</x:v>
      </x:c>
      <x:c r="C20" s="83"/>
      <x:c r="D20" s="83"/>
      <x:c r="E20" s="83"/>
      <x:c r="F20" s="83"/>
    </x:row>
    <x:row r="21">
      <x:c r="A21" s="85" t="str">
        <x:v>Registered input</x:v>
      </x:c>
      <x:c r="B21" s="123" t="n">
        <x:f>'Assumptions'!B8</x:f>
        <x:v>500</x:v>
      </x:c>
      <x:c r="C21" s="83"/>
      <x:c r="D21" s="83"/>
      <x:c r="E21" s="83"/>
      <x:c r="F21" s="83"/>
    </x:row>
    <x:row r="22">
      <x:c r="A22" s="86" t="str">
        <x:v>Observed destination sum</x:v>
      </x:c>
      <x:c r="B22" s="124" t="str">
        <x:f>IF(COUNT(B6:B17)=12,SUM(B6:B17),"n.a.")</x:f>
        <x:v>n.a.</x:v>
      </x:c>
      <x:c r="C22" s="83"/>
      <x:c r="D22" s="83"/>
      <x:c r="E22" s="83"/>
      <x:c r="F22" s="83"/>
    </x:row>
    <x:row r="23">
      <x:c r="A23" s="86" t="str">
        <x:v>Difference</x:v>
      </x:c>
      <x:c r="B23" s="124" t="str">
        <x:f>IF(ISNUMBER(B22),B22-B21,"n.a.")</x:f>
        <x:v>n.a.</x:v>
      </x:c>
      <x:c r="C23" s="83"/>
      <x:c r="D23" s="83"/>
      <x:c r="E23" s="83"/>
      <x:c r="F23" s="83"/>
    </x:row>
    <x:row r="24">
      <x:c r="A24" s="87" t="str">
        <x:v>Account state</x:v>
      </x:c>
      <x:c r="B24" s="125" t="str">
        <x:f>IF(ISNUMBER(B23),IF(ABS(B23)&lt;0.000001,"CLOSED","ADVERSE"),"OPEN")</x:f>
        <x:v>OPEN</x:v>
      </x:c>
      <x:c r="C24" s="83"/>
      <x:c r="D24" s="83"/>
      <x:c r="E24" s="83"/>
      <x:c r="F24" s="83"/>
    </x:row>
  </x:sheetData>
  <x:mergeCells>
    <x:mergeCell ref="A2:F2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22" hidden="0" customWidth="1"/>
    <x:col min="3" max="3" width="18" hidden="0" customWidth="1"/>
    <x:col min="4" max="4" width="42" hidden="0" customWidth="1"/>
    <x:col min="5" max="5" width="16" hidden="0" customWidth="1"/>
    <x:col min="6" max="6" width="22" hidden="0" customWidth="1"/>
  </x:cols>
  <x:sheetData>
    <x:row r="2" ht="24" customHeight="1">
      <x:c r="A2" s="82" t="str">
        <x:v>Dry event energy account</x:v>
      </x:c>
      <x:c r="B2" s="83"/>
      <x:c r="C2" s="83"/>
      <x:c r="D2" s="83"/>
      <x:c r="E2" s="83"/>
      <x:c r="F2" s="83"/>
    </x:row>
    <x:row r="3">
      <x:c r="A3" s="84"/>
      <x:c r="B3" s="84"/>
      <x:c r="C3" s="84"/>
      <x:c r="D3" s="84"/>
      <x:c r="E3" s="84"/>
      <x:c r="F3" s="84"/>
    </x:row>
    <x:row r="4">
      <x:c r="A4" s="83"/>
      <x:c r="B4" s="83"/>
      <x:c r="C4" s="83"/>
      <x:c r="D4" s="83"/>
      <x:c r="E4" s="83"/>
      <x:c r="F4" s="83"/>
    </x:row>
    <x:row r="5" ht="22" customHeight="1">
      <x:c r="A5" s="7" t="str">
        <x:v>Destination</x:v>
      </x:c>
      <x:c r="B5" s="8" t="str">
        <x:v>Observed amount</x:v>
      </x:c>
      <x:c r="C5" s="8" t="str">
        <x:v>Unit</x:v>
      </x:c>
      <x:c r="D5" s="8" t="str">
        <x:v>Required witness</x:v>
      </x:c>
      <x:c r="E5" s="8" t="str">
        <x:v>State</x:v>
      </x:c>
      <x:c r="F5" s="9" t="str">
        <x:v>Credit effect</x:v>
      </x:c>
    </x:row>
    <x:row r="6">
      <x:c r="A6" s="85" t="str">
        <x:v>field release</x:v>
      </x:c>
      <x:c r="B6" s="100" t="str"/>
      <x:c r="C6" s="85" t="str">
        <x:v>MJ</x:v>
      </x:c>
      <x:c r="D6" s="85" t="str">
        <x:v>independent terminal custody</x:v>
      </x:c>
      <x:c r="E6" s="85" t="str">
        <x:v>OPEN</x:v>
      </x:c>
      <x:c r="F6" s="85" t="str">
        <x:v>hard condition</x:v>
      </x:c>
    </x:row>
    <x:row r="7">
      <x:c r="A7" s="86" t="str">
        <x:v>radiant boundary</x:v>
      </x:c>
      <x:c r="B7" s="91" t="str"/>
      <x:c r="C7" s="86" t="str">
        <x:v>MJ</x:v>
      </x:c>
      <x:c r="D7" s="86" t="str">
        <x:v>independent terminal custody</x:v>
      </x:c>
      <x:c r="E7" s="86" t="str">
        <x:v>OPEN</x:v>
      </x:c>
      <x:c r="F7" s="86" t="str">
        <x:v>hard condition</x:v>
      </x:c>
    </x:row>
    <x:row r="8">
      <x:c r="A8" s="86" t="str">
        <x:v>convective boundary</x:v>
      </x:c>
      <x:c r="B8" s="91" t="str"/>
      <x:c r="C8" s="86" t="str">
        <x:v>MJ</x:v>
      </x:c>
      <x:c r="D8" s="86" t="str">
        <x:v>independent terminal custody</x:v>
      </x:c>
      <x:c r="E8" s="86" t="str">
        <x:v>OPEN</x:v>
      </x:c>
      <x:c r="F8" s="86" t="str">
        <x:v>hard condition</x:v>
      </x:c>
    </x:row>
    <x:row r="9">
      <x:c r="A9" s="86" t="str">
        <x:v>structure storage</x:v>
      </x:c>
      <x:c r="B9" s="91" t="str"/>
      <x:c r="C9" s="86" t="str">
        <x:v>MJ</x:v>
      </x:c>
      <x:c r="D9" s="86" t="str">
        <x:v>independent terminal custody</x:v>
      </x:c>
      <x:c r="E9" s="86" t="str">
        <x:v>OPEN</x:v>
      </x:c>
      <x:c r="F9" s="86" t="str">
        <x:v>hard condition</x:v>
      </x:c>
    </x:row>
    <x:row r="10">
      <x:c r="A10" s="86" t="str">
        <x:v>exhaust enthalpy</x:v>
      </x:c>
      <x:c r="B10" s="91" t="str"/>
      <x:c r="C10" s="86" t="str">
        <x:v>MJ</x:v>
      </x:c>
      <x:c r="D10" s="86" t="str">
        <x:v>independent terminal custody</x:v>
      </x:c>
      <x:c r="E10" s="86" t="str">
        <x:v>OPEN</x:v>
      </x:c>
      <x:c r="F10" s="86" t="str">
        <x:v>hard condition</x:v>
      </x:c>
    </x:row>
    <x:row r="11">
      <x:c r="A11" s="86" t="str">
        <x:v>product sensible heat</x:v>
      </x:c>
      <x:c r="B11" s="91" t="str"/>
      <x:c r="C11" s="86" t="str">
        <x:v>MJ</x:v>
      </x:c>
      <x:c r="D11" s="86" t="str">
        <x:v>independent terminal custody</x:v>
      </x:c>
      <x:c r="E11" s="86" t="str">
        <x:v>OPEN</x:v>
      </x:c>
      <x:c r="F11" s="86" t="str">
        <x:v>hard condition</x:v>
      </x:c>
    </x:row>
    <x:row r="12">
      <x:c r="A12" s="86" t="str">
        <x:v>residual chemical energy</x:v>
      </x:c>
      <x:c r="B12" s="91" t="str"/>
      <x:c r="C12" s="86" t="str">
        <x:v>MJ</x:v>
      </x:c>
      <x:c r="D12" s="86" t="str">
        <x:v>independent terminal custody</x:v>
      </x:c>
      <x:c r="E12" s="86" t="str">
        <x:v>OPEN</x:v>
      </x:c>
      <x:c r="F12" s="86" t="str">
        <x:v>hard condition</x:v>
      </x:c>
    </x:row>
    <x:row r="13">
      <x:c r="A13" s="86" t="str">
        <x:v>recovered cooling</x:v>
      </x:c>
      <x:c r="B13" s="91" t="str"/>
      <x:c r="C13" s="86" t="str">
        <x:v>MJ</x:v>
      </x:c>
      <x:c r="D13" s="86" t="str">
        <x:v>independent terminal custody</x:v>
      </x:c>
      <x:c r="E13" s="86" t="str">
        <x:v>OPEN</x:v>
      </x:c>
      <x:c r="F13" s="86" t="str">
        <x:v>hard condition</x:v>
      </x:c>
    </x:row>
    <x:row r="14">
      <x:c r="A14" s="87" t="str">
        <x:v>unaccounted energy</x:v>
      </x:c>
      <x:c r="B14" s="95" t="str"/>
      <x:c r="C14" s="87" t="str">
        <x:v>MJ</x:v>
      </x:c>
      <x:c r="D14" s="87" t="str">
        <x:v>independent terminal custody</x:v>
      </x:c>
      <x:c r="E14" s="87" t="str">
        <x:v>OPEN</x:v>
      </x:c>
      <x:c r="F14" s="87" t="str">
        <x:v>hard condition</x:v>
      </x:c>
    </x:row>
    <x:row r="15">
      <x:c r="A15" s="83"/>
      <x:c r="B15" s="83"/>
      <x:c r="C15" s="83"/>
      <x:c r="D15" s="83"/>
      <x:c r="E15" s="83"/>
      <x:c r="F15" s="83"/>
    </x:row>
    <x:row r="16">
      <x:c r="A16" s="83"/>
      <x:c r="B16" s="83"/>
      <x:c r="C16" s="83"/>
      <x:c r="D16" s="83"/>
      <x:c r="E16" s="83"/>
      <x:c r="F16" s="83"/>
    </x:row>
    <x:row r="17" ht="22" customHeight="1">
      <x:c r="A17" s="40" t="str">
        <x:v>Energy account</x:v>
      </x:c>
      <x:c r="B17" s="42" t="str">
        <x:v>Result</x:v>
      </x:c>
      <x:c r="C17" s="83"/>
      <x:c r="D17" s="83"/>
      <x:c r="E17" s="83"/>
      <x:c r="F17" s="83"/>
    </x:row>
    <x:row r="18">
      <x:c r="A18" s="85" t="str">
        <x:v>Registered input</x:v>
      </x:c>
      <x:c r="B18" s="123" t="n">
        <x:f>'Scale Transition'!D17</x:f>
        <x:v>21294</x:v>
      </x:c>
      <x:c r="C18" s="83"/>
      <x:c r="D18" s="83"/>
      <x:c r="E18" s="83"/>
      <x:c r="F18" s="83"/>
    </x:row>
    <x:row r="19">
      <x:c r="A19" s="86" t="str">
        <x:v>Observed destination sum</x:v>
      </x:c>
      <x:c r="B19" s="124" t="str">
        <x:f>IF(COUNT(B6:B14)=9,SUM(B6:B14),"n.a.")</x:f>
        <x:v>n.a.</x:v>
      </x:c>
      <x:c r="C19" s="83"/>
      <x:c r="D19" s="83"/>
      <x:c r="E19" s="83"/>
      <x:c r="F19" s="83"/>
    </x:row>
    <x:row r="20">
      <x:c r="A20" s="86" t="str">
        <x:v>Difference</x:v>
      </x:c>
      <x:c r="B20" s="124" t="str">
        <x:f>IF(ISNUMBER(B19),B19-B18,"n.a.")</x:f>
        <x:v>n.a.</x:v>
      </x:c>
      <x:c r="C20" s="83"/>
      <x:c r="D20" s="83"/>
      <x:c r="E20" s="83"/>
      <x:c r="F20" s="83"/>
    </x:row>
    <x:row r="21">
      <x:c r="A21" s="87" t="str">
        <x:v>Account state</x:v>
      </x:c>
      <x:c r="B21" s="125" t="str">
        <x:f>IF(ISNUMBER(B20),IF(ABS(B20)&lt;0.000001,"CLOSED","ADVERSE"),"OPEN")</x:f>
        <x:v>OPEN</x:v>
      </x:c>
      <x:c r="C21" s="83"/>
      <x:c r="D21" s="83"/>
      <x:c r="E21" s="83"/>
      <x:c r="F21" s="83"/>
    </x:row>
  </x:sheetData>
  <x:mergeCells>
    <x:mergeCell ref="A2:F2"/>
  </x:mergeCell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22" hidden="0" customWidth="1"/>
    <x:col min="3" max="3" width="18" hidden="0" customWidth="1"/>
    <x:col min="4" max="4" width="42" hidden="0" customWidth="1"/>
    <x:col min="5" max="5" width="16" hidden="0" customWidth="1"/>
    <x:col min="6" max="6" width="22" hidden="0" customWidth="1"/>
  </x:cols>
  <x:sheetData>
    <x:row r="2" ht="24" customHeight="1">
      <x:c r="A2" s="82" t="str">
        <x:v>Atmosphere and exhaust account</x:v>
      </x:c>
      <x:c r="B2" s="83"/>
      <x:c r="C2" s="83"/>
      <x:c r="D2" s="83"/>
      <x:c r="E2" s="83"/>
      <x:c r="F2" s="83"/>
    </x:row>
    <x:row r="3">
      <x:c r="A3" s="84"/>
      <x:c r="B3" s="84"/>
      <x:c r="C3" s="84"/>
      <x:c r="D3" s="84"/>
      <x:c r="E3" s="84"/>
      <x:c r="F3" s="84"/>
    </x:row>
    <x:row r="4">
      <x:c r="A4" s="83"/>
      <x:c r="B4" s="83"/>
      <x:c r="C4" s="83"/>
      <x:c r="D4" s="83"/>
      <x:c r="E4" s="83"/>
      <x:c r="F4" s="83"/>
    </x:row>
    <x:row r="5" ht="22" customHeight="1">
      <x:c r="A5" s="7" t="str">
        <x:v>Destination</x:v>
      </x:c>
      <x:c r="B5" s="8" t="str">
        <x:v>Observed amount</x:v>
      </x:c>
      <x:c r="C5" s="8" t="str">
        <x:v>Unit</x:v>
      </x:c>
      <x:c r="D5" s="8" t="str">
        <x:v>Required witness</x:v>
      </x:c>
      <x:c r="E5" s="8" t="str">
        <x:v>State</x:v>
      </x:c>
      <x:c r="F5" s="9" t="str">
        <x:v>Credit effect</x:v>
      </x:c>
    </x:row>
    <x:row r="6">
      <x:c r="A6" s="85" t="str">
        <x:v>admitted carrier gas</x:v>
      </x:c>
      <x:c r="B6" s="100" t="str"/>
      <x:c r="C6" s="85" t="str">
        <x:v>kg</x:v>
      </x:c>
      <x:c r="D6" s="85" t="str">
        <x:v>independent terminal custody</x:v>
      </x:c>
      <x:c r="E6" s="85" t="str">
        <x:v>OPEN</x:v>
      </x:c>
      <x:c r="F6" s="85" t="str">
        <x:v>hard condition</x:v>
      </x:c>
    </x:row>
    <x:row r="7">
      <x:c r="A7" s="86" t="str">
        <x:v>oxygen demand</x:v>
      </x:c>
      <x:c r="B7" s="91" t="str"/>
      <x:c r="C7" s="86" t="str">
        <x:v>kg</x:v>
      </x:c>
      <x:c r="D7" s="86" t="str">
        <x:v>independent terminal custody</x:v>
      </x:c>
      <x:c r="E7" s="86" t="str">
        <x:v>OPEN</x:v>
      </x:c>
      <x:c r="F7" s="86" t="str">
        <x:v>hard condition</x:v>
      </x:c>
    </x:row>
    <x:row r="8">
      <x:c r="A8" s="86" t="str">
        <x:v>entrained air</x:v>
      </x:c>
      <x:c r="B8" s="91" t="str"/>
      <x:c r="C8" s="86" t="str">
        <x:v>kg</x:v>
      </x:c>
      <x:c r="D8" s="86" t="str">
        <x:v>independent terminal custody</x:v>
      </x:c>
      <x:c r="E8" s="86" t="str">
        <x:v>OPEN</x:v>
      </x:c>
      <x:c r="F8" s="86" t="str">
        <x:v>hard condition</x:v>
      </x:c>
    </x:row>
    <x:row r="9">
      <x:c r="A9" s="86" t="str">
        <x:v>controlled exhaust</x:v>
      </x:c>
      <x:c r="B9" s="91" t="str"/>
      <x:c r="C9" s="86" t="str">
        <x:v>kg</x:v>
      </x:c>
      <x:c r="D9" s="86" t="str">
        <x:v>independent terminal custody</x:v>
      </x:c>
      <x:c r="E9" s="86" t="str">
        <x:v>OPEN</x:v>
      </x:c>
      <x:c r="F9" s="86" t="str">
        <x:v>hard condition</x:v>
      </x:c>
    </x:row>
    <x:row r="10">
      <x:c r="A10" s="86" t="str">
        <x:v>bypass</x:v>
      </x:c>
      <x:c r="B10" s="91" t="str"/>
      <x:c r="C10" s="86" t="str">
        <x:v>kg</x:v>
      </x:c>
      <x:c r="D10" s="86" t="str">
        <x:v>independent terminal custody</x:v>
      </x:c>
      <x:c r="E10" s="86" t="str">
        <x:v>OPEN</x:v>
      </x:c>
      <x:c r="F10" s="86" t="str">
        <x:v>hard condition</x:v>
      </x:c>
    </x:row>
    <x:row r="11">
      <x:c r="A11" s="86" t="str">
        <x:v>condensate</x:v>
      </x:c>
      <x:c r="B11" s="91" t="str"/>
      <x:c r="C11" s="86" t="str">
        <x:v>kg</x:v>
      </x:c>
      <x:c r="D11" s="86" t="str">
        <x:v>independent terminal custody</x:v>
      </x:c>
      <x:c r="E11" s="86" t="str">
        <x:v>OPEN</x:v>
      </x:c>
      <x:c r="F11" s="86" t="str">
        <x:v>hard condition</x:v>
      </x:c>
    </x:row>
    <x:row r="12">
      <x:c r="A12" s="86" t="str">
        <x:v>retained atmosphere</x:v>
      </x:c>
      <x:c r="B12" s="91" t="str"/>
      <x:c r="C12" s="86" t="str">
        <x:v>kg</x:v>
      </x:c>
      <x:c r="D12" s="86" t="str">
        <x:v>independent terminal custody</x:v>
      </x:c>
      <x:c r="E12" s="86" t="str">
        <x:v>OPEN</x:v>
      </x:c>
      <x:c r="F12" s="86" t="str">
        <x:v>hard condition</x:v>
      </x:c>
    </x:row>
    <x:row r="13">
      <x:c r="A13" s="86" t="str">
        <x:v>samples</x:v>
      </x:c>
      <x:c r="B13" s="91" t="str"/>
      <x:c r="C13" s="86" t="str">
        <x:v>kg</x:v>
      </x:c>
      <x:c r="D13" s="86" t="str">
        <x:v>independent terminal custody</x:v>
      </x:c>
      <x:c r="E13" s="86" t="str">
        <x:v>OPEN</x:v>
      </x:c>
      <x:c r="F13" s="86" t="str">
        <x:v>hard condition</x:v>
      </x:c>
    </x:row>
    <x:row r="14">
      <x:c r="A14" s="86" t="str">
        <x:v>leakage</x:v>
      </x:c>
      <x:c r="B14" s="91" t="str"/>
      <x:c r="C14" s="86" t="str">
        <x:v>kg</x:v>
      </x:c>
      <x:c r="D14" s="86" t="str">
        <x:v>independent terminal custody</x:v>
      </x:c>
      <x:c r="E14" s="86" t="str">
        <x:v>OPEN</x:v>
      </x:c>
      <x:c r="F14" s="86" t="str">
        <x:v>hard condition</x:v>
      </x:c>
    </x:row>
    <x:row r="15">
      <x:c r="A15" s="87" t="str">
        <x:v>unaccounted atmosphere</x:v>
      </x:c>
      <x:c r="B15" s="95" t="str"/>
      <x:c r="C15" s="87" t="str">
        <x:v>kg</x:v>
      </x:c>
      <x:c r="D15" s="87" t="str">
        <x:v>independent terminal custody</x:v>
      </x:c>
      <x:c r="E15" s="87" t="str">
        <x:v>OPEN</x:v>
      </x:c>
      <x:c r="F15" s="87" t="str">
        <x:v>hard condition</x:v>
      </x:c>
    </x:row>
    <x:row r="16">
      <x:c r="A16" s="83"/>
      <x:c r="B16" s="83"/>
      <x:c r="C16" s="83"/>
      <x:c r="D16" s="83"/>
      <x:c r="E16" s="83"/>
      <x:c r="F16" s="83"/>
    </x:row>
    <x:row r="17">
      <x:c r="A17" s="83"/>
      <x:c r="B17" s="83"/>
      <x:c r="C17" s="83"/>
      <x:c r="D17" s="83"/>
      <x:c r="E17" s="83"/>
      <x:c r="F17" s="83"/>
    </x:row>
    <x:row r="18" ht="22" customHeight="1">
      <x:c r="A18" s="40" t="str">
        <x:v>Atmosphere account</x:v>
      </x:c>
      <x:c r="B18" s="42" t="str">
        <x:v>Result</x:v>
      </x:c>
      <x:c r="C18" s="83"/>
      <x:c r="D18" s="83"/>
      <x:c r="E18" s="83"/>
      <x:c r="F18" s="83"/>
    </x:row>
    <x:row r="19">
      <x:c r="A19" s="85" t="str">
        <x:v>Registered input</x:v>
      </x:c>
      <x:c r="B19" s="123" t="str">
        <x:f>"n.a."</x:f>
        <x:v>n.a.</x:v>
      </x:c>
      <x:c r="C19" s="83"/>
      <x:c r="D19" s="83"/>
      <x:c r="E19" s="83"/>
      <x:c r="F19" s="83"/>
    </x:row>
    <x:row r="20">
      <x:c r="A20" s="86" t="str">
        <x:v>Observed destination sum</x:v>
      </x:c>
      <x:c r="B20" s="124" t="str">
        <x:f>IF(COUNT(B6:B15)=10,SUM(B6:B15),"n.a.")</x:f>
        <x:v>n.a.</x:v>
      </x:c>
      <x:c r="C20" s="83"/>
      <x:c r="D20" s="83"/>
      <x:c r="E20" s="83"/>
      <x:c r="F20" s="83"/>
    </x:row>
    <x:row r="21">
      <x:c r="A21" s="86" t="str">
        <x:v>Difference</x:v>
      </x:c>
      <x:c r="B21" s="124" t="str">
        <x:f>IF(ISNUMBER(B20),B20-B19,"n.a.")</x:f>
        <x:v>n.a.</x:v>
      </x:c>
      <x:c r="C21" s="83"/>
      <x:c r="D21" s="83"/>
      <x:c r="E21" s="83"/>
      <x:c r="F21" s="83"/>
    </x:row>
    <x:row r="22">
      <x:c r="A22" s="87" t="str">
        <x:v>Account state</x:v>
      </x:c>
      <x:c r="B22" s="125" t="str">
        <x:f>IF(ISNUMBER(B21),IF(ABS(B21)&lt;0.000001,"CLOSED","ADVERSE"),"OPEN")</x:f>
        <x:v>OPEN</x:v>
      </x:c>
      <x:c r="C22" s="83"/>
      <x:c r="D22" s="83"/>
      <x:c r="E22" s="83"/>
      <x:c r="F22" s="83"/>
    </x:row>
  </x:sheetData>
  <x:mergeCells>
    <x:mergeCell ref="A2:F2"/>
  </x:mergeCells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4" hidden="0" customWidth="1"/>
    <x:col min="3" max="3" width="26" hidden="0" customWidth="1"/>
    <x:col min="4" max="4" width="28" hidden="0" customWidth="1"/>
    <x:col min="5" max="5" width="22" hidden="0" customWidth="1"/>
    <x:col min="6" max="6" width="22" hidden="0" customWidth="1"/>
    <x:col min="7" max="7" width="18" hidden="0" customWidth="1"/>
  </x:cols>
  <x:sheetData>
    <x:row r="2" ht="24" customHeight="1">
      <x:c r="A2" s="82" t="str">
        <x:v>Field-material exposure ledger</x:v>
      </x:c>
      <x:c r="B2" s="83"/>
      <x:c r="C2" s="83"/>
      <x:c r="D2" s="83"/>
      <x:c r="E2" s="83"/>
      <x:c r="F2" s="83"/>
      <x:c r="G2" s="83"/>
    </x:row>
    <x:row r="3">
      <x:c r="A3" s="84"/>
      <x:c r="B3" s="84"/>
      <x:c r="C3" s="84"/>
      <x:c r="D3" s="84"/>
      <x:c r="E3" s="84"/>
      <x:c r="F3" s="84"/>
      <x:c r="G3" s="84"/>
    </x:row>
    <x:row r="4">
      <x:c r="A4" s="83"/>
      <x:c r="B4" s="83"/>
      <x:c r="C4" s="83"/>
      <x:c r="D4" s="83"/>
      <x:c r="E4" s="83"/>
      <x:c r="F4" s="83"/>
      <x:c r="G4" s="83"/>
    </x:row>
    <x:row r="5" ht="22" customHeight="1">
      <x:c r="A5" s="7" t="str">
        <x:v>Object</x:v>
      </x:c>
      <x:c r="B5" s="8" t="str">
        <x:v>Pre-event identity</x:v>
      </x:c>
      <x:c r="C5" s="8" t="str">
        <x:v>Pre-event amount or state</x:v>
      </x:c>
      <x:c r="D5" s="8" t="str">
        <x:v>Post-event amount or state</x:v>
      </x:c>
      <x:c r="E5" s="8" t="str">
        <x:v>Observed change</x:v>
      </x:c>
      <x:c r="F5" s="8" t="str">
        <x:v>Disposition</x:v>
      </x:c>
      <x:c r="G5" s="9" t="str">
        <x:v>Ledger state</x:v>
      </x:c>
    </x:row>
    <x:row r="6">
      <x:c r="A6" s="85" t="str">
        <x:v>field liner</x:v>
      </x:c>
      <x:c r="B6" s="100" t="str"/>
      <x:c r="C6" s="100" t="str"/>
      <x:c r="D6" s="100" t="str"/>
      <x:c r="E6" s="100" t="str"/>
      <x:c r="F6" s="100" t="str"/>
      <x:c r="G6" s="100" t="str">
        <x:v>OPEN</x:v>
      </x:c>
    </x:row>
    <x:row r="7">
      <x:c r="A7" s="86" t="str">
        <x:v>penetrants or cell boundaries</x:v>
      </x:c>
      <x:c r="B7" s="91" t="str"/>
      <x:c r="C7" s="91" t="str"/>
      <x:c r="D7" s="91" t="str"/>
      <x:c r="E7" s="91" t="str"/>
      <x:c r="F7" s="91" t="str"/>
      <x:c r="G7" s="91" t="str">
        <x:v>OPEN</x:v>
      </x:c>
    </x:row>
    <x:row r="8">
      <x:c r="A8" s="86" t="str">
        <x:v>structural datum</x:v>
      </x:c>
      <x:c r="B8" s="91" t="str"/>
      <x:c r="C8" s="91" t="str"/>
      <x:c r="D8" s="91" t="str"/>
      <x:c r="E8" s="91" t="str"/>
      <x:c r="F8" s="91" t="str"/>
      <x:c r="G8" s="91" t="str">
        <x:v>OPEN</x:v>
      </x:c>
    </x:row>
    <x:row r="9">
      <x:c r="A9" s="86" t="str">
        <x:v>thermal boundary</x:v>
      </x:c>
      <x:c r="B9" s="91" t="str"/>
      <x:c r="C9" s="91" t="str"/>
      <x:c r="D9" s="91" t="str"/>
      <x:c r="E9" s="91" t="str"/>
      <x:c r="F9" s="91" t="str"/>
      <x:c r="G9" s="91" t="str">
        <x:v>OPEN</x:v>
      </x:c>
    </x:row>
    <x:row r="10">
      <x:c r="A10" s="86" t="str">
        <x:v>PHO interfaces</x:v>
      </x:c>
      <x:c r="B10" s="91" t="str"/>
      <x:c r="C10" s="91" t="str"/>
      <x:c r="D10" s="91" t="str"/>
      <x:c r="E10" s="91" t="str"/>
      <x:c r="F10" s="91" t="str"/>
      <x:c r="G10" s="91" t="str">
        <x:v>OPEN</x:v>
      </x:c>
    </x:row>
    <x:row r="11">
      <x:c r="A11" s="86" t="str">
        <x:v>ION interfaces</x:v>
      </x:c>
      <x:c r="B11" s="91" t="str"/>
      <x:c r="C11" s="91" t="str"/>
      <x:c r="D11" s="91" t="str"/>
      <x:c r="E11" s="91" t="str"/>
      <x:c r="F11" s="91" t="str"/>
      <x:c r="G11" s="91" t="str">
        <x:v>OPEN</x:v>
      </x:c>
    </x:row>
    <x:row r="12">
      <x:c r="A12" s="86" t="str">
        <x:v>TOP interfaces</x:v>
      </x:c>
      <x:c r="B12" s="91" t="str"/>
      <x:c r="C12" s="91" t="str"/>
      <x:c r="D12" s="91" t="str"/>
      <x:c r="E12" s="91" t="str"/>
      <x:c r="F12" s="91" t="str"/>
      <x:c r="G12" s="91" t="str">
        <x:v>OPEN</x:v>
      </x:c>
    </x:row>
    <x:row r="13">
      <x:c r="A13" s="86" t="str">
        <x:v>deposits</x:v>
      </x:c>
      <x:c r="B13" s="91" t="str"/>
      <x:c r="C13" s="91" t="str"/>
      <x:c r="D13" s="91" t="str"/>
      <x:c r="E13" s="91" t="str"/>
      <x:c r="F13" s="91" t="str"/>
      <x:c r="G13" s="91" t="str">
        <x:v>OPEN</x:v>
      </x:c>
    </x:row>
    <x:row r="14">
      <x:c r="A14" s="86" t="str">
        <x:v>absorbed source</x:v>
      </x:c>
      <x:c r="B14" s="91" t="str"/>
      <x:c r="C14" s="91" t="str"/>
      <x:c r="D14" s="91" t="str"/>
      <x:c r="E14" s="91" t="str"/>
      <x:c r="F14" s="91" t="str"/>
      <x:c r="G14" s="91" t="str">
        <x:v>OPEN</x:v>
      </x:c>
    </x:row>
    <x:row r="15">
      <x:c r="A15" s="86" t="str">
        <x:v>debris</x:v>
      </x:c>
      <x:c r="B15" s="91" t="str"/>
      <x:c r="C15" s="91" t="str"/>
      <x:c r="D15" s="91" t="str"/>
      <x:c r="E15" s="91" t="str"/>
      <x:c r="F15" s="91" t="str"/>
      <x:c r="G15" s="91" t="str">
        <x:v>OPEN</x:v>
      </x:c>
    </x:row>
    <x:row r="16">
      <x:c r="A16" s="86" t="str">
        <x:v>repair and replacement</x:v>
      </x:c>
      <x:c r="B16" s="91" t="str"/>
      <x:c r="C16" s="91" t="str"/>
      <x:c r="D16" s="91" t="str"/>
      <x:c r="E16" s="91" t="str"/>
      <x:c r="F16" s="91" t="str"/>
      <x:c r="G16" s="91" t="str">
        <x:v>OPEN</x:v>
      </x:c>
    </x:row>
    <x:row r="17">
      <x:c r="A17" s="87" t="str">
        <x:v>new baseline</x:v>
      </x:c>
      <x:c r="B17" s="95" t="str"/>
      <x:c r="C17" s="95" t="str"/>
      <x:c r="D17" s="95" t="str"/>
      <x:c r="E17" s="95" t="str"/>
      <x:c r="F17" s="95" t="str"/>
      <x:c r="G17" s="95" t="str">
        <x:v>OPEN</x:v>
      </x:c>
    </x:row>
  </x:sheetData>
  <x:mergeCells>
    <x:mergeCell ref="A2:G2"/>
  </x:mergeCells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2" hidden="0" customWidth="1"/>
    <x:col min="3" max="3" width="14" hidden="0" customWidth="1"/>
    <x:col min="4" max="4" width="48" hidden="0" customWidth="1"/>
    <x:col min="5" max="5" width="16" hidden="0" customWidth="1"/>
  </x:cols>
  <x:sheetData>
    <x:row r="2" ht="24" customHeight="1">
      <x:c r="A2" s="82" t="str">
        <x:v>Digital evidence capacity</x:v>
      </x:c>
      <x:c r="B2" s="83"/>
      <x:c r="C2" s="83"/>
      <x:c r="D2" s="83"/>
      <x:c r="E2" s="83"/>
    </x:row>
    <x:row r="3">
      <x:c r="A3" s="84"/>
      <x:c r="B3" s="84"/>
      <x:c r="C3" s="84"/>
      <x:c r="D3" s="84"/>
      <x:c r="E3" s="84"/>
    </x:row>
    <x:row r="4">
      <x:c r="A4" s="83"/>
      <x:c r="B4" s="83"/>
      <x:c r="C4" s="83"/>
      <x:c r="D4" s="83"/>
      <x:c r="E4" s="83"/>
    </x:row>
    <x:row r="5" ht="22" customHeight="1">
      <x:c r="A5" s="7" t="str">
        <x:v>Evidence object</x:v>
      </x:c>
      <x:c r="B5" s="8" t="str">
        <x:v>Result</x:v>
      </x:c>
      <x:c r="C5" s="8" t="str">
        <x:v>Unit</x:v>
      </x:c>
      <x:c r="D5" s="8" t="str">
        <x:v>Formula meaning</x:v>
      </x:c>
      <x:c r="E5" s="9" t="str">
        <x:v>Status</x:v>
      </x:c>
    </x:row>
    <x:row r="6">
      <x:c r="A6" s="85" t="str">
        <x:v>full-tier raw</x:v>
      </x:c>
      <x:c r="B6" s="126" t="n">
        <x:f>'Assumptions'!B25*'Assumptions'!B26</x:f>
        <x:v>432000</x:v>
      </x:c>
      <x:c r="C6" s="85" t="str">
        <x:v>MB</x:v>
      </x:c>
      <x:c r="D6" s="85" t="str">
        <x:v>rate times first interval</x:v>
      </x:c>
      <x:c r="E6" s="85" t="str">
        <x:v>PLANNING</x:v>
      </x:c>
    </x:row>
    <x:row r="7">
      <x:c r="A7" s="86" t="str">
        <x:v>intermediate-tier raw</x:v>
      </x:c>
      <x:c r="B7" s="127" t="n">
        <x:f>'Assumptions'!B27*('Assumptions'!B28-'Assumptions'!B26)</x:f>
        <x:v>68040</x:v>
      </x:c>
      <x:c r="C7" s="86" t="str">
        <x:v>MB</x:v>
      </x:c>
      <x:c r="D7" s="86" t="str">
        <x:v>rate times remaining six-hour interval</x:v>
      </x:c>
      <x:c r="E7" s="86" t="str">
        <x:v>PLANNING</x:v>
      </x:c>
    </x:row>
    <x:row r="8">
      <x:c r="A8" s="86" t="str">
        <x:v>return-tier raw</x:v>
      </x:c>
      <x:c r="B8" s="127" t="n">
        <x:f>'Assumptions'!B29*('Assumptions'!B30-'Assumptions'!B28)</x:f>
        <x:v>50500.8</x:v>
      </x:c>
      <x:c r="C8" s="86" t="str">
        <x:v>MB</x:v>
      </x:c>
      <x:c r="D8" s="86" t="str">
        <x:v>rate times remaining return interval</x:v>
      </x:c>
      <x:c r="E8" s="86" t="str">
        <x:v>PLANNING</x:v>
      </x:c>
    </x:row>
    <x:row r="9">
      <x:c r="A9" s="86" t="str">
        <x:v>raw per integrated cycle</x:v>
      </x:c>
      <x:c r="B9" s="127" t="n">
        <x:f>SUM(B6:B8)</x:f>
        <x:v>550540.8</x:v>
      </x:c>
      <x:c r="C9" s="86" t="str">
        <x:v>MB</x:v>
      </x:c>
      <x:c r="D9" s="86" t="str">
        <x:v>three tiers</x:v>
      </x:c>
      <x:c r="E9" s="86" t="str">
        <x:v>PLANNING</x:v>
      </x:c>
    </x:row>
    <x:row r="10">
      <x:c r="A10" s="86" t="str">
        <x:v>governed per integrated cycle</x:v>
      </x:c>
      <x:c r="B10" s="127" t="n">
        <x:f>B9*'Assumptions'!B31*'Assumptions'!B32/1000</x:f>
        <x:v>1486.46016</x:v>
      </x:c>
      <x:c r="C10" s="86" t="str">
        <x:v>GB</x:v>
      </x:c>
      <x:c r="D10" s="86" t="str">
        <x:v>two originals and custody factor</x:v>
      </x:c>
      <x:c r="E10" s="86" t="str">
        <x:v>PLANNING</x:v>
      </x:c>
    </x:row>
    <x:row r="11">
      <x:c r="A11" s="86" t="str">
        <x:v>qualification cycles</x:v>
      </x:c>
      <x:c r="B11" s="127" t="n">
        <x:f>'Assumptions'!B39*'Assumptions'!B40</x:f>
        <x:v>128</x:v>
      </x:c>
      <x:c r="C11" s="86" t="str">
        <x:v>count</x:v>
      </x:c>
      <x:c r="D11" s="86" t="str">
        <x:v>sixteen times eight</x:v>
      </x:c>
      <x:c r="E11" s="86" t="str">
        <x:v>PLANNING</x:v>
      </x:c>
    </x:row>
    <x:row r="12">
      <x:c r="A12" s="86" t="str">
        <x:v>maximum class attempts</x:v>
      </x:c>
      <x:c r="B12" s="127" t="n">
        <x:f>'Assumptions'!B41+'Assumptions'!B42</x:f>
        <x:v>16</x:v>
      </x:c>
      <x:c r="C12" s="86" t="str">
        <x:v>count</x:v>
      </x:c>
      <x:c r="D12" s="86" t="str">
        <x:v>required plus reserves</x:v>
      </x:c>
      <x:c r="E12" s="86" t="str">
        <x:v>PLANNING</x:v>
      </x:c>
    </x:row>
    <x:row r="13">
      <x:c r="A13" s="86" t="str">
        <x:v>maximum integrated cycles</x:v>
      </x:c>
      <x:c r="B13" s="127" t="n">
        <x:f>B11+B12</x:f>
        <x:v>144</x:v>
      </x:c>
      <x:c r="C13" s="86" t="str">
        <x:v>count</x:v>
      </x:c>
      <x:c r="D13" s="86" t="str">
        <x:v>qualification plus class</x:v>
      </x:c>
      <x:c r="E13" s="86" t="str">
        <x:v>PLANNING</x:v>
      </x:c>
    </x:row>
    <x:row r="14">
      <x:c r="A14" s="86" t="str">
        <x:v>integrated evidence</x:v>
      </x:c>
      <x:c r="B14" s="127" t="n">
        <x:f>B10*B13/1000</x:f>
        <x:v>214.05026304000003</x:v>
      </x:c>
      <x:c r="C14" s="86" t="str">
        <x:v>TB</x:v>
      </x:c>
      <x:c r="D14" s="86" t="str">
        <x:v>governed integrated cycles</x:v>
      </x:c>
      <x:c r="E14" s="86" t="str">
        <x:v>PLANNING</x:v>
      </x:c>
    </x:row>
    <x:row r="15">
      <x:c r="A15" s="86" t="str">
        <x:v>candidate evidence</x:v>
      </x:c>
      <x:c r="B15" s="127" t="n">
        <x:f>'Assumptions'!B36*'Assumptions'!B37*'Assumptions'!B33/1000</x:f>
        <x:v>3.36</x:v>
      </x:c>
      <x:c r="C15" s="86" t="str">
        <x:v>TB</x:v>
      </x:c>
      <x:c r="D15" s="86" t="str">
        <x:v>240 times 14 GB</x:v>
      </x:c>
      <x:c r="E15" s="86" t="str">
        <x:v>PLANNING</x:v>
      </x:c>
    </x:row>
    <x:row r="16">
      <x:c r="A16" s="86" t="str">
        <x:v>comparison evidence</x:v>
      </x:c>
      <x:c r="B16" s="127" t="n">
        <x:f>'Assumptions'!B38*'Assumptions'!B34/1000</x:f>
        <x:v>1.728</x:v>
      </x:c>
      <x:c r="C16" s="86" t="str">
        <x:v>TB</x:v>
      </x:c>
      <x:c r="D16" s="86" t="str">
        <x:v>144 times 12 GB</x:v>
      </x:c>
      <x:c r="E16" s="86" t="str">
        <x:v>PLANNING</x:v>
      </x:c>
    </x:row>
    <x:row r="17">
      <x:c r="A17" s="86" t="str">
        <x:v>subtotal</x:v>
      </x:c>
      <x:c r="B17" s="127" t="n">
        <x:f>SUM(B14:B16)</x:f>
        <x:v>219.13826304000006</x:v>
      </x:c>
      <x:c r="C17" s="86" t="str">
        <x:v>TB</x:v>
      </x:c>
      <x:c r="D17" s="86" t="str">
        <x:v>all digital populations</x:v>
      </x:c>
      <x:c r="E17" s="86" t="str">
        <x:v>PLANNING</x:v>
      </x:c>
    </x:row>
    <x:row r="18">
      <x:c r="A18" s="87" t="str">
        <x:v>provisioned evidence</x:v>
      </x:c>
      <x:c r="B18" s="128" t="n">
        <x:f>B17*(1+'Assumptions'!B35)</x:f>
        <x:v>262.9659156480001</x:v>
      </x:c>
      <x:c r="C18" s="87" t="str">
        <x:v>TB</x:v>
      </x:c>
      <x:c r="D18" s="87" t="str">
        <x:v>forensic allowance</x:v>
      </x:c>
      <x:c r="E18" s="87" t="str">
        <x:v>PLANNING</x:v>
      </x:c>
    </x:row>
  </x:sheetData>
  <x:mergeCells>
    <x:mergeCell ref="A2:E2"/>
  </x:mergeCells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6" hidden="0" customWidth="1"/>
    <x:col min="2" max="2" width="24" hidden="0" customWidth="1"/>
    <x:col min="3" max="3" width="14" hidden="0" customWidth="1"/>
    <x:col min="4" max="4" width="14" hidden="0" customWidth="1"/>
    <x:col min="5" max="5" width="14" hidden="0" customWidth="1"/>
    <x:col min="6" max="6" width="16" hidden="0" customWidth="1"/>
    <x:col min="7" max="7" width="14" hidden="0" customWidth="1"/>
    <x:col min="8" max="8" width="4" hidden="0" customWidth="1"/>
    <x:col min="9" max="9" width="16" hidden="0" customWidth="1"/>
    <x:col min="10" max="10" width="26" hidden="0" customWidth="1"/>
    <x:col min="11" max="11" width="14" hidden="0" customWidth="1"/>
  </x:cols>
  <x:sheetData>
    <x:row r="2" ht="24" customHeight="1">
      <x:c r="A2" s="82" t="str">
        <x:v>1,008-hour field-time return program</x:v>
      </x:c>
      <x:c r="B2" s="83"/>
      <x:c r="C2" s="83"/>
      <x:c r="D2" s="83"/>
      <x:c r="E2" s="83"/>
      <x:c r="F2" s="83"/>
      <x:c r="G2" s="83"/>
      <x:c r="H2" s="83"/>
      <x:c r="I2" s="83"/>
      <x:c r="J2" s="83"/>
      <x:c r="K2" s="83"/>
    </x:row>
    <x:row r="3">
      <x:c r="A3" s="84"/>
      <x:c r="B3" s="84"/>
      <x:c r="C3" s="84"/>
      <x:c r="D3" s="84"/>
      <x:c r="E3" s="84"/>
      <x:c r="F3" s="84"/>
      <x:c r="G3" s="84"/>
      <x:c r="H3" s="84"/>
      <x:c r="I3" s="84"/>
      <x:c r="J3" s="84"/>
      <x:c r="K3" s="84"/>
    </x:row>
    <x:row r="4">
      <x:c r="A4" s="83"/>
      <x:c r="B4" s="83"/>
      <x:c r="C4" s="83"/>
      <x:c r="D4" s="83"/>
      <x:c r="E4" s="83"/>
      <x:c r="F4" s="83"/>
      <x:c r="G4" s="83"/>
      <x:c r="H4" s="83"/>
      <x:c r="I4" s="83"/>
      <x:c r="J4" s="83"/>
      <x:c r="K4" s="83"/>
    </x:row>
    <x:row r="5" ht="22" customHeight="1">
      <x:c r="A5" s="7" t="str">
        <x:v>Work package</x:v>
      </x:c>
      <x:c r="B5" s="8" t="str">
        <x:v>Domain</x:v>
      </x:c>
      <x:c r="C5" s="8" t="str">
        <x:v>72 h</x:v>
      </x:c>
      <x:c r="D5" s="8" t="str">
        <x:v>336 h</x:v>
      </x:c>
      <x:c r="E5" s="8" t="str">
        <x:v>672 h</x:v>
      </x:c>
      <x:c r="F5" s="8" t="str">
        <x:v>1,008 h</x:v>
      </x:c>
      <x:c r="G5" s="9" t="str">
        <x:v>State</x:v>
      </x:c>
      <x:c r="H5" s="83"/>
      <x:c r="I5" s="40" t="str">
        <x:v>Decision</x:v>
      </x:c>
      <x:c r="J5" s="41" t="str">
        <x:v>Domain</x:v>
      </x:c>
      <x:c r="K5" s="42" t="str">
        <x:v>State</x:v>
      </x:c>
    </x:row>
    <x:row r="6">
      <x:c r="A6" s="85" t="str">
        <x:v>WP-01</x:v>
      </x:c>
      <x:c r="B6" s="85" t="str">
        <x:v>field geometry</x:v>
      </x:c>
      <x:c r="C6" s="100" t="str"/>
      <x:c r="D6" s="100" t="str"/>
      <x:c r="E6" s="100" t="str"/>
      <x:c r="F6" s="100" t="str"/>
      <x:c r="G6" s="100" t="str">
        <x:v>OPEN</x:v>
      </x:c>
      <x:c r="H6" s="83"/>
      <x:c r="I6" s="85" t="str">
        <x:v>RD-01</x:v>
      </x:c>
      <x:c r="J6" s="85" t="str">
        <x:v>field geometry</x:v>
      </x:c>
      <x:c r="K6" s="100" t="str">
        <x:v>OPEN</x:v>
      </x:c>
    </x:row>
    <x:row r="7">
      <x:c r="A7" s="86" t="str">
        <x:v>WP-02</x:v>
      </x:c>
      <x:c r="B7" s="86" t="str">
        <x:v>inventory topology</x:v>
      </x:c>
      <x:c r="C7" s="91" t="str"/>
      <x:c r="D7" s="91" t="str"/>
      <x:c r="E7" s="91" t="str"/>
      <x:c r="F7" s="91" t="str"/>
      <x:c r="G7" s="91" t="str">
        <x:v>OPEN</x:v>
      </x:c>
      <x:c r="H7" s="83"/>
      <x:c r="I7" s="86" t="str">
        <x:v>RD-02</x:v>
      </x:c>
      <x:c r="J7" s="86" t="str">
        <x:v>inventory topology</x:v>
      </x:c>
      <x:c r="K7" s="91" t="str">
        <x:v>OPEN</x:v>
      </x:c>
    </x:row>
    <x:row r="8">
      <x:c r="A8" s="86" t="str">
        <x:v>WP-03</x:v>
      </x:c>
      <x:c r="B8" s="86" t="str">
        <x:v>PHO</x:v>
      </x:c>
      <x:c r="C8" s="91" t="str"/>
      <x:c r="D8" s="91" t="str"/>
      <x:c r="E8" s="91" t="str"/>
      <x:c r="F8" s="91" t="str"/>
      <x:c r="G8" s="91" t="str">
        <x:v>OPEN</x:v>
      </x:c>
      <x:c r="H8" s="83"/>
      <x:c r="I8" s="86" t="str">
        <x:v>RD-03</x:v>
      </x:c>
      <x:c r="J8" s="86" t="str">
        <x:v>PHO</x:v>
      </x:c>
      <x:c r="K8" s="91" t="str">
        <x:v>OPEN</x:v>
      </x:c>
    </x:row>
    <x:row r="9">
      <x:c r="A9" s="86" t="str">
        <x:v>WP-04</x:v>
      </x:c>
      <x:c r="B9" s="86" t="str">
        <x:v>ION</x:v>
      </x:c>
      <x:c r="C9" s="91" t="str"/>
      <x:c r="D9" s="91" t="str"/>
      <x:c r="E9" s="91" t="str"/>
      <x:c r="F9" s="91" t="str"/>
      <x:c r="G9" s="91" t="str">
        <x:v>OPEN</x:v>
      </x:c>
      <x:c r="H9" s="83"/>
      <x:c r="I9" s="86" t="str">
        <x:v>RD-04</x:v>
      </x:c>
      <x:c r="J9" s="86" t="str">
        <x:v>ION</x:v>
      </x:c>
      <x:c r="K9" s="91" t="str">
        <x:v>OPEN</x:v>
      </x:c>
    </x:row>
    <x:row r="10">
      <x:c r="A10" s="86" t="str">
        <x:v>WP-05</x:v>
      </x:c>
      <x:c r="B10" s="86" t="str">
        <x:v>MOL</x:v>
      </x:c>
      <x:c r="C10" s="91" t="str"/>
      <x:c r="D10" s="91" t="str"/>
      <x:c r="E10" s="91" t="str"/>
      <x:c r="F10" s="91" t="str"/>
      <x:c r="G10" s="91" t="str">
        <x:v>OPEN</x:v>
      </x:c>
      <x:c r="H10" s="83"/>
      <x:c r="I10" s="86" t="str">
        <x:v>RD-05</x:v>
      </x:c>
      <x:c r="J10" s="86" t="str">
        <x:v>MOL</x:v>
      </x:c>
      <x:c r="K10" s="91" t="str">
        <x:v>OPEN</x:v>
      </x:c>
    </x:row>
    <x:row r="11">
      <x:c r="A11" s="86" t="str">
        <x:v>WP-06</x:v>
      </x:c>
      <x:c r="B11" s="86" t="str">
        <x:v>CAL</x:v>
      </x:c>
      <x:c r="C11" s="91" t="str"/>
      <x:c r="D11" s="91" t="str"/>
      <x:c r="E11" s="91" t="str"/>
      <x:c r="F11" s="91" t="str"/>
      <x:c r="G11" s="91" t="str">
        <x:v>OPEN</x:v>
      </x:c>
      <x:c r="H11" s="83"/>
      <x:c r="I11" s="86" t="str">
        <x:v>RD-06</x:v>
      </x:c>
      <x:c r="J11" s="86" t="str">
        <x:v>CAL</x:v>
      </x:c>
      <x:c r="K11" s="91" t="str">
        <x:v>OPEN</x:v>
      </x:c>
    </x:row>
    <x:row r="12">
      <x:c r="A12" s="86" t="str">
        <x:v>WP-07</x:v>
      </x:c>
      <x:c r="B12" s="86" t="str">
        <x:v>atmosphere</x:v>
      </x:c>
      <x:c r="C12" s="91" t="str"/>
      <x:c r="D12" s="91" t="str"/>
      <x:c r="E12" s="91" t="str"/>
      <x:c r="F12" s="91" t="str"/>
      <x:c r="G12" s="91" t="str">
        <x:v>OPEN</x:v>
      </x:c>
      <x:c r="H12" s="83"/>
      <x:c r="I12" s="86" t="str">
        <x:v>RD-07</x:v>
      </x:c>
      <x:c r="J12" s="86" t="str">
        <x:v>atmosphere</x:v>
      </x:c>
      <x:c r="K12" s="91" t="str">
        <x:v>OPEN</x:v>
      </x:c>
    </x:row>
    <x:row r="13">
      <x:c r="A13" s="86" t="str">
        <x:v>WP-08</x:v>
      </x:c>
      <x:c r="B13" s="86" t="str">
        <x:v>exhaust</x:v>
      </x:c>
      <x:c r="C13" s="91" t="str"/>
      <x:c r="D13" s="91" t="str"/>
      <x:c r="E13" s="91" t="str"/>
      <x:c r="F13" s="91" t="str"/>
      <x:c r="G13" s="91" t="str">
        <x:v>OPEN</x:v>
      </x:c>
      <x:c r="H13" s="83"/>
      <x:c r="I13" s="86" t="str">
        <x:v>RD-08</x:v>
      </x:c>
      <x:c r="J13" s="86" t="str">
        <x:v>exhaust</x:v>
      </x:c>
      <x:c r="K13" s="91" t="str">
        <x:v>OPEN</x:v>
      </x:c>
    </x:row>
    <x:row r="14">
      <x:c r="A14" s="86" t="str">
        <x:v>WP-09</x:v>
      </x:c>
      <x:c r="B14" s="86" t="str">
        <x:v>source route</x:v>
      </x:c>
      <x:c r="C14" s="91" t="str"/>
      <x:c r="D14" s="91" t="str"/>
      <x:c r="E14" s="91" t="str"/>
      <x:c r="F14" s="91" t="str"/>
      <x:c r="G14" s="91" t="str">
        <x:v>OPEN</x:v>
      </x:c>
      <x:c r="H14" s="83"/>
      <x:c r="I14" s="86" t="str">
        <x:v>RD-09</x:v>
      </x:c>
      <x:c r="J14" s="86" t="str">
        <x:v>source route</x:v>
      </x:c>
      <x:c r="K14" s="91" t="str">
        <x:v>OPEN</x:v>
      </x:c>
    </x:row>
    <x:row r="15">
      <x:c r="A15" s="86" t="str">
        <x:v>WP-10</x:v>
      </x:c>
      <x:c r="B15" s="86" t="str">
        <x:v>liner and structure</x:v>
      </x:c>
      <x:c r="C15" s="91" t="str"/>
      <x:c r="D15" s="91" t="str"/>
      <x:c r="E15" s="91" t="str"/>
      <x:c r="F15" s="91" t="str"/>
      <x:c r="G15" s="91" t="str">
        <x:v>OPEN</x:v>
      </x:c>
      <x:c r="H15" s="83"/>
      <x:c r="I15" s="86" t="str">
        <x:v>RD-10</x:v>
      </x:c>
      <x:c r="J15" s="86" t="str">
        <x:v>liner and structure</x:v>
      </x:c>
      <x:c r="K15" s="91" t="str">
        <x:v>OPEN</x:v>
      </x:c>
    </x:row>
    <x:row r="16">
      <x:c r="A16" s="86" t="str">
        <x:v>WP-11</x:v>
      </x:c>
      <x:c r="B16" s="86" t="str">
        <x:v>deposits and debris</x:v>
      </x:c>
      <x:c r="C16" s="91" t="str"/>
      <x:c r="D16" s="91" t="str"/>
      <x:c r="E16" s="91" t="str"/>
      <x:c r="F16" s="91" t="str"/>
      <x:c r="G16" s="91" t="str">
        <x:v>OPEN</x:v>
      </x:c>
      <x:c r="H16" s="83"/>
      <x:c r="I16" s="86" t="str">
        <x:v>RD-11</x:v>
      </x:c>
      <x:c r="J16" s="86" t="str">
        <x:v>deposits and debris</x:v>
      </x:c>
      <x:c r="K16" s="91" t="str">
        <x:v>OPEN</x:v>
      </x:c>
    </x:row>
    <x:row r="17">
      <x:c r="A17" s="86" t="str">
        <x:v>WP-12</x:v>
      </x:c>
      <x:c r="B17" s="86" t="str">
        <x:v>field geometry</x:v>
      </x:c>
      <x:c r="C17" s="91" t="str"/>
      <x:c r="D17" s="91" t="str"/>
      <x:c r="E17" s="91" t="str"/>
      <x:c r="F17" s="91" t="str"/>
      <x:c r="G17" s="91" t="str">
        <x:v>OPEN</x:v>
      </x:c>
      <x:c r="H17" s="83"/>
      <x:c r="I17" s="86" t="str">
        <x:v>RD-12</x:v>
      </x:c>
      <x:c r="J17" s="86" t="str">
        <x:v>field geometry</x:v>
      </x:c>
      <x:c r="K17" s="91" t="str">
        <x:v>OPEN</x:v>
      </x:c>
    </x:row>
    <x:row r="18">
      <x:c r="A18" s="86" t="str">
        <x:v>WP-13</x:v>
      </x:c>
      <x:c r="B18" s="86" t="str">
        <x:v>inventory topology</x:v>
      </x:c>
      <x:c r="C18" s="91" t="str"/>
      <x:c r="D18" s="91" t="str"/>
      <x:c r="E18" s="91" t="str"/>
      <x:c r="F18" s="91" t="str"/>
      <x:c r="G18" s="91" t="str">
        <x:v>OPEN</x:v>
      </x:c>
      <x:c r="H18" s="83"/>
      <x:c r="I18" s="86" t="str">
        <x:v>RD-13</x:v>
      </x:c>
      <x:c r="J18" s="86" t="str">
        <x:v>inventory topology</x:v>
      </x:c>
      <x:c r="K18" s="91" t="str">
        <x:v>OPEN</x:v>
      </x:c>
    </x:row>
    <x:row r="19">
      <x:c r="A19" s="86" t="str">
        <x:v>WP-14</x:v>
      </x:c>
      <x:c r="B19" s="86" t="str">
        <x:v>PHO</x:v>
      </x:c>
      <x:c r="C19" s="91" t="str"/>
      <x:c r="D19" s="91" t="str"/>
      <x:c r="E19" s="91" t="str"/>
      <x:c r="F19" s="91" t="str"/>
      <x:c r="G19" s="91" t="str">
        <x:v>OPEN</x:v>
      </x:c>
      <x:c r="H19" s="83"/>
      <x:c r="I19" s="86" t="str">
        <x:v>RD-14</x:v>
      </x:c>
      <x:c r="J19" s="86" t="str">
        <x:v>PHO</x:v>
      </x:c>
      <x:c r="K19" s="91" t="str">
        <x:v>OPEN</x:v>
      </x:c>
    </x:row>
    <x:row r="20">
      <x:c r="A20" s="86" t="str">
        <x:v>WP-15</x:v>
      </x:c>
      <x:c r="B20" s="86" t="str">
        <x:v>ION</x:v>
      </x:c>
      <x:c r="C20" s="91" t="str"/>
      <x:c r="D20" s="91" t="str"/>
      <x:c r="E20" s="91" t="str"/>
      <x:c r="F20" s="91" t="str"/>
      <x:c r="G20" s="91" t="str">
        <x:v>OPEN</x:v>
      </x:c>
      <x:c r="H20" s="83"/>
      <x:c r="I20" s="86" t="str">
        <x:v>RD-15</x:v>
      </x:c>
      <x:c r="J20" s="86" t="str">
        <x:v>ION</x:v>
      </x:c>
      <x:c r="K20" s="91" t="str">
        <x:v>OPEN</x:v>
      </x:c>
    </x:row>
    <x:row r="21">
      <x:c r="A21" s="86" t="str">
        <x:v>WP-16</x:v>
      </x:c>
      <x:c r="B21" s="86" t="str">
        <x:v>MOL</x:v>
      </x:c>
      <x:c r="C21" s="91" t="str"/>
      <x:c r="D21" s="91" t="str"/>
      <x:c r="E21" s="91" t="str"/>
      <x:c r="F21" s="91" t="str"/>
      <x:c r="G21" s="91" t="str">
        <x:v>OPEN</x:v>
      </x:c>
      <x:c r="H21" s="83"/>
      <x:c r="I21" s="86" t="str">
        <x:v>RD-16</x:v>
      </x:c>
      <x:c r="J21" s="86" t="str">
        <x:v>MOL</x:v>
      </x:c>
      <x:c r="K21" s="91" t="str">
        <x:v>OPEN</x:v>
      </x:c>
    </x:row>
    <x:row r="22">
      <x:c r="A22" s="86" t="str">
        <x:v>WP-17</x:v>
      </x:c>
      <x:c r="B22" s="86" t="str">
        <x:v>CAL</x:v>
      </x:c>
      <x:c r="C22" s="91" t="str"/>
      <x:c r="D22" s="91" t="str"/>
      <x:c r="E22" s="91" t="str"/>
      <x:c r="F22" s="91" t="str"/>
      <x:c r="G22" s="91" t="str">
        <x:v>OPEN</x:v>
      </x:c>
      <x:c r="H22" s="83"/>
      <x:c r="I22" s="86" t="str">
        <x:v>RD-17</x:v>
      </x:c>
      <x:c r="J22" s="86" t="str">
        <x:v>CAL</x:v>
      </x:c>
      <x:c r="K22" s="91" t="str">
        <x:v>OPEN</x:v>
      </x:c>
    </x:row>
    <x:row r="23">
      <x:c r="A23" s="86" t="str">
        <x:v>WP-18</x:v>
      </x:c>
      <x:c r="B23" s="86" t="str">
        <x:v>atmosphere</x:v>
      </x:c>
      <x:c r="C23" s="91" t="str"/>
      <x:c r="D23" s="91" t="str"/>
      <x:c r="E23" s="91" t="str"/>
      <x:c r="F23" s="91" t="str"/>
      <x:c r="G23" s="91" t="str">
        <x:v>OPEN</x:v>
      </x:c>
      <x:c r="H23" s="83"/>
      <x:c r="I23" s="86" t="str">
        <x:v>RD-18</x:v>
      </x:c>
      <x:c r="J23" s="86" t="str">
        <x:v>atmosphere</x:v>
      </x:c>
      <x:c r="K23" s="91" t="str">
        <x:v>OPEN</x:v>
      </x:c>
    </x:row>
    <x:row r="24">
      <x:c r="A24" s="86" t="str">
        <x:v>WP-19</x:v>
      </x:c>
      <x:c r="B24" s="86" t="str">
        <x:v>exhaust</x:v>
      </x:c>
      <x:c r="C24" s="91" t="str"/>
      <x:c r="D24" s="91" t="str"/>
      <x:c r="E24" s="91" t="str"/>
      <x:c r="F24" s="91" t="str"/>
      <x:c r="G24" s="91" t="str">
        <x:v>OPEN</x:v>
      </x:c>
      <x:c r="H24" s="83"/>
      <x:c r="I24" s="86" t="str">
        <x:v>RD-19</x:v>
      </x:c>
      <x:c r="J24" s="86" t="str">
        <x:v>exhaust</x:v>
      </x:c>
      <x:c r="K24" s="91" t="str">
        <x:v>OPEN</x:v>
      </x:c>
    </x:row>
    <x:row r="25">
      <x:c r="A25" s="86" t="str">
        <x:v>WP-20</x:v>
      </x:c>
      <x:c r="B25" s="86" t="str">
        <x:v>source route</x:v>
      </x:c>
      <x:c r="C25" s="91" t="str"/>
      <x:c r="D25" s="91" t="str"/>
      <x:c r="E25" s="91" t="str"/>
      <x:c r="F25" s="91" t="str"/>
      <x:c r="G25" s="91" t="str">
        <x:v>OPEN</x:v>
      </x:c>
      <x:c r="H25" s="83"/>
      <x:c r="I25" s="86" t="str">
        <x:v>RD-20</x:v>
      </x:c>
      <x:c r="J25" s="86" t="str">
        <x:v>source route</x:v>
      </x:c>
      <x:c r="K25" s="91" t="str">
        <x:v>OPEN</x:v>
      </x:c>
    </x:row>
    <x:row r="26">
      <x:c r="A26" s="86" t="str">
        <x:v>WP-21</x:v>
      </x:c>
      <x:c r="B26" s="86" t="str">
        <x:v>liner and structure</x:v>
      </x:c>
      <x:c r="C26" s="91" t="str"/>
      <x:c r="D26" s="91" t="str"/>
      <x:c r="E26" s="91" t="str"/>
      <x:c r="F26" s="91" t="str"/>
      <x:c r="G26" s="91" t="str">
        <x:v>OPEN</x:v>
      </x:c>
      <x:c r="H26" s="83"/>
      <x:c r="I26" s="86" t="str">
        <x:v>RD-21</x:v>
      </x:c>
      <x:c r="J26" s="86" t="str">
        <x:v>liner and structure</x:v>
      </x:c>
      <x:c r="K26" s="91" t="str">
        <x:v>OPEN</x:v>
      </x:c>
    </x:row>
    <x:row r="27">
      <x:c r="A27" s="86" t="str">
        <x:v>WP-22</x:v>
      </x:c>
      <x:c r="B27" s="86" t="str">
        <x:v>deposits and debris</x:v>
      </x:c>
      <x:c r="C27" s="91" t="str"/>
      <x:c r="D27" s="91" t="str"/>
      <x:c r="E27" s="91" t="str"/>
      <x:c r="F27" s="91" t="str"/>
      <x:c r="G27" s="91" t="str">
        <x:v>OPEN</x:v>
      </x:c>
      <x:c r="H27" s="83"/>
      <x:c r="I27" s="86" t="str">
        <x:v>RD-22</x:v>
      </x:c>
      <x:c r="J27" s="86" t="str">
        <x:v>deposits and debris</x:v>
      </x:c>
      <x:c r="K27" s="91" t="str">
        <x:v>OPEN</x:v>
      </x:c>
    </x:row>
    <x:row r="28">
      <x:c r="A28" s="86" t="str">
        <x:v>WP-23</x:v>
      </x:c>
      <x:c r="B28" s="86" t="str">
        <x:v>field geometry</x:v>
      </x:c>
      <x:c r="C28" s="91" t="str"/>
      <x:c r="D28" s="91" t="str"/>
      <x:c r="E28" s="91" t="str"/>
      <x:c r="F28" s="91" t="str"/>
      <x:c r="G28" s="91" t="str">
        <x:v>OPEN</x:v>
      </x:c>
      <x:c r="H28" s="83"/>
      <x:c r="I28" s="86" t="str">
        <x:v>RD-23</x:v>
      </x:c>
      <x:c r="J28" s="86" t="str">
        <x:v>field geometry</x:v>
      </x:c>
      <x:c r="K28" s="91" t="str">
        <x:v>OPEN</x:v>
      </x:c>
    </x:row>
    <x:row r="29">
      <x:c r="A29" s="86" t="str">
        <x:v>WP-24</x:v>
      </x:c>
      <x:c r="B29" s="86" t="str">
        <x:v>inventory topology</x:v>
      </x:c>
      <x:c r="C29" s="91" t="str"/>
      <x:c r="D29" s="91" t="str"/>
      <x:c r="E29" s="91" t="str"/>
      <x:c r="F29" s="91" t="str"/>
      <x:c r="G29" s="91" t="str">
        <x:v>OPEN</x:v>
      </x:c>
      <x:c r="H29" s="83"/>
      <x:c r="I29" s="86" t="str">
        <x:v>RD-24</x:v>
      </x:c>
      <x:c r="J29" s="86" t="str">
        <x:v>inventory topology</x:v>
      </x:c>
      <x:c r="K29" s="91" t="str">
        <x:v>OPEN</x:v>
      </x:c>
    </x:row>
    <x:row r="30">
      <x:c r="A30" s="86" t="str">
        <x:v>WP-25</x:v>
      </x:c>
      <x:c r="B30" s="86" t="str">
        <x:v>PHO</x:v>
      </x:c>
      <x:c r="C30" s="91" t="str"/>
      <x:c r="D30" s="91" t="str"/>
      <x:c r="E30" s="91" t="str"/>
      <x:c r="F30" s="91" t="str"/>
      <x:c r="G30" s="91" t="str">
        <x:v>OPEN</x:v>
      </x:c>
      <x:c r="H30" s="83"/>
      <x:c r="I30" s="86" t="str">
        <x:v>RD-25</x:v>
      </x:c>
      <x:c r="J30" s="86" t="str">
        <x:v>PHO</x:v>
      </x:c>
      <x:c r="K30" s="91" t="str">
        <x:v>OPEN</x:v>
      </x:c>
    </x:row>
    <x:row r="31">
      <x:c r="A31" s="86" t="str">
        <x:v>WP-26</x:v>
      </x:c>
      <x:c r="B31" s="86" t="str">
        <x:v>ION</x:v>
      </x:c>
      <x:c r="C31" s="91" t="str"/>
      <x:c r="D31" s="91" t="str"/>
      <x:c r="E31" s="91" t="str"/>
      <x:c r="F31" s="91" t="str"/>
      <x:c r="G31" s="91" t="str">
        <x:v>OPEN</x:v>
      </x:c>
      <x:c r="H31" s="83"/>
      <x:c r="I31" s="86" t="str">
        <x:v>RD-26</x:v>
      </x:c>
      <x:c r="J31" s="86" t="str">
        <x:v>ION</x:v>
      </x:c>
      <x:c r="K31" s="91" t="str">
        <x:v>OPEN</x:v>
      </x:c>
    </x:row>
    <x:row r="32">
      <x:c r="A32" s="86" t="str">
        <x:v>WP-27</x:v>
      </x:c>
      <x:c r="B32" s="86" t="str">
        <x:v>MOL</x:v>
      </x:c>
      <x:c r="C32" s="91" t="str"/>
      <x:c r="D32" s="91" t="str"/>
      <x:c r="E32" s="91" t="str"/>
      <x:c r="F32" s="91" t="str"/>
      <x:c r="G32" s="91" t="str">
        <x:v>OPEN</x:v>
      </x:c>
      <x:c r="H32" s="83"/>
      <x:c r="I32" s="86" t="str">
        <x:v>RD-27</x:v>
      </x:c>
      <x:c r="J32" s="86" t="str">
        <x:v>MOL</x:v>
      </x:c>
      <x:c r="K32" s="91" t="str">
        <x:v>OPEN</x:v>
      </x:c>
    </x:row>
    <x:row r="33">
      <x:c r="A33" s="86" t="str">
        <x:v>WP-28</x:v>
      </x:c>
      <x:c r="B33" s="86" t="str">
        <x:v>CAL</x:v>
      </x:c>
      <x:c r="C33" s="91" t="str"/>
      <x:c r="D33" s="91" t="str"/>
      <x:c r="E33" s="91" t="str"/>
      <x:c r="F33" s="91" t="str"/>
      <x:c r="G33" s="91" t="str">
        <x:v>OPEN</x:v>
      </x:c>
      <x:c r="H33" s="83"/>
      <x:c r="I33" s="86" t="str">
        <x:v>RD-28</x:v>
      </x:c>
      <x:c r="J33" s="86" t="str">
        <x:v>CAL</x:v>
      </x:c>
      <x:c r="K33" s="91" t="str">
        <x:v>OPEN</x:v>
      </x:c>
    </x:row>
    <x:row r="34">
      <x:c r="A34" s="86" t="str">
        <x:v>WP-29</x:v>
      </x:c>
      <x:c r="B34" s="86" t="str">
        <x:v>atmosphere</x:v>
      </x:c>
      <x:c r="C34" s="91" t="str"/>
      <x:c r="D34" s="91" t="str"/>
      <x:c r="E34" s="91" t="str"/>
      <x:c r="F34" s="91" t="str"/>
      <x:c r="G34" s="91" t="str">
        <x:v>OPEN</x:v>
      </x:c>
      <x:c r="H34" s="83"/>
      <x:c r="I34" s="86" t="str">
        <x:v>RD-29</x:v>
      </x:c>
      <x:c r="J34" s="86" t="str">
        <x:v>atmosphere</x:v>
      </x:c>
      <x:c r="K34" s="91" t="str">
        <x:v>OPEN</x:v>
      </x:c>
    </x:row>
    <x:row r="35">
      <x:c r="A35" s="86" t="str">
        <x:v>WP-30</x:v>
      </x:c>
      <x:c r="B35" s="86" t="str">
        <x:v>exhaust</x:v>
      </x:c>
      <x:c r="C35" s="91" t="str"/>
      <x:c r="D35" s="91" t="str"/>
      <x:c r="E35" s="91" t="str"/>
      <x:c r="F35" s="91" t="str"/>
      <x:c r="G35" s="91" t="str">
        <x:v>OPEN</x:v>
      </x:c>
      <x:c r="H35" s="83"/>
      <x:c r="I35" s="86" t="str">
        <x:v>RD-30</x:v>
      </x:c>
      <x:c r="J35" s="86" t="str">
        <x:v>exhaust</x:v>
      </x:c>
      <x:c r="K35" s="91" t="str">
        <x:v>OPEN</x:v>
      </x:c>
    </x:row>
    <x:row r="36">
      <x:c r="A36" s="86" t="str">
        <x:v>WP-31</x:v>
      </x:c>
      <x:c r="B36" s="86" t="str">
        <x:v>source route</x:v>
      </x:c>
      <x:c r="C36" s="91" t="str"/>
      <x:c r="D36" s="91" t="str"/>
      <x:c r="E36" s="91" t="str"/>
      <x:c r="F36" s="91" t="str"/>
      <x:c r="G36" s="91" t="str">
        <x:v>OPEN</x:v>
      </x:c>
      <x:c r="H36" s="83"/>
      <x:c r="I36" s="86" t="str">
        <x:v>RD-31</x:v>
      </x:c>
      <x:c r="J36" s="86" t="str">
        <x:v>source route</x:v>
      </x:c>
      <x:c r="K36" s="91" t="str">
        <x:v>OPEN</x:v>
      </x:c>
    </x:row>
    <x:row r="37">
      <x:c r="A37" s="86" t="str">
        <x:v>WP-32</x:v>
      </x:c>
      <x:c r="B37" s="86" t="str">
        <x:v>liner and structure</x:v>
      </x:c>
      <x:c r="C37" s="91" t="str"/>
      <x:c r="D37" s="91" t="str"/>
      <x:c r="E37" s="91" t="str"/>
      <x:c r="F37" s="91" t="str"/>
      <x:c r="G37" s="91" t="str">
        <x:v>OPEN</x:v>
      </x:c>
      <x:c r="H37" s="83"/>
      <x:c r="I37" s="86" t="str">
        <x:v>RD-32</x:v>
      </x:c>
      <x:c r="J37" s="86" t="str">
        <x:v>liner and structure</x:v>
      </x:c>
      <x:c r="K37" s="91" t="str">
        <x:v>OPEN</x:v>
      </x:c>
    </x:row>
    <x:row r="38">
      <x:c r="A38" s="86" t="str">
        <x:v>WP-33</x:v>
      </x:c>
      <x:c r="B38" s="86" t="str">
        <x:v>deposits and debris</x:v>
      </x:c>
      <x:c r="C38" s="91" t="str"/>
      <x:c r="D38" s="91" t="str"/>
      <x:c r="E38" s="91" t="str"/>
      <x:c r="F38" s="91" t="str"/>
      <x:c r="G38" s="91" t="str">
        <x:v>OPEN</x:v>
      </x:c>
      <x:c r="H38" s="83"/>
      <x:c r="I38" s="86" t="str">
        <x:v>RD-33</x:v>
      </x:c>
      <x:c r="J38" s="86" t="str">
        <x:v>deposits and debris</x:v>
      </x:c>
      <x:c r="K38" s="91" t="str">
        <x:v>OPEN</x:v>
      </x:c>
    </x:row>
    <x:row r="39">
      <x:c r="A39" s="86" t="str">
        <x:v>WP-34</x:v>
      </x:c>
      <x:c r="B39" s="86" t="str">
        <x:v>field geometry</x:v>
      </x:c>
      <x:c r="C39" s="91" t="str"/>
      <x:c r="D39" s="91" t="str"/>
      <x:c r="E39" s="91" t="str"/>
      <x:c r="F39" s="91" t="str"/>
      <x:c r="G39" s="91" t="str">
        <x:v>OPEN</x:v>
      </x:c>
      <x:c r="H39" s="83"/>
      <x:c r="I39" s="86" t="str">
        <x:v>RD-34</x:v>
      </x:c>
      <x:c r="J39" s="86" t="str">
        <x:v>field geometry</x:v>
      </x:c>
      <x:c r="K39" s="91" t="str">
        <x:v>OPEN</x:v>
      </x:c>
    </x:row>
    <x:row r="40">
      <x:c r="A40" s="86" t="str">
        <x:v>WP-35</x:v>
      </x:c>
      <x:c r="B40" s="86" t="str">
        <x:v>inventory topology</x:v>
      </x:c>
      <x:c r="C40" s="91" t="str"/>
      <x:c r="D40" s="91" t="str"/>
      <x:c r="E40" s="91" t="str"/>
      <x:c r="F40" s="91" t="str"/>
      <x:c r="G40" s="91" t="str">
        <x:v>OPEN</x:v>
      </x:c>
      <x:c r="H40" s="83"/>
      <x:c r="I40" s="86" t="str">
        <x:v>RD-35</x:v>
      </x:c>
      <x:c r="J40" s="86" t="str">
        <x:v>inventory topology</x:v>
      </x:c>
      <x:c r="K40" s="91" t="str">
        <x:v>OPEN</x:v>
      </x:c>
    </x:row>
    <x:row r="41">
      <x:c r="A41" s="86" t="str">
        <x:v>WP-36</x:v>
      </x:c>
      <x:c r="B41" s="86" t="str">
        <x:v>PHO</x:v>
      </x:c>
      <x:c r="C41" s="91" t="str"/>
      <x:c r="D41" s="91" t="str"/>
      <x:c r="E41" s="91" t="str"/>
      <x:c r="F41" s="91" t="str"/>
      <x:c r="G41" s="91" t="str">
        <x:v>OPEN</x:v>
      </x:c>
      <x:c r="H41" s="83"/>
      <x:c r="I41" s="86" t="str">
        <x:v>RD-36</x:v>
      </x:c>
      <x:c r="J41" s="86" t="str">
        <x:v>PHO</x:v>
      </x:c>
      <x:c r="K41" s="91" t="str">
        <x:v>OPEN</x:v>
      </x:c>
    </x:row>
    <x:row r="42">
      <x:c r="A42" s="86" t="str">
        <x:v>WP-37</x:v>
      </x:c>
      <x:c r="B42" s="86" t="str">
        <x:v>ION</x:v>
      </x:c>
      <x:c r="C42" s="91" t="str"/>
      <x:c r="D42" s="91" t="str"/>
      <x:c r="E42" s="91" t="str"/>
      <x:c r="F42" s="91" t="str"/>
      <x:c r="G42" s="91" t="str">
        <x:v>OPEN</x:v>
      </x:c>
      <x:c r="H42" s="83"/>
      <x:c r="I42" s="86" t="str">
        <x:v>RD-37</x:v>
      </x:c>
      <x:c r="J42" s="86" t="str">
        <x:v>ION</x:v>
      </x:c>
      <x:c r="K42" s="91" t="str">
        <x:v>OPEN</x:v>
      </x:c>
    </x:row>
    <x:row r="43">
      <x:c r="A43" s="86" t="str">
        <x:v>WP-38</x:v>
      </x:c>
      <x:c r="B43" s="86" t="str">
        <x:v>MOL</x:v>
      </x:c>
      <x:c r="C43" s="91" t="str"/>
      <x:c r="D43" s="91" t="str"/>
      <x:c r="E43" s="91" t="str"/>
      <x:c r="F43" s="91" t="str"/>
      <x:c r="G43" s="91" t="str">
        <x:v>OPEN</x:v>
      </x:c>
      <x:c r="H43" s="83"/>
      <x:c r="I43" s="86" t="str">
        <x:v>RD-38</x:v>
      </x:c>
      <x:c r="J43" s="86" t="str">
        <x:v>MOL</x:v>
      </x:c>
      <x:c r="K43" s="91" t="str">
        <x:v>OPEN</x:v>
      </x:c>
    </x:row>
    <x:row r="44">
      <x:c r="A44" s="86" t="str">
        <x:v>WP-39</x:v>
      </x:c>
      <x:c r="B44" s="86" t="str">
        <x:v>CAL</x:v>
      </x:c>
      <x:c r="C44" s="91" t="str"/>
      <x:c r="D44" s="91" t="str"/>
      <x:c r="E44" s="91" t="str"/>
      <x:c r="F44" s="91" t="str"/>
      <x:c r="G44" s="91" t="str">
        <x:v>OPEN</x:v>
      </x:c>
      <x:c r="H44" s="83"/>
      <x:c r="I44" s="86" t="str">
        <x:v>RD-39</x:v>
      </x:c>
      <x:c r="J44" s="86" t="str">
        <x:v>CAL</x:v>
      </x:c>
      <x:c r="K44" s="91" t="str">
        <x:v>OPEN</x:v>
      </x:c>
    </x:row>
    <x:row r="45">
      <x:c r="A45" s="86" t="str">
        <x:v>WP-40</x:v>
      </x:c>
      <x:c r="B45" s="86" t="str">
        <x:v>atmosphere</x:v>
      </x:c>
      <x:c r="C45" s="91" t="str"/>
      <x:c r="D45" s="91" t="str"/>
      <x:c r="E45" s="91" t="str"/>
      <x:c r="F45" s="91" t="str"/>
      <x:c r="G45" s="91" t="str">
        <x:v>OPEN</x:v>
      </x:c>
      <x:c r="H45" s="83"/>
      <x:c r="I45" s="87" t="str">
        <x:v>RD-40</x:v>
      </x:c>
      <x:c r="J45" s="87" t="str">
        <x:v>atmosphere</x:v>
      </x:c>
      <x:c r="K45" s="95" t="str">
        <x:v>OPEN</x:v>
      </x:c>
    </x:row>
    <x:row r="46">
      <x:c r="A46" s="86" t="str">
        <x:v>WP-41</x:v>
      </x:c>
      <x:c r="B46" s="86" t="str">
        <x:v>exhaust</x:v>
      </x:c>
      <x:c r="C46" s="91" t="str"/>
      <x:c r="D46" s="91" t="str"/>
      <x:c r="E46" s="91" t="str"/>
      <x:c r="F46" s="91" t="str"/>
      <x:c r="G46" s="91" t="str">
        <x:v>OPEN</x:v>
      </x:c>
      <x:c r="H46" s="83"/>
      <x:c r="I46" s="83"/>
      <x:c r="J46" s="83"/>
      <x:c r="K46" s="83"/>
    </x:row>
    <x:row r="47">
      <x:c r="A47" s="86" t="str">
        <x:v>WP-42</x:v>
      </x:c>
      <x:c r="B47" s="86" t="str">
        <x:v>source route</x:v>
      </x:c>
      <x:c r="C47" s="91" t="str"/>
      <x:c r="D47" s="91" t="str"/>
      <x:c r="E47" s="91" t="str"/>
      <x:c r="F47" s="91" t="str"/>
      <x:c r="G47" s="91" t="str">
        <x:v>OPEN</x:v>
      </x:c>
      <x:c r="H47" s="83"/>
      <x:c r="I47" s="83"/>
      <x:c r="J47" s="83"/>
      <x:c r="K47" s="83"/>
    </x:row>
    <x:row r="48">
      <x:c r="A48" s="86" t="str">
        <x:v>WP-43</x:v>
      </x:c>
      <x:c r="B48" s="86" t="str">
        <x:v>liner and structure</x:v>
      </x:c>
      <x:c r="C48" s="91" t="str"/>
      <x:c r="D48" s="91" t="str"/>
      <x:c r="E48" s="91" t="str"/>
      <x:c r="F48" s="91" t="str"/>
      <x:c r="G48" s="91" t="str">
        <x:v>OPEN</x:v>
      </x:c>
      <x:c r="H48" s="83"/>
      <x:c r="I48" s="83"/>
      <x:c r="J48" s="83"/>
      <x:c r="K48" s="83"/>
    </x:row>
    <x:row r="49">
      <x:c r="A49" s="87" t="str">
        <x:v>WP-44</x:v>
      </x:c>
      <x:c r="B49" s="87" t="str">
        <x:v>deposits and debris</x:v>
      </x:c>
      <x:c r="C49" s="95" t="str"/>
      <x:c r="D49" s="95" t="str"/>
      <x:c r="E49" s="95" t="str"/>
      <x:c r="F49" s="95" t="str"/>
      <x:c r="G49" s="95" t="str">
        <x:v>OPEN</x:v>
      </x:c>
      <x:c r="H49" s="83"/>
      <x:c r="I49" s="83"/>
      <x:c r="J49" s="83"/>
      <x:c r="K49" s="83"/>
    </x:row>
  </x:sheetData>
  <x:mergeCells>
    <x:mergeCell ref="A2:K2"/>
  </x:mergeCells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6" hidden="0" customWidth="1"/>
    <x:col min="2" max="2" width="12" hidden="0" customWidth="1"/>
    <x:col min="3" max="3" width="16" hidden="0" customWidth="1"/>
    <x:col min="4" max="4" width="22" hidden="0" customWidth="1"/>
    <x:col min="5" max="5" width="24" hidden="0" customWidth="1"/>
    <x:col min="6" max="6" width="20" hidden="0" customWidth="1"/>
    <x:col min="7" max="7" width="18" hidden="0" customWidth="1"/>
    <x:col min="8" max="8" width="18" hidden="0" customWidth="1"/>
    <x:col min="9" max="9" width="18" hidden="0" customWidth="1"/>
    <x:col min="10" max="10" width="20" hidden="0" customWidth="1"/>
    <x:col min="11" max="11" width="14" hidden="0" customWidth="1"/>
  </x:cols>
  <x:sheetData>
    <x:row r="2" ht="24" customHeight="1">
      <x:c r="A2" s="82" t="str">
        <x:v>216 module and host exchange trials</x:v>
      </x:c>
      <x:c r="B2" s="83"/>
      <x:c r="C2" s="83"/>
      <x:c r="D2" s="83"/>
      <x:c r="E2" s="83"/>
      <x:c r="F2" s="83"/>
      <x:c r="G2" s="83"/>
      <x:c r="H2" s="83"/>
      <x:c r="I2" s="83"/>
      <x:c r="J2" s="83"/>
      <x:c r="K2" s="83"/>
    </x:row>
    <x:row r="3">
      <x:c r="A3" s="84"/>
      <x:c r="B3" s="84"/>
      <x:c r="C3" s="84"/>
      <x:c r="D3" s="84"/>
      <x:c r="E3" s="84"/>
      <x:c r="F3" s="84"/>
      <x:c r="G3" s="84"/>
      <x:c r="H3" s="84"/>
      <x:c r="I3" s="84"/>
      <x:c r="J3" s="84"/>
      <x:c r="K3" s="84"/>
    </x:row>
    <x:row r="4">
      <x:c r="A4" s="83"/>
      <x:c r="B4" s="83"/>
      <x:c r="C4" s="83"/>
      <x:c r="D4" s="83"/>
      <x:c r="E4" s="83"/>
      <x:c r="F4" s="83"/>
      <x:c r="G4" s="83"/>
      <x:c r="H4" s="83"/>
      <x:c r="I4" s="83"/>
      <x:c r="J4" s="83"/>
      <x:c r="K4" s="83"/>
    </x:row>
    <x:row r="5" ht="22" customHeight="1">
      <x:c r="A5" s="7" t="str">
        <x:v>Trial</x:v>
      </x:c>
      <x:c r="B5" s="8" t="str">
        <x:v>Host</x:v>
      </x:c>
      <x:c r="C5" s="8" t="str">
        <x:v>Direction</x:v>
      </x:c>
      <x:c r="D5" s="8" t="str">
        <x:v>Field state</x:v>
      </x:c>
      <x:c r="E5" s="8" t="str">
        <x:v>Challenge</x:v>
      </x:c>
      <x:c r="F5" s="8" t="str">
        <x:v>Module baseline</x:v>
      </x:c>
      <x:c r="G5" s="8" t="str">
        <x:v>Host baseline</x:v>
      </x:c>
      <x:c r="H5" s="8" t="str">
        <x:v>Calibration</x:v>
      </x:c>
      <x:c r="I5" s="8" t="str">
        <x:v>Rollback</x:v>
      </x:c>
      <x:c r="J5" s="8" t="str">
        <x:v>Physical result</x:v>
      </x:c>
      <x:c r="K5" s="9" t="str">
        <x:v>State</x:v>
      </x:c>
    </x:row>
    <x:row r="6">
      <x:c r="A6" s="85" t="str">
        <x:v>EX-001</x:v>
      </x:c>
      <x:c r="B6" s="85" t="str">
        <x:v>H1</x:v>
      </x:c>
      <x:c r="C6" s="85" t="str">
        <x:v>A-to-B</x:v>
      </x:c>
      <x:c r="D6" s="85" t="str">
        <x:v>clean</x:v>
      </x:c>
      <x:c r="E6" s="85" t="str">
        <x:v>nominal datum</x:v>
      </x:c>
      <x:c r="F6" s="100" t="str"/>
      <x:c r="G6" s="100" t="str"/>
      <x:c r="H6" s="100" t="str"/>
      <x:c r="I6" s="100" t="str"/>
      <x:c r="J6" s="100" t="str"/>
      <x:c r="K6" s="100" t="str">
        <x:v>OPEN</x:v>
      </x:c>
    </x:row>
    <x:row r="7">
      <x:c r="A7" s="86" t="str">
        <x:v>EX-002</x:v>
      </x:c>
      <x:c r="B7" s="86" t="str">
        <x:v>H1</x:v>
      </x:c>
      <x:c r="C7" s="86" t="str">
        <x:v>A-to-B</x:v>
      </x:c>
      <x:c r="D7" s="86" t="str">
        <x:v>clean</x:v>
      </x:c>
      <x:c r="E7" s="86" t="str">
        <x:v>geometric edge</x:v>
      </x:c>
      <x:c r="F7" s="91" t="str"/>
      <x:c r="G7" s="91" t="str"/>
      <x:c r="H7" s="91" t="str"/>
      <x:c r="I7" s="91" t="str"/>
      <x:c r="J7" s="91" t="str"/>
      <x:c r="K7" s="91" t="str">
        <x:v>OPEN</x:v>
      </x:c>
    </x:row>
    <x:row r="8">
      <x:c r="A8" s="86" t="str">
        <x:v>EX-003</x:v>
      </x:c>
      <x:c r="B8" s="86" t="str">
        <x:v>H1</x:v>
      </x:c>
      <x:c r="C8" s="86" t="str">
        <x:v>A-to-B</x:v>
      </x:c>
      <x:c r="D8" s="86" t="str">
        <x:v>clean</x:v>
      </x:c>
      <x:c r="E8" s="86" t="str">
        <x:v>thermal distortion</x:v>
      </x:c>
      <x:c r="F8" s="91" t="str"/>
      <x:c r="G8" s="91" t="str"/>
      <x:c r="H8" s="91" t="str"/>
      <x:c r="I8" s="91" t="str"/>
      <x:c r="J8" s="91" t="str"/>
      <x:c r="K8" s="91" t="str">
        <x:v>OPEN</x:v>
      </x:c>
    </x:row>
    <x:row r="9">
      <x:c r="A9" s="86" t="str">
        <x:v>EX-004</x:v>
      </x:c>
      <x:c r="B9" s="86" t="str">
        <x:v>H1</x:v>
      </x:c>
      <x:c r="C9" s="86" t="str">
        <x:v>A-to-B</x:v>
      </x:c>
      <x:c r="D9" s="86" t="str">
        <x:v>clean</x:v>
      </x:c>
      <x:c r="E9" s="86" t="str">
        <x:v>calibration loss</x:v>
      </x:c>
      <x:c r="F9" s="91" t="str"/>
      <x:c r="G9" s="91" t="str"/>
      <x:c r="H9" s="91" t="str"/>
      <x:c r="I9" s="91" t="str"/>
      <x:c r="J9" s="91" t="str"/>
      <x:c r="K9" s="91" t="str">
        <x:v>OPEN</x:v>
      </x:c>
    </x:row>
    <x:row r="10">
      <x:c r="A10" s="86" t="str">
        <x:v>EX-005</x:v>
      </x:c>
      <x:c r="B10" s="86" t="str">
        <x:v>H1</x:v>
      </x:c>
      <x:c r="C10" s="86" t="str">
        <x:v>A-to-B</x:v>
      </x:c>
      <x:c r="D10" s="86" t="str">
        <x:v>clean</x:v>
      </x:c>
      <x:c r="E10" s="86" t="str">
        <x:v>service denial</x:v>
      </x:c>
      <x:c r="F10" s="91" t="str"/>
      <x:c r="G10" s="91" t="str"/>
      <x:c r="H10" s="91" t="str"/>
      <x:c r="I10" s="91" t="str"/>
      <x:c r="J10" s="91" t="str"/>
      <x:c r="K10" s="91" t="str">
        <x:v>OPEN</x:v>
      </x:c>
    </x:row>
    <x:row r="11">
      <x:c r="A11" s="86" t="str">
        <x:v>EX-006</x:v>
      </x:c>
      <x:c r="B11" s="86" t="str">
        <x:v>H1</x:v>
      </x:c>
      <x:c r="C11" s="86" t="str">
        <x:v>A-to-B</x:v>
      </x:c>
      <x:c r="D11" s="86" t="str">
        <x:v>clean</x:v>
      </x:c>
      <x:c r="E11" s="86" t="str">
        <x:v>interrupted rollback</x:v>
      </x:c>
      <x:c r="F11" s="91" t="str"/>
      <x:c r="G11" s="91" t="str"/>
      <x:c r="H11" s="91" t="str"/>
      <x:c r="I11" s="91" t="str"/>
      <x:c r="J11" s="91" t="str"/>
      <x:c r="K11" s="91" t="str">
        <x:v>OPEN</x:v>
      </x:c>
    </x:row>
    <x:row r="12">
      <x:c r="A12" s="86" t="str">
        <x:v>EX-007</x:v>
      </x:c>
      <x:c r="B12" s="86" t="str">
        <x:v>H1</x:v>
      </x:c>
      <x:c r="C12" s="86" t="str">
        <x:v>A-to-B</x:v>
      </x:c>
      <x:c r="D12" s="86" t="str">
        <x:v>thermally soaked</x:v>
      </x:c>
      <x:c r="E12" s="86" t="str">
        <x:v>nominal datum</x:v>
      </x:c>
      <x:c r="F12" s="91" t="str"/>
      <x:c r="G12" s="91" t="str"/>
      <x:c r="H12" s="91" t="str"/>
      <x:c r="I12" s="91" t="str"/>
      <x:c r="J12" s="91" t="str"/>
      <x:c r="K12" s="91" t="str">
        <x:v>OPEN</x:v>
      </x:c>
    </x:row>
    <x:row r="13">
      <x:c r="A13" s="86" t="str">
        <x:v>EX-008</x:v>
      </x:c>
      <x:c r="B13" s="86" t="str">
        <x:v>H1</x:v>
      </x:c>
      <x:c r="C13" s="86" t="str">
        <x:v>A-to-B</x:v>
      </x:c>
      <x:c r="D13" s="86" t="str">
        <x:v>thermally soaked</x:v>
      </x:c>
      <x:c r="E13" s="86" t="str">
        <x:v>geometric edge</x:v>
      </x:c>
      <x:c r="F13" s="91" t="str"/>
      <x:c r="G13" s="91" t="str"/>
      <x:c r="H13" s="91" t="str"/>
      <x:c r="I13" s="91" t="str"/>
      <x:c r="J13" s="91" t="str"/>
      <x:c r="K13" s="91" t="str">
        <x:v>OPEN</x:v>
      </x:c>
    </x:row>
    <x:row r="14">
      <x:c r="A14" s="86" t="str">
        <x:v>EX-009</x:v>
      </x:c>
      <x:c r="B14" s="86" t="str">
        <x:v>H1</x:v>
      </x:c>
      <x:c r="C14" s="86" t="str">
        <x:v>A-to-B</x:v>
      </x:c>
      <x:c r="D14" s="86" t="str">
        <x:v>thermally soaked</x:v>
      </x:c>
      <x:c r="E14" s="86" t="str">
        <x:v>thermal distortion</x:v>
      </x:c>
      <x:c r="F14" s="91" t="str"/>
      <x:c r="G14" s="91" t="str"/>
      <x:c r="H14" s="91" t="str"/>
      <x:c r="I14" s="91" t="str"/>
      <x:c r="J14" s="91" t="str"/>
      <x:c r="K14" s="91" t="str">
        <x:v>OPEN</x:v>
      </x:c>
    </x:row>
    <x:row r="15">
      <x:c r="A15" s="86" t="str">
        <x:v>EX-010</x:v>
      </x:c>
      <x:c r="B15" s="86" t="str">
        <x:v>H1</x:v>
      </x:c>
      <x:c r="C15" s="86" t="str">
        <x:v>A-to-B</x:v>
      </x:c>
      <x:c r="D15" s="86" t="str">
        <x:v>thermally soaked</x:v>
      </x:c>
      <x:c r="E15" s="86" t="str">
        <x:v>calibration loss</x:v>
      </x:c>
      <x:c r="F15" s="91" t="str"/>
      <x:c r="G15" s="91" t="str"/>
      <x:c r="H15" s="91" t="str"/>
      <x:c r="I15" s="91" t="str"/>
      <x:c r="J15" s="91" t="str"/>
      <x:c r="K15" s="91" t="str">
        <x:v>OPEN</x:v>
      </x:c>
    </x:row>
    <x:row r="16">
      <x:c r="A16" s="86" t="str">
        <x:v>EX-011</x:v>
      </x:c>
      <x:c r="B16" s="86" t="str">
        <x:v>H1</x:v>
      </x:c>
      <x:c r="C16" s="86" t="str">
        <x:v>A-to-B</x:v>
      </x:c>
      <x:c r="D16" s="86" t="str">
        <x:v>thermally soaked</x:v>
      </x:c>
      <x:c r="E16" s="86" t="str">
        <x:v>service denial</x:v>
      </x:c>
      <x:c r="F16" s="91" t="str"/>
      <x:c r="G16" s="91" t="str"/>
      <x:c r="H16" s="91" t="str"/>
      <x:c r="I16" s="91" t="str"/>
      <x:c r="J16" s="91" t="str"/>
      <x:c r="K16" s="91" t="str">
        <x:v>OPEN</x:v>
      </x:c>
    </x:row>
    <x:row r="17">
      <x:c r="A17" s="86" t="str">
        <x:v>EX-012</x:v>
      </x:c>
      <x:c r="B17" s="86" t="str">
        <x:v>H1</x:v>
      </x:c>
      <x:c r="C17" s="86" t="str">
        <x:v>A-to-B</x:v>
      </x:c>
      <x:c r="D17" s="86" t="str">
        <x:v>thermally soaked</x:v>
      </x:c>
      <x:c r="E17" s="86" t="str">
        <x:v>interrupted rollback</x:v>
      </x:c>
      <x:c r="F17" s="91" t="str"/>
      <x:c r="G17" s="91" t="str"/>
      <x:c r="H17" s="91" t="str"/>
      <x:c r="I17" s="91" t="str"/>
      <x:c r="J17" s="91" t="str"/>
      <x:c r="K17" s="91" t="str">
        <x:v>OPEN</x:v>
      </x:c>
    </x:row>
    <x:row r="18">
      <x:c r="A18" s="86" t="str">
        <x:v>EX-013</x:v>
      </x:c>
      <x:c r="B18" s="86" t="str">
        <x:v>H1</x:v>
      </x:c>
      <x:c r="C18" s="86" t="str">
        <x:v>A-to-B</x:v>
      </x:c>
      <x:c r="D18" s="86" t="str">
        <x:v>residue-bearing</x:v>
      </x:c>
      <x:c r="E18" s="86" t="str">
        <x:v>nominal datum</x:v>
      </x:c>
      <x:c r="F18" s="91" t="str"/>
      <x:c r="G18" s="91" t="str"/>
      <x:c r="H18" s="91" t="str"/>
      <x:c r="I18" s="91" t="str"/>
      <x:c r="J18" s="91" t="str"/>
      <x:c r="K18" s="91" t="str">
        <x:v>OPEN</x:v>
      </x:c>
    </x:row>
    <x:row r="19">
      <x:c r="A19" s="86" t="str">
        <x:v>EX-014</x:v>
      </x:c>
      <x:c r="B19" s="86" t="str">
        <x:v>H1</x:v>
      </x:c>
      <x:c r="C19" s="86" t="str">
        <x:v>A-to-B</x:v>
      </x:c>
      <x:c r="D19" s="86" t="str">
        <x:v>residue-bearing</x:v>
      </x:c>
      <x:c r="E19" s="86" t="str">
        <x:v>geometric edge</x:v>
      </x:c>
      <x:c r="F19" s="91" t="str"/>
      <x:c r="G19" s="91" t="str"/>
      <x:c r="H19" s="91" t="str"/>
      <x:c r="I19" s="91" t="str"/>
      <x:c r="J19" s="91" t="str"/>
      <x:c r="K19" s="91" t="str">
        <x:v>OPEN</x:v>
      </x:c>
    </x:row>
    <x:row r="20">
      <x:c r="A20" s="86" t="str">
        <x:v>EX-015</x:v>
      </x:c>
      <x:c r="B20" s="86" t="str">
        <x:v>H1</x:v>
      </x:c>
      <x:c r="C20" s="86" t="str">
        <x:v>A-to-B</x:v>
      </x:c>
      <x:c r="D20" s="86" t="str">
        <x:v>residue-bearing</x:v>
      </x:c>
      <x:c r="E20" s="86" t="str">
        <x:v>thermal distortion</x:v>
      </x:c>
      <x:c r="F20" s="91" t="str"/>
      <x:c r="G20" s="91" t="str"/>
      <x:c r="H20" s="91" t="str"/>
      <x:c r="I20" s="91" t="str"/>
      <x:c r="J20" s="91" t="str"/>
      <x:c r="K20" s="91" t="str">
        <x:v>OPEN</x:v>
      </x:c>
    </x:row>
    <x:row r="21">
      <x:c r="A21" s="86" t="str">
        <x:v>EX-016</x:v>
      </x:c>
      <x:c r="B21" s="86" t="str">
        <x:v>H1</x:v>
      </x:c>
      <x:c r="C21" s="86" t="str">
        <x:v>A-to-B</x:v>
      </x:c>
      <x:c r="D21" s="86" t="str">
        <x:v>residue-bearing</x:v>
      </x:c>
      <x:c r="E21" s="86" t="str">
        <x:v>calibration loss</x:v>
      </x:c>
      <x:c r="F21" s="91" t="str"/>
      <x:c r="G21" s="91" t="str"/>
      <x:c r="H21" s="91" t="str"/>
      <x:c r="I21" s="91" t="str"/>
      <x:c r="J21" s="91" t="str"/>
      <x:c r="K21" s="91" t="str">
        <x:v>OPEN</x:v>
      </x:c>
    </x:row>
    <x:row r="22">
      <x:c r="A22" s="86" t="str">
        <x:v>EX-017</x:v>
      </x:c>
      <x:c r="B22" s="86" t="str">
        <x:v>H1</x:v>
      </x:c>
      <x:c r="C22" s="86" t="str">
        <x:v>A-to-B</x:v>
      </x:c>
      <x:c r="D22" s="86" t="str">
        <x:v>residue-bearing</x:v>
      </x:c>
      <x:c r="E22" s="86" t="str">
        <x:v>service denial</x:v>
      </x:c>
      <x:c r="F22" s="91" t="str"/>
      <x:c r="G22" s="91" t="str"/>
      <x:c r="H22" s="91" t="str"/>
      <x:c r="I22" s="91" t="str"/>
      <x:c r="J22" s="91" t="str"/>
      <x:c r="K22" s="91" t="str">
        <x:v>OPEN</x:v>
      </x:c>
    </x:row>
    <x:row r="23">
      <x:c r="A23" s="86" t="str">
        <x:v>EX-018</x:v>
      </x:c>
      <x:c r="B23" s="86" t="str">
        <x:v>H1</x:v>
      </x:c>
      <x:c r="C23" s="86" t="str">
        <x:v>A-to-B</x:v>
      </x:c>
      <x:c r="D23" s="86" t="str">
        <x:v>residue-bearing</x:v>
      </x:c>
      <x:c r="E23" s="86" t="str">
        <x:v>interrupted rollback</x:v>
      </x:c>
      <x:c r="F23" s="91" t="str"/>
      <x:c r="G23" s="91" t="str"/>
      <x:c r="H23" s="91" t="str"/>
      <x:c r="I23" s="91" t="str"/>
      <x:c r="J23" s="91" t="str"/>
      <x:c r="K23" s="91" t="str">
        <x:v>OPEN</x:v>
      </x:c>
    </x:row>
    <x:row r="24">
      <x:c r="A24" s="86" t="str">
        <x:v>EX-019</x:v>
      </x:c>
      <x:c r="B24" s="86" t="str">
        <x:v>H1</x:v>
      </x:c>
      <x:c r="C24" s="86" t="str">
        <x:v>B-to-A</x:v>
      </x:c>
      <x:c r="D24" s="86" t="str">
        <x:v>clean</x:v>
      </x:c>
      <x:c r="E24" s="86" t="str">
        <x:v>nominal datum</x:v>
      </x:c>
      <x:c r="F24" s="91" t="str"/>
      <x:c r="G24" s="91" t="str"/>
      <x:c r="H24" s="91" t="str"/>
      <x:c r="I24" s="91" t="str"/>
      <x:c r="J24" s="91" t="str"/>
      <x:c r="K24" s="91" t="str">
        <x:v>OPEN</x:v>
      </x:c>
    </x:row>
    <x:row r="25">
      <x:c r="A25" s="86" t="str">
        <x:v>EX-020</x:v>
      </x:c>
      <x:c r="B25" s="86" t="str">
        <x:v>H1</x:v>
      </x:c>
      <x:c r="C25" s="86" t="str">
        <x:v>B-to-A</x:v>
      </x:c>
      <x:c r="D25" s="86" t="str">
        <x:v>clean</x:v>
      </x:c>
      <x:c r="E25" s="86" t="str">
        <x:v>geometric edge</x:v>
      </x:c>
      <x:c r="F25" s="91" t="str"/>
      <x:c r="G25" s="91" t="str"/>
      <x:c r="H25" s="91" t="str"/>
      <x:c r="I25" s="91" t="str"/>
      <x:c r="J25" s="91" t="str"/>
      <x:c r="K25" s="91" t="str">
        <x:v>OPEN</x:v>
      </x:c>
    </x:row>
    <x:row r="26">
      <x:c r="A26" s="86" t="str">
        <x:v>EX-021</x:v>
      </x:c>
      <x:c r="B26" s="86" t="str">
        <x:v>H1</x:v>
      </x:c>
      <x:c r="C26" s="86" t="str">
        <x:v>B-to-A</x:v>
      </x:c>
      <x:c r="D26" s="86" t="str">
        <x:v>clean</x:v>
      </x:c>
      <x:c r="E26" s="86" t="str">
        <x:v>thermal distortion</x:v>
      </x:c>
      <x:c r="F26" s="91" t="str"/>
      <x:c r="G26" s="91" t="str"/>
      <x:c r="H26" s="91" t="str"/>
      <x:c r="I26" s="91" t="str"/>
      <x:c r="J26" s="91" t="str"/>
      <x:c r="K26" s="91" t="str">
        <x:v>OPEN</x:v>
      </x:c>
    </x:row>
    <x:row r="27">
      <x:c r="A27" s="86" t="str">
        <x:v>EX-022</x:v>
      </x:c>
      <x:c r="B27" s="86" t="str">
        <x:v>H1</x:v>
      </x:c>
      <x:c r="C27" s="86" t="str">
        <x:v>B-to-A</x:v>
      </x:c>
      <x:c r="D27" s="86" t="str">
        <x:v>clean</x:v>
      </x:c>
      <x:c r="E27" s="86" t="str">
        <x:v>calibration loss</x:v>
      </x:c>
      <x:c r="F27" s="91" t="str"/>
      <x:c r="G27" s="91" t="str"/>
      <x:c r="H27" s="91" t="str"/>
      <x:c r="I27" s="91" t="str"/>
      <x:c r="J27" s="91" t="str"/>
      <x:c r="K27" s="91" t="str">
        <x:v>OPEN</x:v>
      </x:c>
    </x:row>
    <x:row r="28">
      <x:c r="A28" s="86" t="str">
        <x:v>EX-023</x:v>
      </x:c>
      <x:c r="B28" s="86" t="str">
        <x:v>H1</x:v>
      </x:c>
      <x:c r="C28" s="86" t="str">
        <x:v>B-to-A</x:v>
      </x:c>
      <x:c r="D28" s="86" t="str">
        <x:v>clean</x:v>
      </x:c>
      <x:c r="E28" s="86" t="str">
        <x:v>service denial</x:v>
      </x:c>
      <x:c r="F28" s="91" t="str"/>
      <x:c r="G28" s="91" t="str"/>
      <x:c r="H28" s="91" t="str"/>
      <x:c r="I28" s="91" t="str"/>
      <x:c r="J28" s="91" t="str"/>
      <x:c r="K28" s="91" t="str">
        <x:v>OPEN</x:v>
      </x:c>
    </x:row>
    <x:row r="29">
      <x:c r="A29" s="86" t="str">
        <x:v>EX-024</x:v>
      </x:c>
      <x:c r="B29" s="86" t="str">
        <x:v>H1</x:v>
      </x:c>
      <x:c r="C29" s="86" t="str">
        <x:v>B-to-A</x:v>
      </x:c>
      <x:c r="D29" s="86" t="str">
        <x:v>clean</x:v>
      </x:c>
      <x:c r="E29" s="86" t="str">
        <x:v>interrupted rollback</x:v>
      </x:c>
      <x:c r="F29" s="91" t="str"/>
      <x:c r="G29" s="91" t="str"/>
      <x:c r="H29" s="91" t="str"/>
      <x:c r="I29" s="91" t="str"/>
      <x:c r="J29" s="91" t="str"/>
      <x:c r="K29" s="91" t="str">
        <x:v>OPEN</x:v>
      </x:c>
    </x:row>
    <x:row r="30">
      <x:c r="A30" s="86" t="str">
        <x:v>EX-025</x:v>
      </x:c>
      <x:c r="B30" s="86" t="str">
        <x:v>H1</x:v>
      </x:c>
      <x:c r="C30" s="86" t="str">
        <x:v>B-to-A</x:v>
      </x:c>
      <x:c r="D30" s="86" t="str">
        <x:v>thermally soaked</x:v>
      </x:c>
      <x:c r="E30" s="86" t="str">
        <x:v>nominal datum</x:v>
      </x:c>
      <x:c r="F30" s="91" t="str"/>
      <x:c r="G30" s="91" t="str"/>
      <x:c r="H30" s="91" t="str"/>
      <x:c r="I30" s="91" t="str"/>
      <x:c r="J30" s="91" t="str"/>
      <x:c r="K30" s="91" t="str">
        <x:v>OPEN</x:v>
      </x:c>
    </x:row>
    <x:row r="31">
      <x:c r="A31" s="86" t="str">
        <x:v>EX-026</x:v>
      </x:c>
      <x:c r="B31" s="86" t="str">
        <x:v>H1</x:v>
      </x:c>
      <x:c r="C31" s="86" t="str">
        <x:v>B-to-A</x:v>
      </x:c>
      <x:c r="D31" s="86" t="str">
        <x:v>thermally soaked</x:v>
      </x:c>
      <x:c r="E31" s="86" t="str">
        <x:v>geometric edge</x:v>
      </x:c>
      <x:c r="F31" s="91" t="str"/>
      <x:c r="G31" s="91" t="str"/>
      <x:c r="H31" s="91" t="str"/>
      <x:c r="I31" s="91" t="str"/>
      <x:c r="J31" s="91" t="str"/>
      <x:c r="K31" s="91" t="str">
        <x:v>OPEN</x:v>
      </x:c>
    </x:row>
    <x:row r="32">
      <x:c r="A32" s="86" t="str">
        <x:v>EX-027</x:v>
      </x:c>
      <x:c r="B32" s="86" t="str">
        <x:v>H1</x:v>
      </x:c>
      <x:c r="C32" s="86" t="str">
        <x:v>B-to-A</x:v>
      </x:c>
      <x:c r="D32" s="86" t="str">
        <x:v>thermally soaked</x:v>
      </x:c>
      <x:c r="E32" s="86" t="str">
        <x:v>thermal distortion</x:v>
      </x:c>
      <x:c r="F32" s="91" t="str"/>
      <x:c r="G32" s="91" t="str"/>
      <x:c r="H32" s="91" t="str"/>
      <x:c r="I32" s="91" t="str"/>
      <x:c r="J32" s="91" t="str"/>
      <x:c r="K32" s="91" t="str">
        <x:v>OPEN</x:v>
      </x:c>
    </x:row>
    <x:row r="33">
      <x:c r="A33" s="86" t="str">
        <x:v>EX-028</x:v>
      </x:c>
      <x:c r="B33" s="86" t="str">
        <x:v>H1</x:v>
      </x:c>
      <x:c r="C33" s="86" t="str">
        <x:v>B-to-A</x:v>
      </x:c>
      <x:c r="D33" s="86" t="str">
        <x:v>thermally soaked</x:v>
      </x:c>
      <x:c r="E33" s="86" t="str">
        <x:v>calibration loss</x:v>
      </x:c>
      <x:c r="F33" s="91" t="str"/>
      <x:c r="G33" s="91" t="str"/>
      <x:c r="H33" s="91" t="str"/>
      <x:c r="I33" s="91" t="str"/>
      <x:c r="J33" s="91" t="str"/>
      <x:c r="K33" s="91" t="str">
        <x:v>OPEN</x:v>
      </x:c>
    </x:row>
    <x:row r="34">
      <x:c r="A34" s="86" t="str">
        <x:v>EX-029</x:v>
      </x:c>
      <x:c r="B34" s="86" t="str">
        <x:v>H1</x:v>
      </x:c>
      <x:c r="C34" s="86" t="str">
        <x:v>B-to-A</x:v>
      </x:c>
      <x:c r="D34" s="86" t="str">
        <x:v>thermally soaked</x:v>
      </x:c>
      <x:c r="E34" s="86" t="str">
        <x:v>service denial</x:v>
      </x:c>
      <x:c r="F34" s="91" t="str"/>
      <x:c r="G34" s="91" t="str"/>
      <x:c r="H34" s="91" t="str"/>
      <x:c r="I34" s="91" t="str"/>
      <x:c r="J34" s="91" t="str"/>
      <x:c r="K34" s="91" t="str">
        <x:v>OPEN</x:v>
      </x:c>
    </x:row>
    <x:row r="35">
      <x:c r="A35" s="86" t="str">
        <x:v>EX-030</x:v>
      </x:c>
      <x:c r="B35" s="86" t="str">
        <x:v>H1</x:v>
      </x:c>
      <x:c r="C35" s="86" t="str">
        <x:v>B-to-A</x:v>
      </x:c>
      <x:c r="D35" s="86" t="str">
        <x:v>thermally soaked</x:v>
      </x:c>
      <x:c r="E35" s="86" t="str">
        <x:v>interrupted rollback</x:v>
      </x:c>
      <x:c r="F35" s="91" t="str"/>
      <x:c r="G35" s="91" t="str"/>
      <x:c r="H35" s="91" t="str"/>
      <x:c r="I35" s="91" t="str"/>
      <x:c r="J35" s="91" t="str"/>
      <x:c r="K35" s="91" t="str">
        <x:v>OPEN</x:v>
      </x:c>
    </x:row>
    <x:row r="36">
      <x:c r="A36" s="86" t="str">
        <x:v>EX-031</x:v>
      </x:c>
      <x:c r="B36" s="86" t="str">
        <x:v>H1</x:v>
      </x:c>
      <x:c r="C36" s="86" t="str">
        <x:v>B-to-A</x:v>
      </x:c>
      <x:c r="D36" s="86" t="str">
        <x:v>residue-bearing</x:v>
      </x:c>
      <x:c r="E36" s="86" t="str">
        <x:v>nominal datum</x:v>
      </x:c>
      <x:c r="F36" s="91" t="str"/>
      <x:c r="G36" s="91" t="str"/>
      <x:c r="H36" s="91" t="str"/>
      <x:c r="I36" s="91" t="str"/>
      <x:c r="J36" s="91" t="str"/>
      <x:c r="K36" s="91" t="str">
        <x:v>OPEN</x:v>
      </x:c>
    </x:row>
    <x:row r="37">
      <x:c r="A37" s="86" t="str">
        <x:v>EX-032</x:v>
      </x:c>
      <x:c r="B37" s="86" t="str">
        <x:v>H1</x:v>
      </x:c>
      <x:c r="C37" s="86" t="str">
        <x:v>B-to-A</x:v>
      </x:c>
      <x:c r="D37" s="86" t="str">
        <x:v>residue-bearing</x:v>
      </x:c>
      <x:c r="E37" s="86" t="str">
        <x:v>geometric edge</x:v>
      </x:c>
      <x:c r="F37" s="91" t="str"/>
      <x:c r="G37" s="91" t="str"/>
      <x:c r="H37" s="91" t="str"/>
      <x:c r="I37" s="91" t="str"/>
      <x:c r="J37" s="91" t="str"/>
      <x:c r="K37" s="91" t="str">
        <x:v>OPEN</x:v>
      </x:c>
    </x:row>
    <x:row r="38">
      <x:c r="A38" s="86" t="str">
        <x:v>EX-033</x:v>
      </x:c>
      <x:c r="B38" s="86" t="str">
        <x:v>H1</x:v>
      </x:c>
      <x:c r="C38" s="86" t="str">
        <x:v>B-to-A</x:v>
      </x:c>
      <x:c r="D38" s="86" t="str">
        <x:v>residue-bearing</x:v>
      </x:c>
      <x:c r="E38" s="86" t="str">
        <x:v>thermal distortion</x:v>
      </x:c>
      <x:c r="F38" s="91" t="str"/>
      <x:c r="G38" s="91" t="str"/>
      <x:c r="H38" s="91" t="str"/>
      <x:c r="I38" s="91" t="str"/>
      <x:c r="J38" s="91" t="str"/>
      <x:c r="K38" s="91" t="str">
        <x:v>OPEN</x:v>
      </x:c>
    </x:row>
    <x:row r="39">
      <x:c r="A39" s="86" t="str">
        <x:v>EX-034</x:v>
      </x:c>
      <x:c r="B39" s="86" t="str">
        <x:v>H1</x:v>
      </x:c>
      <x:c r="C39" s="86" t="str">
        <x:v>B-to-A</x:v>
      </x:c>
      <x:c r="D39" s="86" t="str">
        <x:v>residue-bearing</x:v>
      </x:c>
      <x:c r="E39" s="86" t="str">
        <x:v>calibration loss</x:v>
      </x:c>
      <x:c r="F39" s="91" t="str"/>
      <x:c r="G39" s="91" t="str"/>
      <x:c r="H39" s="91" t="str"/>
      <x:c r="I39" s="91" t="str"/>
      <x:c r="J39" s="91" t="str"/>
      <x:c r="K39" s="91" t="str">
        <x:v>OPEN</x:v>
      </x:c>
    </x:row>
    <x:row r="40">
      <x:c r="A40" s="86" t="str">
        <x:v>EX-035</x:v>
      </x:c>
      <x:c r="B40" s="86" t="str">
        <x:v>H1</x:v>
      </x:c>
      <x:c r="C40" s="86" t="str">
        <x:v>B-to-A</x:v>
      </x:c>
      <x:c r="D40" s="86" t="str">
        <x:v>residue-bearing</x:v>
      </x:c>
      <x:c r="E40" s="86" t="str">
        <x:v>service denial</x:v>
      </x:c>
      <x:c r="F40" s="91" t="str"/>
      <x:c r="G40" s="91" t="str"/>
      <x:c r="H40" s="91" t="str"/>
      <x:c r="I40" s="91" t="str"/>
      <x:c r="J40" s="91" t="str"/>
      <x:c r="K40" s="91" t="str">
        <x:v>OPEN</x:v>
      </x:c>
    </x:row>
    <x:row r="41">
      <x:c r="A41" s="86" t="str">
        <x:v>EX-036</x:v>
      </x:c>
      <x:c r="B41" s="86" t="str">
        <x:v>H1</x:v>
      </x:c>
      <x:c r="C41" s="86" t="str">
        <x:v>B-to-A</x:v>
      </x:c>
      <x:c r="D41" s="86" t="str">
        <x:v>residue-bearing</x:v>
      </x:c>
      <x:c r="E41" s="86" t="str">
        <x:v>interrupted rollback</x:v>
      </x:c>
      <x:c r="F41" s="91" t="str"/>
      <x:c r="G41" s="91" t="str"/>
      <x:c r="H41" s="91" t="str"/>
      <x:c r="I41" s="91" t="str"/>
      <x:c r="J41" s="91" t="str"/>
      <x:c r="K41" s="91" t="str">
        <x:v>OPEN</x:v>
      </x:c>
    </x:row>
    <x:row r="42">
      <x:c r="A42" s="86" t="str">
        <x:v>EX-037</x:v>
      </x:c>
      <x:c r="B42" s="86" t="str">
        <x:v>H2</x:v>
      </x:c>
      <x:c r="C42" s="86" t="str">
        <x:v>A-to-B</x:v>
      </x:c>
      <x:c r="D42" s="86" t="str">
        <x:v>clean</x:v>
      </x:c>
      <x:c r="E42" s="86" t="str">
        <x:v>nominal datum</x:v>
      </x:c>
      <x:c r="F42" s="91" t="str"/>
      <x:c r="G42" s="91" t="str"/>
      <x:c r="H42" s="91" t="str"/>
      <x:c r="I42" s="91" t="str"/>
      <x:c r="J42" s="91" t="str"/>
      <x:c r="K42" s="91" t="str">
        <x:v>OPEN</x:v>
      </x:c>
    </x:row>
    <x:row r="43">
      <x:c r="A43" s="86" t="str">
        <x:v>EX-038</x:v>
      </x:c>
      <x:c r="B43" s="86" t="str">
        <x:v>H2</x:v>
      </x:c>
      <x:c r="C43" s="86" t="str">
        <x:v>A-to-B</x:v>
      </x:c>
      <x:c r="D43" s="86" t="str">
        <x:v>clean</x:v>
      </x:c>
      <x:c r="E43" s="86" t="str">
        <x:v>geometric edge</x:v>
      </x:c>
      <x:c r="F43" s="91" t="str"/>
      <x:c r="G43" s="91" t="str"/>
      <x:c r="H43" s="91" t="str"/>
      <x:c r="I43" s="91" t="str"/>
      <x:c r="J43" s="91" t="str"/>
      <x:c r="K43" s="91" t="str">
        <x:v>OPEN</x:v>
      </x:c>
    </x:row>
    <x:row r="44">
      <x:c r="A44" s="86" t="str">
        <x:v>EX-039</x:v>
      </x:c>
      <x:c r="B44" s="86" t="str">
        <x:v>H2</x:v>
      </x:c>
      <x:c r="C44" s="86" t="str">
        <x:v>A-to-B</x:v>
      </x:c>
      <x:c r="D44" s="86" t="str">
        <x:v>clean</x:v>
      </x:c>
      <x:c r="E44" s="86" t="str">
        <x:v>thermal distortion</x:v>
      </x:c>
      <x:c r="F44" s="91" t="str"/>
      <x:c r="G44" s="91" t="str"/>
      <x:c r="H44" s="91" t="str"/>
      <x:c r="I44" s="91" t="str"/>
      <x:c r="J44" s="91" t="str"/>
      <x:c r="K44" s="91" t="str">
        <x:v>OPEN</x:v>
      </x:c>
    </x:row>
    <x:row r="45">
      <x:c r="A45" s="86" t="str">
        <x:v>EX-040</x:v>
      </x:c>
      <x:c r="B45" s="86" t="str">
        <x:v>H2</x:v>
      </x:c>
      <x:c r="C45" s="86" t="str">
        <x:v>A-to-B</x:v>
      </x:c>
      <x:c r="D45" s="86" t="str">
        <x:v>clean</x:v>
      </x:c>
      <x:c r="E45" s="86" t="str">
        <x:v>calibration loss</x:v>
      </x:c>
      <x:c r="F45" s="91" t="str"/>
      <x:c r="G45" s="91" t="str"/>
      <x:c r="H45" s="91" t="str"/>
      <x:c r="I45" s="91" t="str"/>
      <x:c r="J45" s="91" t="str"/>
      <x:c r="K45" s="91" t="str">
        <x:v>OPEN</x:v>
      </x:c>
    </x:row>
    <x:row r="46">
      <x:c r="A46" s="86" t="str">
        <x:v>EX-041</x:v>
      </x:c>
      <x:c r="B46" s="86" t="str">
        <x:v>H2</x:v>
      </x:c>
      <x:c r="C46" s="86" t="str">
        <x:v>A-to-B</x:v>
      </x:c>
      <x:c r="D46" s="86" t="str">
        <x:v>clean</x:v>
      </x:c>
      <x:c r="E46" s="86" t="str">
        <x:v>service denial</x:v>
      </x:c>
      <x:c r="F46" s="91" t="str"/>
      <x:c r="G46" s="91" t="str"/>
      <x:c r="H46" s="91" t="str"/>
      <x:c r="I46" s="91" t="str"/>
      <x:c r="J46" s="91" t="str"/>
      <x:c r="K46" s="91" t="str">
        <x:v>OPEN</x:v>
      </x:c>
    </x:row>
    <x:row r="47">
      <x:c r="A47" s="86" t="str">
        <x:v>EX-042</x:v>
      </x:c>
      <x:c r="B47" s="86" t="str">
        <x:v>H2</x:v>
      </x:c>
      <x:c r="C47" s="86" t="str">
        <x:v>A-to-B</x:v>
      </x:c>
      <x:c r="D47" s="86" t="str">
        <x:v>clean</x:v>
      </x:c>
      <x:c r="E47" s="86" t="str">
        <x:v>interrupted rollback</x:v>
      </x:c>
      <x:c r="F47" s="91" t="str"/>
      <x:c r="G47" s="91" t="str"/>
      <x:c r="H47" s="91" t="str"/>
      <x:c r="I47" s="91" t="str"/>
      <x:c r="J47" s="91" t="str"/>
      <x:c r="K47" s="91" t="str">
        <x:v>OPEN</x:v>
      </x:c>
    </x:row>
    <x:row r="48">
      <x:c r="A48" s="86" t="str">
        <x:v>EX-043</x:v>
      </x:c>
      <x:c r="B48" s="86" t="str">
        <x:v>H2</x:v>
      </x:c>
      <x:c r="C48" s="86" t="str">
        <x:v>A-to-B</x:v>
      </x:c>
      <x:c r="D48" s="86" t="str">
        <x:v>thermally soaked</x:v>
      </x:c>
      <x:c r="E48" s="86" t="str">
        <x:v>nominal datum</x:v>
      </x:c>
      <x:c r="F48" s="91" t="str"/>
      <x:c r="G48" s="91" t="str"/>
      <x:c r="H48" s="91" t="str"/>
      <x:c r="I48" s="91" t="str"/>
      <x:c r="J48" s="91" t="str"/>
      <x:c r="K48" s="91" t="str">
        <x:v>OPEN</x:v>
      </x:c>
    </x:row>
    <x:row r="49">
      <x:c r="A49" s="86" t="str">
        <x:v>EX-044</x:v>
      </x:c>
      <x:c r="B49" s="86" t="str">
        <x:v>H2</x:v>
      </x:c>
      <x:c r="C49" s="86" t="str">
        <x:v>A-to-B</x:v>
      </x:c>
      <x:c r="D49" s="86" t="str">
        <x:v>thermally soaked</x:v>
      </x:c>
      <x:c r="E49" s="86" t="str">
        <x:v>geometric edge</x:v>
      </x:c>
      <x:c r="F49" s="91" t="str"/>
      <x:c r="G49" s="91" t="str"/>
      <x:c r="H49" s="91" t="str"/>
      <x:c r="I49" s="91" t="str"/>
      <x:c r="J49" s="91" t="str"/>
      <x:c r="K49" s="91" t="str">
        <x:v>OPEN</x:v>
      </x:c>
    </x:row>
    <x:row r="50">
      <x:c r="A50" s="86" t="str">
        <x:v>EX-045</x:v>
      </x:c>
      <x:c r="B50" s="86" t="str">
        <x:v>H2</x:v>
      </x:c>
      <x:c r="C50" s="86" t="str">
        <x:v>A-to-B</x:v>
      </x:c>
      <x:c r="D50" s="86" t="str">
        <x:v>thermally soaked</x:v>
      </x:c>
      <x:c r="E50" s="86" t="str">
        <x:v>thermal distortion</x:v>
      </x:c>
      <x:c r="F50" s="91" t="str"/>
      <x:c r="G50" s="91" t="str"/>
      <x:c r="H50" s="91" t="str"/>
      <x:c r="I50" s="91" t="str"/>
      <x:c r="J50" s="91" t="str"/>
      <x:c r="K50" s="91" t="str">
        <x:v>OPEN</x:v>
      </x:c>
    </x:row>
    <x:row r="51">
      <x:c r="A51" s="86" t="str">
        <x:v>EX-046</x:v>
      </x:c>
      <x:c r="B51" s="86" t="str">
        <x:v>H2</x:v>
      </x:c>
      <x:c r="C51" s="86" t="str">
        <x:v>A-to-B</x:v>
      </x:c>
      <x:c r="D51" s="86" t="str">
        <x:v>thermally soaked</x:v>
      </x:c>
      <x:c r="E51" s="86" t="str">
        <x:v>calibration loss</x:v>
      </x:c>
      <x:c r="F51" s="91" t="str"/>
      <x:c r="G51" s="91" t="str"/>
      <x:c r="H51" s="91" t="str"/>
      <x:c r="I51" s="91" t="str"/>
      <x:c r="J51" s="91" t="str"/>
      <x:c r="K51" s="91" t="str">
        <x:v>OPEN</x:v>
      </x:c>
    </x:row>
    <x:row r="52">
      <x:c r="A52" s="86" t="str">
        <x:v>EX-047</x:v>
      </x:c>
      <x:c r="B52" s="86" t="str">
        <x:v>H2</x:v>
      </x:c>
      <x:c r="C52" s="86" t="str">
        <x:v>A-to-B</x:v>
      </x:c>
      <x:c r="D52" s="86" t="str">
        <x:v>thermally soaked</x:v>
      </x:c>
      <x:c r="E52" s="86" t="str">
        <x:v>service denial</x:v>
      </x:c>
      <x:c r="F52" s="91" t="str"/>
      <x:c r="G52" s="91" t="str"/>
      <x:c r="H52" s="91" t="str"/>
      <x:c r="I52" s="91" t="str"/>
      <x:c r="J52" s="91" t="str"/>
      <x:c r="K52" s="91" t="str">
        <x:v>OPEN</x:v>
      </x:c>
    </x:row>
    <x:row r="53">
      <x:c r="A53" s="86" t="str">
        <x:v>EX-048</x:v>
      </x:c>
      <x:c r="B53" s="86" t="str">
        <x:v>H2</x:v>
      </x:c>
      <x:c r="C53" s="86" t="str">
        <x:v>A-to-B</x:v>
      </x:c>
      <x:c r="D53" s="86" t="str">
        <x:v>thermally soaked</x:v>
      </x:c>
      <x:c r="E53" s="86" t="str">
        <x:v>interrupted rollback</x:v>
      </x:c>
      <x:c r="F53" s="91" t="str"/>
      <x:c r="G53" s="91" t="str"/>
      <x:c r="H53" s="91" t="str"/>
      <x:c r="I53" s="91" t="str"/>
      <x:c r="J53" s="91" t="str"/>
      <x:c r="K53" s="91" t="str">
        <x:v>OPEN</x:v>
      </x:c>
    </x:row>
    <x:row r="54">
      <x:c r="A54" s="86" t="str">
        <x:v>EX-049</x:v>
      </x:c>
      <x:c r="B54" s="86" t="str">
        <x:v>H2</x:v>
      </x:c>
      <x:c r="C54" s="86" t="str">
        <x:v>A-to-B</x:v>
      </x:c>
      <x:c r="D54" s="86" t="str">
        <x:v>residue-bearing</x:v>
      </x:c>
      <x:c r="E54" s="86" t="str">
        <x:v>nominal datum</x:v>
      </x:c>
      <x:c r="F54" s="91" t="str"/>
      <x:c r="G54" s="91" t="str"/>
      <x:c r="H54" s="91" t="str"/>
      <x:c r="I54" s="91" t="str"/>
      <x:c r="J54" s="91" t="str"/>
      <x:c r="K54" s="91" t="str">
        <x:v>OPEN</x:v>
      </x:c>
    </x:row>
    <x:row r="55">
      <x:c r="A55" s="86" t="str">
        <x:v>EX-050</x:v>
      </x:c>
      <x:c r="B55" s="86" t="str">
        <x:v>H2</x:v>
      </x:c>
      <x:c r="C55" s="86" t="str">
        <x:v>A-to-B</x:v>
      </x:c>
      <x:c r="D55" s="86" t="str">
        <x:v>residue-bearing</x:v>
      </x:c>
      <x:c r="E55" s="86" t="str">
        <x:v>geometric edge</x:v>
      </x:c>
      <x:c r="F55" s="91" t="str"/>
      <x:c r="G55" s="91" t="str"/>
      <x:c r="H55" s="91" t="str"/>
      <x:c r="I55" s="91" t="str"/>
      <x:c r="J55" s="91" t="str"/>
      <x:c r="K55" s="91" t="str">
        <x:v>OPEN</x:v>
      </x:c>
    </x:row>
    <x:row r="56">
      <x:c r="A56" s="86" t="str">
        <x:v>EX-051</x:v>
      </x:c>
      <x:c r="B56" s="86" t="str">
        <x:v>H2</x:v>
      </x:c>
      <x:c r="C56" s="86" t="str">
        <x:v>A-to-B</x:v>
      </x:c>
      <x:c r="D56" s="86" t="str">
        <x:v>residue-bearing</x:v>
      </x:c>
      <x:c r="E56" s="86" t="str">
        <x:v>thermal distortion</x:v>
      </x:c>
      <x:c r="F56" s="91" t="str"/>
      <x:c r="G56" s="91" t="str"/>
      <x:c r="H56" s="91" t="str"/>
      <x:c r="I56" s="91" t="str"/>
      <x:c r="J56" s="91" t="str"/>
      <x:c r="K56" s="91" t="str">
        <x:v>OPEN</x:v>
      </x:c>
    </x:row>
    <x:row r="57">
      <x:c r="A57" s="86" t="str">
        <x:v>EX-052</x:v>
      </x:c>
      <x:c r="B57" s="86" t="str">
        <x:v>H2</x:v>
      </x:c>
      <x:c r="C57" s="86" t="str">
        <x:v>A-to-B</x:v>
      </x:c>
      <x:c r="D57" s="86" t="str">
        <x:v>residue-bearing</x:v>
      </x:c>
      <x:c r="E57" s="86" t="str">
        <x:v>calibration loss</x:v>
      </x:c>
      <x:c r="F57" s="91" t="str"/>
      <x:c r="G57" s="91" t="str"/>
      <x:c r="H57" s="91" t="str"/>
      <x:c r="I57" s="91" t="str"/>
      <x:c r="J57" s="91" t="str"/>
      <x:c r="K57" s="91" t="str">
        <x:v>OPEN</x:v>
      </x:c>
    </x:row>
    <x:row r="58">
      <x:c r="A58" s="86" t="str">
        <x:v>EX-053</x:v>
      </x:c>
      <x:c r="B58" s="86" t="str">
        <x:v>H2</x:v>
      </x:c>
      <x:c r="C58" s="86" t="str">
        <x:v>A-to-B</x:v>
      </x:c>
      <x:c r="D58" s="86" t="str">
        <x:v>residue-bearing</x:v>
      </x:c>
      <x:c r="E58" s="86" t="str">
        <x:v>service denial</x:v>
      </x:c>
      <x:c r="F58" s="91" t="str"/>
      <x:c r="G58" s="91" t="str"/>
      <x:c r="H58" s="91" t="str"/>
      <x:c r="I58" s="91" t="str"/>
      <x:c r="J58" s="91" t="str"/>
      <x:c r="K58" s="91" t="str">
        <x:v>OPEN</x:v>
      </x:c>
    </x:row>
    <x:row r="59">
      <x:c r="A59" s="86" t="str">
        <x:v>EX-054</x:v>
      </x:c>
      <x:c r="B59" s="86" t="str">
        <x:v>H2</x:v>
      </x:c>
      <x:c r="C59" s="86" t="str">
        <x:v>A-to-B</x:v>
      </x:c>
      <x:c r="D59" s="86" t="str">
        <x:v>residue-bearing</x:v>
      </x:c>
      <x:c r="E59" s="86" t="str">
        <x:v>interrupted rollback</x:v>
      </x:c>
      <x:c r="F59" s="91" t="str"/>
      <x:c r="G59" s="91" t="str"/>
      <x:c r="H59" s="91" t="str"/>
      <x:c r="I59" s="91" t="str"/>
      <x:c r="J59" s="91" t="str"/>
      <x:c r="K59" s="91" t="str">
        <x:v>OPEN</x:v>
      </x:c>
    </x:row>
    <x:row r="60">
      <x:c r="A60" s="86" t="str">
        <x:v>EX-055</x:v>
      </x:c>
      <x:c r="B60" s="86" t="str">
        <x:v>H2</x:v>
      </x:c>
      <x:c r="C60" s="86" t="str">
        <x:v>B-to-A</x:v>
      </x:c>
      <x:c r="D60" s="86" t="str">
        <x:v>clean</x:v>
      </x:c>
      <x:c r="E60" s="86" t="str">
        <x:v>nominal datum</x:v>
      </x:c>
      <x:c r="F60" s="91" t="str"/>
      <x:c r="G60" s="91" t="str"/>
      <x:c r="H60" s="91" t="str"/>
      <x:c r="I60" s="91" t="str"/>
      <x:c r="J60" s="91" t="str"/>
      <x:c r="K60" s="91" t="str">
        <x:v>OPEN</x:v>
      </x:c>
    </x:row>
    <x:row r="61">
      <x:c r="A61" s="86" t="str">
        <x:v>EX-056</x:v>
      </x:c>
      <x:c r="B61" s="86" t="str">
        <x:v>H2</x:v>
      </x:c>
      <x:c r="C61" s="86" t="str">
        <x:v>B-to-A</x:v>
      </x:c>
      <x:c r="D61" s="86" t="str">
        <x:v>clean</x:v>
      </x:c>
      <x:c r="E61" s="86" t="str">
        <x:v>geometric edge</x:v>
      </x:c>
      <x:c r="F61" s="91" t="str"/>
      <x:c r="G61" s="91" t="str"/>
      <x:c r="H61" s="91" t="str"/>
      <x:c r="I61" s="91" t="str"/>
      <x:c r="J61" s="91" t="str"/>
      <x:c r="K61" s="91" t="str">
        <x:v>OPEN</x:v>
      </x:c>
    </x:row>
    <x:row r="62">
      <x:c r="A62" s="86" t="str">
        <x:v>EX-057</x:v>
      </x:c>
      <x:c r="B62" s="86" t="str">
        <x:v>H2</x:v>
      </x:c>
      <x:c r="C62" s="86" t="str">
        <x:v>B-to-A</x:v>
      </x:c>
      <x:c r="D62" s="86" t="str">
        <x:v>clean</x:v>
      </x:c>
      <x:c r="E62" s="86" t="str">
        <x:v>thermal distortion</x:v>
      </x:c>
      <x:c r="F62" s="91" t="str"/>
      <x:c r="G62" s="91" t="str"/>
      <x:c r="H62" s="91" t="str"/>
      <x:c r="I62" s="91" t="str"/>
      <x:c r="J62" s="91" t="str"/>
      <x:c r="K62" s="91" t="str">
        <x:v>OPEN</x:v>
      </x:c>
    </x:row>
    <x:row r="63">
      <x:c r="A63" s="86" t="str">
        <x:v>EX-058</x:v>
      </x:c>
      <x:c r="B63" s="86" t="str">
        <x:v>H2</x:v>
      </x:c>
      <x:c r="C63" s="86" t="str">
        <x:v>B-to-A</x:v>
      </x:c>
      <x:c r="D63" s="86" t="str">
        <x:v>clean</x:v>
      </x:c>
      <x:c r="E63" s="86" t="str">
        <x:v>calibration loss</x:v>
      </x:c>
      <x:c r="F63" s="91" t="str"/>
      <x:c r="G63" s="91" t="str"/>
      <x:c r="H63" s="91" t="str"/>
      <x:c r="I63" s="91" t="str"/>
      <x:c r="J63" s="91" t="str"/>
      <x:c r="K63" s="91" t="str">
        <x:v>OPEN</x:v>
      </x:c>
    </x:row>
    <x:row r="64">
      <x:c r="A64" s="86" t="str">
        <x:v>EX-059</x:v>
      </x:c>
      <x:c r="B64" s="86" t="str">
        <x:v>H2</x:v>
      </x:c>
      <x:c r="C64" s="86" t="str">
        <x:v>B-to-A</x:v>
      </x:c>
      <x:c r="D64" s="86" t="str">
        <x:v>clean</x:v>
      </x:c>
      <x:c r="E64" s="86" t="str">
        <x:v>service denial</x:v>
      </x:c>
      <x:c r="F64" s="91" t="str"/>
      <x:c r="G64" s="91" t="str"/>
      <x:c r="H64" s="91" t="str"/>
      <x:c r="I64" s="91" t="str"/>
      <x:c r="J64" s="91" t="str"/>
      <x:c r="K64" s="91" t="str">
        <x:v>OPEN</x:v>
      </x:c>
    </x:row>
    <x:row r="65">
      <x:c r="A65" s="86" t="str">
        <x:v>EX-060</x:v>
      </x:c>
      <x:c r="B65" s="86" t="str">
        <x:v>H2</x:v>
      </x:c>
      <x:c r="C65" s="86" t="str">
        <x:v>B-to-A</x:v>
      </x:c>
      <x:c r="D65" s="86" t="str">
        <x:v>clean</x:v>
      </x:c>
      <x:c r="E65" s="86" t="str">
        <x:v>interrupted rollback</x:v>
      </x:c>
      <x:c r="F65" s="91" t="str"/>
      <x:c r="G65" s="91" t="str"/>
      <x:c r="H65" s="91" t="str"/>
      <x:c r="I65" s="91" t="str"/>
      <x:c r="J65" s="91" t="str"/>
      <x:c r="K65" s="91" t="str">
        <x:v>OPEN</x:v>
      </x:c>
    </x:row>
    <x:row r="66">
      <x:c r="A66" s="86" t="str">
        <x:v>EX-061</x:v>
      </x:c>
      <x:c r="B66" s="86" t="str">
        <x:v>H2</x:v>
      </x:c>
      <x:c r="C66" s="86" t="str">
        <x:v>B-to-A</x:v>
      </x:c>
      <x:c r="D66" s="86" t="str">
        <x:v>thermally soaked</x:v>
      </x:c>
      <x:c r="E66" s="86" t="str">
        <x:v>nominal datum</x:v>
      </x:c>
      <x:c r="F66" s="91" t="str"/>
      <x:c r="G66" s="91" t="str"/>
      <x:c r="H66" s="91" t="str"/>
      <x:c r="I66" s="91" t="str"/>
      <x:c r="J66" s="91" t="str"/>
      <x:c r="K66" s="91" t="str">
        <x:v>OPEN</x:v>
      </x:c>
    </x:row>
    <x:row r="67">
      <x:c r="A67" s="86" t="str">
        <x:v>EX-062</x:v>
      </x:c>
      <x:c r="B67" s="86" t="str">
        <x:v>H2</x:v>
      </x:c>
      <x:c r="C67" s="86" t="str">
        <x:v>B-to-A</x:v>
      </x:c>
      <x:c r="D67" s="86" t="str">
        <x:v>thermally soaked</x:v>
      </x:c>
      <x:c r="E67" s="86" t="str">
        <x:v>geometric edge</x:v>
      </x:c>
      <x:c r="F67" s="91" t="str"/>
      <x:c r="G67" s="91" t="str"/>
      <x:c r="H67" s="91" t="str"/>
      <x:c r="I67" s="91" t="str"/>
      <x:c r="J67" s="91" t="str"/>
      <x:c r="K67" s="91" t="str">
        <x:v>OPEN</x:v>
      </x:c>
    </x:row>
    <x:row r="68">
      <x:c r="A68" s="86" t="str">
        <x:v>EX-063</x:v>
      </x:c>
      <x:c r="B68" s="86" t="str">
        <x:v>H2</x:v>
      </x:c>
      <x:c r="C68" s="86" t="str">
        <x:v>B-to-A</x:v>
      </x:c>
      <x:c r="D68" s="86" t="str">
        <x:v>thermally soaked</x:v>
      </x:c>
      <x:c r="E68" s="86" t="str">
        <x:v>thermal distortion</x:v>
      </x:c>
      <x:c r="F68" s="91" t="str"/>
      <x:c r="G68" s="91" t="str"/>
      <x:c r="H68" s="91" t="str"/>
      <x:c r="I68" s="91" t="str"/>
      <x:c r="J68" s="91" t="str"/>
      <x:c r="K68" s="91" t="str">
        <x:v>OPEN</x:v>
      </x:c>
    </x:row>
    <x:row r="69">
      <x:c r="A69" s="86" t="str">
        <x:v>EX-064</x:v>
      </x:c>
      <x:c r="B69" s="86" t="str">
        <x:v>H2</x:v>
      </x:c>
      <x:c r="C69" s="86" t="str">
        <x:v>B-to-A</x:v>
      </x:c>
      <x:c r="D69" s="86" t="str">
        <x:v>thermally soaked</x:v>
      </x:c>
      <x:c r="E69" s="86" t="str">
        <x:v>calibration loss</x:v>
      </x:c>
      <x:c r="F69" s="91" t="str"/>
      <x:c r="G69" s="91" t="str"/>
      <x:c r="H69" s="91" t="str"/>
      <x:c r="I69" s="91" t="str"/>
      <x:c r="J69" s="91" t="str"/>
      <x:c r="K69" s="91" t="str">
        <x:v>OPEN</x:v>
      </x:c>
    </x:row>
    <x:row r="70">
      <x:c r="A70" s="86" t="str">
        <x:v>EX-065</x:v>
      </x:c>
      <x:c r="B70" s="86" t="str">
        <x:v>H2</x:v>
      </x:c>
      <x:c r="C70" s="86" t="str">
        <x:v>B-to-A</x:v>
      </x:c>
      <x:c r="D70" s="86" t="str">
        <x:v>thermally soaked</x:v>
      </x:c>
      <x:c r="E70" s="86" t="str">
        <x:v>service denial</x:v>
      </x:c>
      <x:c r="F70" s="91" t="str"/>
      <x:c r="G70" s="91" t="str"/>
      <x:c r="H70" s="91" t="str"/>
      <x:c r="I70" s="91" t="str"/>
      <x:c r="J70" s="91" t="str"/>
      <x:c r="K70" s="91" t="str">
        <x:v>OPEN</x:v>
      </x:c>
    </x:row>
    <x:row r="71">
      <x:c r="A71" s="86" t="str">
        <x:v>EX-066</x:v>
      </x:c>
      <x:c r="B71" s="86" t="str">
        <x:v>H2</x:v>
      </x:c>
      <x:c r="C71" s="86" t="str">
        <x:v>B-to-A</x:v>
      </x:c>
      <x:c r="D71" s="86" t="str">
        <x:v>thermally soaked</x:v>
      </x:c>
      <x:c r="E71" s="86" t="str">
        <x:v>interrupted rollback</x:v>
      </x:c>
      <x:c r="F71" s="91" t="str"/>
      <x:c r="G71" s="91" t="str"/>
      <x:c r="H71" s="91" t="str"/>
      <x:c r="I71" s="91" t="str"/>
      <x:c r="J71" s="91" t="str"/>
      <x:c r="K71" s="91" t="str">
        <x:v>OPEN</x:v>
      </x:c>
    </x:row>
    <x:row r="72">
      <x:c r="A72" s="86" t="str">
        <x:v>EX-067</x:v>
      </x:c>
      <x:c r="B72" s="86" t="str">
        <x:v>H2</x:v>
      </x:c>
      <x:c r="C72" s="86" t="str">
        <x:v>B-to-A</x:v>
      </x:c>
      <x:c r="D72" s="86" t="str">
        <x:v>residue-bearing</x:v>
      </x:c>
      <x:c r="E72" s="86" t="str">
        <x:v>nominal datum</x:v>
      </x:c>
      <x:c r="F72" s="91" t="str"/>
      <x:c r="G72" s="91" t="str"/>
      <x:c r="H72" s="91" t="str"/>
      <x:c r="I72" s="91" t="str"/>
      <x:c r="J72" s="91" t="str"/>
      <x:c r="K72" s="91" t="str">
        <x:v>OPEN</x:v>
      </x:c>
    </x:row>
    <x:row r="73">
      <x:c r="A73" s="86" t="str">
        <x:v>EX-068</x:v>
      </x:c>
      <x:c r="B73" s="86" t="str">
        <x:v>H2</x:v>
      </x:c>
      <x:c r="C73" s="86" t="str">
        <x:v>B-to-A</x:v>
      </x:c>
      <x:c r="D73" s="86" t="str">
        <x:v>residue-bearing</x:v>
      </x:c>
      <x:c r="E73" s="86" t="str">
        <x:v>geometric edge</x:v>
      </x:c>
      <x:c r="F73" s="91" t="str"/>
      <x:c r="G73" s="91" t="str"/>
      <x:c r="H73" s="91" t="str"/>
      <x:c r="I73" s="91" t="str"/>
      <x:c r="J73" s="91" t="str"/>
      <x:c r="K73" s="91" t="str">
        <x:v>OPEN</x:v>
      </x:c>
    </x:row>
    <x:row r="74">
      <x:c r="A74" s="86" t="str">
        <x:v>EX-069</x:v>
      </x:c>
      <x:c r="B74" s="86" t="str">
        <x:v>H2</x:v>
      </x:c>
      <x:c r="C74" s="86" t="str">
        <x:v>B-to-A</x:v>
      </x:c>
      <x:c r="D74" s="86" t="str">
        <x:v>residue-bearing</x:v>
      </x:c>
      <x:c r="E74" s="86" t="str">
        <x:v>thermal distortion</x:v>
      </x:c>
      <x:c r="F74" s="91" t="str"/>
      <x:c r="G74" s="91" t="str"/>
      <x:c r="H74" s="91" t="str"/>
      <x:c r="I74" s="91" t="str"/>
      <x:c r="J74" s="91" t="str"/>
      <x:c r="K74" s="91" t="str">
        <x:v>OPEN</x:v>
      </x:c>
    </x:row>
    <x:row r="75">
      <x:c r="A75" s="86" t="str">
        <x:v>EX-070</x:v>
      </x:c>
      <x:c r="B75" s="86" t="str">
        <x:v>H2</x:v>
      </x:c>
      <x:c r="C75" s="86" t="str">
        <x:v>B-to-A</x:v>
      </x:c>
      <x:c r="D75" s="86" t="str">
        <x:v>residue-bearing</x:v>
      </x:c>
      <x:c r="E75" s="86" t="str">
        <x:v>calibration loss</x:v>
      </x:c>
      <x:c r="F75" s="91" t="str"/>
      <x:c r="G75" s="91" t="str"/>
      <x:c r="H75" s="91" t="str"/>
      <x:c r="I75" s="91" t="str"/>
      <x:c r="J75" s="91" t="str"/>
      <x:c r="K75" s="91" t="str">
        <x:v>OPEN</x:v>
      </x:c>
    </x:row>
    <x:row r="76">
      <x:c r="A76" s="86" t="str">
        <x:v>EX-071</x:v>
      </x:c>
      <x:c r="B76" s="86" t="str">
        <x:v>H2</x:v>
      </x:c>
      <x:c r="C76" s="86" t="str">
        <x:v>B-to-A</x:v>
      </x:c>
      <x:c r="D76" s="86" t="str">
        <x:v>residue-bearing</x:v>
      </x:c>
      <x:c r="E76" s="86" t="str">
        <x:v>service denial</x:v>
      </x:c>
      <x:c r="F76" s="91" t="str"/>
      <x:c r="G76" s="91" t="str"/>
      <x:c r="H76" s="91" t="str"/>
      <x:c r="I76" s="91" t="str"/>
      <x:c r="J76" s="91" t="str"/>
      <x:c r="K76" s="91" t="str">
        <x:v>OPEN</x:v>
      </x:c>
    </x:row>
    <x:row r="77">
      <x:c r="A77" s="86" t="str">
        <x:v>EX-072</x:v>
      </x:c>
      <x:c r="B77" s="86" t="str">
        <x:v>H2</x:v>
      </x:c>
      <x:c r="C77" s="86" t="str">
        <x:v>B-to-A</x:v>
      </x:c>
      <x:c r="D77" s="86" t="str">
        <x:v>residue-bearing</x:v>
      </x:c>
      <x:c r="E77" s="86" t="str">
        <x:v>interrupted rollback</x:v>
      </x:c>
      <x:c r="F77" s="91" t="str"/>
      <x:c r="G77" s="91" t="str"/>
      <x:c r="H77" s="91" t="str"/>
      <x:c r="I77" s="91" t="str"/>
      <x:c r="J77" s="91" t="str"/>
      <x:c r="K77" s="91" t="str">
        <x:v>OPEN</x:v>
      </x:c>
    </x:row>
    <x:row r="78">
      <x:c r="A78" s="86" t="str">
        <x:v>EX-073</x:v>
      </x:c>
      <x:c r="B78" s="86" t="str">
        <x:v>H3</x:v>
      </x:c>
      <x:c r="C78" s="86" t="str">
        <x:v>A-to-B</x:v>
      </x:c>
      <x:c r="D78" s="86" t="str">
        <x:v>clean</x:v>
      </x:c>
      <x:c r="E78" s="86" t="str">
        <x:v>nominal datum</x:v>
      </x:c>
      <x:c r="F78" s="91" t="str"/>
      <x:c r="G78" s="91" t="str"/>
      <x:c r="H78" s="91" t="str"/>
      <x:c r="I78" s="91" t="str"/>
      <x:c r="J78" s="91" t="str"/>
      <x:c r="K78" s="91" t="str">
        <x:v>OPEN</x:v>
      </x:c>
    </x:row>
    <x:row r="79">
      <x:c r="A79" s="86" t="str">
        <x:v>EX-074</x:v>
      </x:c>
      <x:c r="B79" s="86" t="str">
        <x:v>H3</x:v>
      </x:c>
      <x:c r="C79" s="86" t="str">
        <x:v>A-to-B</x:v>
      </x:c>
      <x:c r="D79" s="86" t="str">
        <x:v>clean</x:v>
      </x:c>
      <x:c r="E79" s="86" t="str">
        <x:v>geometric edge</x:v>
      </x:c>
      <x:c r="F79" s="91" t="str"/>
      <x:c r="G79" s="91" t="str"/>
      <x:c r="H79" s="91" t="str"/>
      <x:c r="I79" s="91" t="str"/>
      <x:c r="J79" s="91" t="str"/>
      <x:c r="K79" s="91" t="str">
        <x:v>OPEN</x:v>
      </x:c>
    </x:row>
    <x:row r="80">
      <x:c r="A80" s="86" t="str">
        <x:v>EX-075</x:v>
      </x:c>
      <x:c r="B80" s="86" t="str">
        <x:v>H3</x:v>
      </x:c>
      <x:c r="C80" s="86" t="str">
        <x:v>A-to-B</x:v>
      </x:c>
      <x:c r="D80" s="86" t="str">
        <x:v>clean</x:v>
      </x:c>
      <x:c r="E80" s="86" t="str">
        <x:v>thermal distortion</x:v>
      </x:c>
      <x:c r="F80" s="91" t="str"/>
      <x:c r="G80" s="91" t="str"/>
      <x:c r="H80" s="91" t="str"/>
      <x:c r="I80" s="91" t="str"/>
      <x:c r="J80" s="91" t="str"/>
      <x:c r="K80" s="91" t="str">
        <x:v>OPEN</x:v>
      </x:c>
    </x:row>
    <x:row r="81">
      <x:c r="A81" s="86" t="str">
        <x:v>EX-076</x:v>
      </x:c>
      <x:c r="B81" s="86" t="str">
        <x:v>H3</x:v>
      </x:c>
      <x:c r="C81" s="86" t="str">
        <x:v>A-to-B</x:v>
      </x:c>
      <x:c r="D81" s="86" t="str">
        <x:v>clean</x:v>
      </x:c>
      <x:c r="E81" s="86" t="str">
        <x:v>calibration loss</x:v>
      </x:c>
      <x:c r="F81" s="91" t="str"/>
      <x:c r="G81" s="91" t="str"/>
      <x:c r="H81" s="91" t="str"/>
      <x:c r="I81" s="91" t="str"/>
      <x:c r="J81" s="91" t="str"/>
      <x:c r="K81" s="91" t="str">
        <x:v>OPEN</x:v>
      </x:c>
    </x:row>
    <x:row r="82">
      <x:c r="A82" s="86" t="str">
        <x:v>EX-077</x:v>
      </x:c>
      <x:c r="B82" s="86" t="str">
        <x:v>H3</x:v>
      </x:c>
      <x:c r="C82" s="86" t="str">
        <x:v>A-to-B</x:v>
      </x:c>
      <x:c r="D82" s="86" t="str">
        <x:v>clean</x:v>
      </x:c>
      <x:c r="E82" s="86" t="str">
        <x:v>service denial</x:v>
      </x:c>
      <x:c r="F82" s="91" t="str"/>
      <x:c r="G82" s="91" t="str"/>
      <x:c r="H82" s="91" t="str"/>
      <x:c r="I82" s="91" t="str"/>
      <x:c r="J82" s="91" t="str"/>
      <x:c r="K82" s="91" t="str">
        <x:v>OPEN</x:v>
      </x:c>
    </x:row>
    <x:row r="83">
      <x:c r="A83" s="86" t="str">
        <x:v>EX-078</x:v>
      </x:c>
      <x:c r="B83" s="86" t="str">
        <x:v>H3</x:v>
      </x:c>
      <x:c r="C83" s="86" t="str">
        <x:v>A-to-B</x:v>
      </x:c>
      <x:c r="D83" s="86" t="str">
        <x:v>clean</x:v>
      </x:c>
      <x:c r="E83" s="86" t="str">
        <x:v>interrupted rollback</x:v>
      </x:c>
      <x:c r="F83" s="91" t="str"/>
      <x:c r="G83" s="91" t="str"/>
      <x:c r="H83" s="91" t="str"/>
      <x:c r="I83" s="91" t="str"/>
      <x:c r="J83" s="91" t="str"/>
      <x:c r="K83" s="91" t="str">
        <x:v>OPEN</x:v>
      </x:c>
    </x:row>
    <x:row r="84">
      <x:c r="A84" s="86" t="str">
        <x:v>EX-079</x:v>
      </x:c>
      <x:c r="B84" s="86" t="str">
        <x:v>H3</x:v>
      </x:c>
      <x:c r="C84" s="86" t="str">
        <x:v>A-to-B</x:v>
      </x:c>
      <x:c r="D84" s="86" t="str">
        <x:v>thermally soaked</x:v>
      </x:c>
      <x:c r="E84" s="86" t="str">
        <x:v>nominal datum</x:v>
      </x:c>
      <x:c r="F84" s="91" t="str"/>
      <x:c r="G84" s="91" t="str"/>
      <x:c r="H84" s="91" t="str"/>
      <x:c r="I84" s="91" t="str"/>
      <x:c r="J84" s="91" t="str"/>
      <x:c r="K84" s="91" t="str">
        <x:v>OPEN</x:v>
      </x:c>
    </x:row>
    <x:row r="85">
      <x:c r="A85" s="86" t="str">
        <x:v>EX-080</x:v>
      </x:c>
      <x:c r="B85" s="86" t="str">
        <x:v>H3</x:v>
      </x:c>
      <x:c r="C85" s="86" t="str">
        <x:v>A-to-B</x:v>
      </x:c>
      <x:c r="D85" s="86" t="str">
        <x:v>thermally soaked</x:v>
      </x:c>
      <x:c r="E85" s="86" t="str">
        <x:v>geometric edge</x:v>
      </x:c>
      <x:c r="F85" s="91" t="str"/>
      <x:c r="G85" s="91" t="str"/>
      <x:c r="H85" s="91" t="str"/>
      <x:c r="I85" s="91" t="str"/>
      <x:c r="J85" s="91" t="str"/>
      <x:c r="K85" s="91" t="str">
        <x:v>OPEN</x:v>
      </x:c>
    </x:row>
    <x:row r="86">
      <x:c r="A86" s="86" t="str">
        <x:v>EX-081</x:v>
      </x:c>
      <x:c r="B86" s="86" t="str">
        <x:v>H3</x:v>
      </x:c>
      <x:c r="C86" s="86" t="str">
        <x:v>A-to-B</x:v>
      </x:c>
      <x:c r="D86" s="86" t="str">
        <x:v>thermally soaked</x:v>
      </x:c>
      <x:c r="E86" s="86" t="str">
        <x:v>thermal distortion</x:v>
      </x:c>
      <x:c r="F86" s="91" t="str"/>
      <x:c r="G86" s="91" t="str"/>
      <x:c r="H86" s="91" t="str"/>
      <x:c r="I86" s="91" t="str"/>
      <x:c r="J86" s="91" t="str"/>
      <x:c r="K86" s="91" t="str">
        <x:v>OPEN</x:v>
      </x:c>
    </x:row>
    <x:row r="87">
      <x:c r="A87" s="86" t="str">
        <x:v>EX-082</x:v>
      </x:c>
      <x:c r="B87" s="86" t="str">
        <x:v>H3</x:v>
      </x:c>
      <x:c r="C87" s="86" t="str">
        <x:v>A-to-B</x:v>
      </x:c>
      <x:c r="D87" s="86" t="str">
        <x:v>thermally soaked</x:v>
      </x:c>
      <x:c r="E87" s="86" t="str">
        <x:v>calibration loss</x:v>
      </x:c>
      <x:c r="F87" s="91" t="str"/>
      <x:c r="G87" s="91" t="str"/>
      <x:c r="H87" s="91" t="str"/>
      <x:c r="I87" s="91" t="str"/>
      <x:c r="J87" s="91" t="str"/>
      <x:c r="K87" s="91" t="str">
        <x:v>OPEN</x:v>
      </x:c>
    </x:row>
    <x:row r="88">
      <x:c r="A88" s="86" t="str">
        <x:v>EX-083</x:v>
      </x:c>
      <x:c r="B88" s="86" t="str">
        <x:v>H3</x:v>
      </x:c>
      <x:c r="C88" s="86" t="str">
        <x:v>A-to-B</x:v>
      </x:c>
      <x:c r="D88" s="86" t="str">
        <x:v>thermally soaked</x:v>
      </x:c>
      <x:c r="E88" s="86" t="str">
        <x:v>service denial</x:v>
      </x:c>
      <x:c r="F88" s="91" t="str"/>
      <x:c r="G88" s="91" t="str"/>
      <x:c r="H88" s="91" t="str"/>
      <x:c r="I88" s="91" t="str"/>
      <x:c r="J88" s="91" t="str"/>
      <x:c r="K88" s="91" t="str">
        <x:v>OPEN</x:v>
      </x:c>
    </x:row>
    <x:row r="89">
      <x:c r="A89" s="86" t="str">
        <x:v>EX-084</x:v>
      </x:c>
      <x:c r="B89" s="86" t="str">
        <x:v>H3</x:v>
      </x:c>
      <x:c r="C89" s="86" t="str">
        <x:v>A-to-B</x:v>
      </x:c>
      <x:c r="D89" s="86" t="str">
        <x:v>thermally soaked</x:v>
      </x:c>
      <x:c r="E89" s="86" t="str">
        <x:v>interrupted rollback</x:v>
      </x:c>
      <x:c r="F89" s="91" t="str"/>
      <x:c r="G89" s="91" t="str"/>
      <x:c r="H89" s="91" t="str"/>
      <x:c r="I89" s="91" t="str"/>
      <x:c r="J89" s="91" t="str"/>
      <x:c r="K89" s="91" t="str">
        <x:v>OPEN</x:v>
      </x:c>
    </x:row>
    <x:row r="90">
      <x:c r="A90" s="86" t="str">
        <x:v>EX-085</x:v>
      </x:c>
      <x:c r="B90" s="86" t="str">
        <x:v>H3</x:v>
      </x:c>
      <x:c r="C90" s="86" t="str">
        <x:v>A-to-B</x:v>
      </x:c>
      <x:c r="D90" s="86" t="str">
        <x:v>residue-bearing</x:v>
      </x:c>
      <x:c r="E90" s="86" t="str">
        <x:v>nominal datum</x:v>
      </x:c>
      <x:c r="F90" s="91" t="str"/>
      <x:c r="G90" s="91" t="str"/>
      <x:c r="H90" s="91" t="str"/>
      <x:c r="I90" s="91" t="str"/>
      <x:c r="J90" s="91" t="str"/>
      <x:c r="K90" s="91" t="str">
        <x:v>OPEN</x:v>
      </x:c>
    </x:row>
    <x:row r="91">
      <x:c r="A91" s="86" t="str">
        <x:v>EX-086</x:v>
      </x:c>
      <x:c r="B91" s="86" t="str">
        <x:v>H3</x:v>
      </x:c>
      <x:c r="C91" s="86" t="str">
        <x:v>A-to-B</x:v>
      </x:c>
      <x:c r="D91" s="86" t="str">
        <x:v>residue-bearing</x:v>
      </x:c>
      <x:c r="E91" s="86" t="str">
        <x:v>geometric edge</x:v>
      </x:c>
      <x:c r="F91" s="91" t="str"/>
      <x:c r="G91" s="91" t="str"/>
      <x:c r="H91" s="91" t="str"/>
      <x:c r="I91" s="91" t="str"/>
      <x:c r="J91" s="91" t="str"/>
      <x:c r="K91" s="91" t="str">
        <x:v>OPEN</x:v>
      </x:c>
    </x:row>
    <x:row r="92">
      <x:c r="A92" s="86" t="str">
        <x:v>EX-087</x:v>
      </x:c>
      <x:c r="B92" s="86" t="str">
        <x:v>H3</x:v>
      </x:c>
      <x:c r="C92" s="86" t="str">
        <x:v>A-to-B</x:v>
      </x:c>
      <x:c r="D92" s="86" t="str">
        <x:v>residue-bearing</x:v>
      </x:c>
      <x:c r="E92" s="86" t="str">
        <x:v>thermal distortion</x:v>
      </x:c>
      <x:c r="F92" s="91" t="str"/>
      <x:c r="G92" s="91" t="str"/>
      <x:c r="H92" s="91" t="str"/>
      <x:c r="I92" s="91" t="str"/>
      <x:c r="J92" s="91" t="str"/>
      <x:c r="K92" s="91" t="str">
        <x:v>OPEN</x:v>
      </x:c>
    </x:row>
    <x:row r="93">
      <x:c r="A93" s="86" t="str">
        <x:v>EX-088</x:v>
      </x:c>
      <x:c r="B93" s="86" t="str">
        <x:v>H3</x:v>
      </x:c>
      <x:c r="C93" s="86" t="str">
        <x:v>A-to-B</x:v>
      </x:c>
      <x:c r="D93" s="86" t="str">
        <x:v>residue-bearing</x:v>
      </x:c>
      <x:c r="E93" s="86" t="str">
        <x:v>calibration loss</x:v>
      </x:c>
      <x:c r="F93" s="91" t="str"/>
      <x:c r="G93" s="91" t="str"/>
      <x:c r="H93" s="91" t="str"/>
      <x:c r="I93" s="91" t="str"/>
      <x:c r="J93" s="91" t="str"/>
      <x:c r="K93" s="91" t="str">
        <x:v>OPEN</x:v>
      </x:c>
    </x:row>
    <x:row r="94">
      <x:c r="A94" s="86" t="str">
        <x:v>EX-089</x:v>
      </x:c>
      <x:c r="B94" s="86" t="str">
        <x:v>H3</x:v>
      </x:c>
      <x:c r="C94" s="86" t="str">
        <x:v>A-to-B</x:v>
      </x:c>
      <x:c r="D94" s="86" t="str">
        <x:v>residue-bearing</x:v>
      </x:c>
      <x:c r="E94" s="86" t="str">
        <x:v>service denial</x:v>
      </x:c>
      <x:c r="F94" s="91" t="str"/>
      <x:c r="G94" s="91" t="str"/>
      <x:c r="H94" s="91" t="str"/>
      <x:c r="I94" s="91" t="str"/>
      <x:c r="J94" s="91" t="str"/>
      <x:c r="K94" s="91" t="str">
        <x:v>OPEN</x:v>
      </x:c>
    </x:row>
    <x:row r="95">
      <x:c r="A95" s="86" t="str">
        <x:v>EX-090</x:v>
      </x:c>
      <x:c r="B95" s="86" t="str">
        <x:v>H3</x:v>
      </x:c>
      <x:c r="C95" s="86" t="str">
        <x:v>A-to-B</x:v>
      </x:c>
      <x:c r="D95" s="86" t="str">
        <x:v>residue-bearing</x:v>
      </x:c>
      <x:c r="E95" s="86" t="str">
        <x:v>interrupted rollback</x:v>
      </x:c>
      <x:c r="F95" s="91" t="str"/>
      <x:c r="G95" s="91" t="str"/>
      <x:c r="H95" s="91" t="str"/>
      <x:c r="I95" s="91" t="str"/>
      <x:c r="J95" s="91" t="str"/>
      <x:c r="K95" s="91" t="str">
        <x:v>OPEN</x:v>
      </x:c>
    </x:row>
    <x:row r="96">
      <x:c r="A96" s="86" t="str">
        <x:v>EX-091</x:v>
      </x:c>
      <x:c r="B96" s="86" t="str">
        <x:v>H3</x:v>
      </x:c>
      <x:c r="C96" s="86" t="str">
        <x:v>B-to-A</x:v>
      </x:c>
      <x:c r="D96" s="86" t="str">
        <x:v>clean</x:v>
      </x:c>
      <x:c r="E96" s="86" t="str">
        <x:v>nominal datum</x:v>
      </x:c>
      <x:c r="F96" s="91" t="str"/>
      <x:c r="G96" s="91" t="str"/>
      <x:c r="H96" s="91" t="str"/>
      <x:c r="I96" s="91" t="str"/>
      <x:c r="J96" s="91" t="str"/>
      <x:c r="K96" s="91" t="str">
        <x:v>OPEN</x:v>
      </x:c>
    </x:row>
    <x:row r="97">
      <x:c r="A97" s="86" t="str">
        <x:v>EX-092</x:v>
      </x:c>
      <x:c r="B97" s="86" t="str">
        <x:v>H3</x:v>
      </x:c>
      <x:c r="C97" s="86" t="str">
        <x:v>B-to-A</x:v>
      </x:c>
      <x:c r="D97" s="86" t="str">
        <x:v>clean</x:v>
      </x:c>
      <x:c r="E97" s="86" t="str">
        <x:v>geometric edge</x:v>
      </x:c>
      <x:c r="F97" s="91" t="str"/>
      <x:c r="G97" s="91" t="str"/>
      <x:c r="H97" s="91" t="str"/>
      <x:c r="I97" s="91" t="str"/>
      <x:c r="J97" s="91" t="str"/>
      <x:c r="K97" s="91" t="str">
        <x:v>OPEN</x:v>
      </x:c>
    </x:row>
    <x:row r="98">
      <x:c r="A98" s="86" t="str">
        <x:v>EX-093</x:v>
      </x:c>
      <x:c r="B98" s="86" t="str">
        <x:v>H3</x:v>
      </x:c>
      <x:c r="C98" s="86" t="str">
        <x:v>B-to-A</x:v>
      </x:c>
      <x:c r="D98" s="86" t="str">
        <x:v>clean</x:v>
      </x:c>
      <x:c r="E98" s="86" t="str">
        <x:v>thermal distortion</x:v>
      </x:c>
      <x:c r="F98" s="91" t="str"/>
      <x:c r="G98" s="91" t="str"/>
      <x:c r="H98" s="91" t="str"/>
      <x:c r="I98" s="91" t="str"/>
      <x:c r="J98" s="91" t="str"/>
      <x:c r="K98" s="91" t="str">
        <x:v>OPEN</x:v>
      </x:c>
    </x:row>
    <x:row r="99">
      <x:c r="A99" s="86" t="str">
        <x:v>EX-094</x:v>
      </x:c>
      <x:c r="B99" s="86" t="str">
        <x:v>H3</x:v>
      </x:c>
      <x:c r="C99" s="86" t="str">
        <x:v>B-to-A</x:v>
      </x:c>
      <x:c r="D99" s="86" t="str">
        <x:v>clean</x:v>
      </x:c>
      <x:c r="E99" s="86" t="str">
        <x:v>calibration loss</x:v>
      </x:c>
      <x:c r="F99" s="91" t="str"/>
      <x:c r="G99" s="91" t="str"/>
      <x:c r="H99" s="91" t="str"/>
      <x:c r="I99" s="91" t="str"/>
      <x:c r="J99" s="91" t="str"/>
      <x:c r="K99" s="91" t="str">
        <x:v>OPEN</x:v>
      </x:c>
    </x:row>
    <x:row r="100">
      <x:c r="A100" s="86" t="str">
        <x:v>EX-095</x:v>
      </x:c>
      <x:c r="B100" s="86" t="str">
        <x:v>H3</x:v>
      </x:c>
      <x:c r="C100" s="86" t="str">
        <x:v>B-to-A</x:v>
      </x:c>
      <x:c r="D100" s="86" t="str">
        <x:v>clean</x:v>
      </x:c>
      <x:c r="E100" s="86" t="str">
        <x:v>service denial</x:v>
      </x:c>
      <x:c r="F100" s="91" t="str"/>
      <x:c r="G100" s="91" t="str"/>
      <x:c r="H100" s="91" t="str"/>
      <x:c r="I100" s="91" t="str"/>
      <x:c r="J100" s="91" t="str"/>
      <x:c r="K100" s="91" t="str">
        <x:v>OPEN</x:v>
      </x:c>
    </x:row>
    <x:row r="101">
      <x:c r="A101" s="86" t="str">
        <x:v>EX-096</x:v>
      </x:c>
      <x:c r="B101" s="86" t="str">
        <x:v>H3</x:v>
      </x:c>
      <x:c r="C101" s="86" t="str">
        <x:v>B-to-A</x:v>
      </x:c>
      <x:c r="D101" s="86" t="str">
        <x:v>clean</x:v>
      </x:c>
      <x:c r="E101" s="86" t="str">
        <x:v>interrupted rollback</x:v>
      </x:c>
      <x:c r="F101" s="91" t="str"/>
      <x:c r="G101" s="91" t="str"/>
      <x:c r="H101" s="91" t="str"/>
      <x:c r="I101" s="91" t="str"/>
      <x:c r="J101" s="91" t="str"/>
      <x:c r="K101" s="91" t="str">
        <x:v>OPEN</x:v>
      </x:c>
    </x:row>
    <x:row r="102">
      <x:c r="A102" s="86" t="str">
        <x:v>EX-097</x:v>
      </x:c>
      <x:c r="B102" s="86" t="str">
        <x:v>H3</x:v>
      </x:c>
      <x:c r="C102" s="86" t="str">
        <x:v>B-to-A</x:v>
      </x:c>
      <x:c r="D102" s="86" t="str">
        <x:v>thermally soaked</x:v>
      </x:c>
      <x:c r="E102" s="86" t="str">
        <x:v>nominal datum</x:v>
      </x:c>
      <x:c r="F102" s="91" t="str"/>
      <x:c r="G102" s="91" t="str"/>
      <x:c r="H102" s="91" t="str"/>
      <x:c r="I102" s="91" t="str"/>
      <x:c r="J102" s="91" t="str"/>
      <x:c r="K102" s="91" t="str">
        <x:v>OPEN</x:v>
      </x:c>
    </x:row>
    <x:row r="103">
      <x:c r="A103" s="86" t="str">
        <x:v>EX-098</x:v>
      </x:c>
      <x:c r="B103" s="86" t="str">
        <x:v>H3</x:v>
      </x:c>
      <x:c r="C103" s="86" t="str">
        <x:v>B-to-A</x:v>
      </x:c>
      <x:c r="D103" s="86" t="str">
        <x:v>thermally soaked</x:v>
      </x:c>
      <x:c r="E103" s="86" t="str">
        <x:v>geometric edge</x:v>
      </x:c>
      <x:c r="F103" s="91" t="str"/>
      <x:c r="G103" s="91" t="str"/>
      <x:c r="H103" s="91" t="str"/>
      <x:c r="I103" s="91" t="str"/>
      <x:c r="J103" s="91" t="str"/>
      <x:c r="K103" s="91" t="str">
        <x:v>OPEN</x:v>
      </x:c>
    </x:row>
    <x:row r="104">
      <x:c r="A104" s="86" t="str">
        <x:v>EX-099</x:v>
      </x:c>
      <x:c r="B104" s="86" t="str">
        <x:v>H3</x:v>
      </x:c>
      <x:c r="C104" s="86" t="str">
        <x:v>B-to-A</x:v>
      </x:c>
      <x:c r="D104" s="86" t="str">
        <x:v>thermally soaked</x:v>
      </x:c>
      <x:c r="E104" s="86" t="str">
        <x:v>thermal distortion</x:v>
      </x:c>
      <x:c r="F104" s="91" t="str"/>
      <x:c r="G104" s="91" t="str"/>
      <x:c r="H104" s="91" t="str"/>
      <x:c r="I104" s="91" t="str"/>
      <x:c r="J104" s="91" t="str"/>
      <x:c r="K104" s="91" t="str">
        <x:v>OPEN</x:v>
      </x:c>
    </x:row>
    <x:row r="105">
      <x:c r="A105" s="86" t="str">
        <x:v>EX-100</x:v>
      </x:c>
      <x:c r="B105" s="86" t="str">
        <x:v>H3</x:v>
      </x:c>
      <x:c r="C105" s="86" t="str">
        <x:v>B-to-A</x:v>
      </x:c>
      <x:c r="D105" s="86" t="str">
        <x:v>thermally soaked</x:v>
      </x:c>
      <x:c r="E105" s="86" t="str">
        <x:v>calibration loss</x:v>
      </x:c>
      <x:c r="F105" s="91" t="str"/>
      <x:c r="G105" s="91" t="str"/>
      <x:c r="H105" s="91" t="str"/>
      <x:c r="I105" s="91" t="str"/>
      <x:c r="J105" s="91" t="str"/>
      <x:c r="K105" s="91" t="str">
        <x:v>OPEN</x:v>
      </x:c>
    </x:row>
    <x:row r="106">
      <x:c r="A106" s="86" t="str">
        <x:v>EX-101</x:v>
      </x:c>
      <x:c r="B106" s="86" t="str">
        <x:v>H3</x:v>
      </x:c>
      <x:c r="C106" s="86" t="str">
        <x:v>B-to-A</x:v>
      </x:c>
      <x:c r="D106" s="86" t="str">
        <x:v>thermally soaked</x:v>
      </x:c>
      <x:c r="E106" s="86" t="str">
        <x:v>service denial</x:v>
      </x:c>
      <x:c r="F106" s="91" t="str"/>
      <x:c r="G106" s="91" t="str"/>
      <x:c r="H106" s="91" t="str"/>
      <x:c r="I106" s="91" t="str"/>
      <x:c r="J106" s="91" t="str"/>
      <x:c r="K106" s="91" t="str">
        <x:v>OPEN</x:v>
      </x:c>
    </x:row>
    <x:row r="107">
      <x:c r="A107" s="86" t="str">
        <x:v>EX-102</x:v>
      </x:c>
      <x:c r="B107" s="86" t="str">
        <x:v>H3</x:v>
      </x:c>
      <x:c r="C107" s="86" t="str">
        <x:v>B-to-A</x:v>
      </x:c>
      <x:c r="D107" s="86" t="str">
        <x:v>thermally soaked</x:v>
      </x:c>
      <x:c r="E107" s="86" t="str">
        <x:v>interrupted rollback</x:v>
      </x:c>
      <x:c r="F107" s="91" t="str"/>
      <x:c r="G107" s="91" t="str"/>
      <x:c r="H107" s="91" t="str"/>
      <x:c r="I107" s="91" t="str"/>
      <x:c r="J107" s="91" t="str"/>
      <x:c r="K107" s="91" t="str">
        <x:v>OPEN</x:v>
      </x:c>
    </x:row>
    <x:row r="108">
      <x:c r="A108" s="86" t="str">
        <x:v>EX-103</x:v>
      </x:c>
      <x:c r="B108" s="86" t="str">
        <x:v>H3</x:v>
      </x:c>
      <x:c r="C108" s="86" t="str">
        <x:v>B-to-A</x:v>
      </x:c>
      <x:c r="D108" s="86" t="str">
        <x:v>residue-bearing</x:v>
      </x:c>
      <x:c r="E108" s="86" t="str">
        <x:v>nominal datum</x:v>
      </x:c>
      <x:c r="F108" s="91" t="str"/>
      <x:c r="G108" s="91" t="str"/>
      <x:c r="H108" s="91" t="str"/>
      <x:c r="I108" s="91" t="str"/>
      <x:c r="J108" s="91" t="str"/>
      <x:c r="K108" s="91" t="str">
        <x:v>OPEN</x:v>
      </x:c>
    </x:row>
    <x:row r="109">
      <x:c r="A109" s="86" t="str">
        <x:v>EX-104</x:v>
      </x:c>
      <x:c r="B109" s="86" t="str">
        <x:v>H3</x:v>
      </x:c>
      <x:c r="C109" s="86" t="str">
        <x:v>B-to-A</x:v>
      </x:c>
      <x:c r="D109" s="86" t="str">
        <x:v>residue-bearing</x:v>
      </x:c>
      <x:c r="E109" s="86" t="str">
        <x:v>geometric edge</x:v>
      </x:c>
      <x:c r="F109" s="91" t="str"/>
      <x:c r="G109" s="91" t="str"/>
      <x:c r="H109" s="91" t="str"/>
      <x:c r="I109" s="91" t="str"/>
      <x:c r="J109" s="91" t="str"/>
      <x:c r="K109" s="91" t="str">
        <x:v>OPEN</x:v>
      </x:c>
    </x:row>
    <x:row r="110">
      <x:c r="A110" s="86" t="str">
        <x:v>EX-105</x:v>
      </x:c>
      <x:c r="B110" s="86" t="str">
        <x:v>H3</x:v>
      </x:c>
      <x:c r="C110" s="86" t="str">
        <x:v>B-to-A</x:v>
      </x:c>
      <x:c r="D110" s="86" t="str">
        <x:v>residue-bearing</x:v>
      </x:c>
      <x:c r="E110" s="86" t="str">
        <x:v>thermal distortion</x:v>
      </x:c>
      <x:c r="F110" s="91" t="str"/>
      <x:c r="G110" s="91" t="str"/>
      <x:c r="H110" s="91" t="str"/>
      <x:c r="I110" s="91" t="str"/>
      <x:c r="J110" s="91" t="str"/>
      <x:c r="K110" s="91" t="str">
        <x:v>OPEN</x:v>
      </x:c>
    </x:row>
    <x:row r="111">
      <x:c r="A111" s="86" t="str">
        <x:v>EX-106</x:v>
      </x:c>
      <x:c r="B111" s="86" t="str">
        <x:v>H3</x:v>
      </x:c>
      <x:c r="C111" s="86" t="str">
        <x:v>B-to-A</x:v>
      </x:c>
      <x:c r="D111" s="86" t="str">
        <x:v>residue-bearing</x:v>
      </x:c>
      <x:c r="E111" s="86" t="str">
        <x:v>calibration loss</x:v>
      </x:c>
      <x:c r="F111" s="91" t="str"/>
      <x:c r="G111" s="91" t="str"/>
      <x:c r="H111" s="91" t="str"/>
      <x:c r="I111" s="91" t="str"/>
      <x:c r="J111" s="91" t="str"/>
      <x:c r="K111" s="91" t="str">
        <x:v>OPEN</x:v>
      </x:c>
    </x:row>
    <x:row r="112">
      <x:c r="A112" s="86" t="str">
        <x:v>EX-107</x:v>
      </x:c>
      <x:c r="B112" s="86" t="str">
        <x:v>H3</x:v>
      </x:c>
      <x:c r="C112" s="86" t="str">
        <x:v>B-to-A</x:v>
      </x:c>
      <x:c r="D112" s="86" t="str">
        <x:v>residue-bearing</x:v>
      </x:c>
      <x:c r="E112" s="86" t="str">
        <x:v>service denial</x:v>
      </x:c>
      <x:c r="F112" s="91" t="str"/>
      <x:c r="G112" s="91" t="str"/>
      <x:c r="H112" s="91" t="str"/>
      <x:c r="I112" s="91" t="str"/>
      <x:c r="J112" s="91" t="str"/>
      <x:c r="K112" s="91" t="str">
        <x:v>OPEN</x:v>
      </x:c>
    </x:row>
    <x:row r="113">
      <x:c r="A113" s="86" t="str">
        <x:v>EX-108</x:v>
      </x:c>
      <x:c r="B113" s="86" t="str">
        <x:v>H3</x:v>
      </x:c>
      <x:c r="C113" s="86" t="str">
        <x:v>B-to-A</x:v>
      </x:c>
      <x:c r="D113" s="86" t="str">
        <x:v>residue-bearing</x:v>
      </x:c>
      <x:c r="E113" s="86" t="str">
        <x:v>interrupted rollback</x:v>
      </x:c>
      <x:c r="F113" s="91" t="str"/>
      <x:c r="G113" s="91" t="str"/>
      <x:c r="H113" s="91" t="str"/>
      <x:c r="I113" s="91" t="str"/>
      <x:c r="J113" s="91" t="str"/>
      <x:c r="K113" s="91" t="str">
        <x:v>OPEN</x:v>
      </x:c>
    </x:row>
    <x:row r="114">
      <x:c r="A114" s="86" t="str">
        <x:v>EX-109</x:v>
      </x:c>
      <x:c r="B114" s="86" t="str">
        <x:v>H4</x:v>
      </x:c>
      <x:c r="C114" s="86" t="str">
        <x:v>A-to-B</x:v>
      </x:c>
      <x:c r="D114" s="86" t="str">
        <x:v>clean</x:v>
      </x:c>
      <x:c r="E114" s="86" t="str">
        <x:v>nominal datum</x:v>
      </x:c>
      <x:c r="F114" s="91" t="str"/>
      <x:c r="G114" s="91" t="str"/>
      <x:c r="H114" s="91" t="str"/>
      <x:c r="I114" s="91" t="str"/>
      <x:c r="J114" s="91" t="str"/>
      <x:c r="K114" s="91" t="str">
        <x:v>OPEN</x:v>
      </x:c>
    </x:row>
    <x:row r="115">
      <x:c r="A115" s="86" t="str">
        <x:v>EX-110</x:v>
      </x:c>
      <x:c r="B115" s="86" t="str">
        <x:v>H4</x:v>
      </x:c>
      <x:c r="C115" s="86" t="str">
        <x:v>A-to-B</x:v>
      </x:c>
      <x:c r="D115" s="86" t="str">
        <x:v>clean</x:v>
      </x:c>
      <x:c r="E115" s="86" t="str">
        <x:v>geometric edge</x:v>
      </x:c>
      <x:c r="F115" s="91" t="str"/>
      <x:c r="G115" s="91" t="str"/>
      <x:c r="H115" s="91" t="str"/>
      <x:c r="I115" s="91" t="str"/>
      <x:c r="J115" s="91" t="str"/>
      <x:c r="K115" s="91" t="str">
        <x:v>OPEN</x:v>
      </x:c>
    </x:row>
    <x:row r="116">
      <x:c r="A116" s="86" t="str">
        <x:v>EX-111</x:v>
      </x:c>
      <x:c r="B116" s="86" t="str">
        <x:v>H4</x:v>
      </x:c>
      <x:c r="C116" s="86" t="str">
        <x:v>A-to-B</x:v>
      </x:c>
      <x:c r="D116" s="86" t="str">
        <x:v>clean</x:v>
      </x:c>
      <x:c r="E116" s="86" t="str">
        <x:v>thermal distortion</x:v>
      </x:c>
      <x:c r="F116" s="91" t="str"/>
      <x:c r="G116" s="91" t="str"/>
      <x:c r="H116" s="91" t="str"/>
      <x:c r="I116" s="91" t="str"/>
      <x:c r="J116" s="91" t="str"/>
      <x:c r="K116" s="91" t="str">
        <x:v>OPEN</x:v>
      </x:c>
    </x:row>
    <x:row r="117">
      <x:c r="A117" s="86" t="str">
        <x:v>EX-112</x:v>
      </x:c>
      <x:c r="B117" s="86" t="str">
        <x:v>H4</x:v>
      </x:c>
      <x:c r="C117" s="86" t="str">
        <x:v>A-to-B</x:v>
      </x:c>
      <x:c r="D117" s="86" t="str">
        <x:v>clean</x:v>
      </x:c>
      <x:c r="E117" s="86" t="str">
        <x:v>calibration loss</x:v>
      </x:c>
      <x:c r="F117" s="91" t="str"/>
      <x:c r="G117" s="91" t="str"/>
      <x:c r="H117" s="91" t="str"/>
      <x:c r="I117" s="91" t="str"/>
      <x:c r="J117" s="91" t="str"/>
      <x:c r="K117" s="91" t="str">
        <x:v>OPEN</x:v>
      </x:c>
    </x:row>
    <x:row r="118">
      <x:c r="A118" s="86" t="str">
        <x:v>EX-113</x:v>
      </x:c>
      <x:c r="B118" s="86" t="str">
        <x:v>H4</x:v>
      </x:c>
      <x:c r="C118" s="86" t="str">
        <x:v>A-to-B</x:v>
      </x:c>
      <x:c r="D118" s="86" t="str">
        <x:v>clean</x:v>
      </x:c>
      <x:c r="E118" s="86" t="str">
        <x:v>service denial</x:v>
      </x:c>
      <x:c r="F118" s="91" t="str"/>
      <x:c r="G118" s="91" t="str"/>
      <x:c r="H118" s="91" t="str"/>
      <x:c r="I118" s="91" t="str"/>
      <x:c r="J118" s="91" t="str"/>
      <x:c r="K118" s="91" t="str">
        <x:v>OPEN</x:v>
      </x:c>
    </x:row>
    <x:row r="119">
      <x:c r="A119" s="86" t="str">
        <x:v>EX-114</x:v>
      </x:c>
      <x:c r="B119" s="86" t="str">
        <x:v>H4</x:v>
      </x:c>
      <x:c r="C119" s="86" t="str">
        <x:v>A-to-B</x:v>
      </x:c>
      <x:c r="D119" s="86" t="str">
        <x:v>clean</x:v>
      </x:c>
      <x:c r="E119" s="86" t="str">
        <x:v>interrupted rollback</x:v>
      </x:c>
      <x:c r="F119" s="91" t="str"/>
      <x:c r="G119" s="91" t="str"/>
      <x:c r="H119" s="91" t="str"/>
      <x:c r="I119" s="91" t="str"/>
      <x:c r="J119" s="91" t="str"/>
      <x:c r="K119" s="91" t="str">
        <x:v>OPEN</x:v>
      </x:c>
    </x:row>
    <x:row r="120">
      <x:c r="A120" s="86" t="str">
        <x:v>EX-115</x:v>
      </x:c>
      <x:c r="B120" s="86" t="str">
        <x:v>H4</x:v>
      </x:c>
      <x:c r="C120" s="86" t="str">
        <x:v>A-to-B</x:v>
      </x:c>
      <x:c r="D120" s="86" t="str">
        <x:v>thermally soaked</x:v>
      </x:c>
      <x:c r="E120" s="86" t="str">
        <x:v>nominal datum</x:v>
      </x:c>
      <x:c r="F120" s="91" t="str"/>
      <x:c r="G120" s="91" t="str"/>
      <x:c r="H120" s="91" t="str"/>
      <x:c r="I120" s="91" t="str"/>
      <x:c r="J120" s="91" t="str"/>
      <x:c r="K120" s="91" t="str">
        <x:v>OPEN</x:v>
      </x:c>
    </x:row>
    <x:row r="121">
      <x:c r="A121" s="86" t="str">
        <x:v>EX-116</x:v>
      </x:c>
      <x:c r="B121" s="86" t="str">
        <x:v>H4</x:v>
      </x:c>
      <x:c r="C121" s="86" t="str">
        <x:v>A-to-B</x:v>
      </x:c>
      <x:c r="D121" s="86" t="str">
        <x:v>thermally soaked</x:v>
      </x:c>
      <x:c r="E121" s="86" t="str">
        <x:v>geometric edge</x:v>
      </x:c>
      <x:c r="F121" s="91" t="str"/>
      <x:c r="G121" s="91" t="str"/>
      <x:c r="H121" s="91" t="str"/>
      <x:c r="I121" s="91" t="str"/>
      <x:c r="J121" s="91" t="str"/>
      <x:c r="K121" s="91" t="str">
        <x:v>OPEN</x:v>
      </x:c>
    </x:row>
    <x:row r="122">
      <x:c r="A122" s="86" t="str">
        <x:v>EX-117</x:v>
      </x:c>
      <x:c r="B122" s="86" t="str">
        <x:v>H4</x:v>
      </x:c>
      <x:c r="C122" s="86" t="str">
        <x:v>A-to-B</x:v>
      </x:c>
      <x:c r="D122" s="86" t="str">
        <x:v>thermally soaked</x:v>
      </x:c>
      <x:c r="E122" s="86" t="str">
        <x:v>thermal distortion</x:v>
      </x:c>
      <x:c r="F122" s="91" t="str"/>
      <x:c r="G122" s="91" t="str"/>
      <x:c r="H122" s="91" t="str"/>
      <x:c r="I122" s="91" t="str"/>
      <x:c r="J122" s="91" t="str"/>
      <x:c r="K122" s="91" t="str">
        <x:v>OPEN</x:v>
      </x:c>
    </x:row>
    <x:row r="123">
      <x:c r="A123" s="86" t="str">
        <x:v>EX-118</x:v>
      </x:c>
      <x:c r="B123" s="86" t="str">
        <x:v>H4</x:v>
      </x:c>
      <x:c r="C123" s="86" t="str">
        <x:v>A-to-B</x:v>
      </x:c>
      <x:c r="D123" s="86" t="str">
        <x:v>thermally soaked</x:v>
      </x:c>
      <x:c r="E123" s="86" t="str">
        <x:v>calibration loss</x:v>
      </x:c>
      <x:c r="F123" s="91" t="str"/>
      <x:c r="G123" s="91" t="str"/>
      <x:c r="H123" s="91" t="str"/>
      <x:c r="I123" s="91" t="str"/>
      <x:c r="J123" s="91" t="str"/>
      <x:c r="K123" s="91" t="str">
        <x:v>OPEN</x:v>
      </x:c>
    </x:row>
    <x:row r="124">
      <x:c r="A124" s="86" t="str">
        <x:v>EX-119</x:v>
      </x:c>
      <x:c r="B124" s="86" t="str">
        <x:v>H4</x:v>
      </x:c>
      <x:c r="C124" s="86" t="str">
        <x:v>A-to-B</x:v>
      </x:c>
      <x:c r="D124" s="86" t="str">
        <x:v>thermally soaked</x:v>
      </x:c>
      <x:c r="E124" s="86" t="str">
        <x:v>service denial</x:v>
      </x:c>
      <x:c r="F124" s="91" t="str"/>
      <x:c r="G124" s="91" t="str"/>
      <x:c r="H124" s="91" t="str"/>
      <x:c r="I124" s="91" t="str"/>
      <x:c r="J124" s="91" t="str"/>
      <x:c r="K124" s="91" t="str">
        <x:v>OPEN</x:v>
      </x:c>
    </x:row>
    <x:row r="125">
      <x:c r="A125" s="86" t="str">
        <x:v>EX-120</x:v>
      </x:c>
      <x:c r="B125" s="86" t="str">
        <x:v>H4</x:v>
      </x:c>
      <x:c r="C125" s="86" t="str">
        <x:v>A-to-B</x:v>
      </x:c>
      <x:c r="D125" s="86" t="str">
        <x:v>thermally soaked</x:v>
      </x:c>
      <x:c r="E125" s="86" t="str">
        <x:v>interrupted rollback</x:v>
      </x:c>
      <x:c r="F125" s="91" t="str"/>
      <x:c r="G125" s="91" t="str"/>
      <x:c r="H125" s="91" t="str"/>
      <x:c r="I125" s="91" t="str"/>
      <x:c r="J125" s="91" t="str"/>
      <x:c r="K125" s="91" t="str">
        <x:v>OPEN</x:v>
      </x:c>
    </x:row>
    <x:row r="126">
      <x:c r="A126" s="86" t="str">
        <x:v>EX-121</x:v>
      </x:c>
      <x:c r="B126" s="86" t="str">
        <x:v>H4</x:v>
      </x:c>
      <x:c r="C126" s="86" t="str">
        <x:v>A-to-B</x:v>
      </x:c>
      <x:c r="D126" s="86" t="str">
        <x:v>residue-bearing</x:v>
      </x:c>
      <x:c r="E126" s="86" t="str">
        <x:v>nominal datum</x:v>
      </x:c>
      <x:c r="F126" s="91" t="str"/>
      <x:c r="G126" s="91" t="str"/>
      <x:c r="H126" s="91" t="str"/>
      <x:c r="I126" s="91" t="str"/>
      <x:c r="J126" s="91" t="str"/>
      <x:c r="K126" s="91" t="str">
        <x:v>OPEN</x:v>
      </x:c>
    </x:row>
    <x:row r="127">
      <x:c r="A127" s="86" t="str">
        <x:v>EX-122</x:v>
      </x:c>
      <x:c r="B127" s="86" t="str">
        <x:v>H4</x:v>
      </x:c>
      <x:c r="C127" s="86" t="str">
        <x:v>A-to-B</x:v>
      </x:c>
      <x:c r="D127" s="86" t="str">
        <x:v>residue-bearing</x:v>
      </x:c>
      <x:c r="E127" s="86" t="str">
        <x:v>geometric edge</x:v>
      </x:c>
      <x:c r="F127" s="91" t="str"/>
      <x:c r="G127" s="91" t="str"/>
      <x:c r="H127" s="91" t="str"/>
      <x:c r="I127" s="91" t="str"/>
      <x:c r="J127" s="91" t="str"/>
      <x:c r="K127" s="91" t="str">
        <x:v>OPEN</x:v>
      </x:c>
    </x:row>
    <x:row r="128">
      <x:c r="A128" s="86" t="str">
        <x:v>EX-123</x:v>
      </x:c>
      <x:c r="B128" s="86" t="str">
        <x:v>H4</x:v>
      </x:c>
      <x:c r="C128" s="86" t="str">
        <x:v>A-to-B</x:v>
      </x:c>
      <x:c r="D128" s="86" t="str">
        <x:v>residue-bearing</x:v>
      </x:c>
      <x:c r="E128" s="86" t="str">
        <x:v>thermal distortion</x:v>
      </x:c>
      <x:c r="F128" s="91" t="str"/>
      <x:c r="G128" s="91" t="str"/>
      <x:c r="H128" s="91" t="str"/>
      <x:c r="I128" s="91" t="str"/>
      <x:c r="J128" s="91" t="str"/>
      <x:c r="K128" s="91" t="str">
        <x:v>OPEN</x:v>
      </x:c>
    </x:row>
    <x:row r="129">
      <x:c r="A129" s="86" t="str">
        <x:v>EX-124</x:v>
      </x:c>
      <x:c r="B129" s="86" t="str">
        <x:v>H4</x:v>
      </x:c>
      <x:c r="C129" s="86" t="str">
        <x:v>A-to-B</x:v>
      </x:c>
      <x:c r="D129" s="86" t="str">
        <x:v>residue-bearing</x:v>
      </x:c>
      <x:c r="E129" s="86" t="str">
        <x:v>calibration loss</x:v>
      </x:c>
      <x:c r="F129" s="91" t="str"/>
      <x:c r="G129" s="91" t="str"/>
      <x:c r="H129" s="91" t="str"/>
      <x:c r="I129" s="91" t="str"/>
      <x:c r="J129" s="91" t="str"/>
      <x:c r="K129" s="91" t="str">
        <x:v>OPEN</x:v>
      </x:c>
    </x:row>
    <x:row r="130">
      <x:c r="A130" s="86" t="str">
        <x:v>EX-125</x:v>
      </x:c>
      <x:c r="B130" s="86" t="str">
        <x:v>H4</x:v>
      </x:c>
      <x:c r="C130" s="86" t="str">
        <x:v>A-to-B</x:v>
      </x:c>
      <x:c r="D130" s="86" t="str">
        <x:v>residue-bearing</x:v>
      </x:c>
      <x:c r="E130" s="86" t="str">
        <x:v>service denial</x:v>
      </x:c>
      <x:c r="F130" s="91" t="str"/>
      <x:c r="G130" s="91" t="str"/>
      <x:c r="H130" s="91" t="str"/>
      <x:c r="I130" s="91" t="str"/>
      <x:c r="J130" s="91" t="str"/>
      <x:c r="K130" s="91" t="str">
        <x:v>OPEN</x:v>
      </x:c>
    </x:row>
    <x:row r="131">
      <x:c r="A131" s="86" t="str">
        <x:v>EX-126</x:v>
      </x:c>
      <x:c r="B131" s="86" t="str">
        <x:v>H4</x:v>
      </x:c>
      <x:c r="C131" s="86" t="str">
        <x:v>A-to-B</x:v>
      </x:c>
      <x:c r="D131" s="86" t="str">
        <x:v>residue-bearing</x:v>
      </x:c>
      <x:c r="E131" s="86" t="str">
        <x:v>interrupted rollback</x:v>
      </x:c>
      <x:c r="F131" s="91" t="str"/>
      <x:c r="G131" s="91" t="str"/>
      <x:c r="H131" s="91" t="str"/>
      <x:c r="I131" s="91" t="str"/>
      <x:c r="J131" s="91" t="str"/>
      <x:c r="K131" s="91" t="str">
        <x:v>OPEN</x:v>
      </x:c>
    </x:row>
    <x:row r="132">
      <x:c r="A132" s="86" t="str">
        <x:v>EX-127</x:v>
      </x:c>
      <x:c r="B132" s="86" t="str">
        <x:v>H4</x:v>
      </x:c>
      <x:c r="C132" s="86" t="str">
        <x:v>B-to-A</x:v>
      </x:c>
      <x:c r="D132" s="86" t="str">
        <x:v>clean</x:v>
      </x:c>
      <x:c r="E132" s="86" t="str">
        <x:v>nominal datum</x:v>
      </x:c>
      <x:c r="F132" s="91" t="str"/>
      <x:c r="G132" s="91" t="str"/>
      <x:c r="H132" s="91" t="str"/>
      <x:c r="I132" s="91" t="str"/>
      <x:c r="J132" s="91" t="str"/>
      <x:c r="K132" s="91" t="str">
        <x:v>OPEN</x:v>
      </x:c>
    </x:row>
    <x:row r="133">
      <x:c r="A133" s="86" t="str">
        <x:v>EX-128</x:v>
      </x:c>
      <x:c r="B133" s="86" t="str">
        <x:v>H4</x:v>
      </x:c>
      <x:c r="C133" s="86" t="str">
        <x:v>B-to-A</x:v>
      </x:c>
      <x:c r="D133" s="86" t="str">
        <x:v>clean</x:v>
      </x:c>
      <x:c r="E133" s="86" t="str">
        <x:v>geometric edge</x:v>
      </x:c>
      <x:c r="F133" s="91" t="str"/>
      <x:c r="G133" s="91" t="str"/>
      <x:c r="H133" s="91" t="str"/>
      <x:c r="I133" s="91" t="str"/>
      <x:c r="J133" s="91" t="str"/>
      <x:c r="K133" s="91" t="str">
        <x:v>OPEN</x:v>
      </x:c>
    </x:row>
    <x:row r="134">
      <x:c r="A134" s="86" t="str">
        <x:v>EX-129</x:v>
      </x:c>
      <x:c r="B134" s="86" t="str">
        <x:v>H4</x:v>
      </x:c>
      <x:c r="C134" s="86" t="str">
        <x:v>B-to-A</x:v>
      </x:c>
      <x:c r="D134" s="86" t="str">
        <x:v>clean</x:v>
      </x:c>
      <x:c r="E134" s="86" t="str">
        <x:v>thermal distortion</x:v>
      </x:c>
      <x:c r="F134" s="91" t="str"/>
      <x:c r="G134" s="91" t="str"/>
      <x:c r="H134" s="91" t="str"/>
      <x:c r="I134" s="91" t="str"/>
      <x:c r="J134" s="91" t="str"/>
      <x:c r="K134" s="91" t="str">
        <x:v>OPEN</x:v>
      </x:c>
    </x:row>
    <x:row r="135">
      <x:c r="A135" s="86" t="str">
        <x:v>EX-130</x:v>
      </x:c>
      <x:c r="B135" s="86" t="str">
        <x:v>H4</x:v>
      </x:c>
      <x:c r="C135" s="86" t="str">
        <x:v>B-to-A</x:v>
      </x:c>
      <x:c r="D135" s="86" t="str">
        <x:v>clean</x:v>
      </x:c>
      <x:c r="E135" s="86" t="str">
        <x:v>calibration loss</x:v>
      </x:c>
      <x:c r="F135" s="91" t="str"/>
      <x:c r="G135" s="91" t="str"/>
      <x:c r="H135" s="91" t="str"/>
      <x:c r="I135" s="91" t="str"/>
      <x:c r="J135" s="91" t="str"/>
      <x:c r="K135" s="91" t="str">
        <x:v>OPEN</x:v>
      </x:c>
    </x:row>
    <x:row r="136">
      <x:c r="A136" s="86" t="str">
        <x:v>EX-131</x:v>
      </x:c>
      <x:c r="B136" s="86" t="str">
        <x:v>H4</x:v>
      </x:c>
      <x:c r="C136" s="86" t="str">
        <x:v>B-to-A</x:v>
      </x:c>
      <x:c r="D136" s="86" t="str">
        <x:v>clean</x:v>
      </x:c>
      <x:c r="E136" s="86" t="str">
        <x:v>service denial</x:v>
      </x:c>
      <x:c r="F136" s="91" t="str"/>
      <x:c r="G136" s="91" t="str"/>
      <x:c r="H136" s="91" t="str"/>
      <x:c r="I136" s="91" t="str"/>
      <x:c r="J136" s="91" t="str"/>
      <x:c r="K136" s="91" t="str">
        <x:v>OPEN</x:v>
      </x:c>
    </x:row>
    <x:row r="137">
      <x:c r="A137" s="86" t="str">
        <x:v>EX-132</x:v>
      </x:c>
      <x:c r="B137" s="86" t="str">
        <x:v>H4</x:v>
      </x:c>
      <x:c r="C137" s="86" t="str">
        <x:v>B-to-A</x:v>
      </x:c>
      <x:c r="D137" s="86" t="str">
        <x:v>clean</x:v>
      </x:c>
      <x:c r="E137" s="86" t="str">
        <x:v>interrupted rollback</x:v>
      </x:c>
      <x:c r="F137" s="91" t="str"/>
      <x:c r="G137" s="91" t="str"/>
      <x:c r="H137" s="91" t="str"/>
      <x:c r="I137" s="91" t="str"/>
      <x:c r="J137" s="91" t="str"/>
      <x:c r="K137" s="91" t="str">
        <x:v>OPEN</x:v>
      </x:c>
    </x:row>
    <x:row r="138">
      <x:c r="A138" s="86" t="str">
        <x:v>EX-133</x:v>
      </x:c>
      <x:c r="B138" s="86" t="str">
        <x:v>H4</x:v>
      </x:c>
      <x:c r="C138" s="86" t="str">
        <x:v>B-to-A</x:v>
      </x:c>
      <x:c r="D138" s="86" t="str">
        <x:v>thermally soaked</x:v>
      </x:c>
      <x:c r="E138" s="86" t="str">
        <x:v>nominal datum</x:v>
      </x:c>
      <x:c r="F138" s="91" t="str"/>
      <x:c r="G138" s="91" t="str"/>
      <x:c r="H138" s="91" t="str"/>
      <x:c r="I138" s="91" t="str"/>
      <x:c r="J138" s="91" t="str"/>
      <x:c r="K138" s="91" t="str">
        <x:v>OPEN</x:v>
      </x:c>
    </x:row>
    <x:row r="139">
      <x:c r="A139" s="86" t="str">
        <x:v>EX-134</x:v>
      </x:c>
      <x:c r="B139" s="86" t="str">
        <x:v>H4</x:v>
      </x:c>
      <x:c r="C139" s="86" t="str">
        <x:v>B-to-A</x:v>
      </x:c>
      <x:c r="D139" s="86" t="str">
        <x:v>thermally soaked</x:v>
      </x:c>
      <x:c r="E139" s="86" t="str">
        <x:v>geometric edge</x:v>
      </x:c>
      <x:c r="F139" s="91" t="str"/>
      <x:c r="G139" s="91" t="str"/>
      <x:c r="H139" s="91" t="str"/>
      <x:c r="I139" s="91" t="str"/>
      <x:c r="J139" s="91" t="str"/>
      <x:c r="K139" s="91" t="str">
        <x:v>OPEN</x:v>
      </x:c>
    </x:row>
    <x:row r="140">
      <x:c r="A140" s="86" t="str">
        <x:v>EX-135</x:v>
      </x:c>
      <x:c r="B140" s="86" t="str">
        <x:v>H4</x:v>
      </x:c>
      <x:c r="C140" s="86" t="str">
        <x:v>B-to-A</x:v>
      </x:c>
      <x:c r="D140" s="86" t="str">
        <x:v>thermally soaked</x:v>
      </x:c>
      <x:c r="E140" s="86" t="str">
        <x:v>thermal distortion</x:v>
      </x:c>
      <x:c r="F140" s="91" t="str"/>
      <x:c r="G140" s="91" t="str"/>
      <x:c r="H140" s="91" t="str"/>
      <x:c r="I140" s="91" t="str"/>
      <x:c r="J140" s="91" t="str"/>
      <x:c r="K140" s="91" t="str">
        <x:v>OPEN</x:v>
      </x:c>
    </x:row>
    <x:row r="141">
      <x:c r="A141" s="86" t="str">
        <x:v>EX-136</x:v>
      </x:c>
      <x:c r="B141" s="86" t="str">
        <x:v>H4</x:v>
      </x:c>
      <x:c r="C141" s="86" t="str">
        <x:v>B-to-A</x:v>
      </x:c>
      <x:c r="D141" s="86" t="str">
        <x:v>thermally soaked</x:v>
      </x:c>
      <x:c r="E141" s="86" t="str">
        <x:v>calibration loss</x:v>
      </x:c>
      <x:c r="F141" s="91" t="str"/>
      <x:c r="G141" s="91" t="str"/>
      <x:c r="H141" s="91" t="str"/>
      <x:c r="I141" s="91" t="str"/>
      <x:c r="J141" s="91" t="str"/>
      <x:c r="K141" s="91" t="str">
        <x:v>OPEN</x:v>
      </x:c>
    </x:row>
    <x:row r="142">
      <x:c r="A142" s="86" t="str">
        <x:v>EX-137</x:v>
      </x:c>
      <x:c r="B142" s="86" t="str">
        <x:v>H4</x:v>
      </x:c>
      <x:c r="C142" s="86" t="str">
        <x:v>B-to-A</x:v>
      </x:c>
      <x:c r="D142" s="86" t="str">
        <x:v>thermally soaked</x:v>
      </x:c>
      <x:c r="E142" s="86" t="str">
        <x:v>service denial</x:v>
      </x:c>
      <x:c r="F142" s="91" t="str"/>
      <x:c r="G142" s="91" t="str"/>
      <x:c r="H142" s="91" t="str"/>
      <x:c r="I142" s="91" t="str"/>
      <x:c r="J142" s="91" t="str"/>
      <x:c r="K142" s="91" t="str">
        <x:v>OPEN</x:v>
      </x:c>
    </x:row>
    <x:row r="143">
      <x:c r="A143" s="86" t="str">
        <x:v>EX-138</x:v>
      </x:c>
      <x:c r="B143" s="86" t="str">
        <x:v>H4</x:v>
      </x:c>
      <x:c r="C143" s="86" t="str">
        <x:v>B-to-A</x:v>
      </x:c>
      <x:c r="D143" s="86" t="str">
        <x:v>thermally soaked</x:v>
      </x:c>
      <x:c r="E143" s="86" t="str">
        <x:v>interrupted rollback</x:v>
      </x:c>
      <x:c r="F143" s="91" t="str"/>
      <x:c r="G143" s="91" t="str"/>
      <x:c r="H143" s="91" t="str"/>
      <x:c r="I143" s="91" t="str"/>
      <x:c r="J143" s="91" t="str"/>
      <x:c r="K143" s="91" t="str">
        <x:v>OPEN</x:v>
      </x:c>
    </x:row>
    <x:row r="144">
      <x:c r="A144" s="86" t="str">
        <x:v>EX-139</x:v>
      </x:c>
      <x:c r="B144" s="86" t="str">
        <x:v>H4</x:v>
      </x:c>
      <x:c r="C144" s="86" t="str">
        <x:v>B-to-A</x:v>
      </x:c>
      <x:c r="D144" s="86" t="str">
        <x:v>residue-bearing</x:v>
      </x:c>
      <x:c r="E144" s="86" t="str">
        <x:v>nominal datum</x:v>
      </x:c>
      <x:c r="F144" s="91" t="str"/>
      <x:c r="G144" s="91" t="str"/>
      <x:c r="H144" s="91" t="str"/>
      <x:c r="I144" s="91" t="str"/>
      <x:c r="J144" s="91" t="str"/>
      <x:c r="K144" s="91" t="str">
        <x:v>OPEN</x:v>
      </x:c>
    </x:row>
    <x:row r="145">
      <x:c r="A145" s="86" t="str">
        <x:v>EX-140</x:v>
      </x:c>
      <x:c r="B145" s="86" t="str">
        <x:v>H4</x:v>
      </x:c>
      <x:c r="C145" s="86" t="str">
        <x:v>B-to-A</x:v>
      </x:c>
      <x:c r="D145" s="86" t="str">
        <x:v>residue-bearing</x:v>
      </x:c>
      <x:c r="E145" s="86" t="str">
        <x:v>geometric edge</x:v>
      </x:c>
      <x:c r="F145" s="91" t="str"/>
      <x:c r="G145" s="91" t="str"/>
      <x:c r="H145" s="91" t="str"/>
      <x:c r="I145" s="91" t="str"/>
      <x:c r="J145" s="91" t="str"/>
      <x:c r="K145" s="91" t="str">
        <x:v>OPEN</x:v>
      </x:c>
    </x:row>
    <x:row r="146">
      <x:c r="A146" s="86" t="str">
        <x:v>EX-141</x:v>
      </x:c>
      <x:c r="B146" s="86" t="str">
        <x:v>H4</x:v>
      </x:c>
      <x:c r="C146" s="86" t="str">
        <x:v>B-to-A</x:v>
      </x:c>
      <x:c r="D146" s="86" t="str">
        <x:v>residue-bearing</x:v>
      </x:c>
      <x:c r="E146" s="86" t="str">
        <x:v>thermal distortion</x:v>
      </x:c>
      <x:c r="F146" s="91" t="str"/>
      <x:c r="G146" s="91" t="str"/>
      <x:c r="H146" s="91" t="str"/>
      <x:c r="I146" s="91" t="str"/>
      <x:c r="J146" s="91" t="str"/>
      <x:c r="K146" s="91" t="str">
        <x:v>OPEN</x:v>
      </x:c>
    </x:row>
    <x:row r="147">
      <x:c r="A147" s="86" t="str">
        <x:v>EX-142</x:v>
      </x:c>
      <x:c r="B147" s="86" t="str">
        <x:v>H4</x:v>
      </x:c>
      <x:c r="C147" s="86" t="str">
        <x:v>B-to-A</x:v>
      </x:c>
      <x:c r="D147" s="86" t="str">
        <x:v>residue-bearing</x:v>
      </x:c>
      <x:c r="E147" s="86" t="str">
        <x:v>calibration loss</x:v>
      </x:c>
      <x:c r="F147" s="91" t="str"/>
      <x:c r="G147" s="91" t="str"/>
      <x:c r="H147" s="91" t="str"/>
      <x:c r="I147" s="91" t="str"/>
      <x:c r="J147" s="91" t="str"/>
      <x:c r="K147" s="91" t="str">
        <x:v>OPEN</x:v>
      </x:c>
    </x:row>
    <x:row r="148">
      <x:c r="A148" s="86" t="str">
        <x:v>EX-143</x:v>
      </x:c>
      <x:c r="B148" s="86" t="str">
        <x:v>H4</x:v>
      </x:c>
      <x:c r="C148" s="86" t="str">
        <x:v>B-to-A</x:v>
      </x:c>
      <x:c r="D148" s="86" t="str">
        <x:v>residue-bearing</x:v>
      </x:c>
      <x:c r="E148" s="86" t="str">
        <x:v>service denial</x:v>
      </x:c>
      <x:c r="F148" s="91" t="str"/>
      <x:c r="G148" s="91" t="str"/>
      <x:c r="H148" s="91" t="str"/>
      <x:c r="I148" s="91" t="str"/>
      <x:c r="J148" s="91" t="str"/>
      <x:c r="K148" s="91" t="str">
        <x:v>OPEN</x:v>
      </x:c>
    </x:row>
    <x:row r="149">
      <x:c r="A149" s="86" t="str">
        <x:v>EX-144</x:v>
      </x:c>
      <x:c r="B149" s="86" t="str">
        <x:v>H4</x:v>
      </x:c>
      <x:c r="C149" s="86" t="str">
        <x:v>B-to-A</x:v>
      </x:c>
      <x:c r="D149" s="86" t="str">
        <x:v>residue-bearing</x:v>
      </x:c>
      <x:c r="E149" s="86" t="str">
        <x:v>interrupted rollback</x:v>
      </x:c>
      <x:c r="F149" s="91" t="str"/>
      <x:c r="G149" s="91" t="str"/>
      <x:c r="H149" s="91" t="str"/>
      <x:c r="I149" s="91" t="str"/>
      <x:c r="J149" s="91" t="str"/>
      <x:c r="K149" s="91" t="str">
        <x:v>OPEN</x:v>
      </x:c>
    </x:row>
    <x:row r="150">
      <x:c r="A150" s="86" t="str">
        <x:v>EX-145</x:v>
      </x:c>
      <x:c r="B150" s="86" t="str">
        <x:v>H5</x:v>
      </x:c>
      <x:c r="C150" s="86" t="str">
        <x:v>A-to-B</x:v>
      </x:c>
      <x:c r="D150" s="86" t="str">
        <x:v>clean</x:v>
      </x:c>
      <x:c r="E150" s="86" t="str">
        <x:v>nominal datum</x:v>
      </x:c>
      <x:c r="F150" s="91" t="str"/>
      <x:c r="G150" s="91" t="str"/>
      <x:c r="H150" s="91" t="str"/>
      <x:c r="I150" s="91" t="str"/>
      <x:c r="J150" s="91" t="str"/>
      <x:c r="K150" s="91" t="str">
        <x:v>OPEN</x:v>
      </x:c>
    </x:row>
    <x:row r="151">
      <x:c r="A151" s="86" t="str">
        <x:v>EX-146</x:v>
      </x:c>
      <x:c r="B151" s="86" t="str">
        <x:v>H5</x:v>
      </x:c>
      <x:c r="C151" s="86" t="str">
        <x:v>A-to-B</x:v>
      </x:c>
      <x:c r="D151" s="86" t="str">
        <x:v>clean</x:v>
      </x:c>
      <x:c r="E151" s="86" t="str">
        <x:v>geometric edge</x:v>
      </x:c>
      <x:c r="F151" s="91" t="str"/>
      <x:c r="G151" s="91" t="str"/>
      <x:c r="H151" s="91" t="str"/>
      <x:c r="I151" s="91" t="str"/>
      <x:c r="J151" s="91" t="str"/>
      <x:c r="K151" s="91" t="str">
        <x:v>OPEN</x:v>
      </x:c>
    </x:row>
    <x:row r="152">
      <x:c r="A152" s="86" t="str">
        <x:v>EX-147</x:v>
      </x:c>
      <x:c r="B152" s="86" t="str">
        <x:v>H5</x:v>
      </x:c>
      <x:c r="C152" s="86" t="str">
        <x:v>A-to-B</x:v>
      </x:c>
      <x:c r="D152" s="86" t="str">
        <x:v>clean</x:v>
      </x:c>
      <x:c r="E152" s="86" t="str">
        <x:v>thermal distortion</x:v>
      </x:c>
      <x:c r="F152" s="91" t="str"/>
      <x:c r="G152" s="91" t="str"/>
      <x:c r="H152" s="91" t="str"/>
      <x:c r="I152" s="91" t="str"/>
      <x:c r="J152" s="91" t="str"/>
      <x:c r="K152" s="91" t="str">
        <x:v>OPEN</x:v>
      </x:c>
    </x:row>
    <x:row r="153">
      <x:c r="A153" s="86" t="str">
        <x:v>EX-148</x:v>
      </x:c>
      <x:c r="B153" s="86" t="str">
        <x:v>H5</x:v>
      </x:c>
      <x:c r="C153" s="86" t="str">
        <x:v>A-to-B</x:v>
      </x:c>
      <x:c r="D153" s="86" t="str">
        <x:v>clean</x:v>
      </x:c>
      <x:c r="E153" s="86" t="str">
        <x:v>calibration loss</x:v>
      </x:c>
      <x:c r="F153" s="91" t="str"/>
      <x:c r="G153" s="91" t="str"/>
      <x:c r="H153" s="91" t="str"/>
      <x:c r="I153" s="91" t="str"/>
      <x:c r="J153" s="91" t="str"/>
      <x:c r="K153" s="91" t="str">
        <x:v>OPEN</x:v>
      </x:c>
    </x:row>
    <x:row r="154">
      <x:c r="A154" s="86" t="str">
        <x:v>EX-149</x:v>
      </x:c>
      <x:c r="B154" s="86" t="str">
        <x:v>H5</x:v>
      </x:c>
      <x:c r="C154" s="86" t="str">
        <x:v>A-to-B</x:v>
      </x:c>
      <x:c r="D154" s="86" t="str">
        <x:v>clean</x:v>
      </x:c>
      <x:c r="E154" s="86" t="str">
        <x:v>service denial</x:v>
      </x:c>
      <x:c r="F154" s="91" t="str"/>
      <x:c r="G154" s="91" t="str"/>
      <x:c r="H154" s="91" t="str"/>
      <x:c r="I154" s="91" t="str"/>
      <x:c r="J154" s="91" t="str"/>
      <x:c r="K154" s="91" t="str">
        <x:v>OPEN</x:v>
      </x:c>
    </x:row>
    <x:row r="155">
      <x:c r="A155" s="86" t="str">
        <x:v>EX-150</x:v>
      </x:c>
      <x:c r="B155" s="86" t="str">
        <x:v>H5</x:v>
      </x:c>
      <x:c r="C155" s="86" t="str">
        <x:v>A-to-B</x:v>
      </x:c>
      <x:c r="D155" s="86" t="str">
        <x:v>clean</x:v>
      </x:c>
      <x:c r="E155" s="86" t="str">
        <x:v>interrupted rollback</x:v>
      </x:c>
      <x:c r="F155" s="91" t="str"/>
      <x:c r="G155" s="91" t="str"/>
      <x:c r="H155" s="91" t="str"/>
      <x:c r="I155" s="91" t="str"/>
      <x:c r="J155" s="91" t="str"/>
      <x:c r="K155" s="91" t="str">
        <x:v>OPEN</x:v>
      </x:c>
    </x:row>
    <x:row r="156">
      <x:c r="A156" s="86" t="str">
        <x:v>EX-151</x:v>
      </x:c>
      <x:c r="B156" s="86" t="str">
        <x:v>H5</x:v>
      </x:c>
      <x:c r="C156" s="86" t="str">
        <x:v>A-to-B</x:v>
      </x:c>
      <x:c r="D156" s="86" t="str">
        <x:v>thermally soaked</x:v>
      </x:c>
      <x:c r="E156" s="86" t="str">
        <x:v>nominal datum</x:v>
      </x:c>
      <x:c r="F156" s="91" t="str"/>
      <x:c r="G156" s="91" t="str"/>
      <x:c r="H156" s="91" t="str"/>
      <x:c r="I156" s="91" t="str"/>
      <x:c r="J156" s="91" t="str"/>
      <x:c r="K156" s="91" t="str">
        <x:v>OPEN</x:v>
      </x:c>
    </x:row>
    <x:row r="157">
      <x:c r="A157" s="86" t="str">
        <x:v>EX-152</x:v>
      </x:c>
      <x:c r="B157" s="86" t="str">
        <x:v>H5</x:v>
      </x:c>
      <x:c r="C157" s="86" t="str">
        <x:v>A-to-B</x:v>
      </x:c>
      <x:c r="D157" s="86" t="str">
        <x:v>thermally soaked</x:v>
      </x:c>
      <x:c r="E157" s="86" t="str">
        <x:v>geometric edge</x:v>
      </x:c>
      <x:c r="F157" s="91" t="str"/>
      <x:c r="G157" s="91" t="str"/>
      <x:c r="H157" s="91" t="str"/>
      <x:c r="I157" s="91" t="str"/>
      <x:c r="J157" s="91" t="str"/>
      <x:c r="K157" s="91" t="str">
        <x:v>OPEN</x:v>
      </x:c>
    </x:row>
    <x:row r="158">
      <x:c r="A158" s="86" t="str">
        <x:v>EX-153</x:v>
      </x:c>
      <x:c r="B158" s="86" t="str">
        <x:v>H5</x:v>
      </x:c>
      <x:c r="C158" s="86" t="str">
        <x:v>A-to-B</x:v>
      </x:c>
      <x:c r="D158" s="86" t="str">
        <x:v>thermally soaked</x:v>
      </x:c>
      <x:c r="E158" s="86" t="str">
        <x:v>thermal distortion</x:v>
      </x:c>
      <x:c r="F158" s="91" t="str"/>
      <x:c r="G158" s="91" t="str"/>
      <x:c r="H158" s="91" t="str"/>
      <x:c r="I158" s="91" t="str"/>
      <x:c r="J158" s="91" t="str"/>
      <x:c r="K158" s="91" t="str">
        <x:v>OPEN</x:v>
      </x:c>
    </x:row>
    <x:row r="159">
      <x:c r="A159" s="86" t="str">
        <x:v>EX-154</x:v>
      </x:c>
      <x:c r="B159" s="86" t="str">
        <x:v>H5</x:v>
      </x:c>
      <x:c r="C159" s="86" t="str">
        <x:v>A-to-B</x:v>
      </x:c>
      <x:c r="D159" s="86" t="str">
        <x:v>thermally soaked</x:v>
      </x:c>
      <x:c r="E159" s="86" t="str">
        <x:v>calibration loss</x:v>
      </x:c>
      <x:c r="F159" s="91" t="str"/>
      <x:c r="G159" s="91" t="str"/>
      <x:c r="H159" s="91" t="str"/>
      <x:c r="I159" s="91" t="str"/>
      <x:c r="J159" s="91" t="str"/>
      <x:c r="K159" s="91" t="str">
        <x:v>OPEN</x:v>
      </x:c>
    </x:row>
    <x:row r="160">
      <x:c r="A160" s="86" t="str">
        <x:v>EX-155</x:v>
      </x:c>
      <x:c r="B160" s="86" t="str">
        <x:v>H5</x:v>
      </x:c>
      <x:c r="C160" s="86" t="str">
        <x:v>A-to-B</x:v>
      </x:c>
      <x:c r="D160" s="86" t="str">
        <x:v>thermally soaked</x:v>
      </x:c>
      <x:c r="E160" s="86" t="str">
        <x:v>service denial</x:v>
      </x:c>
      <x:c r="F160" s="91" t="str"/>
      <x:c r="G160" s="91" t="str"/>
      <x:c r="H160" s="91" t="str"/>
      <x:c r="I160" s="91" t="str"/>
      <x:c r="J160" s="91" t="str"/>
      <x:c r="K160" s="91" t="str">
        <x:v>OPEN</x:v>
      </x:c>
    </x:row>
    <x:row r="161">
      <x:c r="A161" s="86" t="str">
        <x:v>EX-156</x:v>
      </x:c>
      <x:c r="B161" s="86" t="str">
        <x:v>H5</x:v>
      </x:c>
      <x:c r="C161" s="86" t="str">
        <x:v>A-to-B</x:v>
      </x:c>
      <x:c r="D161" s="86" t="str">
        <x:v>thermally soaked</x:v>
      </x:c>
      <x:c r="E161" s="86" t="str">
        <x:v>interrupted rollback</x:v>
      </x:c>
      <x:c r="F161" s="91" t="str"/>
      <x:c r="G161" s="91" t="str"/>
      <x:c r="H161" s="91" t="str"/>
      <x:c r="I161" s="91" t="str"/>
      <x:c r="J161" s="91" t="str"/>
      <x:c r="K161" s="91" t="str">
        <x:v>OPEN</x:v>
      </x:c>
    </x:row>
    <x:row r="162">
      <x:c r="A162" s="86" t="str">
        <x:v>EX-157</x:v>
      </x:c>
      <x:c r="B162" s="86" t="str">
        <x:v>H5</x:v>
      </x:c>
      <x:c r="C162" s="86" t="str">
        <x:v>A-to-B</x:v>
      </x:c>
      <x:c r="D162" s="86" t="str">
        <x:v>residue-bearing</x:v>
      </x:c>
      <x:c r="E162" s="86" t="str">
        <x:v>nominal datum</x:v>
      </x:c>
      <x:c r="F162" s="91" t="str"/>
      <x:c r="G162" s="91" t="str"/>
      <x:c r="H162" s="91" t="str"/>
      <x:c r="I162" s="91" t="str"/>
      <x:c r="J162" s="91" t="str"/>
      <x:c r="K162" s="91" t="str">
        <x:v>OPEN</x:v>
      </x:c>
    </x:row>
    <x:row r="163">
      <x:c r="A163" s="86" t="str">
        <x:v>EX-158</x:v>
      </x:c>
      <x:c r="B163" s="86" t="str">
        <x:v>H5</x:v>
      </x:c>
      <x:c r="C163" s="86" t="str">
        <x:v>A-to-B</x:v>
      </x:c>
      <x:c r="D163" s="86" t="str">
        <x:v>residue-bearing</x:v>
      </x:c>
      <x:c r="E163" s="86" t="str">
        <x:v>geometric edge</x:v>
      </x:c>
      <x:c r="F163" s="91" t="str"/>
      <x:c r="G163" s="91" t="str"/>
      <x:c r="H163" s="91" t="str"/>
      <x:c r="I163" s="91" t="str"/>
      <x:c r="J163" s="91" t="str"/>
      <x:c r="K163" s="91" t="str">
        <x:v>OPEN</x:v>
      </x:c>
    </x:row>
    <x:row r="164">
      <x:c r="A164" s="86" t="str">
        <x:v>EX-159</x:v>
      </x:c>
      <x:c r="B164" s="86" t="str">
        <x:v>H5</x:v>
      </x:c>
      <x:c r="C164" s="86" t="str">
        <x:v>A-to-B</x:v>
      </x:c>
      <x:c r="D164" s="86" t="str">
        <x:v>residue-bearing</x:v>
      </x:c>
      <x:c r="E164" s="86" t="str">
        <x:v>thermal distortion</x:v>
      </x:c>
      <x:c r="F164" s="91" t="str"/>
      <x:c r="G164" s="91" t="str"/>
      <x:c r="H164" s="91" t="str"/>
      <x:c r="I164" s="91" t="str"/>
      <x:c r="J164" s="91" t="str"/>
      <x:c r="K164" s="91" t="str">
        <x:v>OPEN</x:v>
      </x:c>
    </x:row>
    <x:row r="165">
      <x:c r="A165" s="86" t="str">
        <x:v>EX-160</x:v>
      </x:c>
      <x:c r="B165" s="86" t="str">
        <x:v>H5</x:v>
      </x:c>
      <x:c r="C165" s="86" t="str">
        <x:v>A-to-B</x:v>
      </x:c>
      <x:c r="D165" s="86" t="str">
        <x:v>residue-bearing</x:v>
      </x:c>
      <x:c r="E165" s="86" t="str">
        <x:v>calibration loss</x:v>
      </x:c>
      <x:c r="F165" s="91" t="str"/>
      <x:c r="G165" s="91" t="str"/>
      <x:c r="H165" s="91" t="str"/>
      <x:c r="I165" s="91" t="str"/>
      <x:c r="J165" s="91" t="str"/>
      <x:c r="K165" s="91" t="str">
        <x:v>OPEN</x:v>
      </x:c>
    </x:row>
    <x:row r="166">
      <x:c r="A166" s="86" t="str">
        <x:v>EX-161</x:v>
      </x:c>
      <x:c r="B166" s="86" t="str">
        <x:v>H5</x:v>
      </x:c>
      <x:c r="C166" s="86" t="str">
        <x:v>A-to-B</x:v>
      </x:c>
      <x:c r="D166" s="86" t="str">
        <x:v>residue-bearing</x:v>
      </x:c>
      <x:c r="E166" s="86" t="str">
        <x:v>service denial</x:v>
      </x:c>
      <x:c r="F166" s="91" t="str"/>
      <x:c r="G166" s="91" t="str"/>
      <x:c r="H166" s="91" t="str"/>
      <x:c r="I166" s="91" t="str"/>
      <x:c r="J166" s="91" t="str"/>
      <x:c r="K166" s="91" t="str">
        <x:v>OPEN</x:v>
      </x:c>
    </x:row>
    <x:row r="167">
      <x:c r="A167" s="86" t="str">
        <x:v>EX-162</x:v>
      </x:c>
      <x:c r="B167" s="86" t="str">
        <x:v>H5</x:v>
      </x:c>
      <x:c r="C167" s="86" t="str">
        <x:v>A-to-B</x:v>
      </x:c>
      <x:c r="D167" s="86" t="str">
        <x:v>residue-bearing</x:v>
      </x:c>
      <x:c r="E167" s="86" t="str">
        <x:v>interrupted rollback</x:v>
      </x:c>
      <x:c r="F167" s="91" t="str"/>
      <x:c r="G167" s="91" t="str"/>
      <x:c r="H167" s="91" t="str"/>
      <x:c r="I167" s="91" t="str"/>
      <x:c r="J167" s="91" t="str"/>
      <x:c r="K167" s="91" t="str">
        <x:v>OPEN</x:v>
      </x:c>
    </x:row>
    <x:row r="168">
      <x:c r="A168" s="86" t="str">
        <x:v>EX-163</x:v>
      </x:c>
      <x:c r="B168" s="86" t="str">
        <x:v>H5</x:v>
      </x:c>
      <x:c r="C168" s="86" t="str">
        <x:v>B-to-A</x:v>
      </x:c>
      <x:c r="D168" s="86" t="str">
        <x:v>clean</x:v>
      </x:c>
      <x:c r="E168" s="86" t="str">
        <x:v>nominal datum</x:v>
      </x:c>
      <x:c r="F168" s="91" t="str"/>
      <x:c r="G168" s="91" t="str"/>
      <x:c r="H168" s="91" t="str"/>
      <x:c r="I168" s="91" t="str"/>
      <x:c r="J168" s="91" t="str"/>
      <x:c r="K168" s="91" t="str">
        <x:v>OPEN</x:v>
      </x:c>
    </x:row>
    <x:row r="169">
      <x:c r="A169" s="86" t="str">
        <x:v>EX-164</x:v>
      </x:c>
      <x:c r="B169" s="86" t="str">
        <x:v>H5</x:v>
      </x:c>
      <x:c r="C169" s="86" t="str">
        <x:v>B-to-A</x:v>
      </x:c>
      <x:c r="D169" s="86" t="str">
        <x:v>clean</x:v>
      </x:c>
      <x:c r="E169" s="86" t="str">
        <x:v>geometric edge</x:v>
      </x:c>
      <x:c r="F169" s="91" t="str"/>
      <x:c r="G169" s="91" t="str"/>
      <x:c r="H169" s="91" t="str"/>
      <x:c r="I169" s="91" t="str"/>
      <x:c r="J169" s="91" t="str"/>
      <x:c r="K169" s="91" t="str">
        <x:v>OPEN</x:v>
      </x:c>
    </x:row>
    <x:row r="170">
      <x:c r="A170" s="86" t="str">
        <x:v>EX-165</x:v>
      </x:c>
      <x:c r="B170" s="86" t="str">
        <x:v>H5</x:v>
      </x:c>
      <x:c r="C170" s="86" t="str">
        <x:v>B-to-A</x:v>
      </x:c>
      <x:c r="D170" s="86" t="str">
        <x:v>clean</x:v>
      </x:c>
      <x:c r="E170" s="86" t="str">
        <x:v>thermal distortion</x:v>
      </x:c>
      <x:c r="F170" s="91" t="str"/>
      <x:c r="G170" s="91" t="str"/>
      <x:c r="H170" s="91" t="str"/>
      <x:c r="I170" s="91" t="str"/>
      <x:c r="J170" s="91" t="str"/>
      <x:c r="K170" s="91" t="str">
        <x:v>OPEN</x:v>
      </x:c>
    </x:row>
    <x:row r="171">
      <x:c r="A171" s="86" t="str">
        <x:v>EX-166</x:v>
      </x:c>
      <x:c r="B171" s="86" t="str">
        <x:v>H5</x:v>
      </x:c>
      <x:c r="C171" s="86" t="str">
        <x:v>B-to-A</x:v>
      </x:c>
      <x:c r="D171" s="86" t="str">
        <x:v>clean</x:v>
      </x:c>
      <x:c r="E171" s="86" t="str">
        <x:v>calibration loss</x:v>
      </x:c>
      <x:c r="F171" s="91" t="str"/>
      <x:c r="G171" s="91" t="str"/>
      <x:c r="H171" s="91" t="str"/>
      <x:c r="I171" s="91" t="str"/>
      <x:c r="J171" s="91" t="str"/>
      <x:c r="K171" s="91" t="str">
        <x:v>OPEN</x:v>
      </x:c>
    </x:row>
    <x:row r="172">
      <x:c r="A172" s="86" t="str">
        <x:v>EX-167</x:v>
      </x:c>
      <x:c r="B172" s="86" t="str">
        <x:v>H5</x:v>
      </x:c>
      <x:c r="C172" s="86" t="str">
        <x:v>B-to-A</x:v>
      </x:c>
      <x:c r="D172" s="86" t="str">
        <x:v>clean</x:v>
      </x:c>
      <x:c r="E172" s="86" t="str">
        <x:v>service denial</x:v>
      </x:c>
      <x:c r="F172" s="91" t="str"/>
      <x:c r="G172" s="91" t="str"/>
      <x:c r="H172" s="91" t="str"/>
      <x:c r="I172" s="91" t="str"/>
      <x:c r="J172" s="91" t="str"/>
      <x:c r="K172" s="91" t="str">
        <x:v>OPEN</x:v>
      </x:c>
    </x:row>
    <x:row r="173">
      <x:c r="A173" s="86" t="str">
        <x:v>EX-168</x:v>
      </x:c>
      <x:c r="B173" s="86" t="str">
        <x:v>H5</x:v>
      </x:c>
      <x:c r="C173" s="86" t="str">
        <x:v>B-to-A</x:v>
      </x:c>
      <x:c r="D173" s="86" t="str">
        <x:v>clean</x:v>
      </x:c>
      <x:c r="E173" s="86" t="str">
        <x:v>interrupted rollback</x:v>
      </x:c>
      <x:c r="F173" s="91" t="str"/>
      <x:c r="G173" s="91" t="str"/>
      <x:c r="H173" s="91" t="str"/>
      <x:c r="I173" s="91" t="str"/>
      <x:c r="J173" s="91" t="str"/>
      <x:c r="K173" s="91" t="str">
        <x:v>OPEN</x:v>
      </x:c>
    </x:row>
    <x:row r="174">
      <x:c r="A174" s="86" t="str">
        <x:v>EX-169</x:v>
      </x:c>
      <x:c r="B174" s="86" t="str">
        <x:v>H5</x:v>
      </x:c>
      <x:c r="C174" s="86" t="str">
        <x:v>B-to-A</x:v>
      </x:c>
      <x:c r="D174" s="86" t="str">
        <x:v>thermally soaked</x:v>
      </x:c>
      <x:c r="E174" s="86" t="str">
        <x:v>nominal datum</x:v>
      </x:c>
      <x:c r="F174" s="91" t="str"/>
      <x:c r="G174" s="91" t="str"/>
      <x:c r="H174" s="91" t="str"/>
      <x:c r="I174" s="91" t="str"/>
      <x:c r="J174" s="91" t="str"/>
      <x:c r="K174" s="91" t="str">
        <x:v>OPEN</x:v>
      </x:c>
    </x:row>
    <x:row r="175">
      <x:c r="A175" s="86" t="str">
        <x:v>EX-170</x:v>
      </x:c>
      <x:c r="B175" s="86" t="str">
        <x:v>H5</x:v>
      </x:c>
      <x:c r="C175" s="86" t="str">
        <x:v>B-to-A</x:v>
      </x:c>
      <x:c r="D175" s="86" t="str">
        <x:v>thermally soaked</x:v>
      </x:c>
      <x:c r="E175" s="86" t="str">
        <x:v>geometric edge</x:v>
      </x:c>
      <x:c r="F175" s="91" t="str"/>
      <x:c r="G175" s="91" t="str"/>
      <x:c r="H175" s="91" t="str"/>
      <x:c r="I175" s="91" t="str"/>
      <x:c r="J175" s="91" t="str"/>
      <x:c r="K175" s="91" t="str">
        <x:v>OPEN</x:v>
      </x:c>
    </x:row>
    <x:row r="176">
      <x:c r="A176" s="86" t="str">
        <x:v>EX-171</x:v>
      </x:c>
      <x:c r="B176" s="86" t="str">
        <x:v>H5</x:v>
      </x:c>
      <x:c r="C176" s="86" t="str">
        <x:v>B-to-A</x:v>
      </x:c>
      <x:c r="D176" s="86" t="str">
        <x:v>thermally soaked</x:v>
      </x:c>
      <x:c r="E176" s="86" t="str">
        <x:v>thermal distortion</x:v>
      </x:c>
      <x:c r="F176" s="91" t="str"/>
      <x:c r="G176" s="91" t="str"/>
      <x:c r="H176" s="91" t="str"/>
      <x:c r="I176" s="91" t="str"/>
      <x:c r="J176" s="91" t="str"/>
      <x:c r="K176" s="91" t="str">
        <x:v>OPEN</x:v>
      </x:c>
    </x:row>
    <x:row r="177">
      <x:c r="A177" s="86" t="str">
        <x:v>EX-172</x:v>
      </x:c>
      <x:c r="B177" s="86" t="str">
        <x:v>H5</x:v>
      </x:c>
      <x:c r="C177" s="86" t="str">
        <x:v>B-to-A</x:v>
      </x:c>
      <x:c r="D177" s="86" t="str">
        <x:v>thermally soaked</x:v>
      </x:c>
      <x:c r="E177" s="86" t="str">
        <x:v>calibration loss</x:v>
      </x:c>
      <x:c r="F177" s="91" t="str"/>
      <x:c r="G177" s="91" t="str"/>
      <x:c r="H177" s="91" t="str"/>
      <x:c r="I177" s="91" t="str"/>
      <x:c r="J177" s="91" t="str"/>
      <x:c r="K177" s="91" t="str">
        <x:v>OPEN</x:v>
      </x:c>
    </x:row>
    <x:row r="178">
      <x:c r="A178" s="86" t="str">
        <x:v>EX-173</x:v>
      </x:c>
      <x:c r="B178" s="86" t="str">
        <x:v>H5</x:v>
      </x:c>
      <x:c r="C178" s="86" t="str">
        <x:v>B-to-A</x:v>
      </x:c>
      <x:c r="D178" s="86" t="str">
        <x:v>thermally soaked</x:v>
      </x:c>
      <x:c r="E178" s="86" t="str">
        <x:v>service denial</x:v>
      </x:c>
      <x:c r="F178" s="91" t="str"/>
      <x:c r="G178" s="91" t="str"/>
      <x:c r="H178" s="91" t="str"/>
      <x:c r="I178" s="91" t="str"/>
      <x:c r="J178" s="91" t="str"/>
      <x:c r="K178" s="91" t="str">
        <x:v>OPEN</x:v>
      </x:c>
    </x:row>
    <x:row r="179">
      <x:c r="A179" s="86" t="str">
        <x:v>EX-174</x:v>
      </x:c>
      <x:c r="B179" s="86" t="str">
        <x:v>H5</x:v>
      </x:c>
      <x:c r="C179" s="86" t="str">
        <x:v>B-to-A</x:v>
      </x:c>
      <x:c r="D179" s="86" t="str">
        <x:v>thermally soaked</x:v>
      </x:c>
      <x:c r="E179" s="86" t="str">
        <x:v>interrupted rollback</x:v>
      </x:c>
      <x:c r="F179" s="91" t="str"/>
      <x:c r="G179" s="91" t="str"/>
      <x:c r="H179" s="91" t="str"/>
      <x:c r="I179" s="91" t="str"/>
      <x:c r="J179" s="91" t="str"/>
      <x:c r="K179" s="91" t="str">
        <x:v>OPEN</x:v>
      </x:c>
    </x:row>
    <x:row r="180">
      <x:c r="A180" s="86" t="str">
        <x:v>EX-175</x:v>
      </x:c>
      <x:c r="B180" s="86" t="str">
        <x:v>H5</x:v>
      </x:c>
      <x:c r="C180" s="86" t="str">
        <x:v>B-to-A</x:v>
      </x:c>
      <x:c r="D180" s="86" t="str">
        <x:v>residue-bearing</x:v>
      </x:c>
      <x:c r="E180" s="86" t="str">
        <x:v>nominal datum</x:v>
      </x:c>
      <x:c r="F180" s="91" t="str"/>
      <x:c r="G180" s="91" t="str"/>
      <x:c r="H180" s="91" t="str"/>
      <x:c r="I180" s="91" t="str"/>
      <x:c r="J180" s="91" t="str"/>
      <x:c r="K180" s="91" t="str">
        <x:v>OPEN</x:v>
      </x:c>
    </x:row>
    <x:row r="181">
      <x:c r="A181" s="86" t="str">
        <x:v>EX-176</x:v>
      </x:c>
      <x:c r="B181" s="86" t="str">
        <x:v>H5</x:v>
      </x:c>
      <x:c r="C181" s="86" t="str">
        <x:v>B-to-A</x:v>
      </x:c>
      <x:c r="D181" s="86" t="str">
        <x:v>residue-bearing</x:v>
      </x:c>
      <x:c r="E181" s="86" t="str">
        <x:v>geometric edge</x:v>
      </x:c>
      <x:c r="F181" s="91" t="str"/>
      <x:c r="G181" s="91" t="str"/>
      <x:c r="H181" s="91" t="str"/>
      <x:c r="I181" s="91" t="str"/>
      <x:c r="J181" s="91" t="str"/>
      <x:c r="K181" s="91" t="str">
        <x:v>OPEN</x:v>
      </x:c>
    </x:row>
    <x:row r="182">
      <x:c r="A182" s="86" t="str">
        <x:v>EX-177</x:v>
      </x:c>
      <x:c r="B182" s="86" t="str">
        <x:v>H5</x:v>
      </x:c>
      <x:c r="C182" s="86" t="str">
        <x:v>B-to-A</x:v>
      </x:c>
      <x:c r="D182" s="86" t="str">
        <x:v>residue-bearing</x:v>
      </x:c>
      <x:c r="E182" s="86" t="str">
        <x:v>thermal distortion</x:v>
      </x:c>
      <x:c r="F182" s="91" t="str"/>
      <x:c r="G182" s="91" t="str"/>
      <x:c r="H182" s="91" t="str"/>
      <x:c r="I182" s="91" t="str"/>
      <x:c r="J182" s="91" t="str"/>
      <x:c r="K182" s="91" t="str">
        <x:v>OPEN</x:v>
      </x:c>
    </x:row>
    <x:row r="183">
      <x:c r="A183" s="86" t="str">
        <x:v>EX-178</x:v>
      </x:c>
      <x:c r="B183" s="86" t="str">
        <x:v>H5</x:v>
      </x:c>
      <x:c r="C183" s="86" t="str">
        <x:v>B-to-A</x:v>
      </x:c>
      <x:c r="D183" s="86" t="str">
        <x:v>residue-bearing</x:v>
      </x:c>
      <x:c r="E183" s="86" t="str">
        <x:v>calibration loss</x:v>
      </x:c>
      <x:c r="F183" s="91" t="str"/>
      <x:c r="G183" s="91" t="str"/>
      <x:c r="H183" s="91" t="str"/>
      <x:c r="I183" s="91" t="str"/>
      <x:c r="J183" s="91" t="str"/>
      <x:c r="K183" s="91" t="str">
        <x:v>OPEN</x:v>
      </x:c>
    </x:row>
    <x:row r="184">
      <x:c r="A184" s="86" t="str">
        <x:v>EX-179</x:v>
      </x:c>
      <x:c r="B184" s="86" t="str">
        <x:v>H5</x:v>
      </x:c>
      <x:c r="C184" s="86" t="str">
        <x:v>B-to-A</x:v>
      </x:c>
      <x:c r="D184" s="86" t="str">
        <x:v>residue-bearing</x:v>
      </x:c>
      <x:c r="E184" s="86" t="str">
        <x:v>service denial</x:v>
      </x:c>
      <x:c r="F184" s="91" t="str"/>
      <x:c r="G184" s="91" t="str"/>
      <x:c r="H184" s="91" t="str"/>
      <x:c r="I184" s="91" t="str"/>
      <x:c r="J184" s="91" t="str"/>
      <x:c r="K184" s="91" t="str">
        <x:v>OPEN</x:v>
      </x:c>
    </x:row>
    <x:row r="185">
      <x:c r="A185" s="86" t="str">
        <x:v>EX-180</x:v>
      </x:c>
      <x:c r="B185" s="86" t="str">
        <x:v>H5</x:v>
      </x:c>
      <x:c r="C185" s="86" t="str">
        <x:v>B-to-A</x:v>
      </x:c>
      <x:c r="D185" s="86" t="str">
        <x:v>residue-bearing</x:v>
      </x:c>
      <x:c r="E185" s="86" t="str">
        <x:v>interrupted rollback</x:v>
      </x:c>
      <x:c r="F185" s="91" t="str"/>
      <x:c r="G185" s="91" t="str"/>
      <x:c r="H185" s="91" t="str"/>
      <x:c r="I185" s="91" t="str"/>
      <x:c r="J185" s="91" t="str"/>
      <x:c r="K185" s="91" t="str">
        <x:v>OPEN</x:v>
      </x:c>
    </x:row>
    <x:row r="186">
      <x:c r="A186" s="86" t="str">
        <x:v>EX-181</x:v>
      </x:c>
      <x:c r="B186" s="86" t="str">
        <x:v>H6</x:v>
      </x:c>
      <x:c r="C186" s="86" t="str">
        <x:v>A-to-B</x:v>
      </x:c>
      <x:c r="D186" s="86" t="str">
        <x:v>clean</x:v>
      </x:c>
      <x:c r="E186" s="86" t="str">
        <x:v>nominal datum</x:v>
      </x:c>
      <x:c r="F186" s="91" t="str"/>
      <x:c r="G186" s="91" t="str"/>
      <x:c r="H186" s="91" t="str"/>
      <x:c r="I186" s="91" t="str"/>
      <x:c r="J186" s="91" t="str"/>
      <x:c r="K186" s="91" t="str">
        <x:v>OPEN</x:v>
      </x:c>
    </x:row>
    <x:row r="187">
      <x:c r="A187" s="86" t="str">
        <x:v>EX-182</x:v>
      </x:c>
      <x:c r="B187" s="86" t="str">
        <x:v>H6</x:v>
      </x:c>
      <x:c r="C187" s="86" t="str">
        <x:v>A-to-B</x:v>
      </x:c>
      <x:c r="D187" s="86" t="str">
        <x:v>clean</x:v>
      </x:c>
      <x:c r="E187" s="86" t="str">
        <x:v>geometric edge</x:v>
      </x:c>
      <x:c r="F187" s="91" t="str"/>
      <x:c r="G187" s="91" t="str"/>
      <x:c r="H187" s="91" t="str"/>
      <x:c r="I187" s="91" t="str"/>
      <x:c r="J187" s="91" t="str"/>
      <x:c r="K187" s="91" t="str">
        <x:v>OPEN</x:v>
      </x:c>
    </x:row>
    <x:row r="188">
      <x:c r="A188" s="86" t="str">
        <x:v>EX-183</x:v>
      </x:c>
      <x:c r="B188" s="86" t="str">
        <x:v>H6</x:v>
      </x:c>
      <x:c r="C188" s="86" t="str">
        <x:v>A-to-B</x:v>
      </x:c>
      <x:c r="D188" s="86" t="str">
        <x:v>clean</x:v>
      </x:c>
      <x:c r="E188" s="86" t="str">
        <x:v>thermal distortion</x:v>
      </x:c>
      <x:c r="F188" s="91" t="str"/>
      <x:c r="G188" s="91" t="str"/>
      <x:c r="H188" s="91" t="str"/>
      <x:c r="I188" s="91" t="str"/>
      <x:c r="J188" s="91" t="str"/>
      <x:c r="K188" s="91" t="str">
        <x:v>OPEN</x:v>
      </x:c>
    </x:row>
    <x:row r="189">
      <x:c r="A189" s="86" t="str">
        <x:v>EX-184</x:v>
      </x:c>
      <x:c r="B189" s="86" t="str">
        <x:v>H6</x:v>
      </x:c>
      <x:c r="C189" s="86" t="str">
        <x:v>A-to-B</x:v>
      </x:c>
      <x:c r="D189" s="86" t="str">
        <x:v>clean</x:v>
      </x:c>
      <x:c r="E189" s="86" t="str">
        <x:v>calibration loss</x:v>
      </x:c>
      <x:c r="F189" s="91" t="str"/>
      <x:c r="G189" s="91" t="str"/>
      <x:c r="H189" s="91" t="str"/>
      <x:c r="I189" s="91" t="str"/>
      <x:c r="J189" s="91" t="str"/>
      <x:c r="K189" s="91" t="str">
        <x:v>OPEN</x:v>
      </x:c>
    </x:row>
    <x:row r="190">
      <x:c r="A190" s="86" t="str">
        <x:v>EX-185</x:v>
      </x:c>
      <x:c r="B190" s="86" t="str">
        <x:v>H6</x:v>
      </x:c>
      <x:c r="C190" s="86" t="str">
        <x:v>A-to-B</x:v>
      </x:c>
      <x:c r="D190" s="86" t="str">
        <x:v>clean</x:v>
      </x:c>
      <x:c r="E190" s="86" t="str">
        <x:v>service denial</x:v>
      </x:c>
      <x:c r="F190" s="91" t="str"/>
      <x:c r="G190" s="91" t="str"/>
      <x:c r="H190" s="91" t="str"/>
      <x:c r="I190" s="91" t="str"/>
      <x:c r="J190" s="91" t="str"/>
      <x:c r="K190" s="91" t="str">
        <x:v>OPEN</x:v>
      </x:c>
    </x:row>
    <x:row r="191">
      <x:c r="A191" s="86" t="str">
        <x:v>EX-186</x:v>
      </x:c>
      <x:c r="B191" s="86" t="str">
        <x:v>H6</x:v>
      </x:c>
      <x:c r="C191" s="86" t="str">
        <x:v>A-to-B</x:v>
      </x:c>
      <x:c r="D191" s="86" t="str">
        <x:v>clean</x:v>
      </x:c>
      <x:c r="E191" s="86" t="str">
        <x:v>interrupted rollback</x:v>
      </x:c>
      <x:c r="F191" s="91" t="str"/>
      <x:c r="G191" s="91" t="str"/>
      <x:c r="H191" s="91" t="str"/>
      <x:c r="I191" s="91" t="str"/>
      <x:c r="J191" s="91" t="str"/>
      <x:c r="K191" s="91" t="str">
        <x:v>OPEN</x:v>
      </x:c>
    </x:row>
    <x:row r="192">
      <x:c r="A192" s="86" t="str">
        <x:v>EX-187</x:v>
      </x:c>
      <x:c r="B192" s="86" t="str">
        <x:v>H6</x:v>
      </x:c>
      <x:c r="C192" s="86" t="str">
        <x:v>A-to-B</x:v>
      </x:c>
      <x:c r="D192" s="86" t="str">
        <x:v>thermally soaked</x:v>
      </x:c>
      <x:c r="E192" s="86" t="str">
        <x:v>nominal datum</x:v>
      </x:c>
      <x:c r="F192" s="91" t="str"/>
      <x:c r="G192" s="91" t="str"/>
      <x:c r="H192" s="91" t="str"/>
      <x:c r="I192" s="91" t="str"/>
      <x:c r="J192" s="91" t="str"/>
      <x:c r="K192" s="91" t="str">
        <x:v>OPEN</x:v>
      </x:c>
    </x:row>
    <x:row r="193">
      <x:c r="A193" s="86" t="str">
        <x:v>EX-188</x:v>
      </x:c>
      <x:c r="B193" s="86" t="str">
        <x:v>H6</x:v>
      </x:c>
      <x:c r="C193" s="86" t="str">
        <x:v>A-to-B</x:v>
      </x:c>
      <x:c r="D193" s="86" t="str">
        <x:v>thermally soaked</x:v>
      </x:c>
      <x:c r="E193" s="86" t="str">
        <x:v>geometric edge</x:v>
      </x:c>
      <x:c r="F193" s="91" t="str"/>
      <x:c r="G193" s="91" t="str"/>
      <x:c r="H193" s="91" t="str"/>
      <x:c r="I193" s="91" t="str"/>
      <x:c r="J193" s="91" t="str"/>
      <x:c r="K193" s="91" t="str">
        <x:v>OPEN</x:v>
      </x:c>
    </x:row>
    <x:row r="194">
      <x:c r="A194" s="86" t="str">
        <x:v>EX-189</x:v>
      </x:c>
      <x:c r="B194" s="86" t="str">
        <x:v>H6</x:v>
      </x:c>
      <x:c r="C194" s="86" t="str">
        <x:v>A-to-B</x:v>
      </x:c>
      <x:c r="D194" s="86" t="str">
        <x:v>thermally soaked</x:v>
      </x:c>
      <x:c r="E194" s="86" t="str">
        <x:v>thermal distortion</x:v>
      </x:c>
      <x:c r="F194" s="91" t="str"/>
      <x:c r="G194" s="91" t="str"/>
      <x:c r="H194" s="91" t="str"/>
      <x:c r="I194" s="91" t="str"/>
      <x:c r="J194" s="91" t="str"/>
      <x:c r="K194" s="91" t="str">
        <x:v>OPEN</x:v>
      </x:c>
    </x:row>
    <x:row r="195">
      <x:c r="A195" s="86" t="str">
        <x:v>EX-190</x:v>
      </x:c>
      <x:c r="B195" s="86" t="str">
        <x:v>H6</x:v>
      </x:c>
      <x:c r="C195" s="86" t="str">
        <x:v>A-to-B</x:v>
      </x:c>
      <x:c r="D195" s="86" t="str">
        <x:v>thermally soaked</x:v>
      </x:c>
      <x:c r="E195" s="86" t="str">
        <x:v>calibration loss</x:v>
      </x:c>
      <x:c r="F195" s="91" t="str"/>
      <x:c r="G195" s="91" t="str"/>
      <x:c r="H195" s="91" t="str"/>
      <x:c r="I195" s="91" t="str"/>
      <x:c r="J195" s="91" t="str"/>
      <x:c r="K195" s="91" t="str">
        <x:v>OPEN</x:v>
      </x:c>
    </x:row>
    <x:row r="196">
      <x:c r="A196" s="86" t="str">
        <x:v>EX-191</x:v>
      </x:c>
      <x:c r="B196" s="86" t="str">
        <x:v>H6</x:v>
      </x:c>
      <x:c r="C196" s="86" t="str">
        <x:v>A-to-B</x:v>
      </x:c>
      <x:c r="D196" s="86" t="str">
        <x:v>thermally soaked</x:v>
      </x:c>
      <x:c r="E196" s="86" t="str">
        <x:v>service denial</x:v>
      </x:c>
      <x:c r="F196" s="91" t="str"/>
      <x:c r="G196" s="91" t="str"/>
      <x:c r="H196" s="91" t="str"/>
      <x:c r="I196" s="91" t="str"/>
      <x:c r="J196" s="91" t="str"/>
      <x:c r="K196" s="91" t="str">
        <x:v>OPEN</x:v>
      </x:c>
    </x:row>
    <x:row r="197">
      <x:c r="A197" s="86" t="str">
        <x:v>EX-192</x:v>
      </x:c>
      <x:c r="B197" s="86" t="str">
        <x:v>H6</x:v>
      </x:c>
      <x:c r="C197" s="86" t="str">
        <x:v>A-to-B</x:v>
      </x:c>
      <x:c r="D197" s="86" t="str">
        <x:v>thermally soaked</x:v>
      </x:c>
      <x:c r="E197" s="86" t="str">
        <x:v>interrupted rollback</x:v>
      </x:c>
      <x:c r="F197" s="91" t="str"/>
      <x:c r="G197" s="91" t="str"/>
      <x:c r="H197" s="91" t="str"/>
      <x:c r="I197" s="91" t="str"/>
      <x:c r="J197" s="91" t="str"/>
      <x:c r="K197" s="91" t="str">
        <x:v>OPEN</x:v>
      </x:c>
    </x:row>
    <x:row r="198">
      <x:c r="A198" s="86" t="str">
        <x:v>EX-193</x:v>
      </x:c>
      <x:c r="B198" s="86" t="str">
        <x:v>H6</x:v>
      </x:c>
      <x:c r="C198" s="86" t="str">
        <x:v>A-to-B</x:v>
      </x:c>
      <x:c r="D198" s="86" t="str">
        <x:v>residue-bearing</x:v>
      </x:c>
      <x:c r="E198" s="86" t="str">
        <x:v>nominal datum</x:v>
      </x:c>
      <x:c r="F198" s="91" t="str"/>
      <x:c r="G198" s="91" t="str"/>
      <x:c r="H198" s="91" t="str"/>
      <x:c r="I198" s="91" t="str"/>
      <x:c r="J198" s="91" t="str"/>
      <x:c r="K198" s="91" t="str">
        <x:v>OPEN</x:v>
      </x:c>
    </x:row>
    <x:row r="199">
      <x:c r="A199" s="86" t="str">
        <x:v>EX-194</x:v>
      </x:c>
      <x:c r="B199" s="86" t="str">
        <x:v>H6</x:v>
      </x:c>
      <x:c r="C199" s="86" t="str">
        <x:v>A-to-B</x:v>
      </x:c>
      <x:c r="D199" s="86" t="str">
        <x:v>residue-bearing</x:v>
      </x:c>
      <x:c r="E199" s="86" t="str">
        <x:v>geometric edge</x:v>
      </x:c>
      <x:c r="F199" s="91" t="str"/>
      <x:c r="G199" s="91" t="str"/>
      <x:c r="H199" s="91" t="str"/>
      <x:c r="I199" s="91" t="str"/>
      <x:c r="J199" s="91" t="str"/>
      <x:c r="K199" s="91" t="str">
        <x:v>OPEN</x:v>
      </x:c>
    </x:row>
    <x:row r="200">
      <x:c r="A200" s="86" t="str">
        <x:v>EX-195</x:v>
      </x:c>
      <x:c r="B200" s="86" t="str">
        <x:v>H6</x:v>
      </x:c>
      <x:c r="C200" s="86" t="str">
        <x:v>A-to-B</x:v>
      </x:c>
      <x:c r="D200" s="86" t="str">
        <x:v>residue-bearing</x:v>
      </x:c>
      <x:c r="E200" s="86" t="str">
        <x:v>thermal distortion</x:v>
      </x:c>
      <x:c r="F200" s="91" t="str"/>
      <x:c r="G200" s="91" t="str"/>
      <x:c r="H200" s="91" t="str"/>
      <x:c r="I200" s="91" t="str"/>
      <x:c r="J200" s="91" t="str"/>
      <x:c r="K200" s="91" t="str">
        <x:v>OPEN</x:v>
      </x:c>
    </x:row>
    <x:row r="201">
      <x:c r="A201" s="86" t="str">
        <x:v>EX-196</x:v>
      </x:c>
      <x:c r="B201" s="86" t="str">
        <x:v>H6</x:v>
      </x:c>
      <x:c r="C201" s="86" t="str">
        <x:v>A-to-B</x:v>
      </x:c>
      <x:c r="D201" s="86" t="str">
        <x:v>residue-bearing</x:v>
      </x:c>
      <x:c r="E201" s="86" t="str">
        <x:v>calibration loss</x:v>
      </x:c>
      <x:c r="F201" s="91" t="str"/>
      <x:c r="G201" s="91" t="str"/>
      <x:c r="H201" s="91" t="str"/>
      <x:c r="I201" s="91" t="str"/>
      <x:c r="J201" s="91" t="str"/>
      <x:c r="K201" s="91" t="str">
        <x:v>OPEN</x:v>
      </x:c>
    </x:row>
    <x:row r="202">
      <x:c r="A202" s="86" t="str">
        <x:v>EX-197</x:v>
      </x:c>
      <x:c r="B202" s="86" t="str">
        <x:v>H6</x:v>
      </x:c>
      <x:c r="C202" s="86" t="str">
        <x:v>A-to-B</x:v>
      </x:c>
      <x:c r="D202" s="86" t="str">
        <x:v>residue-bearing</x:v>
      </x:c>
      <x:c r="E202" s="86" t="str">
        <x:v>service denial</x:v>
      </x:c>
      <x:c r="F202" s="91" t="str"/>
      <x:c r="G202" s="91" t="str"/>
      <x:c r="H202" s="91" t="str"/>
      <x:c r="I202" s="91" t="str"/>
      <x:c r="J202" s="91" t="str"/>
      <x:c r="K202" s="91" t="str">
        <x:v>OPEN</x:v>
      </x:c>
    </x:row>
    <x:row r="203">
      <x:c r="A203" s="86" t="str">
        <x:v>EX-198</x:v>
      </x:c>
      <x:c r="B203" s="86" t="str">
        <x:v>H6</x:v>
      </x:c>
      <x:c r="C203" s="86" t="str">
        <x:v>A-to-B</x:v>
      </x:c>
      <x:c r="D203" s="86" t="str">
        <x:v>residue-bearing</x:v>
      </x:c>
      <x:c r="E203" s="86" t="str">
        <x:v>interrupted rollback</x:v>
      </x:c>
      <x:c r="F203" s="91" t="str"/>
      <x:c r="G203" s="91" t="str"/>
      <x:c r="H203" s="91" t="str"/>
      <x:c r="I203" s="91" t="str"/>
      <x:c r="J203" s="91" t="str"/>
      <x:c r="K203" s="91" t="str">
        <x:v>OPEN</x:v>
      </x:c>
    </x:row>
    <x:row r="204">
      <x:c r="A204" s="86" t="str">
        <x:v>EX-199</x:v>
      </x:c>
      <x:c r="B204" s="86" t="str">
        <x:v>H6</x:v>
      </x:c>
      <x:c r="C204" s="86" t="str">
        <x:v>B-to-A</x:v>
      </x:c>
      <x:c r="D204" s="86" t="str">
        <x:v>clean</x:v>
      </x:c>
      <x:c r="E204" s="86" t="str">
        <x:v>nominal datum</x:v>
      </x:c>
      <x:c r="F204" s="91" t="str"/>
      <x:c r="G204" s="91" t="str"/>
      <x:c r="H204" s="91" t="str"/>
      <x:c r="I204" s="91" t="str"/>
      <x:c r="J204" s="91" t="str"/>
      <x:c r="K204" s="91" t="str">
        <x:v>OPEN</x:v>
      </x:c>
    </x:row>
    <x:row r="205">
      <x:c r="A205" s="86" t="str">
        <x:v>EX-200</x:v>
      </x:c>
      <x:c r="B205" s="86" t="str">
        <x:v>H6</x:v>
      </x:c>
      <x:c r="C205" s="86" t="str">
        <x:v>B-to-A</x:v>
      </x:c>
      <x:c r="D205" s="86" t="str">
        <x:v>clean</x:v>
      </x:c>
      <x:c r="E205" s="86" t="str">
        <x:v>geometric edge</x:v>
      </x:c>
      <x:c r="F205" s="91" t="str"/>
      <x:c r="G205" s="91" t="str"/>
      <x:c r="H205" s="91" t="str"/>
      <x:c r="I205" s="91" t="str"/>
      <x:c r="J205" s="91" t="str"/>
      <x:c r="K205" s="91" t="str">
        <x:v>OPEN</x:v>
      </x:c>
    </x:row>
    <x:row r="206">
      <x:c r="A206" s="86" t="str">
        <x:v>EX-201</x:v>
      </x:c>
      <x:c r="B206" s="86" t="str">
        <x:v>H6</x:v>
      </x:c>
      <x:c r="C206" s="86" t="str">
        <x:v>B-to-A</x:v>
      </x:c>
      <x:c r="D206" s="86" t="str">
        <x:v>clean</x:v>
      </x:c>
      <x:c r="E206" s="86" t="str">
        <x:v>thermal distortion</x:v>
      </x:c>
      <x:c r="F206" s="91" t="str"/>
      <x:c r="G206" s="91" t="str"/>
      <x:c r="H206" s="91" t="str"/>
      <x:c r="I206" s="91" t="str"/>
      <x:c r="J206" s="91" t="str"/>
      <x:c r="K206" s="91" t="str">
        <x:v>OPEN</x:v>
      </x:c>
    </x:row>
    <x:row r="207">
      <x:c r="A207" s="86" t="str">
        <x:v>EX-202</x:v>
      </x:c>
      <x:c r="B207" s="86" t="str">
        <x:v>H6</x:v>
      </x:c>
      <x:c r="C207" s="86" t="str">
        <x:v>B-to-A</x:v>
      </x:c>
      <x:c r="D207" s="86" t="str">
        <x:v>clean</x:v>
      </x:c>
      <x:c r="E207" s="86" t="str">
        <x:v>calibration loss</x:v>
      </x:c>
      <x:c r="F207" s="91" t="str"/>
      <x:c r="G207" s="91" t="str"/>
      <x:c r="H207" s="91" t="str"/>
      <x:c r="I207" s="91" t="str"/>
      <x:c r="J207" s="91" t="str"/>
      <x:c r="K207" s="91" t="str">
        <x:v>OPEN</x:v>
      </x:c>
    </x:row>
    <x:row r="208">
      <x:c r="A208" s="86" t="str">
        <x:v>EX-203</x:v>
      </x:c>
      <x:c r="B208" s="86" t="str">
        <x:v>H6</x:v>
      </x:c>
      <x:c r="C208" s="86" t="str">
        <x:v>B-to-A</x:v>
      </x:c>
      <x:c r="D208" s="86" t="str">
        <x:v>clean</x:v>
      </x:c>
      <x:c r="E208" s="86" t="str">
        <x:v>service denial</x:v>
      </x:c>
      <x:c r="F208" s="91" t="str"/>
      <x:c r="G208" s="91" t="str"/>
      <x:c r="H208" s="91" t="str"/>
      <x:c r="I208" s="91" t="str"/>
      <x:c r="J208" s="91" t="str"/>
      <x:c r="K208" s="91" t="str">
        <x:v>OPEN</x:v>
      </x:c>
    </x:row>
    <x:row r="209">
      <x:c r="A209" s="86" t="str">
        <x:v>EX-204</x:v>
      </x:c>
      <x:c r="B209" s="86" t="str">
        <x:v>H6</x:v>
      </x:c>
      <x:c r="C209" s="86" t="str">
        <x:v>B-to-A</x:v>
      </x:c>
      <x:c r="D209" s="86" t="str">
        <x:v>clean</x:v>
      </x:c>
      <x:c r="E209" s="86" t="str">
        <x:v>interrupted rollback</x:v>
      </x:c>
      <x:c r="F209" s="91" t="str"/>
      <x:c r="G209" s="91" t="str"/>
      <x:c r="H209" s="91" t="str"/>
      <x:c r="I209" s="91" t="str"/>
      <x:c r="J209" s="91" t="str"/>
      <x:c r="K209" s="91" t="str">
        <x:v>OPEN</x:v>
      </x:c>
    </x:row>
    <x:row r="210">
      <x:c r="A210" s="86" t="str">
        <x:v>EX-205</x:v>
      </x:c>
      <x:c r="B210" s="86" t="str">
        <x:v>H6</x:v>
      </x:c>
      <x:c r="C210" s="86" t="str">
        <x:v>B-to-A</x:v>
      </x:c>
      <x:c r="D210" s="86" t="str">
        <x:v>thermally soaked</x:v>
      </x:c>
      <x:c r="E210" s="86" t="str">
        <x:v>nominal datum</x:v>
      </x:c>
      <x:c r="F210" s="91" t="str"/>
      <x:c r="G210" s="91" t="str"/>
      <x:c r="H210" s="91" t="str"/>
      <x:c r="I210" s="91" t="str"/>
      <x:c r="J210" s="91" t="str"/>
      <x:c r="K210" s="91" t="str">
        <x:v>OPEN</x:v>
      </x:c>
    </x:row>
    <x:row r="211">
      <x:c r="A211" s="86" t="str">
        <x:v>EX-206</x:v>
      </x:c>
      <x:c r="B211" s="86" t="str">
        <x:v>H6</x:v>
      </x:c>
      <x:c r="C211" s="86" t="str">
        <x:v>B-to-A</x:v>
      </x:c>
      <x:c r="D211" s="86" t="str">
        <x:v>thermally soaked</x:v>
      </x:c>
      <x:c r="E211" s="86" t="str">
        <x:v>geometric edge</x:v>
      </x:c>
      <x:c r="F211" s="91" t="str"/>
      <x:c r="G211" s="91" t="str"/>
      <x:c r="H211" s="91" t="str"/>
      <x:c r="I211" s="91" t="str"/>
      <x:c r="J211" s="91" t="str"/>
      <x:c r="K211" s="91" t="str">
        <x:v>OPEN</x:v>
      </x:c>
    </x:row>
    <x:row r="212">
      <x:c r="A212" s="86" t="str">
        <x:v>EX-207</x:v>
      </x:c>
      <x:c r="B212" s="86" t="str">
        <x:v>H6</x:v>
      </x:c>
      <x:c r="C212" s="86" t="str">
        <x:v>B-to-A</x:v>
      </x:c>
      <x:c r="D212" s="86" t="str">
        <x:v>thermally soaked</x:v>
      </x:c>
      <x:c r="E212" s="86" t="str">
        <x:v>thermal distortion</x:v>
      </x:c>
      <x:c r="F212" s="91" t="str"/>
      <x:c r="G212" s="91" t="str"/>
      <x:c r="H212" s="91" t="str"/>
      <x:c r="I212" s="91" t="str"/>
      <x:c r="J212" s="91" t="str"/>
      <x:c r="K212" s="91" t="str">
        <x:v>OPEN</x:v>
      </x:c>
    </x:row>
    <x:row r="213">
      <x:c r="A213" s="86" t="str">
        <x:v>EX-208</x:v>
      </x:c>
      <x:c r="B213" s="86" t="str">
        <x:v>H6</x:v>
      </x:c>
      <x:c r="C213" s="86" t="str">
        <x:v>B-to-A</x:v>
      </x:c>
      <x:c r="D213" s="86" t="str">
        <x:v>thermally soaked</x:v>
      </x:c>
      <x:c r="E213" s="86" t="str">
        <x:v>calibration loss</x:v>
      </x:c>
      <x:c r="F213" s="91" t="str"/>
      <x:c r="G213" s="91" t="str"/>
      <x:c r="H213" s="91" t="str"/>
      <x:c r="I213" s="91" t="str"/>
      <x:c r="J213" s="91" t="str"/>
      <x:c r="K213" s="91" t="str">
        <x:v>OPEN</x:v>
      </x:c>
    </x:row>
    <x:row r="214">
      <x:c r="A214" s="86" t="str">
        <x:v>EX-209</x:v>
      </x:c>
      <x:c r="B214" s="86" t="str">
        <x:v>H6</x:v>
      </x:c>
      <x:c r="C214" s="86" t="str">
        <x:v>B-to-A</x:v>
      </x:c>
      <x:c r="D214" s="86" t="str">
        <x:v>thermally soaked</x:v>
      </x:c>
      <x:c r="E214" s="86" t="str">
        <x:v>service denial</x:v>
      </x:c>
      <x:c r="F214" s="91" t="str"/>
      <x:c r="G214" s="91" t="str"/>
      <x:c r="H214" s="91" t="str"/>
      <x:c r="I214" s="91" t="str"/>
      <x:c r="J214" s="91" t="str"/>
      <x:c r="K214" s="91" t="str">
        <x:v>OPEN</x:v>
      </x:c>
    </x:row>
    <x:row r="215">
      <x:c r="A215" s="86" t="str">
        <x:v>EX-210</x:v>
      </x:c>
      <x:c r="B215" s="86" t="str">
        <x:v>H6</x:v>
      </x:c>
      <x:c r="C215" s="86" t="str">
        <x:v>B-to-A</x:v>
      </x:c>
      <x:c r="D215" s="86" t="str">
        <x:v>thermally soaked</x:v>
      </x:c>
      <x:c r="E215" s="86" t="str">
        <x:v>interrupted rollback</x:v>
      </x:c>
      <x:c r="F215" s="91" t="str"/>
      <x:c r="G215" s="91" t="str"/>
      <x:c r="H215" s="91" t="str"/>
      <x:c r="I215" s="91" t="str"/>
      <x:c r="J215" s="91" t="str"/>
      <x:c r="K215" s="91" t="str">
        <x:v>OPEN</x:v>
      </x:c>
    </x:row>
    <x:row r="216">
      <x:c r="A216" s="86" t="str">
        <x:v>EX-211</x:v>
      </x:c>
      <x:c r="B216" s="86" t="str">
        <x:v>H6</x:v>
      </x:c>
      <x:c r="C216" s="86" t="str">
        <x:v>B-to-A</x:v>
      </x:c>
      <x:c r="D216" s="86" t="str">
        <x:v>residue-bearing</x:v>
      </x:c>
      <x:c r="E216" s="86" t="str">
        <x:v>nominal datum</x:v>
      </x:c>
      <x:c r="F216" s="91" t="str"/>
      <x:c r="G216" s="91" t="str"/>
      <x:c r="H216" s="91" t="str"/>
      <x:c r="I216" s="91" t="str"/>
      <x:c r="J216" s="91" t="str"/>
      <x:c r="K216" s="91" t="str">
        <x:v>OPEN</x:v>
      </x:c>
    </x:row>
    <x:row r="217">
      <x:c r="A217" s="86" t="str">
        <x:v>EX-212</x:v>
      </x:c>
      <x:c r="B217" s="86" t="str">
        <x:v>H6</x:v>
      </x:c>
      <x:c r="C217" s="86" t="str">
        <x:v>B-to-A</x:v>
      </x:c>
      <x:c r="D217" s="86" t="str">
        <x:v>residue-bearing</x:v>
      </x:c>
      <x:c r="E217" s="86" t="str">
        <x:v>geometric edge</x:v>
      </x:c>
      <x:c r="F217" s="91" t="str"/>
      <x:c r="G217" s="91" t="str"/>
      <x:c r="H217" s="91" t="str"/>
      <x:c r="I217" s="91" t="str"/>
      <x:c r="J217" s="91" t="str"/>
      <x:c r="K217" s="91" t="str">
        <x:v>OPEN</x:v>
      </x:c>
    </x:row>
    <x:row r="218">
      <x:c r="A218" s="86" t="str">
        <x:v>EX-213</x:v>
      </x:c>
      <x:c r="B218" s="86" t="str">
        <x:v>H6</x:v>
      </x:c>
      <x:c r="C218" s="86" t="str">
        <x:v>B-to-A</x:v>
      </x:c>
      <x:c r="D218" s="86" t="str">
        <x:v>residue-bearing</x:v>
      </x:c>
      <x:c r="E218" s="86" t="str">
        <x:v>thermal distortion</x:v>
      </x:c>
      <x:c r="F218" s="91" t="str"/>
      <x:c r="G218" s="91" t="str"/>
      <x:c r="H218" s="91" t="str"/>
      <x:c r="I218" s="91" t="str"/>
      <x:c r="J218" s="91" t="str"/>
      <x:c r="K218" s="91" t="str">
        <x:v>OPEN</x:v>
      </x:c>
    </x:row>
    <x:row r="219">
      <x:c r="A219" s="86" t="str">
        <x:v>EX-214</x:v>
      </x:c>
      <x:c r="B219" s="86" t="str">
        <x:v>H6</x:v>
      </x:c>
      <x:c r="C219" s="86" t="str">
        <x:v>B-to-A</x:v>
      </x:c>
      <x:c r="D219" s="86" t="str">
        <x:v>residue-bearing</x:v>
      </x:c>
      <x:c r="E219" s="86" t="str">
        <x:v>calibration loss</x:v>
      </x:c>
      <x:c r="F219" s="91" t="str"/>
      <x:c r="G219" s="91" t="str"/>
      <x:c r="H219" s="91" t="str"/>
      <x:c r="I219" s="91" t="str"/>
      <x:c r="J219" s="91" t="str"/>
      <x:c r="K219" s="91" t="str">
        <x:v>OPEN</x:v>
      </x:c>
    </x:row>
    <x:row r="220">
      <x:c r="A220" s="86" t="str">
        <x:v>EX-215</x:v>
      </x:c>
      <x:c r="B220" s="86" t="str">
        <x:v>H6</x:v>
      </x:c>
      <x:c r="C220" s="86" t="str">
        <x:v>B-to-A</x:v>
      </x:c>
      <x:c r="D220" s="86" t="str">
        <x:v>residue-bearing</x:v>
      </x:c>
      <x:c r="E220" s="86" t="str">
        <x:v>service denial</x:v>
      </x:c>
      <x:c r="F220" s="91" t="str"/>
      <x:c r="G220" s="91" t="str"/>
      <x:c r="H220" s="91" t="str"/>
      <x:c r="I220" s="91" t="str"/>
      <x:c r="J220" s="91" t="str"/>
      <x:c r="K220" s="91" t="str">
        <x:v>OPEN</x:v>
      </x:c>
    </x:row>
    <x:row r="221">
      <x:c r="A221" s="87" t="str">
        <x:v>EX-216</x:v>
      </x:c>
      <x:c r="B221" s="87" t="str">
        <x:v>H6</x:v>
      </x:c>
      <x:c r="C221" s="87" t="str">
        <x:v>B-to-A</x:v>
      </x:c>
      <x:c r="D221" s="87" t="str">
        <x:v>residue-bearing</x:v>
      </x:c>
      <x:c r="E221" s="87" t="str">
        <x:v>interrupted rollback</x:v>
      </x:c>
      <x:c r="F221" s="95" t="str"/>
      <x:c r="G221" s="95" t="str"/>
      <x:c r="H221" s="95" t="str"/>
      <x:c r="I221" s="95" t="str"/>
      <x:c r="J221" s="95" t="str"/>
      <x:c r="K221" s="95" t="str">
        <x:v>OPEN</x:v>
      </x:c>
    </x:row>
  </x:sheetData>
  <x:mergeCells>
    <x:mergeCell ref="A2:K2"/>
  </x:mergeCells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18" hidden="0" customWidth="1"/>
    <x:col min="3" max="3" width="18" hidden="0" customWidth="1"/>
    <x:col min="4" max="4" width="42" hidden="0" customWidth="1"/>
    <x:col min="5" max="5" width="16" hidden="0" customWidth="1"/>
  </x:cols>
  <x:sheetData>
    <x:row r="2" ht="24" customHeight="1">
      <x:c r="A2" s="82" t="str">
        <x:v>RBO-1 child and ten-rung calendar</x:v>
      </x:c>
      <x:c r="B2" s="83"/>
      <x:c r="C2" s="83"/>
      <x:c r="D2" s="83"/>
      <x:c r="E2" s="83"/>
    </x:row>
    <x:row r="3">
      <x:c r="A3" s="84"/>
      <x:c r="B3" s="84"/>
      <x:c r="C3" s="84"/>
      <x:c r="D3" s="84"/>
      <x:c r="E3" s="84"/>
    </x:row>
    <x:row r="4">
      <x:c r="A4" s="83"/>
      <x:c r="B4" s="83"/>
      <x:c r="C4" s="83"/>
      <x:c r="D4" s="83"/>
      <x:c r="E4" s="83"/>
    </x:row>
    <x:row r="5" ht="22" customHeight="1">
      <x:c r="A5" s="7" t="str">
        <x:v>Schedule object</x:v>
      </x:c>
      <x:c r="B5" s="8" t="str">
        <x:v>Primary weeks</x:v>
      </x:c>
      <x:c r="C5" s="8" t="str">
        <x:v>Maximum weeks</x:v>
      </x:c>
      <x:c r="D5" s="8" t="str">
        <x:v>Calendar rule</x:v>
      </x:c>
      <x:c r="E5" s="9" t="str">
        <x:v>Status</x:v>
      </x:c>
    </x:row>
    <x:row r="6">
      <x:c r="A6" s="85" t="str">
        <x:v>four candidate architecture programs</x:v>
      </x:c>
      <x:c r="B6" s="85" t="n">
        <x:v>18</x:v>
      </x:c>
      <x:c r="C6" s="85" t="n">
        <x:v>18</x:v>
      </x:c>
      <x:c r="D6" s="85" t="str">
        <x:v>parallel architecture programs</x:v>
      </x:c>
      <x:c r="E6" s="85" t="str">
        <x:v>PLANNING</x:v>
      </x:c>
    </x:row>
    <x:row r="7">
      <x:c r="A7" s="86" t="str">
        <x:v>240 candidate trials</x:v>
      </x:c>
      <x:c r="B7" s="86" t="n">
        <x:v>12</x:v>
      </x:c>
      <x:c r="C7" s="86" t="n">
        <x:v>12</x:v>
      </x:c>
      <x:c r="D7" s="86" t="str">
        <x:v>three-campus campaign</x:v>
      </x:c>
      <x:c r="E7" s="86" t="str">
        <x:v>PLANNING</x:v>
      </x:c>
    </x:row>
    <x:row r="8">
      <x:c r="A8" s="86" t="str">
        <x:v>144 blinded comparisons</x:v>
      </x:c>
      <x:c r="B8" s="86" t="n">
        <x:v>6</x:v>
      </x:c>
      <x:c r="C8" s="86" t="n">
        <x:v>6</x:v>
      </x:c>
      <x:c r="D8" s="86" t="str">
        <x:v>all architecture pairs</x:v>
      </x:c>
      <x:c r="E8" s="86" t="str">
        <x:v>PLANNING</x:v>
      </x:c>
    </x:row>
    <x:row r="9">
      <x:c r="A9" s="86" t="str">
        <x:v>hard-gate disposition and selection</x:v>
      </x:c>
      <x:c r="B9" s="86" t="n">
        <x:v>5</x:v>
      </x:c>
      <x:c r="C9" s="86" t="n">
        <x:v>5</x:v>
      </x:c>
      <x:c r="D9" s="86" t="str">
        <x:v>conjunctive board</x:v>
      </x:c>
      <x:c r="E9" s="86" t="str">
        <x:v>PLANNING</x:v>
      </x:c>
    </x:row>
    <x:row r="10">
      <x:c r="A10" s="86" t="str">
        <x:v>eighteen-module FRC-500 bank</x:v>
      </x:c>
      <x:c r="B10" s="86" t="n">
        <x:v>22</x:v>
      </x:c>
      <x:c r="C10" s="86" t="n">
        <x:v>22</x:v>
      </x:c>
      <x:c r="D10" s="86" t="str">
        <x:v>selected architecture only</x:v>
      </x:c>
      <x:c r="E10" s="86" t="str">
        <x:v>PLANNING</x:v>
      </x:c>
    </x:row>
    <x:row r="11">
      <x:c r="A11" s="86" t="str">
        <x:v>128 integrated qualification cycles</x:v>
      </x:c>
      <x:c r="B11" s="86" t="n">
        <x:v>40</x:v>
      </x:c>
      <x:c r="C11" s="86" t="n">
        <x:v>40</x:v>
      </x:c>
      <x:c r="D11" s="86" t="str">
        <x:v>sixteen serviceable modules</x:v>
      </x:c>
      <x:c r="E11" s="86" t="str">
        <x:v>PLANNING</x:v>
      </x:c>
    </x:row>
    <x:row r="12">
      <x:c r="A12" s="86" t="str">
        <x:v>qualification review</x:v>
      </x:c>
      <x:c r="B12" s="86" t="n">
        <x:v>4</x:v>
      </x:c>
      <x:c r="C12" s="86" t="n">
        <x:v>4</x:v>
      </x:c>
      <x:c r="D12" s="86" t="str">
        <x:v>all observations current</x:v>
      </x:c>
      <x:c r="E12" s="86" t="str">
        <x:v>PLANNING</x:v>
      </x:c>
    </x:row>
    <x:row r="13">
      <x:c r="A13" s="86" t="str">
        <x:v>exact class issue</x:v>
      </x:c>
      <x:c r="B13" s="86" t="n">
        <x:v>8</x:v>
      </x:c>
      <x:c r="C13" s="86" t="n">
        <x:v>12</x:v>
      </x:c>
      <x:c r="D13" s="86" t="str">
        <x:v>reserves add four weeks</x:v>
      </x:c>
      <x:c r="E13" s="86" t="str">
        <x:v>PLANNING</x:v>
      </x:c>
    </x:row>
    <x:row r="14">
      <x:c r="A14" s="86" t="str">
        <x:v>final 1,008-hour return</x:v>
      </x:c>
      <x:c r="B14" s="86" t="n">
        <x:v>6</x:v>
      </x:c>
      <x:c r="C14" s="86" t="n">
        <x:v>6</x:v>
      </x:c>
      <x:c r="D14" s="86" t="str">
        <x:v>fixed return boundary</x:v>
      </x:c>
      <x:c r="E14" s="86" t="str">
        <x:v>PLANNING</x:v>
      </x:c>
    </x:row>
    <x:row r="15">
      <x:c r="A15" s="87" t="str">
        <x:v>class board</x:v>
      </x:c>
      <x:c r="B15" s="87" t="n">
        <x:v>2</x:v>
      </x:c>
      <x:c r="C15" s="87" t="n">
        <x:v>2</x:v>
      </x:c>
      <x:c r="D15" s="87" t="str">
        <x:v>twelve exact credits</x:v>
      </x:c>
      <x:c r="E15" s="87" t="str">
        <x:v>PLANNING</x:v>
      </x:c>
    </x:row>
    <x:row r="16">
      <x:c r="A16" s="83"/>
      <x:c r="B16" s="83"/>
      <x:c r="C16" s="83"/>
      <x:c r="D16" s="83"/>
      <x:c r="E16" s="83"/>
    </x:row>
    <x:row r="17" ht="22" customHeight="1">
      <x:c r="A17" s="40" t="str">
        <x:v>Calendar result</x:v>
      </x:c>
      <x:c r="B17" s="41" t="str">
        <x:v>Primary</x:v>
      </x:c>
      <x:c r="C17" s="42" t="str">
        <x:v>Maximum</x:v>
      </x:c>
      <x:c r="D17" s="83"/>
      <x:c r="E17" s="83"/>
    </x:row>
    <x:row r="18">
      <x:c r="A18" s="85" t="str">
        <x:v>RBO child total</x:v>
      </x:c>
      <x:c r="B18" s="123" t="n">
        <x:f>SUM(B6:B15)</x:f>
        <x:v>123</x:v>
      </x:c>
      <x:c r="C18" s="123" t="n">
        <x:f>SUM(C6:C15)</x:f>
        <x:v>127</x:v>
      </x:c>
      <x:c r="D18" s="83"/>
      <x:c r="E18" s="83"/>
    </x:row>
    <x:row r="19">
      <x:c r="A19" s="86" t="str">
        <x:v>Programs through RBN</x:v>
      </x:c>
      <x:c r="B19" s="124" t="n">
        <x:f>'Assumptions'!B55</x:f>
        <x:v>522</x:v>
      </x:c>
      <x:c r="C19" s="124" t="n">
        <x:f>'Assumptions'!B56</x:f>
        <x:v>544</x:v>
      </x:c>
      <x:c r="D19" s="83"/>
      <x:c r="E19" s="83"/>
    </x:row>
    <x:row r="20">
      <x:c r="A20" s="86" t="str">
        <x:v>Programs through RBO</x:v>
      </x:c>
      <x:c r="B20" s="124" t="n">
        <x:f>B18+B19</x:f>
        <x:v>645</x:v>
      </x:c>
      <x:c r="C20" s="124" t="n">
        <x:f>C18+C19</x:f>
        <x:v>671</x:v>
      </x:c>
      <x:c r="D20" s="83"/>
      <x:c r="E20" s="83"/>
    </x:row>
    <x:row r="21">
      <x:c r="A21" s="86" t="str">
        <x:v>Later provisional allowance</x:v>
      </x:c>
      <x:c r="B21" s="124" t="n">
        <x:f>'Assumptions'!B57*'Assumptions'!B58</x:f>
        <x:v>34</x:v>
      </x:c>
      <x:c r="C21" s="124" t="n">
        <x:f>'Assumptions'!B57*'Assumptions'!B59</x:f>
        <x:v>42</x:v>
      </x:c>
      <x:c r="D21" s="83"/>
      <x:c r="E21" s="83"/>
    </x:row>
    <x:row r="22">
      <x:c r="A22" s="86" t="str">
        <x:v>Ten-rung floor</x:v>
      </x:c>
      <x:c r="B22" s="124" t="n">
        <x:f>B20+B21</x:f>
        <x:v>679</x:v>
      </x:c>
      <x:c r="C22" s="124" t="n">
        <x:f>C20+C21</x:f>
        <x:v>713</x:v>
      </x:c>
      <x:c r="D22" s="83"/>
      <x:c r="E22" s="83"/>
    </x:row>
    <x:row r="23">
      <x:c r="A23" s="86" t="str">
        <x:v>RAS-3R6 remainder</x:v>
      </x:c>
      <x:c r="B23" s="124" t="n">
        <x:f>'Assumptions'!B71-B22</x:f>
        <x:v>153</x:v>
      </x:c>
      <x:c r="C23" s="124" t="n">
        <x:f>'Assumptions'!B71-C22</x:f>
        <x:v>119</x:v>
      </x:c>
      <x:c r="D23" s="83"/>
      <x:c r="E23" s="83"/>
    </x:row>
    <x:row r="24">
      <x:c r="A24" s="87" t="str">
        <x:v>Prior-parent maximum gap</x:v>
      </x:c>
      <x:c r="B24" s="125" t="n">
        <x:f>'Assumptions'!B66-B20</x:f>
        <x:v>83</x:v>
      </x:c>
      <x:c r="C24" s="125" t="n">
        <x:f>'Assumptions'!B66-C20</x:f>
        <x:v>57</x:v>
      </x:c>
      <x:c r="D24" s="83"/>
      <x:c r="E24" s="83"/>
    </x:row>
  </x:sheetData>
  <x:mergeCells>
    <x:mergeCell ref="A2:E2"/>
  </x:mergeCells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0" hidden="0" customWidth="1"/>
    <x:col min="2" max="2" width="16" hidden="0" customWidth="1"/>
    <x:col min="3" max="3" width="16" hidden="0" customWidth="1"/>
    <x:col min="4" max="4" width="18" hidden="0" customWidth="1"/>
    <x:col min="5" max="5" width="48" hidden="0" customWidth="1"/>
  </x:cols>
  <x:sheetData>
    <x:row r="2" ht="24" customHeight="1">
      <x:c r="A2" s="82" t="str">
        <x:v>RBO-1 execution and retained formation</x:v>
      </x:c>
      <x:c r="B2" s="83"/>
      <x:c r="C2" s="83"/>
      <x:c r="D2" s="83"/>
      <x:c r="E2" s="83"/>
    </x:row>
    <x:row r="3">
      <x:c r="A3" s="84"/>
      <x:c r="B3" s="84"/>
      <x:c r="C3" s="84"/>
      <x:c r="D3" s="84"/>
      <x:c r="E3" s="84"/>
    </x:row>
    <x:row r="4">
      <x:c r="A4" s="83"/>
      <x:c r="B4" s="83"/>
      <x:c r="C4" s="83"/>
      <x:c r="D4" s="83"/>
      <x:c r="E4" s="83"/>
    </x:row>
    <x:row r="5" ht="22" customHeight="1">
      <x:c r="A5" s="7" t="str">
        <x:v>Function</x:v>
      </x:c>
      <x:c r="B5" s="8" t="str">
        <x:v>Positions</x:v>
      </x:c>
      <x:c r="C5" s="8" t="str">
        <x:v>Type</x:v>
      </x:c>
      <x:c r="D5" s="8" t="str">
        <x:v>Status</x:v>
      </x:c>
      <x:c r="E5" s="9" t="str">
        <x:v>Institutional use</x:v>
      </x:c>
    </x:row>
    <x:row r="6">
      <x:c r="A6" s="85" t="str">
        <x:v>source-inventory physics and topology metrology</x:v>
      </x:c>
      <x:c r="B6" s="85" t="n">
        <x:v>130</x:v>
      </x:c>
      <x:c r="C6" s="85" t="str">
        <x:v>execution</x:v>
      </x:c>
      <x:c r="D6" s="85" t="str">
        <x:v>PLANNING</x:v>
      </x:c>
      <x:c r="E6" s="85" t="str">
        <x:v>field-time research and qualification</x:v>
      </x:c>
    </x:row>
    <x:row r="7">
      <x:c r="A7" s="86" t="str">
        <x:v>combustion and flame science</x:v>
      </x:c>
      <x:c r="B7" s="86" t="n">
        <x:v>130</x:v>
      </x:c>
      <x:c r="C7" s="86" t="str">
        <x:v>execution</x:v>
      </x:c>
      <x:c r="D7" s="86" t="str">
        <x:v>PLANNING</x:v>
      </x:c>
      <x:c r="E7" s="86" t="str">
        <x:v>field-time research and qualification</x:v>
      </x:c>
    </x:row>
    <x:row r="8">
      <x:c r="A8" s="86" t="str">
        <x:v>atmosphere and exhaust science</x:v>
      </x:c>
      <x:c r="B8" s="86" t="n">
        <x:v>140</x:v>
      </x:c>
      <x:c r="C8" s="86" t="str">
        <x:v>execution</x:v>
      </x:c>
      <x:c r="D8" s="86" t="str">
        <x:v>PLANNING</x:v>
      </x:c>
      <x:c r="E8" s="86" t="str">
        <x:v>field-time research and qualification</x:v>
      </x:c>
    </x:row>
    <x:row r="9">
      <x:c r="A9" s="86" t="str">
        <x:v>thermal boundary and materials</x:v>
      </x:c>
      <x:c r="B9" s="86" t="n">
        <x:v>120</x:v>
      </x:c>
      <x:c r="C9" s="86" t="str">
        <x:v>execution</x:v>
      </x:c>
      <x:c r="D9" s="86" t="str">
        <x:v>PLANNING</x:v>
      </x:c>
      <x:c r="E9" s="86" t="str">
        <x:v>field-time research and qualification</x:v>
      </x:c>
    </x:row>
    <x:row r="10">
      <x:c r="A10" s="86" t="str">
        <x:v>product chemistry and capture</x:v>
      </x:c>
      <x:c r="B10" s="86" t="n">
        <x:v>110</x:v>
      </x:c>
      <x:c r="C10" s="86" t="str">
        <x:v>execution</x:v>
      </x:c>
      <x:c r="D10" s="86" t="str">
        <x:v>PLANNING</x:v>
      </x:c>
      <x:c r="E10" s="86" t="str">
        <x:v>field-time research and qualification</x:v>
      </x:c>
    </x:row>
    <x:row r="11">
      <x:c r="A11" s="86" t="str">
        <x:v>source custody and assay</x:v>
      </x:c>
      <x:c r="B11" s="86" t="n">
        <x:v>100</x:v>
      </x:c>
      <x:c r="C11" s="86" t="str">
        <x:v>execution</x:v>
      </x:c>
      <x:c r="D11" s="86" t="str">
        <x:v>PLANNING</x:v>
      </x:c>
      <x:c r="E11" s="86" t="str">
        <x:v>field-time research and qualification</x:v>
      </x:c>
    </x:row>
    <x:row r="12">
      <x:c r="A12" s="86" t="str">
        <x:v>field and module engineering</x:v>
      </x:c>
      <x:c r="B12" s="86" t="n">
        <x:v>120</x:v>
      </x:c>
      <x:c r="C12" s="86" t="str">
        <x:v>execution</x:v>
      </x:c>
      <x:c r="D12" s="86" t="str">
        <x:v>PLANNING</x:v>
      </x:c>
      <x:c r="E12" s="86" t="str">
        <x:v>field-time research and qualification</x:v>
      </x:c>
    </x:row>
    <x:row r="13">
      <x:c r="A13" s="86" t="str">
        <x:v>robotics, debris and recovery</x:v>
      </x:c>
      <x:c r="B13" s="86" t="n">
        <x:v>90</x:v>
      </x:c>
      <x:c r="C13" s="86" t="str">
        <x:v>execution</x:v>
      </x:c>
      <x:c r="D13" s="86" t="str">
        <x:v>PLANNING</x:v>
      </x:c>
      <x:c r="E13" s="86" t="str">
        <x:v>field-time research and qualification</x:v>
      </x:c>
    </x:row>
    <x:row r="14">
      <x:c r="A14" s="86" t="str">
        <x:v>safeing, public intervention and environmental health</x:v>
      </x:c>
      <x:c r="B14" s="86" t="n">
        <x:v>90</x:v>
      </x:c>
      <x:c r="C14" s="86" t="str">
        <x:v>execution</x:v>
      </x:c>
      <x:c r="D14" s="86" t="str">
        <x:v>PLANNING</x:v>
      </x:c>
      <x:c r="E14" s="86" t="str">
        <x:v>field-time research and qualification</x:v>
      </x:c>
    </x:row>
    <x:row r="15">
      <x:c r="A15" s="86" t="str">
        <x:v>evidence, causal time and replay</x:v>
      </x:c>
      <x:c r="B15" s="86" t="n">
        <x:v>90</x:v>
      </x:c>
      <x:c r="C15" s="86" t="str">
        <x:v>execution</x:v>
      </x:c>
      <x:c r="D15" s="86" t="str">
        <x:v>PLANNING</x:v>
      </x:c>
      <x:c r="E15" s="86" t="str">
        <x:v>field-time research and qualification</x:v>
      </x:c>
    </x:row>
    <x:row r="16">
      <x:c r="A16" s="86" t="str">
        <x:v>three-campus operations and maintenance</x:v>
      </x:c>
      <x:c r="B16" s="86" t="n">
        <x:v>160</x:v>
      </x:c>
      <x:c r="C16" s="86" t="str">
        <x:v>execution</x:v>
      </x:c>
      <x:c r="D16" s="86" t="str">
        <x:v>PLANNING</x:v>
      </x:c>
      <x:c r="E16" s="86" t="str">
        <x:v>field-time research and qualification</x:v>
      </x:c>
    </x:row>
    <x:row r="17">
      <x:c r="A17" s="86" t="str">
        <x:v>independent validity and class boards</x:v>
      </x:c>
      <x:c r="B17" s="86" t="n">
        <x:v>80</x:v>
      </x:c>
      <x:c r="C17" s="86" t="str">
        <x:v>execution</x:v>
      </x:c>
      <x:c r="D17" s="86" t="str">
        <x:v>PLANNING</x:v>
      </x:c>
      <x:c r="E17" s="86" t="str">
        <x:v>field-time research and qualification</x:v>
      </x:c>
    </x:row>
    <x:row r="18">
      <x:c r="A18" s="86" t="str">
        <x:v>program, acquisition and industrial interfaces</x:v>
      </x:c>
      <x:c r="B18" s="86" t="n">
        <x:v>90</x:v>
      </x:c>
      <x:c r="C18" s="86" t="str">
        <x:v>execution</x:v>
      </x:c>
      <x:c r="D18" s="86" t="str">
        <x:v>PLANNING</x:v>
      </x:c>
      <x:c r="E18" s="86" t="str">
        <x:v>field-time research and qualification</x:v>
      </x:c>
    </x:row>
    <x:row r="19">
      <x:c r="A19" s="87" t="str">
        <x:v>return and exchange</x:v>
      </x:c>
      <x:c r="B19" s="87" t="n">
        <x:v>50</x:v>
      </x:c>
      <x:c r="C19" s="87" t="str">
        <x:v>execution</x:v>
      </x:c>
      <x:c r="D19" s="87" t="str">
        <x:v>PLANNING</x:v>
      </x:c>
      <x:c r="E19" s="87" t="str">
        <x:v>field-time research and qualification</x:v>
      </x:c>
    </x:row>
    <x:row r="20">
      <x:c r="A20" s="83"/>
      <x:c r="B20" s="83"/>
      <x:c r="C20" s="83"/>
      <x:c r="D20" s="83"/>
      <x:c r="E20" s="83"/>
    </x:row>
    <x:row r="21" ht="22" customHeight="1">
      <x:c r="A21" s="40" t="str">
        <x:v>Formation result</x:v>
      </x:c>
      <x:c r="B21" s="42" t="str">
        <x:v>Positions</x:v>
      </x:c>
      <x:c r="C21" s="83"/>
      <x:c r="D21" s="83"/>
      <x:c r="E21" s="83"/>
    </x:row>
    <x:row r="22">
      <x:c r="A22" s="85" t="str">
        <x:v>execution</x:v>
      </x:c>
      <x:c r="B22" s="123" t="n">
        <x:f>SUM(B6:B19)</x:f>
        <x:v>1500</x:v>
      </x:c>
      <x:c r="C22" s="83"/>
      <x:c r="D22" s="83"/>
      <x:c r="E22" s="83"/>
    </x:row>
    <x:row r="23">
      <x:c r="A23" s="86" t="str">
        <x:v>retained</x:v>
      </x:c>
      <x:c r="B23" s="124" t="n">
        <x:f>'Assumptions'!B64</x:f>
        <x:v>1600</x:v>
      </x:c>
      <x:c r="C23" s="83"/>
      <x:c r="D23" s="83"/>
      <x:c r="E23" s="83"/>
    </x:row>
    <x:row r="24">
      <x:c r="A24" s="87" t="str">
        <x:v>concurrent</x:v>
      </x:c>
      <x:c r="B24" s="125" t="n">
        <x:f>SUM(B22:B23)</x:f>
        <x:v>3100</x:v>
      </x:c>
      <x:c r="C24" s="83"/>
      <x:c r="D24" s="83"/>
      <x:c r="E24" s="83"/>
    </x:row>
  </x:sheetData>
  <x:mergeCells>
    <x:mergeCell ref="A2:E2"/>
  </x:mergeCells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2" hidden="0" customWidth="1"/>
    <x:col min="2" max="2" width="18" hidden="0" customWidth="1"/>
    <x:col min="3" max="3" width="24" hidden="0" customWidth="1"/>
    <x:col min="4" max="4" width="18" hidden="0" customWidth="1"/>
    <x:col min="5" max="5" width="18" hidden="0" customWidth="1"/>
  </x:cols>
  <x:sheetData>
    <x:row r="2" ht="24" customHeight="1">
      <x:c r="A2" s="82" t="str">
        <x:v>RBO-1 child capital</x:v>
      </x:c>
      <x:c r="B2" s="83"/>
      <x:c r="C2" s="83"/>
      <x:c r="D2" s="83"/>
      <x:c r="E2" s="83"/>
    </x:row>
    <x:row r="3">
      <x:c r="A3" s="84"/>
      <x:c r="B3" s="84"/>
      <x:c r="C3" s="84"/>
      <x:c r="D3" s="84"/>
      <x:c r="E3" s="84"/>
    </x:row>
    <x:row r="4">
      <x:c r="A4" s="83"/>
      <x:c r="B4" s="83"/>
      <x:c r="C4" s="83"/>
      <x:c r="D4" s="83"/>
      <x:c r="E4" s="83"/>
    </x:row>
    <x:row r="5" ht="22" customHeight="1">
      <x:c r="A5" s="7" t="str">
        <x:v>Capital object</x:v>
      </x:c>
      <x:c r="B5" s="8" t="str">
        <x:v>USD M</x:v>
      </x:c>
      <x:c r="C5" s="8" t="str">
        <x:v>Basis</x:v>
      </x:c>
      <x:c r="D5" s="8" t="str">
        <x:v>Status</x:v>
      </x:c>
      <x:c r="E5" s="9" t="str">
        <x:v>Authority</x:v>
      </x:c>
    </x:row>
    <x:row r="6">
      <x:c r="A6" s="85" t="str">
        <x:v>candidate articles and field shells</x:v>
      </x:c>
      <x:c r="B6" s="85" t="n">
        <x:v>320</x:v>
      </x:c>
      <x:c r="C6" s="85" t="str">
        <x:v>program constitution</x:v>
      </x:c>
      <x:c r="D6" s="85" t="str">
        <x:v>PLANNING</x:v>
      </x:c>
      <x:c r="E6" s="85" t="str">
        <x:v>RBO child</x:v>
      </x:c>
    </x:row>
    <x:row r="7">
      <x:c r="A7" s="86" t="str">
        <x:v>eighteen FRC-500 modules</x:v>
      </x:c>
      <x:c r="B7" s="86" t="n">
        <x:v>420</x:v>
      </x:c>
      <x:c r="C7" s="86" t="str">
        <x:v>program constitution</x:v>
      </x:c>
      <x:c r="D7" s="86" t="str">
        <x:v>PLANNING</x:v>
      </x:c>
      <x:c r="E7" s="86" t="str">
        <x:v>RBO child</x:v>
      </x:c>
    </x:row>
    <x:row r="8">
      <x:c r="A8" s="86" t="str">
        <x:v>deep-inventory topology systems</x:v>
      </x:c>
      <x:c r="B8" s="86" t="n">
        <x:v>240</x:v>
      </x:c>
      <x:c r="C8" s="86" t="str">
        <x:v>program constitution</x:v>
      </x:c>
      <x:c r="D8" s="86" t="str">
        <x:v>PLANNING</x:v>
      </x:c>
      <x:c r="E8" s="86" t="str">
        <x:v>RBO child</x:v>
      </x:c>
    </x:row>
    <x:row r="9">
      <x:c r="A9" s="86" t="str">
        <x:v>high-temperature PHO and ION systems</x:v>
      </x:c>
      <x:c r="B9" s="86" t="n">
        <x:v>220</x:v>
      </x:c>
      <x:c r="C9" s="86" t="str">
        <x:v>program constitution</x:v>
      </x:c>
      <x:c r="D9" s="86" t="str">
        <x:v>PLANNING</x:v>
      </x:c>
      <x:c r="E9" s="86" t="str">
        <x:v>RBO child</x:v>
      </x:c>
    </x:row>
    <x:row r="10">
      <x:c r="A10" s="86" t="str">
        <x:v>product, condensate and deposit capture</x:v>
      </x:c>
      <x:c r="B10" s="86" t="n">
        <x:v>190</x:v>
      </x:c>
      <x:c r="C10" s="86" t="str">
        <x:v>program constitution</x:v>
      </x:c>
      <x:c r="D10" s="86" t="str">
        <x:v>PLANNING</x:v>
      </x:c>
      <x:c r="E10" s="86" t="str">
        <x:v>RBO child</x:v>
      </x:c>
    </x:row>
    <x:row r="11">
      <x:c r="A11" s="86" t="str">
        <x:v>thermal boundary and structure calorimetry</x:v>
      </x:c>
      <x:c r="B11" s="86" t="n">
        <x:v>220</x:v>
      </x:c>
      <x:c r="C11" s="86" t="str">
        <x:v>program constitution</x:v>
      </x:c>
      <x:c r="D11" s="86" t="str">
        <x:v>PLANNING</x:v>
      </x:c>
      <x:c r="E11" s="86" t="str">
        <x:v>RBO child</x:v>
      </x:c>
    </x:row>
    <x:row r="12">
      <x:c r="A12" s="86" t="str">
        <x:v>atmosphere and exhaust capacity</x:v>
      </x:c>
      <x:c r="B12" s="86" t="n">
        <x:v>300</x:v>
      </x:c>
      <x:c r="C12" s="86" t="str">
        <x:v>program constitution</x:v>
      </x:c>
      <x:c r="D12" s="86" t="str">
        <x:v>PLANNING</x:v>
      </x:c>
      <x:c r="E12" s="86" t="str">
        <x:v>RBO child</x:v>
      </x:c>
    </x:row>
    <x:row r="13">
      <x:c r="A13" s="86" t="str">
        <x:v>safeing and public isolation</x:v>
      </x:c>
      <x:c r="B13" s="86" t="n">
        <x:v>120</x:v>
      </x:c>
      <x:c r="C13" s="86" t="str">
        <x:v>program constitution</x:v>
      </x:c>
      <x:c r="D13" s="86" t="str">
        <x:v>PLANNING</x:v>
      </x:c>
      <x:c r="E13" s="86" t="str">
        <x:v>RBO child</x:v>
      </x:c>
    </x:row>
    <x:row r="14">
      <x:c r="A14" s="86" t="str">
        <x:v>robotic recovery and debris systems</x:v>
      </x:c>
      <x:c r="B14" s="86" t="n">
        <x:v>160</x:v>
      </x:c>
      <x:c r="C14" s="86" t="str">
        <x:v>program constitution</x:v>
      </x:c>
      <x:c r="D14" s="86" t="str">
        <x:v>PLANNING</x:v>
      </x:c>
      <x:c r="E14" s="86" t="str">
        <x:v>RBO child</x:v>
      </x:c>
    </x:row>
    <x:row r="15">
      <x:c r="A15" s="86" t="str">
        <x:v>evidence, time and replay systems</x:v>
      </x:c>
      <x:c r="B15" s="86" t="n">
        <x:v>100</x:v>
      </x:c>
      <x:c r="C15" s="86" t="str">
        <x:v>program constitution</x:v>
      </x:c>
      <x:c r="D15" s="86" t="str">
        <x:v>PLANNING</x:v>
      </x:c>
      <x:c r="E15" s="86" t="str">
        <x:v>RBO child</x:v>
      </x:c>
    </x:row>
    <x:row r="16">
      <x:c r="A16" s="86" t="str">
        <x:v>permanent-campus expansion</x:v>
      </x:c>
      <x:c r="B16" s="86" t="n">
        <x:v>180</x:v>
      </x:c>
      <x:c r="C16" s="86" t="str">
        <x:v>program constitution</x:v>
      </x:c>
      <x:c r="D16" s="86" t="str">
        <x:v>PLANNING</x:v>
      </x:c>
      <x:c r="E16" s="86" t="str">
        <x:v>RBO child</x:v>
      </x:c>
    </x:row>
    <x:row r="17">
      <x:c r="A17" s="86" t="str">
        <x:v>standards, spares and forensic articles</x:v>
      </x:c>
      <x:c r="B17" s="86" t="n">
        <x:v>70</x:v>
      </x:c>
      <x:c r="C17" s="86" t="str">
        <x:v>program constitution</x:v>
      </x:c>
      <x:c r="D17" s="86" t="str">
        <x:v>PLANNING</x:v>
      </x:c>
      <x:c r="E17" s="86" t="str">
        <x:v>RBO child</x:v>
      </x:c>
    </x:row>
    <x:row r="18">
      <x:c r="A18" s="87" t="str">
        <x:v>controlled capital uncertainty</x:v>
      </x:c>
      <x:c r="B18" s="87" t="n">
        <x:v>60</x:v>
      </x:c>
      <x:c r="C18" s="87" t="str">
        <x:v>program constitution</x:v>
      </x:c>
      <x:c r="D18" s="87" t="str">
        <x:v>PLANNING</x:v>
      </x:c>
      <x:c r="E18" s="87" t="str">
        <x:v>RBO child</x:v>
      </x:c>
    </x:row>
    <x:row r="19">
      <x:c r="A19" s="83"/>
      <x:c r="B19" s="83"/>
      <x:c r="C19" s="83"/>
      <x:c r="D19" s="83"/>
      <x:c r="E19" s="83"/>
    </x:row>
    <x:row r="20" ht="22" customHeight="1">
      <x:c r="A20" s="40" t="str">
        <x:v>Total child capital</x:v>
      </x:c>
      <x:c r="B20" s="69" t="n">
        <x:f>SUM(B6:B18)</x:f>
        <x:v>2600</x:v>
      </x:c>
      <x:c r="C20" s="83"/>
      <x:c r="D20" s="83"/>
      <x:c r="E20" s="83"/>
    </x:row>
  </x:sheetData>
  <x:mergeCells>
    <x:mergeCell ref="A2:E2"/>
  </x:mergeCells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20" hidden="0" customWidth="1"/>
    <x:col min="3" max="3" width="22" hidden="0" customWidth="1"/>
    <x:col min="4" max="4" width="18" hidden="0" customWidth="1"/>
    <x:col min="5" max="5" width="18" hidden="0" customWidth="1"/>
  </x:cols>
  <x:sheetData>
    <x:row r="2" ht="24" customHeight="1">
      <x:c r="A2" s="82" t="str">
        <x:v>RBO-1 annual support</x:v>
      </x:c>
      <x:c r="B2" s="83"/>
      <x:c r="C2" s="83"/>
      <x:c r="D2" s="83"/>
      <x:c r="E2" s="83"/>
    </x:row>
    <x:row r="3">
      <x:c r="A3" s="84"/>
      <x:c r="B3" s="84"/>
      <x:c r="C3" s="84"/>
      <x:c r="D3" s="84"/>
      <x:c r="E3" s="84"/>
    </x:row>
    <x:row r="4">
      <x:c r="A4" s="83"/>
      <x:c r="B4" s="83"/>
      <x:c r="C4" s="83"/>
      <x:c r="D4" s="83"/>
      <x:c r="E4" s="83"/>
    </x:row>
    <x:row r="5" ht="22" customHeight="1">
      <x:c r="A5" s="7" t="str">
        <x:v>Annual support object</x:v>
      </x:c>
      <x:c r="B5" s="8" t="str">
        <x:v>USD M/year</x:v>
      </x:c>
      <x:c r="C5" s="8" t="str">
        <x:v>Basis</x:v>
      </x:c>
      <x:c r="D5" s="8" t="str">
        <x:v>Status</x:v>
      </x:c>
      <x:c r="E5" s="9" t="str">
        <x:v>Authority</x:v>
      </x:c>
    </x:row>
    <x:row r="6">
      <x:c r="A6" s="85" t="str">
        <x:v>personnel and benefits</x:v>
      </x:c>
      <x:c r="B6" s="85" t="n">
        <x:v>170</x:v>
      </x:c>
      <x:c r="C6" s="85" t="str">
        <x:v>execution year</x:v>
      </x:c>
      <x:c r="D6" s="85" t="str">
        <x:v>PLANNING</x:v>
      </x:c>
      <x:c r="E6" s="85" t="str">
        <x:v>RBO child</x:v>
      </x:c>
    </x:row>
    <x:row r="7">
      <x:c r="A7" s="86" t="str">
        <x:v>test operations</x:v>
      </x:c>
      <x:c r="B7" s="86" t="n">
        <x:v>35</x:v>
      </x:c>
      <x:c r="C7" s="86" t="str">
        <x:v>execution year</x:v>
      </x:c>
      <x:c r="D7" s="86" t="str">
        <x:v>PLANNING</x:v>
      </x:c>
      <x:c r="E7" s="86" t="str">
        <x:v>RBO child</x:v>
      </x:c>
    </x:row>
    <x:row r="8">
      <x:c r="A8" s="86" t="str">
        <x:v>source, simulant, assay and consumables</x:v>
      </x:c>
      <x:c r="B8" s="86" t="n">
        <x:v>25</x:v>
      </x:c>
      <x:c r="C8" s="86" t="str">
        <x:v>execution year</x:v>
      </x:c>
      <x:c r="D8" s="86" t="str">
        <x:v>PLANNING</x:v>
      </x:c>
      <x:c r="E8" s="86" t="str">
        <x:v>RBO child</x:v>
      </x:c>
    </x:row>
    <x:row r="9">
      <x:c r="A9" s="86" t="str">
        <x:v>laboratories and calibration</x:v>
      </x:c>
      <x:c r="B9" s="86" t="n">
        <x:v>18</x:v>
      </x:c>
      <x:c r="C9" s="86" t="str">
        <x:v>execution year</x:v>
      </x:c>
      <x:c r="D9" s="86" t="str">
        <x:v>PLANNING</x:v>
      </x:c>
      <x:c r="E9" s="86" t="str">
        <x:v>RBO child</x:v>
      </x:c>
    </x:row>
    <x:row r="10">
      <x:c r="A10" s="86" t="str">
        <x:v>modules, fields and facility maintenance</x:v>
      </x:c>
      <x:c r="B10" s="86" t="n">
        <x:v>15</x:v>
      </x:c>
      <x:c r="C10" s="86" t="str">
        <x:v>execution year</x:v>
      </x:c>
      <x:c r="D10" s="86" t="str">
        <x:v>PLANNING</x:v>
      </x:c>
      <x:c r="E10" s="86" t="str">
        <x:v>RBO child</x:v>
      </x:c>
    </x:row>
    <x:row r="11">
      <x:c r="A11" s="86" t="str">
        <x:v>evidence storage and replay</x:v>
      </x:c>
      <x:c r="B11" s="86" t="n">
        <x:v>8</x:v>
      </x:c>
      <x:c r="C11" s="86" t="str">
        <x:v>execution year</x:v>
      </x:c>
      <x:c r="D11" s="86" t="str">
        <x:v>PLANNING</x:v>
      </x:c>
      <x:c r="E11" s="86" t="str">
        <x:v>RBO child</x:v>
      </x:c>
    </x:row>
    <x:row r="12">
      <x:c r="A12" s="86" t="str">
        <x:v>public safety and environmental custody</x:v>
      </x:c>
      <x:c r="B12" s="86" t="n">
        <x:v>12</x:v>
      </x:c>
      <x:c r="C12" s="86" t="str">
        <x:v>execution year</x:v>
      </x:c>
      <x:c r="D12" s="86" t="str">
        <x:v>PLANNING</x:v>
      </x:c>
      <x:c r="E12" s="86" t="str">
        <x:v>RBO child</x:v>
      </x:c>
    </x:row>
    <x:row r="13">
      <x:c r="A13" s="86" t="str">
        <x:v>independent review</x:v>
      </x:c>
      <x:c r="B13" s="86" t="n">
        <x:v>5</x:v>
      </x:c>
      <x:c r="C13" s="86" t="str">
        <x:v>execution year</x:v>
      </x:c>
      <x:c r="D13" s="86" t="str">
        <x:v>PLANNING</x:v>
      </x:c>
      <x:c r="E13" s="86" t="str">
        <x:v>RBO child</x:v>
      </x:c>
    </x:row>
    <x:row r="14">
      <x:c r="A14" s="87" t="str">
        <x:v>technology sustainment</x:v>
      </x:c>
      <x:c r="B14" s="87" t="n">
        <x:v>12</x:v>
      </x:c>
      <x:c r="C14" s="87" t="str">
        <x:v>execution year</x:v>
      </x:c>
      <x:c r="D14" s="87" t="str">
        <x:v>PLANNING</x:v>
      </x:c>
      <x:c r="E14" s="87" t="str">
        <x:v>RBO child</x:v>
      </x:c>
    </x:row>
    <x:row r="15">
      <x:c r="A15" s="83"/>
      <x:c r="B15" s="83"/>
      <x:c r="C15" s="83"/>
      <x:c r="D15" s="83"/>
      <x:c r="E15" s="83"/>
    </x:row>
    <x:row r="16" ht="22" customHeight="1">
      <x:c r="A16" s="40" t="str">
        <x:v>Annual result</x:v>
      </x:c>
      <x:c r="B16" s="42" t="str">
        <x:v>USD M/year</x:v>
      </x:c>
      <x:c r="C16" s="83"/>
      <x:c r="D16" s="83"/>
      <x:c r="E16" s="83"/>
    </x:row>
    <x:row r="17">
      <x:c r="A17" s="85" t="str">
        <x:v>execution</x:v>
      </x:c>
      <x:c r="B17" s="123" t="n">
        <x:f>SUM(B6:B14)</x:f>
        <x:v>300</x:v>
      </x:c>
      <x:c r="C17" s="83"/>
      <x:c r="D17" s="83"/>
      <x:c r="E17" s="83"/>
    </x:row>
    <x:row r="18">
      <x:c r="A18" s="86" t="str">
        <x:v>retained</x:v>
      </x:c>
      <x:c r="B18" s="124" t="n">
        <x:f>'Assumptions'!B65</x:f>
        <x:v>300</x:v>
      </x:c>
      <x:c r="C18" s="83"/>
      <x:c r="D18" s="83"/>
      <x:c r="E18" s="83"/>
    </x:row>
    <x:row r="19">
      <x:c r="A19" s="87" t="str">
        <x:v>concurrent</x:v>
      </x:c>
      <x:c r="B19" s="125" t="n">
        <x:f>SUM(B17:B18)</x:f>
        <x:v>600</x:v>
      </x:c>
      <x:c r="C19" s="83"/>
      <x:c r="D19" s="83"/>
      <x:c r="E19" s="83"/>
    </x:row>
  </x:sheetData>
  <x:mergeCells>
    <x:mergeCell ref="A2:E2"/>
  </x:mergeCells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16" hidden="0" customWidth="1"/>
    <x:col min="3" max="3" width="56" hidden="0" customWidth="1"/>
    <x:col min="4" max="4" width="52" hidden="0" customWidth="1"/>
    <x:col min="5" max="5" width="16" hidden="0" customWidth="1"/>
  </x:cols>
  <x:sheetData>
    <x:row r="2" ht="24" customHeight="1">
      <x:c r="A2" s="82" t="str">
        <x:v>RBO-1 mission-led technology portfolio</x:v>
      </x:c>
      <x:c r="B2" s="83"/>
      <x:c r="C2" s="83"/>
      <x:c r="D2" s="83"/>
      <x:c r="E2" s="83"/>
    </x:row>
    <x:row r="3">
      <x:c r="A3" s="84"/>
      <x:c r="B3" s="84"/>
      <x:c r="C3" s="84"/>
      <x:c r="D3" s="84"/>
      <x:c r="E3" s="84"/>
    </x:row>
    <x:row r="4">
      <x:c r="A4" s="83"/>
      <x:c r="B4" s="83"/>
      <x:c r="C4" s="83"/>
      <x:c r="D4" s="83"/>
      <x:c r="E4" s="83"/>
    </x:row>
    <x:row r="5" ht="22" customHeight="1">
      <x:c r="A5" s="7" t="str">
        <x:v>Technology program</x:v>
      </x:c>
      <x:c r="B5" s="8" t="str">
        <x:v>USD M</x:v>
      </x:c>
      <x:c r="C5" s="8" t="str">
        <x:v>Required advance</x:v>
      </x:c>
      <x:c r="D5" s="8" t="str">
        <x:v>Operational descendant</x:v>
      </x:c>
      <x:c r="E5" s="9" t="str">
        <x:v>Status</x:v>
      </x:c>
    </x:row>
    <x:row r="6">
      <x:c r="A6" s="85" t="str">
        <x:v>deep-inventory tomography</x:v>
      </x:c>
      <x:c r="B6" s="85" t="n">
        <x:v>150</x:v>
      </x:c>
      <x:c r="C6" s="85" t="str">
        <x:v>resolve occupied volume, void and blind regions</x:v>
      </x:c>
      <x:c r="D6" s="85" t="str">
        <x:v>bulk-material and wildfire-bed sensing</x:v>
      </x:c>
      <x:c r="E6" s="85" t="str">
        <x:v>PLANNING</x:v>
      </x:c>
    </x:row>
    <x:row r="7">
      <x:c r="A7" s="86" t="str">
        <x:v>long-duration combustion metrology</x:v>
      </x:c>
      <x:c r="B7" s="86" t="n">
        <x:v>130</x:v>
      </x:c>
      <x:c r="C7" s="86" t="str">
        <x:v>preserve calibrated truth through evolving events</x:v>
      </x:c>
      <x:c r="D7" s="86" t="str">
        <x:v>industrial and infrastructure fire response</x:v>
      </x:c>
      <x:c r="E7" s="86" t="str">
        <x:v>PLANNING</x:v>
      </x:c>
    </x:row>
    <x:row r="8">
      <x:c r="A8" s="86" t="str">
        <x:v>high-dynamic-range PHO and ION systems</x:v>
      </x:c>
      <x:c r="B8" s="86" t="n">
        <x:v>110</x:v>
      </x:c>
      <x:c r="C8" s="86" t="str">
        <x:v>retain independent evidence through obscuration</x:v>
      </x:c>
      <x:c r="D8" s="86" t="str">
        <x:v>all-weather fire reconnaissance</x:v>
      </x:c>
      <x:c r="E8" s="86" t="str">
        <x:v>PLANNING</x:v>
      </x:c>
    </x:row>
    <x:row r="9">
      <x:c r="A9" s="86" t="str">
        <x:v>multiphase product and deposit recovery</x:v>
      </x:c>
      <x:c r="B9" s="86" t="n">
        <x:v>100</x:v>
      </x:c>
      <x:c r="C9" s="86" t="str">
        <x:v>preserve gas, particulate, condensate and residue ancestry</x:v>
      </x:c>
      <x:c r="D9" s="86" t="str">
        <x:v>hazardous-material recovery</x:v>
      </x:c>
      <x:c r="E9" s="86" t="str">
        <x:v>PLANNING</x:v>
      </x:c>
    </x:row>
    <x:row r="10">
      <x:c r="A10" s="86" t="str">
        <x:v>adaptive atmosphere and exhaust control</x:v>
      </x:c>
      <x:c r="B10" s="86" t="n">
        <x:v>120</x:v>
      </x:c>
      <x:c r="C10" s="86" t="str">
        <x:v>measure distributed capture, transit, heat and bypass</x:v>
      </x:c>
      <x:c r="D10" s="86" t="str">
        <x:v>tunnel, ship and megastructure response</x:v>
      </x:c>
      <x:c r="E10" s="86" t="str">
        <x:v>PLANNING</x:v>
      </x:c>
    </x:row>
    <x:row r="11">
      <x:c r="A11" s="86" t="str">
        <x:v>active thermal-boundary calorimetry</x:v>
      </x:c>
      <x:c r="B11" s="86" t="n">
        <x:v>100</x:v>
      </x:c>
      <x:c r="C11" s="86" t="str">
        <x:v>separate peak, integral, storage and residual energy</x:v>
      </x:c>
      <x:c r="D11" s="86" t="str">
        <x:v>large fire and heat infrastructure</x:v>
      </x:c>
      <x:c r="E11" s="86" t="str">
        <x:v>PLANNING</x:v>
      </x:c>
    </x:row>
    <x:row r="12">
      <x:c r="A12" s="86" t="str">
        <x:v>self-calibrating embedded systems</x:v>
      </x:c>
      <x:c r="B12" s="86" t="n">
        <x:v>75</x:v>
      </x:c>
      <x:c r="C12" s="86" t="str">
        <x:v>quantify drift and sensor perturbation</x:v>
      </x:c>
      <x:c r="D12" s="86" t="str">
        <x:v>unattended hazard sensing</x:v>
      </x:c>
      <x:c r="E12" s="86" t="str">
        <x:v>PLANNING</x:v>
      </x:c>
    </x:row>
    <x:row r="13">
      <x:c r="A13" s="86" t="str">
        <x:v>high-temperature recovery robotics</x:v>
      </x:c>
      <x:c r="B13" s="86" t="n">
        <x:v>65</x:v>
      </x:c>
      <x:c r="C13" s="86" t="str">
        <x:v>recover samples, deposits and debris without early entry</x:v>
      </x:c>
      <x:c r="D13" s="86" t="str">
        <x:v>post-fire and contaminated-site operations</x:v>
      </x:c>
      <x:c r="E13" s="86" t="str">
        <x:v>PLANNING</x:v>
      </x:c>
    </x:row>
    <x:row r="14">
      <x:c r="A14" s="86" t="str">
        <x:v>sixteen-proposition causal compiler</x:v>
      </x:c>
      <x:c r="B14" s="86" t="n">
        <x:v>35</x:v>
      </x:c>
      <x:c r="C14" s="86" t="str">
        <x:v>preserve separate decisions on one event clock</x:v>
      </x:c>
      <x:c r="D14" s="86" t="str">
        <x:v>public incident evidence systems</x:v>
      </x:c>
      <x:c r="E14" s="86" t="str">
        <x:v>PLANNING</x:v>
      </x:c>
    </x:row>
    <x:row r="15">
      <x:c r="A15" s="86" t="str">
        <x:v>computational pretrial and uncertainty system</x:v>
      </x:c>
      <x:c r="B15" s="86" t="n">
        <x:v>50</x:v>
      </x:c>
      <x:c r="C15" s="86" t="str">
        <x:v>guide placement without replacing physical acceptance</x:v>
      </x:c>
      <x:c r="D15" s="86" t="str">
        <x:v>range design and digital engineering</x:v>
      </x:c>
      <x:c r="E15" s="86" t="str">
        <x:v>PLANNING</x:v>
      </x:c>
    </x:row>
    <x:row r="16">
      <x:c r="A16" s="86" t="str">
        <x:v>reversible refractory field structures</x:v>
      </x:c>
      <x:c r="B16" s="86" t="n">
        <x:v>40</x:v>
      </x:c>
      <x:c r="C16" s="86" t="str">
        <x:v>survive, expose change and return to baseline</x:v>
      </x:c>
      <x:c r="D16" s="86" t="str">
        <x:v>reusable fire infrastructure</x:v>
      </x:c>
      <x:c r="E16" s="86" t="str">
        <x:v>PLANNING</x:v>
      </x:c>
    </x:row>
    <x:row r="17">
      <x:c r="A17" s="87" t="str">
        <x:v>closed-custody source recovery</x:v>
      </x:c>
      <x:c r="B17" s="87" t="n">
        <x:v>25</x:v>
      </x:c>
      <x:c r="C17" s="87" t="str">
        <x:v>close hot residue and absorbed-source routes</x:v>
      </x:c>
      <x:c r="D17" s="87" t="str">
        <x:v>contaminated debris logistics</x:v>
      </x:c>
      <x:c r="E17" s="87" t="str">
        <x:v>PLANNING</x:v>
      </x:c>
    </x:row>
    <x:row r="18">
      <x:c r="A18" s="83"/>
      <x:c r="B18" s="83"/>
      <x:c r="C18" s="83"/>
      <x:c r="D18" s="83"/>
      <x:c r="E18" s="83"/>
    </x:row>
    <x:row r="19" ht="22" customHeight="1">
      <x:c r="A19" s="40" t="str">
        <x:v>Technology total</x:v>
      </x:c>
      <x:c r="B19" s="69" t="n">
        <x:f>SUM(B6:B17)</x:f>
        <x:v>1000</x:v>
      </x:c>
      <x:c r="C19" s="83"/>
      <x:c r="D19" s="83"/>
      <x:c r="E19" s="83"/>
    </x:row>
  </x:sheetData>
  <x:mergeCells>
    <x:mergeCell ref="A2:E2"/>
  </x:mergeCells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8" hidden="0" customWidth="1"/>
    <x:col min="3" max="3" width="18" hidden="0" customWidth="1"/>
    <x:col min="4" max="4" width="18" hidden="0" customWidth="1"/>
    <x:col min="5" max="5" width="24" hidden="0" customWidth="1"/>
    <x:col min="6" max="6" width="20" hidden="0" customWidth="1"/>
    <x:col min="7" max="7" width="50" hidden="0" customWidth="1"/>
  </x:cols>
  <x:sheetData>
    <x:row r="2" ht="24" customHeight="1">
      <x:c r="A2" s="82" t="str">
        <x:v>RAS-3R6 parent-capacity amendment</x:v>
      </x:c>
      <x:c r="B2" s="83"/>
      <x:c r="C2" s="83"/>
      <x:c r="D2" s="83"/>
      <x:c r="E2" s="83"/>
      <x:c r="F2" s="83"/>
      <x:c r="G2" s="83"/>
    </x:row>
    <x:row r="3">
      <x:c r="A3" s="84"/>
      <x:c r="B3" s="84"/>
      <x:c r="C3" s="84"/>
      <x:c r="D3" s="84"/>
      <x:c r="E3" s="84"/>
      <x:c r="F3" s="84"/>
      <x:c r="G3" s="84"/>
    </x:row>
    <x:row r="4">
      <x:c r="A4" s="83"/>
      <x:c r="B4" s="83"/>
      <x:c r="C4" s="83"/>
      <x:c r="D4" s="83"/>
      <x:c r="E4" s="83"/>
      <x:c r="F4" s="83"/>
      <x:c r="G4" s="83"/>
    </x:row>
    <x:row r="5" ht="22" customHeight="1">
      <x:c r="A5" s="7" t="str">
        <x:v>Capacity</x:v>
      </x:c>
      <x:c r="B5" s="8" t="str">
        <x:v>RAS-3R5</x:v>
      </x:c>
      <x:c r="C5" s="8" t="str">
        <x:v>RAS-3R6</x:v>
      </x:c>
      <x:c r="D5" s="8" t="str">
        <x:v>Amendment</x:v>
      </x:c>
      <x:c r="E5" s="8" t="str">
        <x:v>Committed through RBO</x:v>
      </x:c>
      <x:c r="F5" s="8" t="str">
        <x:v>Remainder</x:v>
      </x:c>
      <x:c r="G5" s="9" t="str">
        <x:v>Finding</x:v>
      </x:c>
    </x:row>
    <x:row r="6">
      <x:c r="A6" s="85" t="str">
        <x:v>calendar (weeks)</x:v>
      </x:c>
      <x:c r="B6" s="129" t="n">
        <x:f>'Assumptions'!B66</x:f>
        <x:v>728</x:v>
      </x:c>
      <x:c r="C6" s="129" t="n">
        <x:f>'Assumptions'!B71</x:f>
        <x:v>832</x:v>
      </x:c>
      <x:c r="D6" s="129" t="n">
        <x:f>C6-B6</x:f>
        <x:v>104</x:v>
      </x:c>
      <x:c r="E6" s="129" t="n">
        <x:f>'Schedule'!B22</x:f>
        <x:v>679</x:v>
      </x:c>
      <x:c r="F6" s="129" t="n">
        <x:f>C6-E6</x:f>
        <x:v>153</x:v>
      </x:c>
      <x:c r="G6" s="85" t="str">
        <x:v>maximum calendar remainder is 119 weeks</x:v>
      </x:c>
    </x:row>
    <x:row r="7">
      <x:c r="A7" s="86" t="str">
        <x:v>positions</x:v>
      </x:c>
      <x:c r="B7" s="130" t="n">
        <x:f>'Assumptions'!B67</x:f>
        <x:v>3200</x:v>
      </x:c>
      <x:c r="C7" s="130" t="n">
        <x:f>'Assumptions'!B72</x:f>
        <x:v>4200</x:v>
      </x:c>
      <x:c r="D7" s="130" t="n">
        <x:f>C7-B7</x:f>
        <x:v>1000</x:v>
      </x:c>
      <x:c r="E7" s="130" t="n">
        <x:f>'Workforce'!B24</x:f>
        <x:v>3100</x:v>
      </x:c>
      <x:c r="F7" s="130" t="n">
        <x:f>C7-E7</x:f>
        <x:v>1100</x:v>
      </x:c>
      <x:c r="G7" s="86" t="str">
        <x:v>retains future-rung formation</x:v>
      </x:c>
    </x:row>
    <x:row r="8">
      <x:c r="A8" s="86" t="str">
        <x:v>capital (USD M)</x:v>
      </x:c>
      <x:c r="B8" s="130" t="n">
        <x:f>'Assumptions'!B68</x:f>
        <x:v>10500</x:v>
      </x:c>
      <x:c r="C8" s="130" t="n">
        <x:f>'Assumptions'!B73</x:f>
        <x:v>14000</x:v>
      </x:c>
      <x:c r="D8" s="130" t="n">
        <x:f>C8-B8</x:f>
        <x:v>3500</x:v>
      </x:c>
      <x:c r="E8" s="130" t="n">
        <x:f>'Assumptions'!B76+'Capital'!B20</x:f>
        <x:v>8280</x:v>
      </x:c>
      <x:c r="F8" s="130" t="n">
        <x:f>C8-E8</x:f>
        <x:v>5720</x:v>
      </x:c>
      <x:c r="G8" s="86" t="str">
        <x:v>retains correction and final-rung capital</x:v>
      </x:c>
    </x:row>
    <x:row r="9">
      <x:c r="A9" s="86" t="str">
        <x:v>annual support (USD M/year)</x:v>
      </x:c>
      <x:c r="B9" s="130" t="n">
        <x:f>'Assumptions'!B69</x:f>
        <x:v>700</x:v>
      </x:c>
      <x:c r="C9" s="130" t="n">
        <x:f>'Assumptions'!B74</x:f>
        <x:v>900</x:v>
      </x:c>
      <x:c r="D9" s="130" t="n">
        <x:f>C9-B9</x:f>
        <x:v>200</x:v>
      </x:c>
      <x:c r="E9" s="130" t="n">
        <x:f>'Annual Cost'!B19</x:f>
        <x:v>600</x:v>
      </x:c>
      <x:c r="F9" s="130" t="n">
        <x:f>C9-E9</x:f>
        <x:v>300</x:v>
      </x:c>
      <x:c r="G9" s="86" t="str">
        <x:v>retains annual research capacity</x:v>
      </x:c>
    </x:row>
    <x:row r="10">
      <x:c r="A10" s="87" t="str">
        <x:v>technology (USD M)</x:v>
      </x:c>
      <x:c r="B10" s="131" t="n">
        <x:f>'Assumptions'!B70</x:f>
        <x:v>4200</x:v>
      </x:c>
      <x:c r="C10" s="131" t="n">
        <x:f>'Assumptions'!B75</x:f>
        <x:v>6200</x:v>
      </x:c>
      <x:c r="D10" s="131" t="n">
        <x:f>C10-B10</x:f>
        <x:v>2000</x:v>
      </x:c>
      <x:c r="E10" s="131" t="n">
        <x:f>'Assumptions'!B77+'Technology'!B19</x:f>
        <x:v>3335</x:v>
      </x:c>
      <x:c r="F10" s="131" t="n">
        <x:f>C10-E10</x:f>
        <x:v>2865</x:v>
      </x:c>
      <x:c r="G10" s="87" t="str">
        <x:v>retains future technology authority</x:v>
      </x:c>
    </x:row>
  </x:sheetData>
  <x:mergeCells>
    <x:mergeCell ref="A2:G2"/>
  </x:mergeCells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20" hidden="0" customWidth="1"/>
    <x:col min="4" max="4" width="20" hidden="0" customWidth="1"/>
    <x:col min="5" max="5" width="22" hidden="0" customWidth="1"/>
    <x:col min="6" max="6" width="24" hidden="0" customWidth="1"/>
    <x:col min="7" max="7" width="22" hidden="0" customWidth="1"/>
  </x:cols>
  <x:sheetData>
    <x:row r="2" ht="24" customHeight="1">
      <x:c r="A2" s="82" t="str">
        <x:v>Declared scale and facility sensitivities</x:v>
      </x:c>
      <x:c r="B2" s="83"/>
      <x:c r="C2" s="83"/>
      <x:c r="D2" s="83"/>
      <x:c r="E2" s="83"/>
      <x:c r="F2" s="83"/>
      <x:c r="G2" s="83"/>
    </x:row>
    <x:row r="3">
      <x:c r="A3" s="84"/>
      <x:c r="B3" s="84"/>
      <x:c r="C3" s="84"/>
      <x:c r="D3" s="84"/>
      <x:c r="E3" s="84"/>
      <x:c r="F3" s="84"/>
      <x:c r="G3" s="84"/>
    </x:row>
    <x:row r="4">
      <x:c r="A4" s="83"/>
      <x:c r="B4" s="83"/>
      <x:c r="C4" s="83"/>
      <x:c r="D4" s="83"/>
      <x:c r="E4" s="83"/>
      <x:c r="F4" s="83"/>
      <x:c r="G4" s="83"/>
    </x:row>
    <x:row r="5" ht="22" customHeight="1">
      <x:c r="A5" s="7" t="str">
        <x:v>Area case</x:v>
      </x:c>
      <x:c r="B5" s="8" t="str">
        <x:v>Area (m²)</x:v>
      </x:c>
      <x:c r="C5" s="8" t="str">
        <x:v>Source/area</x:v>
      </x:c>
      <x:c r="D5" s="8" t="str">
        <x:v>Mean depth (mm)</x:v>
      </x:c>
      <x:c r="E5" s="8" t="str">
        <x:v>Diameter (m)</x:v>
      </x:c>
      <x:c r="F5" s="8" t="str">
        <x:v>Duration (min)</x:v>
      </x:c>
      <x:c r="G5" s="9" t="str">
        <x:v>Energy/boundary</x:v>
      </x:c>
    </x:row>
    <x:row r="6">
      <x:c r="A6" s="85" t="str">
        <x:v>compact</x:v>
      </x:c>
      <x:c r="B6" s="99" t="n">
        <x:v>5</x:v>
      </x:c>
      <x:c r="C6" s="126" t="n">
        <x:f>'Assumptions'!B8/B6</x:f>
        <x:v>100</x:v>
      </x:c>
      <x:c r="D6" s="126" t="n">
        <x:f>('Assumptions'!B8/'Assumptions'!B12)/B6*1000</x:f>
        <x:v>125</x:v>
      </x:c>
      <x:c r="E6" s="126" t="n">
        <x:f>SQRT(4*B6/PI())</x:f>
        <x:v>2.5231325220201604</x:v>
      </x:c>
      <x:c r="F6" s="126" t="n">
        <x:f>'Assumptions'!B8/('Assumptions'!B14*B6)/60</x:f>
        <x:v>30.3030303030303</x:v>
      </x:c>
      <x:c r="G6" s="126" t="n">
        <x:f>('Assumptions'!B8*'Assumptions'!B15)/(PI()*E6)</x:f>
        <x:v>2686.379196194864</x:v>
      </x:c>
    </x:row>
    <x:row r="7">
      <x:c r="A7" s="86" t="str">
        <x:v>registered</x:v>
      </x:c>
      <x:c r="B7" s="101" t="n">
        <x:v>6.25</x:v>
      </x:c>
      <x:c r="C7" s="127" t="n">
        <x:f>'Assumptions'!B8/B7</x:f>
        <x:v>80</x:v>
      </x:c>
      <x:c r="D7" s="127" t="n">
        <x:f>('Assumptions'!B8/'Assumptions'!B12)/B7*1000</x:f>
        <x:v>100</x:v>
      </x:c>
      <x:c r="E7" s="127" t="n">
        <x:f>SQRT(4*B7/PI())</x:f>
        <x:v>2.8209479177387813</x:v>
      </x:c>
      <x:c r="F7" s="127" t="n">
        <x:f>'Assumptions'!B8/('Assumptions'!B14*B7)/60</x:f>
        <x:v>24.242424242424242</x:v>
      </x:c>
      <x:c r="G7" s="127" t="n">
        <x:f>('Assumptions'!B8*'Assumptions'!B15)/(PI()*E7)</x:f>
        <x:v>2402.770598413185</x:v>
      </x:c>
    </x:row>
    <x:row r="8">
      <x:c r="A8" s="87" t="str">
        <x:v>wide</x:v>
      </x:c>
      <x:c r="B8" s="102" t="n">
        <x:v>8</x:v>
      </x:c>
      <x:c r="C8" s="128" t="n">
        <x:f>'Assumptions'!B8/B8</x:f>
        <x:v>62.5</x:v>
      </x:c>
      <x:c r="D8" s="128" t="n">
        <x:f>('Assumptions'!B8/'Assumptions'!B12)/B8*1000</x:f>
        <x:v>78.125</x:v>
      </x:c>
      <x:c r="E8" s="128" t="n">
        <x:f>SQRT(4*B8/PI())</x:f>
        <x:v>3.1915382432114616</x:v>
      </x:c>
      <x:c r="F8" s="128" t="n">
        <x:f>'Assumptions'!B8/('Assumptions'!B14*B8)/60</x:f>
        <x:v>18.939393939393938</x:v>
      </x:c>
      <x:c r="G8" s="128" t="n">
        <x:f>('Assumptions'!B8*'Assumptions'!B15)/(PI()*E8)</x:f>
        <x:v>2123.7692297170265</x:v>
      </x:c>
    </x:row>
    <x:row r="9">
      <x:c r="A9" s="83"/>
      <x:c r="B9" s="83"/>
      <x:c r="C9" s="83"/>
      <x:c r="D9" s="83"/>
      <x:c r="E9" s="83"/>
      <x:c r="F9" s="83"/>
      <x:c r="G9" s="83"/>
    </x:row>
    <x:row r="10">
      <x:c r="A10" s="83"/>
      <x:c r="B10" s="83"/>
      <x:c r="C10" s="83"/>
      <x:c r="D10" s="83"/>
      <x:c r="E10" s="83"/>
      <x:c r="F10" s="83"/>
      <x:c r="G10" s="83"/>
    </x:row>
    <x:row r="11" ht="22" customHeight="1">
      <x:c r="A11" s="40" t="str">
        <x:v>Source case</x:v>
      </x:c>
      <x:c r="B11" s="41" t="str">
        <x:v>Source (kg)</x:v>
      </x:c>
      <x:c r="C11" s="41" t="str">
        <x:v>Source/area</x:v>
      </x:c>
      <x:c r="D11" s="41" t="str">
        <x:v>Mean depth (mm)</x:v>
      </x:c>
      <x:c r="E11" s="41" t="str">
        <x:v>Energy (MJ)</x:v>
      </x:c>
      <x:c r="F11" s="41" t="str">
        <x:v>Duration (min)</x:v>
      </x:c>
      <x:c r="G11" s="42" t="str">
        <x:v>Issue rate (kg/s)</x:v>
      </x:c>
    </x:row>
    <x:row r="12">
      <x:c r="A12" s="85" t="str">
        <x:v>lower</x:v>
      </x:c>
      <x:c r="B12" s="99" t="n">
        <x:v>400</x:v>
      </x:c>
      <x:c r="C12" s="126" t="n">
        <x:f>B12/'Assumptions'!B11</x:f>
        <x:v>64</x:v>
      </x:c>
      <x:c r="D12" s="126" t="n">
        <x:f>(B12/'Assumptions'!B12)/'Assumptions'!B11*1000</x:f>
        <x:v>80</x:v>
      </x:c>
      <x:c r="E12" s="126" t="n">
        <x:f>B12*'Assumptions'!B15</x:f>
        <x:v>17035.2</x:v>
      </x:c>
      <x:c r="F12" s="126" t="n">
        <x:f>B12/('Assumptions'!B14*'Assumptions'!B11)/60</x:f>
        <x:v>19.393939393939394</x:v>
      </x:c>
      <x:c r="G12" s="126" t="n">
        <x:f>B12/'Assumptions'!B13</x:f>
        <x:v>3.3333333333333335</x:v>
      </x:c>
    </x:row>
    <x:row r="13">
      <x:c r="A13" s="86" t="str">
        <x:v>registered</x:v>
      </x:c>
      <x:c r="B13" s="101" t="n">
        <x:v>500</x:v>
      </x:c>
      <x:c r="C13" s="127" t="n">
        <x:f>B13/'Assumptions'!B11</x:f>
        <x:v>80</x:v>
      </x:c>
      <x:c r="D13" s="127" t="n">
        <x:f>(B13/'Assumptions'!B12)/'Assumptions'!B11*1000</x:f>
        <x:v>100</x:v>
      </x:c>
      <x:c r="E13" s="127" t="n">
        <x:f>B13*'Assumptions'!B15</x:f>
        <x:v>21294</x:v>
      </x:c>
      <x:c r="F13" s="127" t="n">
        <x:f>B13/('Assumptions'!B14*'Assumptions'!B11)/60</x:f>
        <x:v>24.242424242424242</x:v>
      </x:c>
      <x:c r="G13" s="127" t="n">
        <x:f>B13/'Assumptions'!B13</x:f>
        <x:v>4.166666666666667</x:v>
      </x:c>
    </x:row>
    <x:row r="14">
      <x:c r="A14" s="87" t="str">
        <x:v>upper</x:v>
      </x:c>
      <x:c r="B14" s="102" t="n">
        <x:v>600</x:v>
      </x:c>
      <x:c r="C14" s="128" t="n">
        <x:f>B14/'Assumptions'!B11</x:f>
        <x:v>96</x:v>
      </x:c>
      <x:c r="D14" s="128" t="n">
        <x:f>(B14/'Assumptions'!B12)/'Assumptions'!B11*1000</x:f>
        <x:v>120</x:v>
      </x:c>
      <x:c r="E14" s="128" t="n">
        <x:f>B14*'Assumptions'!B15</x:f>
        <x:v>25552.8</x:v>
      </x:c>
      <x:c r="F14" s="128" t="n">
        <x:f>B14/('Assumptions'!B14*'Assumptions'!B11)/60</x:f>
        <x:v>29.09090909090909</x:v>
      </x:c>
      <x:c r="G14" s="128" t="n">
        <x:f>B14/'Assumptions'!B13</x:f>
        <x:v>5</x:v>
      </x:c>
    </x:row>
    <x:row r="15">
      <x:c r="A15" s="83"/>
      <x:c r="B15" s="83"/>
      <x:c r="C15" s="83"/>
      <x:c r="D15" s="83"/>
      <x:c r="E15" s="83"/>
      <x:c r="F15" s="83"/>
      <x:c r="G15" s="83"/>
    </x:row>
    <x:row r="16">
      <x:c r="A16" s="83"/>
      <x:c r="B16" s="83"/>
      <x:c r="C16" s="83"/>
      <x:c r="D16" s="83"/>
      <x:c r="E16" s="83"/>
      <x:c r="F16" s="83"/>
      <x:c r="G16" s="83"/>
    </x:row>
    <x:row r="17" ht="22" customHeight="1">
      <x:c r="A17" s="40" t="str">
        <x:v>Exhaust case</x:v>
      </x:c>
      <x:c r="B17" s="41" t="str">
        <x:v>Heat fraction</x:v>
      </x:c>
      <x:c r="C17" s="41" t="str">
        <x:v>Temperature rise (K)</x:v>
      </x:c>
      <x:c r="D17" s="41" t="str">
        <x:v>Facility factor</x:v>
      </x:c>
      <x:c r="E17" s="41" t="str">
        <x:v>Provisioned volume (m³/s)</x:v>
      </x:c>
      <x:c r="F17" s="42" t="str">
        <x:v>Meaning</x:v>
      </x:c>
      <x:c r="G17" s="83"/>
    </x:row>
    <x:row r="18">
      <x:c r="A18" s="85" t="str">
        <x:v>lower</x:v>
      </x:c>
      <x:c r="B18" s="99" t="n">
        <x:v>0.5</x:v>
      </x:c>
      <x:c r="C18" s="99" t="n">
        <x:v>250</x:v>
      </x:c>
      <x:c r="D18" s="99" t="n">
        <x:v>1.25</x:v>
      </x:c>
      <x:c r="E18" s="126" t="n">
        <x:f>('Scale Transition'!D15*1000*B18/('Assumptions'!B22*C18)/'Assumptions'!B20)*D18</x:f>
        <x:v>30.197246287128717</x:v>
      </x:c>
      <x:c r="F18" s="85" t="str">
        <x:v>facility range only</x:v>
      </x:c>
      <x:c r="G18" s="83"/>
    </x:row>
    <x:row r="19">
      <x:c r="A19" s="86" t="str">
        <x:v>registered</x:v>
      </x:c>
      <x:c r="B19" s="101" t="n">
        <x:v>0.65</x:v>
      </x:c>
      <x:c r="C19" s="101" t="n">
        <x:v>200</x:v>
      </x:c>
      <x:c r="D19" s="101" t="n">
        <x:v>1.5</x:v>
      </x:c>
      <x:c r="E19" s="127" t="n">
        <x:f>('Scale Transition'!D15*1000*B19/('Assumptions'!B22*C19)/'Assumptions'!B20)*D19</x:f>
        <x:v>58.884630259900995</x:v>
      </x:c>
      <x:c r="F19" s="86" t="str">
        <x:v>registered planning case</x:v>
      </x:c>
      <x:c r="G19" s="83"/>
    </x:row>
    <x:row r="20">
      <x:c r="A20" s="87" t="str">
        <x:v>upper provision</x:v>
      </x:c>
      <x:c r="B20" s="102" t="n">
        <x:v>0.75</x:v>
      </x:c>
      <x:c r="C20" s="102" t="n">
        <x:v>175</x:v>
      </x:c>
      <x:c r="D20" s="102" t="n">
        <x:v>1.75</x:v>
      </x:c>
      <x:c r="E20" s="128" t="n">
        <x:f>('Scale Transition'!D15*1000*B20/('Assumptions'!B22*C20)/'Assumptions'!B20)*D20</x:f>
        <x:v>90.59173886138613</x:v>
      </x:c>
      <x:c r="F20" s="87" t="str">
        <x:v>facility range only</x:v>
      </x:c>
      <x:c r="G20" s="83"/>
    </x:row>
  </x:sheetData>
  <x:mergeCells>
    <x:mergeCell ref="A2:G2"/>
  </x:mergeCells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0" hidden="0" customWidth="1"/>
    <x:col min="3" max="3" width="34" hidden="0" customWidth="1"/>
    <x:col min="4" max="4" width="18" hidden="0" customWidth="1"/>
    <x:col min="5" max="5" width="18" hidden="0" customWidth="1"/>
    <x:col min="6" max="6" width="48" hidden="0" customWidth="1"/>
  </x:cols>
  <x:sheetData>
    <x:row r="2" ht="24" customHeight="1">
      <x:c r="A2" s="82" t="str">
        <x:v>Conjunctive RBO-1 release ladder</x:v>
      </x:c>
      <x:c r="B2" s="83"/>
      <x:c r="C2" s="83"/>
      <x:c r="D2" s="83"/>
      <x:c r="E2" s="83"/>
      <x:c r="F2" s="83"/>
    </x:row>
    <x:row r="3">
      <x:c r="A3" s="84"/>
      <x:c r="B3" s="84"/>
      <x:c r="C3" s="84"/>
      <x:c r="D3" s="84"/>
      <x:c r="E3" s="84"/>
      <x:c r="F3" s="84"/>
    </x:row>
    <x:row r="4">
      <x:c r="A4" s="83"/>
      <x:c r="B4" s="83"/>
      <x:c r="C4" s="83"/>
      <x:c r="D4" s="83"/>
      <x:c r="E4" s="83"/>
      <x:c r="F4" s="83"/>
    </x:row>
    <x:row r="5" ht="22" customHeight="1">
      <x:c r="A5" s="7" t="str">
        <x:v>Release object</x:v>
      </x:c>
      <x:c r="B5" s="8" t="str">
        <x:v>Required population</x:v>
      </x:c>
      <x:c r="C5" s="8" t="str">
        <x:v>Physical result</x:v>
      </x:c>
      <x:c r="D5" s="8" t="str">
        <x:v>Board state</x:v>
      </x:c>
      <x:c r="E5" s="8" t="str">
        <x:v>Current result</x:v>
      </x:c>
      <x:c r="F5" s="9" t="str">
        <x:v>Authority granted</x:v>
      </x:c>
    </x:row>
    <x:row r="6">
      <x:c r="A6" s="85" t="str">
        <x:v>field-time architecture</x:v>
      </x:c>
      <x:c r="B6" s="85" t="n">
        <x:v>384</x:v>
      </x:c>
      <x:c r="C6" s="100" t="str"/>
      <x:c r="D6" s="100" t="str">
        <x:v>OPEN</x:v>
      </x:c>
      <x:c r="E6" s="88" t="str">
        <x:v>BLOCKED</x:v>
      </x:c>
      <x:c r="F6" s="85" t="str">
        <x:v>one architecture only</x:v>
      </x:c>
    </x:row>
    <x:row r="7">
      <x:c r="A7" s="86" t="str">
        <x:v>FRC-500 bank</x:v>
      </x:c>
      <x:c r="B7" s="86" t="n">
        <x:v>128</x:v>
      </x:c>
      <x:c r="C7" s="91" t="str"/>
      <x:c r="D7" s="91" t="str">
        <x:v>OPEN</x:v>
      </x:c>
      <x:c r="E7" s="89" t="str">
        <x:v>BLOCKED</x:v>
      </x:c>
      <x:c r="F7" s="86" t="str">
        <x:v>sixteen serviceable modules</x:v>
      </x:c>
    </x:row>
    <x:row r="8">
      <x:c r="A8" s="86" t="str">
        <x:v>topology blind-volume bound</x:v>
      </x:c>
      <x:c r="B8" s="86" t="n">
        <x:v>128</x:v>
      </x:c>
      <x:c r="C8" s="91" t="str"/>
      <x:c r="D8" s="91" t="str">
        <x:v>OPEN</x:v>
      </x:c>
      <x:c r="E8" s="89" t="str">
        <x:v>BLOCKED</x:v>
      </x:c>
      <x:c r="F8" s="86" t="str">
        <x:v>approved event bound</x:v>
      </x:c>
    </x:row>
    <x:row r="9">
      <x:c r="A9" s="86" t="str">
        <x:v>ER-08 event credit</x:v>
      </x:c>
      <x:c r="B9" s="86" t="n">
        <x:v>1</x:v>
      </x:c>
      <x:c r="C9" s="91" t="str"/>
      <x:c r="D9" s="91" t="str">
        <x:v>OPEN</x:v>
      </x:c>
      <x:c r="E9" s="89" t="str">
        <x:v>BLOCKED</x:v>
      </x:c>
      <x:c r="F9" s="86" t="str">
        <x:v>one exact cell only</x:v>
      </x:c>
    </x:row>
    <x:row r="10">
      <x:c r="A10" s="86" t="str">
        <x:v>ER-08 class</x:v>
      </x:c>
      <x:c r="B10" s="86" t="n">
        <x:v>12</x:v>
      </x:c>
      <x:c r="C10" s="91" t="str"/>
      <x:c r="D10" s="91" t="str">
        <x:v>OPEN</x:v>
      </x:c>
      <x:c r="E10" s="89" t="str">
        <x:v>BLOCKED</x:v>
      </x:c>
      <x:c r="F10" s="86" t="str">
        <x:v>500 kg / 6.25 m² reference</x:v>
      </x:c>
    </x:row>
    <x:row r="11">
      <x:c r="A11" s="86" t="str">
        <x:v>672-hour host exchange</x:v>
      </x:c>
      <x:c r="B11" s="86" t="n">
        <x:v>216</x:v>
      </x:c>
      <x:c r="C11" s="91" t="str"/>
      <x:c r="D11" s="91" t="str">
        <x:v>OPEN</x:v>
      </x:c>
      <x:c r="E11" s="89" t="str">
        <x:v>BLOCKED</x:v>
      </x:c>
      <x:c r="F11" s="86" t="str">
        <x:v>host reuse only</x:v>
      </x:c>
    </x:row>
    <x:row r="12">
      <x:c r="A12" s="86" t="str">
        <x:v>RBP-1 entry</x:v>
      </x:c>
      <x:c r="B12" s="86" t="n">
        <x:v>0</x:v>
      </x:c>
      <x:c r="C12" s="86" t="str">
        <x:v>not constituted</x:v>
      </x:c>
      <x:c r="D12" s="86" t="str">
        <x:v>BLOCKED</x:v>
      </x:c>
      <x:c r="E12" s="89" t="str">
        <x:v>BLOCKED</x:v>
      </x:c>
      <x:c r="F12" s="86" t="str">
        <x:v>500 kg wet research only</x:v>
      </x:c>
    </x:row>
    <x:row r="13">
      <x:c r="A13" s="86" t="str">
        <x:v>candidate admission</x:v>
      </x:c>
      <x:c r="B13" s="86" t="n">
        <x:v>0</x:v>
      </x:c>
      <x:c r="C13" s="86" t="str">
        <x:v>not constituted</x:v>
      </x:c>
      <x:c r="D13" s="86" t="str">
        <x:v>BLOCKED</x:v>
      </x:c>
      <x:c r="E13" s="89" t="str">
        <x:v>BLOCKED</x:v>
      </x:c>
      <x:c r="F13" s="86" t="str">
        <x:v>none</x:v>
      </x:c>
    </x:row>
    <x:row r="14">
      <x:c r="A14" s="86" t="str">
        <x:v>procurement</x:v>
      </x:c>
      <x:c r="B14" s="86" t="n">
        <x:v>0</x:v>
      </x:c>
      <x:c r="C14" s="86" t="str">
        <x:v>not constituted</x:v>
      </x:c>
      <x:c r="D14" s="86" t="str">
        <x:v>BLOCKED</x:v>
      </x:c>
      <x:c r="E14" s="89" t="str">
        <x:v>BLOCKED</x:v>
      </x:c>
      <x:c r="F14" s="86" t="str">
        <x:v>none</x:v>
      </x:c>
    </x:row>
    <x:row r="15">
      <x:c r="A15" s="86" t="str">
        <x:v>deployment</x:v>
      </x:c>
      <x:c r="B15" s="86" t="n">
        <x:v>0</x:v>
      </x:c>
      <x:c r="C15" s="86" t="str">
        <x:v>not constituted</x:v>
      </x:c>
      <x:c r="D15" s="86" t="str">
        <x:v>BLOCKED</x:v>
      </x:c>
      <x:c r="E15" s="89" t="str">
        <x:v>BLOCKED</x:v>
      </x:c>
      <x:c r="F15" s="86" t="str">
        <x:v>none</x:v>
      </x:c>
    </x:row>
    <x:row r="16">
      <x:c r="A16" s="86" t="str">
        <x:v>export</x:v>
      </x:c>
      <x:c r="B16" s="86" t="n">
        <x:v>0</x:v>
      </x:c>
      <x:c r="C16" s="86" t="str">
        <x:v>not constituted</x:v>
      </x:c>
      <x:c r="D16" s="86" t="str">
        <x:v>BLOCKED</x:v>
      </x:c>
      <x:c r="E16" s="89" t="str">
        <x:v>BLOCKED</x:v>
      </x:c>
      <x:c r="F16" s="86" t="str">
        <x:v>none</x:v>
      </x:c>
    </x:row>
    <x:row r="17">
      <x:c r="A17" s="87" t="str">
        <x:v>exterior rendering</x:v>
      </x:c>
      <x:c r="B17" s="87" t="n">
        <x:v>0</x:v>
      </x:c>
      <x:c r="C17" s="87" t="str">
        <x:v>field and wet interfaces unresolved</x:v>
      </x:c>
      <x:c r="D17" s="87" t="str">
        <x:v>BLOCKED</x:v>
      </x:c>
      <x:c r="E17" s="90" t="str">
        <x:v>BLOCKED</x:v>
      </x:c>
      <x:c r="F17" s="87" t="str">
        <x:v>none</x:v>
      </x:c>
    </x:row>
  </x:sheetData>
  <x:mergeCells>
    <x:mergeCell ref="A2:F2"/>
  </x:mergeCells>
  <x:pageMargins left="0.7" right="0.7" top="0.75" bottom="0.75" header="0.3" footer="0.3"/>
</x:worksheet>
</file>

<file path=xl/worksheets/sheet41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42" hidden="0" customWidth="1"/>
    <x:col min="2" max="2" width="22" hidden="0" customWidth="1"/>
    <x:col min="3" max="3" width="22" hidden="0" customWidth="1"/>
    <x:col min="4" max="4" width="20" hidden="0" customWidth="1"/>
    <x:col min="5" max="5" width="14" hidden="0" customWidth="1"/>
  </x:cols>
  <x:sheetData>
    <x:row r="2" ht="24" customHeight="1">
      <x:c r="A2" s="82" t="str">
        <x:v>Terminal structural and numerical audit</x:v>
      </x:c>
      <x:c r="B2" s="83"/>
      <x:c r="C2" s="83"/>
      <x:c r="D2" s="83"/>
      <x:c r="E2" s="83"/>
    </x:row>
    <x:row r="3">
      <x:c r="A3" s="84"/>
      <x:c r="B3" s="84"/>
      <x:c r="C3" s="84"/>
      <x:c r="D3" s="84"/>
      <x:c r="E3" s="84"/>
    </x:row>
    <x:row r="4">
      <x:c r="A4" s="83"/>
      <x:c r="B4" s="83"/>
      <x:c r="C4" s="83"/>
      <x:c r="D4" s="83"/>
      <x:c r="E4" s="83"/>
    </x:row>
    <x:row r="5" ht="22" customHeight="1">
      <x:c r="A5" s="7" t="str">
        <x:v>Audit</x:v>
      </x:c>
      <x:c r="B5" s="8" t="str">
        <x:v>Observed</x:v>
      </x:c>
      <x:c r="C5" s="8" t="str">
        <x:v>Expected</x:v>
      </x:c>
      <x:c r="D5" s="8" t="str">
        <x:v>Difference</x:v>
      </x:c>
      <x:c r="E5" s="9" t="str">
        <x:v>State</x:v>
      </x:c>
    </x:row>
    <x:row r="6">
      <x:c r="A6" s="85" t="str">
        <x:v>candidate architectures</x:v>
      </x:c>
      <x:c r="B6" s="132" t="n">
        <x:f>COUNTA('Architecture Candidates'!A6:A9)</x:f>
        <x:v>4</x:v>
      </x:c>
      <x:c r="C6" s="133" t="n">
        <x:v>4</x:v>
      </x:c>
      <x:c r="D6" s="133" t="n">
        <x:f>B6-C6</x:f>
        <x:v>0</x:v>
      </x:c>
      <x:c r="E6" s="85" t="str">
        <x:f>IF(ABS(D6)&lt;0.0001,"PASS","FAIL")</x:f>
        <x:v>PASS</x:v>
      </x:c>
    </x:row>
    <x:row r="7">
      <x:c r="A7" s="86" t="str">
        <x:v>candidate articles</x:v>
      </x:c>
      <x:c r="B7" s="134" t="n">
        <x:f>'Assumptions'!B36</x:f>
        <x:v>24</x:v>
      </x:c>
      <x:c r="C7" s="135" t="n">
        <x:v>24</x:v>
      </x:c>
      <x:c r="D7" s="135" t="n">
        <x:f>B7-C7</x:f>
        <x:v>0</x:v>
      </x:c>
      <x:c r="E7" s="86" t="str">
        <x:f>IF(ABS(D7)&lt;0.0001,"PASS","FAIL")</x:f>
        <x:v>PASS</x:v>
      </x:c>
    </x:row>
    <x:row r="8">
      <x:c r="A8" s="86" t="str">
        <x:v>candidate trials</x:v>
      </x:c>
      <x:c r="B8" s="134" t="n">
        <x:f>COUNTA('Candidate Campaign'!A6:A245)</x:f>
        <x:v>240</x:v>
      </x:c>
      <x:c r="C8" s="135" t="n">
        <x:v>240</x:v>
      </x:c>
      <x:c r="D8" s="135" t="n">
        <x:f>B8-C8</x:f>
        <x:v>0</x:v>
      </x:c>
      <x:c r="E8" s="86" t="str">
        <x:f>IF(ABS(D8)&lt;0.0001,"PASS","FAIL")</x:f>
        <x:v>PASS</x:v>
      </x:c>
    </x:row>
    <x:row r="9">
      <x:c r="A9" s="86" t="str">
        <x:v>candidate simulant</x:v>
      </x:c>
      <x:c r="B9" s="134" t="n">
        <x:f>SUM('Candidate Campaign'!G6:G245)</x:f>
        <x:v>30000</x:v>
      </x:c>
      <x:c r="C9" s="135" t="n">
        <x:v>30000</x:v>
      </x:c>
      <x:c r="D9" s="135" t="n">
        <x:f>B9-C9</x:f>
        <x:v>0</x:v>
      </x:c>
      <x:c r="E9" s="86" t="str">
        <x:f>IF(ABS(D9)&lt;0.0001,"PASS","FAIL")</x:f>
        <x:v>PASS</x:v>
      </x:c>
    </x:row>
    <x:row r="10">
      <x:c r="A10" s="86" t="str">
        <x:v>matched comparisons</x:v>
      </x:c>
      <x:c r="B10" s="134" t="n">
        <x:f>COUNTA('Matched Comparisons'!A6:A149)</x:f>
        <x:v>144</x:v>
      </x:c>
      <x:c r="C10" s="135" t="n">
        <x:v>144</x:v>
      </x:c>
      <x:c r="D10" s="135" t="n">
        <x:f>B10-C10</x:f>
        <x:v>0</x:v>
      </x:c>
      <x:c r="E10" s="86" t="str">
        <x:f>IF(ABS(D10)&lt;0.0001,"PASS","FAIL")</x:f>
        <x:v>PASS</x:v>
      </x:c>
    </x:row>
    <x:row r="11">
      <x:c r="A11" s="86" t="str">
        <x:v>comparison simulant</x:v>
      </x:c>
      <x:c r="B11" s="134" t="n">
        <x:f>SUM('Matched Comparisons'!F6:F149)</x:f>
        <x:v>54000</x:v>
      </x:c>
      <x:c r="C11" s="135" t="n">
        <x:v>54000</x:v>
      </x:c>
      <x:c r="D11" s="135" t="n">
        <x:f>B11-C11</x:f>
        <x:v>0</x:v>
      </x:c>
      <x:c r="E11" s="86" t="str">
        <x:f>IF(ABS(D11)&lt;0.0001,"PASS","FAIL")</x:f>
        <x:v>PASS</x:v>
      </x:c>
    </x:row>
    <x:row r="12">
      <x:c r="A12" s="86" t="str">
        <x:v>nonenergetic simulant</x:v>
      </x:c>
      <x:c r="B12" s="134" t="n">
        <x:f>SUM('Candidate Campaign'!G6:G245)+SUM('Matched Comparisons'!F6:F149)</x:f>
        <x:v>84000</x:v>
      </x:c>
      <x:c r="C12" s="135" t="n">
        <x:v>84000</x:v>
      </x:c>
      <x:c r="D12" s="135" t="n">
        <x:f>B12-C12</x:f>
        <x:v>0</x:v>
      </x:c>
      <x:c r="E12" s="86" t="str">
        <x:f>IF(ABS(D12)&lt;0.0001,"PASS","FAIL")</x:f>
        <x:v>PASS</x:v>
      </x:c>
    </x:row>
    <x:row r="13">
      <x:c r="A13" s="86" t="str">
        <x:v>module bank</x:v>
      </x:c>
      <x:c r="B13" s="134" t="n">
        <x:f>COUNTA('Module Bank'!A6:A23)</x:f>
        <x:v>18</x:v>
      </x:c>
      <x:c r="C13" s="135" t="n">
        <x:v>18</x:v>
      </x:c>
      <x:c r="D13" s="135" t="n">
        <x:f>B13-C13</x:f>
        <x:v>0</x:v>
      </x:c>
      <x:c r="E13" s="86" t="str">
        <x:f>IF(ABS(D13)&lt;0.0001,"PASS","FAIL")</x:f>
        <x:v>PASS</x:v>
      </x:c>
    </x:row>
    <x:row r="14">
      <x:c r="A14" s="86" t="str">
        <x:v>serviceable modules</x:v>
      </x:c>
      <x:c r="B14" s="134" t="n">
        <x:f>COUNTIFS('Module Bank'!B6:B23,"&lt;&gt;forensic")</x:f>
        <x:v>16</x:v>
      </x:c>
      <x:c r="C14" s="135" t="n">
        <x:v>16</x:v>
      </x:c>
      <x:c r="D14" s="135" t="n">
        <x:f>B14-C14</x:f>
        <x:v>0</x:v>
      </x:c>
      <x:c r="E14" s="86" t="str">
        <x:f>IF(ABS(D14)&lt;0.0001,"PASS","FAIL")</x:f>
        <x:v>PASS</x:v>
      </x:c>
    </x:row>
    <x:row r="15">
      <x:c r="A15" s="86" t="str">
        <x:v>qualification cycles</x:v>
      </x:c>
      <x:c r="B15" s="134" t="n">
        <x:f>COUNTA('Qualification'!A6:A133)</x:f>
        <x:v>128</x:v>
      </x:c>
      <x:c r="C15" s="135" t="n">
        <x:v>128</x:v>
      </x:c>
      <x:c r="D15" s="135" t="n">
        <x:f>B15-C15</x:f>
        <x:v>0</x:v>
      </x:c>
      <x:c r="E15" s="86" t="str">
        <x:f>IF(ABS(D15)&lt;0.0001,"PASS","FAIL")</x:f>
        <x:v>PASS</x:v>
      </x:c>
    </x:row>
    <x:row r="16">
      <x:c r="A16" s="86" t="str">
        <x:v>qualification source</x:v>
      </x:c>
      <x:c r="B16" s="134" t="n">
        <x:f>SUM('Qualification'!E6:E133)</x:f>
        <x:v>48000</x:v>
      </x:c>
      <x:c r="C16" s="135" t="n">
        <x:v>48000</x:v>
      </x:c>
      <x:c r="D16" s="135" t="n">
        <x:f>B16-C16</x:f>
        <x:v>0</x:v>
      </x:c>
      <x:c r="E16" s="86" t="str">
        <x:f>IF(ABS(D16)&lt;0.0001,"PASS","FAIL")</x:f>
        <x:v>PASS</x:v>
      </x:c>
    </x:row>
    <x:row r="17">
      <x:c r="A17" s="86" t="str">
        <x:v>required class cells</x:v>
      </x:c>
      <x:c r="B17" s="134" t="n">
        <x:f>COUNTA('Class Matrix'!A6:A17)</x:f>
        <x:v>12</x:v>
      </x:c>
      <x:c r="C17" s="135" t="n">
        <x:v>12</x:v>
      </x:c>
      <x:c r="D17" s="135" t="n">
        <x:f>B17-C17</x:f>
        <x:v>0</x:v>
      </x:c>
      <x:c r="E17" s="86" t="str">
        <x:f>IF(ABS(D17)&lt;0.0001,"PASS","FAIL")</x:f>
        <x:v>PASS</x:v>
      </x:c>
    </x:row>
    <x:row r="18">
      <x:c r="A18" s="86" t="str">
        <x:v>reserve identities</x:v>
      </x:c>
      <x:c r="B18" s="134" t="n">
        <x:f>COUNTA('Reserve Register'!A6:A9)</x:f>
        <x:v>4</x:v>
      </x:c>
      <x:c r="C18" s="135" t="n">
        <x:v>4</x:v>
      </x:c>
      <x:c r="D18" s="135" t="n">
        <x:f>B18-C18</x:f>
        <x:v>0</x:v>
      </x:c>
      <x:c r="E18" s="86" t="str">
        <x:f>IF(ABS(D18)&lt;0.0001,"PASS","FAIL")</x:f>
        <x:v>PASS</x:v>
      </x:c>
    </x:row>
    <x:row r="19">
      <x:c r="A19" s="86" t="str">
        <x:v>required class source</x:v>
      </x:c>
      <x:c r="B19" s="134" t="n">
        <x:f>'Class Matrix'!B21</x:f>
        <x:v>6000</x:v>
      </x:c>
      <x:c r="C19" s="135" t="n">
        <x:v>6000</x:v>
      </x:c>
      <x:c r="D19" s="135" t="n">
        <x:f>B19-C19</x:f>
        <x:v>0</x:v>
      </x:c>
      <x:c r="E19" s="86" t="str">
        <x:f>IF(ABS(D19)&lt;0.0001,"PASS","FAIL")</x:f>
        <x:v>PASS</x:v>
      </x:c>
    </x:row>
    <x:row r="20">
      <x:c r="A20" s="86" t="str">
        <x:v>maximum class source</x:v>
      </x:c>
      <x:c r="B20" s="134" t="n">
        <x:f>'Class Matrix'!B22</x:f>
        <x:v>8000</x:v>
      </x:c>
      <x:c r="C20" s="135" t="n">
        <x:v>8000</x:v>
      </x:c>
      <x:c r="D20" s="135" t="n">
        <x:f>B20-C20</x:f>
        <x:v>0</x:v>
      </x:c>
      <x:c r="E20" s="86" t="str">
        <x:f>IF(ABS(D20)&lt;0.0001,"PASS","FAIL")</x:f>
        <x:v>PASS</x:v>
      </x:c>
    </x:row>
    <x:row r="21">
      <x:c r="A21" s="86" t="str">
        <x:v>maximum integrated source</x:v>
      </x:c>
      <x:c r="B21" s="134" t="n">
        <x:f>'Class Matrix'!B24</x:f>
        <x:v>56000</x:v>
      </x:c>
      <x:c r="C21" s="135" t="n">
        <x:v>56000</x:v>
      </x:c>
      <x:c r="D21" s="135" t="n">
        <x:f>B21-C21</x:f>
        <x:v>0</x:v>
      </x:c>
      <x:c r="E21" s="86" t="str">
        <x:f>IF(ABS(D21)&lt;0.0001,"PASS","FAIL")</x:f>
        <x:v>PASS</x:v>
      </x:c>
    </x:row>
    <x:row r="22">
      <x:c r="A22" s="86" t="str">
        <x:v>event propositions</x:v>
      </x:c>
      <x:c r="B22" s="134" t="n">
        <x:f>COUNTA('Event Contract'!A6:A21)</x:f>
        <x:v>16</x:v>
      </x:c>
      <x:c r="C22" s="135" t="n">
        <x:v>16</x:v>
      </x:c>
      <x:c r="D22" s="135" t="n">
        <x:f>B22-C22</x:f>
        <x:v>0</x:v>
      </x:c>
      <x:c r="E22" s="86" t="str">
        <x:f>IF(ABS(D22)&lt;0.0001,"PASS","FAIL")</x:f>
        <x:v>PASS</x:v>
      </x:c>
    </x:row>
    <x:row r="23">
      <x:c r="A23" s="86" t="str">
        <x:v>event gates</x:v>
      </x:c>
      <x:c r="B23" s="134" t="n">
        <x:f>COUNTA('Gate Registry'!A6:A133)</x:f>
        <x:v>128</x:v>
      </x:c>
      <x:c r="C23" s="135" t="n">
        <x:v>128</x:v>
      </x:c>
      <x:c r="D23" s="135" t="n">
        <x:f>B23-C23</x:f>
        <x:v>0</x:v>
      </x:c>
      <x:c r="E23" s="86" t="str">
        <x:f>IF(ABS(D23)&lt;0.0001,"PASS","FAIL")</x:f>
        <x:v>PASS</x:v>
      </x:c>
    </x:row>
    <x:row r="24">
      <x:c r="A24" s="86" t="str">
        <x:v>evidence records</x:v>
      </x:c>
      <x:c r="B24" s="134" t="n">
        <x:f>COUNTA('Evidence Records'!A6:A517)</x:f>
        <x:v>512</x:v>
      </x:c>
      <x:c r="C24" s="135" t="n">
        <x:v>512</x:v>
      </x:c>
      <x:c r="D24" s="135" t="n">
        <x:f>B24-C24</x:f>
        <x:v>0</x:v>
      </x:c>
      <x:c r="E24" s="86" t="str">
        <x:f>IF(ABS(D24)&lt;0.0001,"PASS","FAIL")</x:f>
        <x:v>PASS</x:v>
      </x:c>
    </x:row>
    <x:row r="25">
      <x:c r="A25" s="86" t="str">
        <x:v>active channels</x:v>
      </x:c>
      <x:c r="B25" s="134" t="n">
        <x:f>COUNTA('Channel Registry'!A6:A1157)</x:f>
        <x:v>1152</x:v>
      </x:c>
      <x:c r="C25" s="135" t="n">
        <x:v>1152</x:v>
      </x:c>
      <x:c r="D25" s="135" t="n">
        <x:f>B25-C25</x:f>
        <x:v>0</x:v>
      </x:c>
      <x:c r="E25" s="86" t="str">
        <x:f>IF(ABS(D25)&lt;0.0001,"PASS","FAIL")</x:f>
        <x:v>PASS</x:v>
      </x:c>
    </x:row>
    <x:row r="26">
      <x:c r="A26" s="86" t="str">
        <x:v>safeing paths</x:v>
      </x:c>
      <x:c r="B26" s="134" t="n">
        <x:f>COUNTA('Safeing'!A6:A41)</x:f>
        <x:v>36</x:v>
      </x:c>
      <x:c r="C26" s="135" t="n">
        <x:v>36</x:v>
      </x:c>
      <x:c r="D26" s="135" t="n">
        <x:f>B26-C26</x:f>
        <x:v>0</x:v>
      </x:c>
      <x:c r="E26" s="86" t="str">
        <x:f>IF(ABS(D26)&lt;0.0001,"PASS","FAIL")</x:f>
        <x:v>PASS</x:v>
      </x:c>
    </x:row>
    <x:row r="27">
      <x:c r="A27" s="86" t="str">
        <x:v>return work packages</x:v>
      </x:c>
      <x:c r="B27" s="134" t="n">
        <x:f>COUNTA('Return Program'!A6:A49)</x:f>
        <x:v>44</x:v>
      </x:c>
      <x:c r="C27" s="135" t="n">
        <x:v>44</x:v>
      </x:c>
      <x:c r="D27" s="135" t="n">
        <x:f>B27-C27</x:f>
        <x:v>0</x:v>
      </x:c>
      <x:c r="E27" s="86" t="str">
        <x:f>IF(ABS(D27)&lt;0.0001,"PASS","FAIL")</x:f>
        <x:v>PASS</x:v>
      </x:c>
    </x:row>
    <x:row r="28">
      <x:c r="A28" s="86" t="str">
        <x:v>return decisions</x:v>
      </x:c>
      <x:c r="B28" s="134" t="n">
        <x:f>COUNTA('Return Program'!I6:I45)</x:f>
        <x:v>40</x:v>
      </x:c>
      <x:c r="C28" s="135" t="n">
        <x:v>40</x:v>
      </x:c>
      <x:c r="D28" s="135" t="n">
        <x:f>B28-C28</x:f>
        <x:v>0</x:v>
      </x:c>
      <x:c r="E28" s="86" t="str">
        <x:f>IF(ABS(D28)&lt;0.0001,"PASS","FAIL")</x:f>
        <x:v>PASS</x:v>
      </x:c>
    </x:row>
    <x:row r="29">
      <x:c r="A29" s="86" t="str">
        <x:v>exchange trials</x:v>
      </x:c>
      <x:c r="B29" s="134" t="n">
        <x:f>COUNTA('Exchange Trials'!A6:A221)</x:f>
        <x:v>216</x:v>
      </x:c>
      <x:c r="C29" s="135" t="n">
        <x:v>216</x:v>
      </x:c>
      <x:c r="D29" s="135" t="n">
        <x:f>B29-C29</x:f>
        <x:v>0</x:v>
      </x:c>
      <x:c r="E29" s="86" t="str">
        <x:f>IF(ABS(D29)&lt;0.0001,"PASS","FAIL")</x:f>
        <x:v>PASS</x:v>
      </x:c>
    </x:row>
    <x:row r="30">
      <x:c r="A30" s="86" t="str">
        <x:v>target source</x:v>
      </x:c>
      <x:c r="B30" s="134" t="n">
        <x:f>'Scale Transition'!D6</x:f>
        <x:v>500</x:v>
      </x:c>
      <x:c r="C30" s="135" t="n">
        <x:v>500</x:v>
      </x:c>
      <x:c r="D30" s="135" t="n">
        <x:f>B30-C30</x:f>
        <x:v>0</x:v>
      </x:c>
      <x:c r="E30" s="86" t="str">
        <x:f>IF(ABS(D30)&lt;0.0001,"PASS","FAIL")</x:f>
        <x:v>PASS</x:v>
      </x:c>
    </x:row>
    <x:row r="31">
      <x:c r="A31" s="86" t="str">
        <x:v>target area</x:v>
      </x:c>
      <x:c r="B31" s="134" t="n">
        <x:f>'Scale Transition'!D8</x:f>
        <x:v>6.25</x:v>
      </x:c>
      <x:c r="C31" s="135" t="n">
        <x:v>6.25</x:v>
      </x:c>
      <x:c r="D31" s="135" t="n">
        <x:f>B31-C31</x:f>
        <x:v>0</x:v>
      </x:c>
      <x:c r="E31" s="86" t="str">
        <x:f>IF(ABS(D31)&lt;0.0001,"PASS","FAIL")</x:f>
        <x:v>PASS</x:v>
      </x:c>
    </x:row>
    <x:row r="32">
      <x:c r="A32" s="86" t="str">
        <x:v>target source volume</x:v>
      </x:c>
      <x:c r="B32" s="134" t="n">
        <x:f>'Scale Transition'!D7</x:f>
        <x:v>0.625</x:v>
      </x:c>
      <x:c r="C32" s="135" t="n">
        <x:v>0.625</x:v>
      </x:c>
      <x:c r="D32" s="135" t="n">
        <x:f>B32-C32</x:f>
        <x:v>0</x:v>
      </x:c>
      <x:c r="E32" s="86" t="str">
        <x:f>IF(ABS(D32)&lt;0.0001,"PASS","FAIL")</x:f>
        <x:v>PASS</x:v>
      </x:c>
    </x:row>
    <x:row r="33">
      <x:c r="A33" s="86" t="str">
        <x:v>target mean depth</x:v>
      </x:c>
      <x:c r="B33" s="134" t="n">
        <x:f>'Scale Transition'!D9</x:f>
        <x:v>100</x:v>
      </x:c>
      <x:c r="C33" s="135" t="n">
        <x:v>100</x:v>
      </x:c>
      <x:c r="D33" s="135" t="n">
        <x:f>B33-C33</x:f>
        <x:v>0</x:v>
      </x:c>
      <x:c r="E33" s="86" t="str">
        <x:f>IF(ABS(D33)&lt;0.0001,"PASS","FAIL")</x:f>
        <x:v>PASS</x:v>
      </x:c>
    </x:row>
    <x:row r="34">
      <x:c r="A34" s="86" t="str">
        <x:v>target source per area</x:v>
      </x:c>
      <x:c r="B34" s="134" t="n">
        <x:f>'Scale Transition'!D10</x:f>
        <x:v>80</x:v>
      </x:c>
      <x:c r="C34" s="135" t="n">
        <x:v>80</x:v>
      </x:c>
      <x:c r="D34" s="135" t="n">
        <x:f>B34-C34</x:f>
        <x:v>0</x:v>
      </x:c>
      <x:c r="E34" s="86" t="str">
        <x:f>IF(ABS(D34)&lt;0.0001,"PASS","FAIL")</x:f>
        <x:v>PASS</x:v>
      </x:c>
    </x:row>
    <x:row r="35">
      <x:c r="A35" s="86" t="str">
        <x:v>target field diameter</x:v>
      </x:c>
      <x:c r="B35" s="134" t="n">
        <x:f>'Scale Transition'!D11</x:f>
        <x:v>2.8209479177387813</x:v>
      </x:c>
      <x:c r="C35" s="135" t="n">
        <x:v>2.820947918</x:v>
      </x:c>
      <x:c r="D35" s="135" t="n">
        <x:f>B35-C35</x:f>
        <x:v>-2.6121860230432503e-10</x:v>
      </x:c>
      <x:c r="E35" s="86" t="str">
        <x:f>IF(ABS(D35)&lt;0.0001,"PASS","FAIL")</x:f>
        <x:v>PASS</x:v>
      </x:c>
    </x:row>
    <x:row r="36">
      <x:c r="A36" s="86" t="str">
        <x:v>target boundary</x:v>
      </x:c>
      <x:c r="B36" s="134" t="n">
        <x:f>'Scale Transition'!D12</x:f>
        <x:v>8.862269254527579</x:v>
      </x:c>
      <x:c r="C36" s="135" t="n">
        <x:v>8.862269255</x:v>
      </x:c>
      <x:c r="D36" s="135" t="n">
        <x:f>B36-C36</x:f>
        <x:v>-4.724203250816572e-10</x:v>
      </x:c>
      <x:c r="E36" s="86" t="str">
        <x:f>IF(ABS(D36)&lt;0.0001,"PASS","FAIL")</x:f>
        <x:v>PASS</x:v>
      </x:c>
    </x:row>
    <x:row r="37">
      <x:c r="A37" s="86" t="str">
        <x:v>target issue rate</x:v>
      </x:c>
      <x:c r="B37" s="134" t="n">
        <x:f>'Scale Transition'!D13</x:f>
        <x:v>4.166666666666667</x:v>
      </x:c>
      <x:c r="C37" s="135" t="n">
        <x:v>4.166666667</x:v>
      </x:c>
      <x:c r="D37" s="135" t="n">
        <x:f>B37-C37</x:f>
        <x:v>-3.33333360913457e-10</x:v>
      </x:c>
      <x:c r="E37" s="86" t="str">
        <x:f>IF(ABS(D37)&lt;0.0001,"PASS","FAIL")</x:f>
        <x:v>PASS</x:v>
      </x:c>
    </x:row>
    <x:row r="38">
      <x:c r="A38" s="86" t="str">
        <x:v>target burning rate</x:v>
      </x:c>
      <x:c r="B38" s="134" t="n">
        <x:f>'Scale Transition'!D14</x:f>
        <x:v>0.34375</x:v>
      </x:c>
      <x:c r="C38" s="135" t="n">
        <x:v>0.34375</x:v>
      </x:c>
      <x:c r="D38" s="135" t="n">
        <x:f>B38-C38</x:f>
        <x:v>0</x:v>
      </x:c>
      <x:c r="E38" s="86" t="str">
        <x:f>IF(ABS(D38)&lt;0.0001,"PASS","FAIL")</x:f>
        <x:v>PASS</x:v>
      </x:c>
    </x:row>
    <x:row r="39">
      <x:c r="A39" s="86" t="str">
        <x:v>target heat-release screen</x:v>
      </x:c>
      <x:c r="B39" s="134" t="n">
        <x:f>'Scale Transition'!D15</x:f>
        <x:v>14.639625</x:v>
      </x:c>
      <x:c r="C39" s="135" t="n">
        <x:v>14.639625</x:v>
      </x:c>
      <x:c r="D39" s="135" t="n">
        <x:f>B39-C39</x:f>
        <x:v>0</x:v>
      </x:c>
      <x:c r="E39" s="86" t="str">
        <x:f>IF(ABS(D39)&lt;0.0001,"PASS","FAIL")</x:f>
        <x:v>PASS</x:v>
      </x:c>
    </x:row>
    <x:row r="40">
      <x:c r="A40" s="86" t="str">
        <x:v>target radiant screen</x:v>
      </x:c>
      <x:c r="B40" s="134" t="n">
        <x:f>'Scale Transition'!D16</x:f>
        <x:v>5.12386875</x:v>
      </x:c>
      <x:c r="C40" s="135" t="n">
        <x:v>5.12386875</x:v>
      </x:c>
      <x:c r="D40" s="135" t="n">
        <x:f>B40-C40</x:f>
        <x:v>0</x:v>
      </x:c>
      <x:c r="E40" s="86" t="str">
        <x:f>IF(ABS(D40)&lt;0.0001,"PASS","FAIL")</x:f>
        <x:v>PASS</x:v>
      </x:c>
    </x:row>
    <x:row r="41">
      <x:c r="A41" s="86" t="str">
        <x:v>target source energy</x:v>
      </x:c>
      <x:c r="B41" s="134" t="n">
        <x:f>'Scale Transition'!D17</x:f>
        <x:v>21294</x:v>
      </x:c>
      <x:c r="C41" s="135" t="n">
        <x:v>21294</x:v>
      </x:c>
      <x:c r="D41" s="135" t="n">
        <x:f>B41-C41</x:f>
        <x:v>0</x:v>
      </x:c>
      <x:c r="E41" s="86" t="str">
        <x:f>IF(ABS(D41)&lt;0.0001,"PASS","FAIL")</x:f>
        <x:v>PASS</x:v>
      </x:c>
    </x:row>
    <x:row r="42">
      <x:c r="A42" s="86" t="str">
        <x:v>target duration</x:v>
      </x:c>
      <x:c r="B42" s="134" t="n">
        <x:f>'Scale Transition'!D18</x:f>
        <x:v>24.242424242424242</x:v>
      </x:c>
      <x:c r="C42" s="135" t="n">
        <x:v>24.242424242</x:v>
      </x:c>
      <x:c r="D42" s="135" t="n">
        <x:f>B42-C42</x:f>
        <x:v>4.24243751240283e-10</x:v>
      </x:c>
      <x:c r="E42" s="86" t="str">
        <x:f>IF(ABS(D42)&lt;0.0001,"PASS","FAIL")</x:f>
        <x:v>PASS</x:v>
      </x:c>
    </x:row>
    <x:row r="43">
      <x:c r="A43" s="86" t="str">
        <x:v>energy per boundary</x:v>
      </x:c>
      <x:c r="B43" s="134" t="n">
        <x:f>'Scale Transition'!D19</x:f>
        <x:v>2402.770598413185</x:v>
      </x:c>
      <x:c r="C43" s="135" t="n">
        <x:v>2402.770657</x:v>
      </x:c>
      <x:c r="D43" s="135" t="n">
        <x:f>B43-C43</x:f>
        <x:v>-0.000058586815157468664</x:v>
      </x:c>
      <x:c r="E43" s="86" t="str">
        <x:f>IF(ABS(D43)&lt;0.0001,"PASS","FAIL")</x:f>
        <x:v>PASS</x:v>
      </x:c>
    </x:row>
    <x:row r="44">
      <x:c r="A44" s="86" t="str">
        <x:v>oxygen demand</x:v>
      </x:c>
      <x:c r="B44" s="134" t="n">
        <x:f>'Atmosphere Screen'!B7</x:f>
        <x:v>1.203125</x:v>
      </x:c>
      <x:c r="C44" s="135" t="n">
        <x:v>1.203125</x:v>
      </x:c>
      <x:c r="D44" s="135" t="n">
        <x:f>B44-C44</x:f>
        <x:v>0</x:v>
      </x:c>
      <x:c r="E44" s="86" t="str">
        <x:f>IF(ABS(D44)&lt;0.0001,"PASS","FAIL")</x:f>
        <x:v>PASS</x:v>
      </x:c>
    </x:row>
    <x:row r="45">
      <x:c r="A45" s="86" t="str">
        <x:v>provisioned exhaust</x:v>
      </x:c>
      <x:c r="B45" s="134" t="n">
        <x:f>'Atmosphere Screen'!B15</x:f>
        <x:v>58.884630259900995</x:v>
      </x:c>
      <x:c r="C45" s="135" t="n">
        <x:v>58.88463026</x:v>
      </x:c>
      <x:c r="D45" s="135" t="n">
        <x:f>B45-C45</x:f>
        <x:v>-9.900702480081236e-11</x:v>
      </x:c>
      <x:c r="E45" s="86" t="str">
        <x:f>IF(ABS(D45)&lt;0.0001,"PASS","FAIL")</x:f>
        <x:v>PASS</x:v>
      </x:c>
    </x:row>
    <x:row r="46">
      <x:c r="A46" s="86" t="str">
        <x:v>raw evidence per cycle</x:v>
      </x:c>
      <x:c r="B46" s="134" t="n">
        <x:f>'Evidence Build'!B9</x:f>
        <x:v>550540.8</x:v>
      </x:c>
      <x:c r="C46" s="135" t="n">
        <x:v>550540.8</x:v>
      </x:c>
      <x:c r="D46" s="135" t="n">
        <x:f>B46-C46</x:f>
        <x:v>0</x:v>
      </x:c>
      <x:c r="E46" s="86" t="str">
        <x:f>IF(ABS(D46)&lt;0.0001,"PASS","FAIL")</x:f>
        <x:v>PASS</x:v>
      </x:c>
    </x:row>
    <x:row r="47">
      <x:c r="A47" s="86" t="str">
        <x:v>governed evidence per cycle</x:v>
      </x:c>
      <x:c r="B47" s="134" t="n">
        <x:f>'Evidence Build'!B10</x:f>
        <x:v>1486.46016</x:v>
      </x:c>
      <x:c r="C47" s="135" t="n">
        <x:v>1486.46016</x:v>
      </x:c>
      <x:c r="D47" s="135" t="n">
        <x:f>B47-C47</x:f>
        <x:v>0</x:v>
      </x:c>
      <x:c r="E47" s="86" t="str">
        <x:f>IF(ABS(D47)&lt;0.0001,"PASS","FAIL")</x:f>
        <x:v>PASS</x:v>
      </x:c>
    </x:row>
    <x:row r="48">
      <x:c r="A48" s="86" t="str">
        <x:v>maximum integrated cycles</x:v>
      </x:c>
      <x:c r="B48" s="134" t="n">
        <x:f>'Evidence Build'!B13</x:f>
        <x:v>144</x:v>
      </x:c>
      <x:c r="C48" s="135" t="n">
        <x:v>144</x:v>
      </x:c>
      <x:c r="D48" s="135" t="n">
        <x:f>B48-C48</x:f>
        <x:v>0</x:v>
      </x:c>
      <x:c r="E48" s="86" t="str">
        <x:f>IF(ABS(D48)&lt;0.0001,"PASS","FAIL")</x:f>
        <x:v>PASS</x:v>
      </x:c>
    </x:row>
    <x:row r="49">
      <x:c r="A49" s="86" t="str">
        <x:v>provisioned evidence</x:v>
      </x:c>
      <x:c r="B49" s="134" t="n">
        <x:f>'Evidence Build'!B18</x:f>
        <x:v>262.9659156480001</x:v>
      </x:c>
      <x:c r="C49" s="135" t="n">
        <x:v>262.965915648</x:v>
      </x:c>
      <x:c r="D49" s="135" t="n">
        <x:f>B49-C49</x:f>
        <x:v>5.684341886080802e-14</x:v>
      </x:c>
      <x:c r="E49" s="86" t="str">
        <x:f>IF(ABS(D49)&lt;0.0001,"PASS","FAIL")</x:f>
        <x:v>PASS</x:v>
      </x:c>
    </x:row>
    <x:row r="50">
      <x:c r="A50" s="86" t="str">
        <x:v>child primary weeks</x:v>
      </x:c>
      <x:c r="B50" s="134" t="n">
        <x:f>'Schedule'!B18</x:f>
        <x:v>123</x:v>
      </x:c>
      <x:c r="C50" s="135" t="n">
        <x:v>123</x:v>
      </x:c>
      <x:c r="D50" s="135" t="n">
        <x:f>B50-C50</x:f>
        <x:v>0</x:v>
      </x:c>
      <x:c r="E50" s="86" t="str">
        <x:f>IF(ABS(D50)&lt;0.0001,"PASS","FAIL")</x:f>
        <x:v>PASS</x:v>
      </x:c>
    </x:row>
    <x:row r="51">
      <x:c r="A51" s="86" t="str">
        <x:v>child maximum weeks</x:v>
      </x:c>
      <x:c r="B51" s="134" t="n">
        <x:f>'Schedule'!C18</x:f>
        <x:v>127</x:v>
      </x:c>
      <x:c r="C51" s="135" t="n">
        <x:v>127</x:v>
      </x:c>
      <x:c r="D51" s="135" t="n">
        <x:f>B51-C51</x:f>
        <x:v>0</x:v>
      </x:c>
      <x:c r="E51" s="86" t="str">
        <x:f>IF(ABS(D51)&lt;0.0001,"PASS","FAIL")</x:f>
        <x:v>PASS</x:v>
      </x:c>
    </x:row>
    <x:row r="52">
      <x:c r="A52" s="86" t="str">
        <x:v>ten-rung primary floor</x:v>
      </x:c>
      <x:c r="B52" s="134" t="n">
        <x:f>'Schedule'!B22</x:f>
        <x:v>679</x:v>
      </x:c>
      <x:c r="C52" s="135" t="n">
        <x:v>679</x:v>
      </x:c>
      <x:c r="D52" s="135" t="n">
        <x:f>B52-C52</x:f>
        <x:v>0</x:v>
      </x:c>
      <x:c r="E52" s="86" t="str">
        <x:f>IF(ABS(D52)&lt;0.0001,"PASS","FAIL")</x:f>
        <x:v>PASS</x:v>
      </x:c>
    </x:row>
    <x:row r="53">
      <x:c r="A53" s="86" t="str">
        <x:v>ten-rung maximum floor</x:v>
      </x:c>
      <x:c r="B53" s="134" t="n">
        <x:f>'Schedule'!C22</x:f>
        <x:v>713</x:v>
      </x:c>
      <x:c r="C53" s="135" t="n">
        <x:v>713</x:v>
      </x:c>
      <x:c r="D53" s="135" t="n">
        <x:f>B53-C53</x:f>
        <x:v>0</x:v>
      </x:c>
      <x:c r="E53" s="86" t="str">
        <x:f>IF(ABS(D53)&lt;0.0001,"PASS","FAIL")</x:f>
        <x:v>PASS</x:v>
      </x:c>
    </x:row>
    <x:row r="54">
      <x:c r="A54" s="86" t="str">
        <x:v>execution positions</x:v>
      </x:c>
      <x:c r="B54" s="134" t="n">
        <x:f>'Workforce'!B22</x:f>
        <x:v>1500</x:v>
      </x:c>
      <x:c r="C54" s="135" t="n">
        <x:v>1500</x:v>
      </x:c>
      <x:c r="D54" s="135" t="n">
        <x:f>B54-C54</x:f>
        <x:v>0</x:v>
      </x:c>
      <x:c r="E54" s="86" t="str">
        <x:f>IF(ABS(D54)&lt;0.0001,"PASS","FAIL")</x:f>
        <x:v>PASS</x:v>
      </x:c>
    </x:row>
    <x:row r="55">
      <x:c r="A55" s="86" t="str">
        <x:v>concurrent positions</x:v>
      </x:c>
      <x:c r="B55" s="134" t="n">
        <x:f>'Workforce'!B24</x:f>
        <x:v>3100</x:v>
      </x:c>
      <x:c r="C55" s="135" t="n">
        <x:v>3100</x:v>
      </x:c>
      <x:c r="D55" s="135" t="n">
        <x:f>B55-C55</x:f>
        <x:v>0</x:v>
      </x:c>
      <x:c r="E55" s="86" t="str">
        <x:f>IF(ABS(D55)&lt;0.0001,"PASS","FAIL")</x:f>
        <x:v>PASS</x:v>
      </x:c>
    </x:row>
    <x:row r="56">
      <x:c r="A56" s="86" t="str">
        <x:v>child capital</x:v>
      </x:c>
      <x:c r="B56" s="134" t="n">
        <x:f>'Capital'!B20</x:f>
        <x:v>2600</x:v>
      </x:c>
      <x:c r="C56" s="135" t="n">
        <x:v>2600</x:v>
      </x:c>
      <x:c r="D56" s="135" t="n">
        <x:f>B56-C56</x:f>
        <x:v>0</x:v>
      </x:c>
      <x:c r="E56" s="86" t="str">
        <x:f>IF(ABS(D56)&lt;0.0001,"PASS","FAIL")</x:f>
        <x:v>PASS</x:v>
      </x:c>
    </x:row>
    <x:row r="57">
      <x:c r="A57" s="86" t="str">
        <x:v>concurrent annual support</x:v>
      </x:c>
      <x:c r="B57" s="134" t="n">
        <x:f>'Annual Cost'!B19</x:f>
        <x:v>600</x:v>
      </x:c>
      <x:c r="C57" s="135" t="n">
        <x:v>600</x:v>
      </x:c>
      <x:c r="D57" s="135" t="n">
        <x:f>B57-C57</x:f>
        <x:v>0</x:v>
      </x:c>
      <x:c r="E57" s="86" t="str">
        <x:f>IF(ABS(D57)&lt;0.0001,"PASS","FAIL")</x:f>
        <x:v>PASS</x:v>
      </x:c>
    </x:row>
    <x:row r="58">
      <x:c r="A58" s="86" t="str">
        <x:v>technology</x:v>
      </x:c>
      <x:c r="B58" s="134" t="n">
        <x:f>'Technology'!B19</x:f>
        <x:v>1000</x:v>
      </x:c>
      <x:c r="C58" s="135" t="n">
        <x:v>1000</x:v>
      </x:c>
      <x:c r="D58" s="135" t="n">
        <x:f>B58-C58</x:f>
        <x:v>0</x:v>
      </x:c>
      <x:c r="E58" s="86" t="str">
        <x:f>IF(ABS(D58)&lt;0.0001,"PASS","FAIL")</x:f>
        <x:v>PASS</x:v>
      </x:c>
    </x:row>
    <x:row r="59">
      <x:c r="A59" s="86" t="str">
        <x:v>parent primary calendar remainder</x:v>
      </x:c>
      <x:c r="B59" s="134" t="n">
        <x:f>'Parent Amendment'!F6</x:f>
        <x:v>153</x:v>
      </x:c>
      <x:c r="C59" s="135" t="n">
        <x:v>153</x:v>
      </x:c>
      <x:c r="D59" s="135" t="n">
        <x:f>B59-C59</x:f>
        <x:v>0</x:v>
      </x:c>
      <x:c r="E59" s="86" t="str">
        <x:f>IF(ABS(D59)&lt;0.0001,"PASS","FAIL")</x:f>
        <x:v>PASS</x:v>
      </x:c>
    </x:row>
    <x:row r="60">
      <x:c r="A60" s="86" t="str">
        <x:v>parent position remainder</x:v>
      </x:c>
      <x:c r="B60" s="134" t="n">
        <x:f>'Parent Amendment'!F7</x:f>
        <x:v>1100</x:v>
      </x:c>
      <x:c r="C60" s="135" t="n">
        <x:v>1100</x:v>
      </x:c>
      <x:c r="D60" s="135" t="n">
        <x:f>B60-C60</x:f>
        <x:v>0</x:v>
      </x:c>
      <x:c r="E60" s="86" t="str">
        <x:f>IF(ABS(D60)&lt;0.0001,"PASS","FAIL")</x:f>
        <x:v>PASS</x:v>
      </x:c>
    </x:row>
    <x:row r="61">
      <x:c r="A61" s="86" t="str">
        <x:v>parent capital remainder</x:v>
      </x:c>
      <x:c r="B61" s="134" t="n">
        <x:f>'Parent Amendment'!F8</x:f>
        <x:v>5720</x:v>
      </x:c>
      <x:c r="C61" s="135" t="n">
        <x:v>5720</x:v>
      </x:c>
      <x:c r="D61" s="135" t="n">
        <x:f>B61-C61</x:f>
        <x:v>0</x:v>
      </x:c>
      <x:c r="E61" s="86" t="str">
        <x:f>IF(ABS(D61)&lt;0.0001,"PASS","FAIL")</x:f>
        <x:v>PASS</x:v>
      </x:c>
    </x:row>
    <x:row r="62">
      <x:c r="A62" s="86" t="str">
        <x:v>parent annual remainder</x:v>
      </x:c>
      <x:c r="B62" s="134" t="n">
        <x:f>'Parent Amendment'!F9</x:f>
        <x:v>300</x:v>
      </x:c>
      <x:c r="C62" s="135" t="n">
        <x:v>300</x:v>
      </x:c>
      <x:c r="D62" s="135" t="n">
        <x:f>B62-C62</x:f>
        <x:v>0</x:v>
      </x:c>
      <x:c r="E62" s="86" t="str">
        <x:f>IF(ABS(D62)&lt;0.0001,"PASS","FAIL")</x:f>
        <x:v>PASS</x:v>
      </x:c>
    </x:row>
    <x:row r="63">
      <x:c r="A63" s="87" t="str">
        <x:v>parent technology remainder</x:v>
      </x:c>
      <x:c r="B63" s="136" t="n">
        <x:f>'Parent Amendment'!F10</x:f>
        <x:v>2865</x:v>
      </x:c>
      <x:c r="C63" s="137" t="n">
        <x:v>2865</x:v>
      </x:c>
      <x:c r="D63" s="137" t="n">
        <x:f>B63-C63</x:f>
        <x:v>0</x:v>
      </x:c>
      <x:c r="E63" s="87" t="str">
        <x:f>IF(ABS(D63)&lt;0.0001,"PASS","FAIL")</x:f>
        <x:v>PASS</x:v>
      </x:c>
    </x:row>
  </x:sheetData>
  <x:mergeCells>
    <x:mergeCell ref="A2:E2"/>
  </x:mergeCells>
  <x:pageMargins left="0.7" right="0.7" top="0.75" bottom="0.75" header="0.3" footer="0.3"/>
</x:worksheet>
</file>

<file path=xl/worksheets/sheet4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54" hidden="0" customWidth="1"/>
    <x:col min="3" max="3" width="48" hidden="0" customWidth="1"/>
    <x:col min="4" max="4" width="24" hidden="0" customWidth="1"/>
    <x:col min="5" max="5" width="18" hidden="0" customWidth="1"/>
  </x:cols>
  <x:sheetData>
    <x:row r="2" ht="24" customHeight="1">
      <x:c r="A2" s="82" t="str">
        <x:v>Internal source inventory</x:v>
      </x:c>
      <x:c r="B2" s="83"/>
      <x:c r="C2" s="83"/>
      <x:c r="D2" s="83"/>
      <x:c r="E2" s="83"/>
    </x:row>
    <x:row r="3">
      <x:c r="A3" s="84"/>
      <x:c r="B3" s="84"/>
      <x:c r="C3" s="84"/>
      <x:c r="D3" s="84"/>
      <x:c r="E3" s="84"/>
    </x:row>
    <x:row r="4">
      <x:c r="A4" s="83"/>
      <x:c r="B4" s="83"/>
      <x:c r="C4" s="83"/>
      <x:c r="D4" s="83"/>
      <x:c r="E4" s="83"/>
    </x:row>
    <x:row r="5" ht="22" customHeight="1">
      <x:c r="A5" s="7" t="str">
        <x:v>Source</x:v>
      </x:c>
      <x:c r="B5" s="8" t="str">
        <x:v>Repository artifact</x:v>
      </x:c>
      <x:c r="C5" s="8" t="str">
        <x:v>Role</x:v>
      </x:c>
      <x:c r="D5" s="8" t="str">
        <x:v>Access</x:v>
      </x:c>
      <x:c r="E5" s="9" t="str">
        <x:v>External site</x:v>
      </x:c>
    </x:row>
    <x:row r="6">
      <x:c r="A6" s="85" t="str">
        <x:v>RBG-1</x:v>
      </x:c>
      <x:c r="B6" s="85" t="str">
        <x:v>AM-06 source-water-ignition entry-ladder reset</x:v>
      </x:c>
      <x:c r="C6" s="85" t="str">
        <x:v>ER-08 registered state and nesting</x:v>
      </x:c>
      <x:c r="D6" s="85" t="str">
        <x:v>internal repository</x:v>
      </x:c>
      <x:c r="E6" s="85" t="str">
        <x:v>none</x:v>
      </x:c>
    </x:row>
    <x:row r="7">
      <x:c r="A7" s="86" t="str">
        <x:v>RBM-1</x:v>
      </x:c>
      <x:c r="B7" s="86" t="str">
        <x:v>250 kg dry-source geometry and ER-06 class</x:v>
      </x:c>
      <x:c r="C7" s="86" t="str">
        <x:v>accepted dry field and atmosphere anchor</x:v>
      </x:c>
      <x:c r="D7" s="86" t="str">
        <x:v>internal repository</x:v>
      </x:c>
      <x:c r="E7" s="86" t="str">
        <x:v>none</x:v>
      </x:c>
    </x:row>
    <x:row r="8">
      <x:c r="A8" s="86" t="str">
        <x:v>RBN-1</x:v>
      </x:c>
      <x:c r="B8" s="86" t="str">
        <x:v>250 kg / 12 m³ coupling and ER-07 class</x:v>
      </x:c>
      <x:c r="C8" s="86" t="str">
        <x:v>current parent capacity and next obligation</x:v>
      </x:c>
      <x:c r="D8" s="86" t="str">
        <x:v>internal repository</x:v>
      </x:c>
      <x:c r="E8" s="86" t="str">
        <x:v>none</x:v>
      </x:c>
    </x:row>
    <x:row r="9">
      <x:c r="A9" s="86" t="str">
        <x:v>RBE-1</x:v>
      </x:c>
      <x:c r="B9" s="86" t="str">
        <x:v>first 500 kg unignited source architecture</x:v>
      </x:c>
      <x:c r="C9" s="86" t="str">
        <x:v>500 kg custody, route and receiver</x:v>
      </x:c>
      <x:c r="D9" s="86" t="str">
        <x:v>internal repository</x:v>
      </x:c>
      <x:c r="E9" s="86" t="str">
        <x:v>none</x:v>
      </x:c>
    </x:row>
    <x:row r="10">
      <x:c r="A10" s="86" t="str">
        <x:v>RBF-1</x:v>
      </x:c>
      <x:c r="B10" s="86" t="str">
        <x:v>QE-04 class and architecture transfer</x:v>
      </x:c>
      <x:c r="C10" s="86" t="str">
        <x:v>module and host exchange law</x:v>
      </x:c>
      <x:c r="D10" s="86" t="str">
        <x:v>internal repository</x:v>
      </x:c>
      <x:c r="E10" s="86" t="str">
        <x:v>none</x:v>
      </x:c>
    </x:row>
    <x:row r="11">
      <x:c r="A11" s="86" t="str">
        <x:v>RBK-1</x:v>
      </x:c>
      <x:c r="B11" s="86" t="str">
        <x:v>100 kg dry-source quadrature</x:v>
      </x:c>
      <x:c r="C11" s="86" t="str">
        <x:v>four inherited combustion roots</x:v>
      </x:c>
      <x:c r="D11" s="86" t="str">
        <x:v>internal repository</x:v>
      </x:c>
      <x:c r="E11" s="86" t="str">
        <x:v>none</x:v>
      </x:c>
    </x:row>
    <x:row r="12">
      <x:c r="A12" s="86" t="str">
        <x:v>RBL-1</x:v>
      </x:c>
      <x:c r="B12" s="86" t="str">
        <x:v>100 kg / 4.8 m³ coupling</x:v>
      </x:c>
      <x:c r="C12" s="86" t="str">
        <x:v>wet predecessor and later ER-09 boundary</x:v>
      </x:c>
      <x:c r="D12" s="86" t="str">
        <x:v>internal repository</x:v>
      </x:c>
      <x:c r="E12" s="86" t="str">
        <x:v>none</x:v>
      </x:c>
    </x:row>
    <x:row r="13">
      <x:c r="A13" s="86" t="str">
        <x:v>RBC-1</x:v>
      </x:c>
      <x:c r="B13" s="86" t="str">
        <x:v>first 250 kg unignited event</x:v>
      </x:c>
      <x:c r="C13" s="86" t="str">
        <x:v>source route and custody transition</x:v>
      </x:c>
      <x:c r="D13" s="86" t="str">
        <x:v>internal repository</x:v>
      </x:c>
      <x:c r="E13" s="86" t="str">
        <x:v>none</x:v>
      </x:c>
    </x:row>
    <x:row r="14">
      <x:c r="A14" s="87" t="str">
        <x:v>RFE-1</x:v>
      </x:c>
      <x:c r="B14" s="87" t="str">
        <x:v>fire-hydraulic rig execution</x:v>
      </x:c>
      <x:c r="C14" s="87" t="str">
        <x:v>campus and escalation context</x:v>
      </x:c>
      <x:c r="D14" s="87" t="str">
        <x:v>internal repository</x:v>
      </x:c>
      <x:c r="E14" s="87" t="str">
        <x:v>none</x:v>
      </x:c>
    </x:row>
  </x:sheetData>
  <x:mergeCells>
    <x:mergeCell ref="A2:E2"/>
  </x:mergeCells>
  <x:pageMargins left="0.7" right="0.7" top="0.75" bottom="0.75" header="0.3" footer="0.3"/>
</x:worksheet>
</file>

<file path=xl/worksheets/sheet4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12" hidden="0" customWidth="1"/>
  </x:cols>
  <x:sheetData>
    <x:row r="2" ht="24" customHeight="1">
      <x:c r="A2" s="82" t="str">
        <x:v>How to read and update the RBO-1 model</x:v>
      </x:c>
      <x:c r="B2" s="83"/>
    </x:row>
    <x:row r="3">
      <x:c r="A3" s="84"/>
      <x:c r="B3" s="84"/>
    </x:row>
    <x:row r="4">
      <x:c r="A4" s="83"/>
      <x:c r="B4" s="83"/>
    </x:row>
    <x:row r="5" ht="22" customHeight="1">
      <x:c r="A5" s="7" t="str">
        <x:v>Topic</x:v>
      </x:c>
      <x:c r="B5" s="9" t="str">
        <x:v>Guidance</x:v>
      </x:c>
    </x:row>
    <x:row r="6">
      <x:c r="A6" s="85" t="str">
        <x:v>Purpose</x:v>
      </x:c>
      <x:c r="B6" s="138" t="str">
        <x:v>Constitutes the 500 kg dry field-time competition, FRC-500 bank, ER-08 class and RAS-3R6 amendment.</x:v>
      </x:c>
    </x:row>
    <x:row r="7">
      <x:c r="A7" s="86" t="str">
        <x:v>Status</x:v>
      </x:c>
      <x:c r="B7" s="139" t="str">
        <x:v>All physical result fields begin open. Planning values do not claim article construction, issue, selection, acceptance or suppression.</x:v>
      </x:c>
    </x:row>
    <x:row r="8">
      <x:c r="A8" s="86" t="str">
        <x:v>Inputs</x:v>
      </x:c>
      <x:c r="B8" s="139" t="str">
        <x:v>Blue numeric cells are declared inputs. Yellow cells require future physical observations or decisions.</x:v>
      </x:c>
    </x:row>
    <x:row r="9">
      <x:c r="A9" s="86" t="str">
        <x:v>Scale rule</x:v>
      </x:c>
      <x:c r="B9" s="139" t="str">
        <x:v>Source, area, depth, duration, boundary and atmosphere variables remain separate. The model fits no universal exponent.</x:v>
      </x:c>
    </x:row>
    <x:row r="10">
      <x:c r="A10" s="86" t="str">
        <x:v>Event identity</x:v>
      </x:c>
      <x:c r="B10" s="139" t="str">
        <x:v>Every candidate and class architecture must accept the complete 500 kg inventory before the ignition opportunity.</x:v>
      </x:c>
    </x:row>
    <x:row r="11">
      <x:c r="A11" s="86" t="str">
        <x:v>Topology rule</x:v>
      </x:c>
      <x:c r="B11" s="139" t="str">
        <x:v>TOP-500 is independent. It cannot take PHO, ION, MOL or CAL labels as its decisive state.</x:v>
      </x:c>
    </x:row>
    <x:row r="12">
      <x:c r="A12" s="86" t="str">
        <x:v>Blank versus zero</x:v>
      </x:c>
      <x:c r="B12" s="139" t="str">
        <x:v>Numeric-zero water is deliberate. Unknown physical observations remain blank.</x:v>
      </x:c>
    </x:row>
    <x:row r="13">
      <x:c r="A13" s="86" t="str">
        <x:v>Credit</x:v>
      </x:c>
      <x:c r="B13" s="139" t="str">
        <x:v>Only VALID-ER08-BOUNDED earns one exact-cell credit. Twelve exact credits remain required.</x:v>
      </x:c>
    </x:row>
    <x:row r="14">
      <x:c r="A14" s="86" t="str">
        <x:v>Return</x:v>
      </x:c>
      <x:c r="B14" s="139" t="str">
        <x:v>No module leaves return before 1,008 hours. The 672-hour host claim remains a separate exchange result.</x:v>
      </x:c>
    </x:row>
    <x:row r="15">
      <x:c r="A15" s="86" t="str">
        <x:v>Audit</x:v>
      </x:c>
      <x:c r="B15" s="139" t="str">
        <x:v>Audit is terminal. No calculation or release authority depends on the Audit sheet.</x:v>
      </x:c>
    </x:row>
    <x:row r="16">
      <x:c r="A16" s="86" t="str">
        <x:v>Sources</x:v>
      </x:c>
      <x:c r="B16" s="139" t="str">
        <x:v>Internal repository sources only. No external sites were used.</x:v>
      </x:c>
    </x:row>
    <x:row r="17">
      <x:c r="A17" s="86" t="str">
        <x:v>Next object</x:v>
      </x:c>
      <x:c r="B17" s="139" t="str">
        <x:v>RBP-1 must constitute the 500 kg / 24 m³ coupling before candidate admission or rendering.</x:v>
      </x:c>
    </x:row>
    <x:row r="18">
      <x:c r="A18" s="87" t="str">
        <x:v>Exterior form</x:v>
      </x:c>
      <x:c r="B18" s="140" t="str">
        <x:v>Rendering remains blocked because the wet interface, source-bearing water, casualty receiver and final exhaust boundary remain unresolved.</x:v>
      </x:c>
    </x:row>
  </x:sheetData>
  <x:mergeCells>
    <x:mergeCell ref="A2:B2"/>
  </x:mergeCells>
  <x:pageMargins left="0.7" right="0.7" top="0.75" bottom="0.75" header="0.3" footer="0.3"/>
</x:worksheet>
</file>