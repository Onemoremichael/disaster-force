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3716a15d9e46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" sheetId="1" r:id="Rec657c2edb3e4ba9"/>
    <x:sheet xmlns:r="http://schemas.openxmlformats.org/officeDocument/2006/relationships" name="Controls" sheetId="2" r:id="R104a5ad40f274ca4"/>
    <x:sheet xmlns:r="http://schemas.openxmlformats.org/officeDocument/2006/relationships" name="Path Test" sheetId="3" r:id="Rb5ff446982954eb4"/>
    <x:sheet xmlns:r="http://schemas.openxmlformats.org/officeDocument/2006/relationships" name="Case Tests" sheetId="4" r:id="Rcb751f580ad64d30"/>
    <x:sheet xmlns:r="http://schemas.openxmlformats.org/officeDocument/2006/relationships" name="Proof Kernel" sheetId="5" r:id="R8526a71a1e564c04"/>
    <x:sheet xmlns:r="http://schemas.openxmlformats.org/officeDocument/2006/relationships" name="System Translation" sheetId="6" r:id="Rfdd32196ad7c4c61"/>
    <x:sheet xmlns:r="http://schemas.openxmlformats.org/officeDocument/2006/relationships" name="Root Bank" sheetId="7" r:id="R68f2d40996f1476e"/>
    <x:sheet xmlns:r="http://schemas.openxmlformats.org/officeDocument/2006/relationships" name="G3 Barrier" sheetId="8" r:id="R78436c4bbe2d4aa0"/>
    <x:sheet xmlns:r="http://schemas.openxmlformats.org/officeDocument/2006/relationships" name="Financials" sheetId="9" r:id="R6fcca35940304392"/>
    <x:sheet xmlns:r="http://schemas.openxmlformats.org/officeDocument/2006/relationships" name="Funding Accounts" sheetId="10" r:id="R096d218491754323"/>
    <x:sheet xmlns:r="http://schemas.openxmlformats.org/officeDocument/2006/relationships" name="Exchange Register" sheetId="11" r:id="Rd094af147a104f50"/>
    <x:sheet xmlns:r="http://schemas.openxmlformats.org/officeDocument/2006/relationships" name="Failure Routing" sheetId="12" r:id="R17abf2df1c544bc7"/>
    <x:sheet xmlns:r="http://schemas.openxmlformats.org/officeDocument/2006/relationships" name="Timeline" sheetId="13" r:id="R2a2d9e86fe42479a"/>
    <x:sheet xmlns:r="http://schemas.openxmlformats.org/officeDocument/2006/relationships" name="Audits" sheetId="14" r:id="R9c6f4e9e42114b65"/>
    <x:sheet xmlns:r="http://schemas.openxmlformats.org/officeDocument/2006/relationships" name="Sources" sheetId="15" r:id="Rdd6f2c1897404f65"/>
    <x:sheet xmlns:r="http://schemas.openxmlformats.org/officeDocument/2006/relationships" name="Read Me" sheetId="16" r:id="R3712af90059b4b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.0"/>
    <x:numFmt numFmtId="201" formatCode="0"/>
    <x:numFmt numFmtId="202" formatCode="$0.0000"/>
    <x:numFmt numFmtId="203" formatCode="0%"/>
  </x:numFmts>
  <x:fonts count="9">
    <x:font>
      <x:sz val="11"/>
      <x:name val="Carlito"/>
    </x:font>
    <x:font>
      <x:b/>
      <x:sz val="16"/>
      <x:color rgb="FF17324D"/>
      <x:name val="Arial"/>
    </x:font>
    <x:font>
      <x:i/>
      <x:sz val="10"/>
      <x:color rgb="FF25313C"/>
      <x:name val="Arial"/>
    </x:font>
    <x:font>
      <x:b/>
      <x:sz val="10"/>
      <x:color rgb="FFFFFFFF"/>
      <x:name val="Arial"/>
    </x:font>
    <x:font>
      <x:sz val="10"/>
      <x:color rgb="FF25313C"/>
      <x:name val="Arial"/>
    </x:font>
    <x:font>
      <x:sz val="10"/>
      <x:color rgb="FF0070C0"/>
      <x:name val="Arial"/>
    </x:font>
    <x:font>
      <x:b/>
      <x:sz val="10"/>
      <x:color rgb="FF17324D"/>
      <x:name val="Arial"/>
    </x:font>
    <x:font>
      <x:b/>
      <x:sz val="10"/>
      <x:color rgb="FF25313C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DCEAF4"/>
      </x:patternFill>
    </x:fill>
  </x:fills>
  <x:borders count="9">
    <x:border/>
    <x:border>
      <x:bottom style="thin">
        <x:color rgb="FFAEBECD"/>
      </x:bottom>
    </x:border>
    <x:border>
      <x:right style="thin">
        <x:color rgb="FFFFFFFF"/>
      </x:right>
      <x:bottom style="medium">
        <x:color rgb="FF17324D"/>
      </x:bottom>
    </x:border>
    <x:border>
      <x:left style="thin">
        <x:color rgb="FFFFFFFF"/>
      </x:left>
      <x:right style="thin">
        <x:color rgb="FFFFFFFF"/>
      </x:right>
      <x:bottom style="medium">
        <x:color rgb="FF17324D"/>
      </x:bottom>
    </x:border>
    <x:border>
      <x:left style="thin">
        <x:color rgb="FFFFFFFF"/>
      </x:left>
      <x:bottom style="medium">
        <x:color rgb="FF17324D"/>
      </x:bottom>
    </x:border>
    <x:border>
      <x:bottom style="thin">
        <x:color rgb="FFD7E0E8"/>
      </x:bottom>
    </x:border>
    <x:border>
      <x:top style="thin">
        <x:color rgb="FFAEBECD"/>
      </x:top>
      <x:bottom style="thin">
        <x:color rgb="FFAEBECD"/>
      </x:bottom>
    </x:border>
    <x:border>
      <x:left style="thin">
        <x:color rgb="FFAEBECD"/>
      </x:left>
    </x:border>
    <x:border>
      <x:top style="thin">
        <x:color rgb="FFAEBECD"/>
      </x:top>
    </x:border>
  </x:borders>
  <x:cellStyleXfs count="1">
    <x:xf numFmtId="0" fontId="0" fillId="0" borderId="0"/>
  </x:cellStyleXfs>
  <x:cellXfs count="7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4" fillId="0" borderId="5" xfId="0" applyNumberFormat="1" applyFont="1" applyFill="1" applyBorder="1" applyAlignment="1">
      <x:alignment wrapText="0"/>
    </x:xf>
    <x:xf numFmtId="0" fontId="4" fillId="0" borderId="0" xfId="0" applyNumberFormat="1" applyFont="1" applyFill="1" applyBorder="1" applyAlignment="1">
      <x:alignment vertical="center" wrapText="0"/>
    </x:xf>
    <x:xf numFmtId="0" fontId="4" fillId="0" borderId="5" xfId="0" applyNumberFormat="1" applyFont="1" applyFill="1" applyBorder="1" applyAlignment="1">
      <x:alignment vertical="center" wrapText="0"/>
    </x:xf>
    <x:xf numFmtId="0" fontId="4" fillId="3" borderId="0" xfId="0" applyNumberFormat="1" applyFont="1" applyFill="1" applyBorder="1" applyAlignment="1">
      <x:alignment vertical="center" wrapText="0"/>
    </x:xf>
    <x:xf numFmtId="0" fontId="4" fillId="3" borderId="5" xfId="0" applyNumberFormat="1" applyFont="1" applyFill="1" applyBorder="1" applyAlignment="1">
      <x:alignment vertical="center" wrapText="0"/>
    </x:xf>
    <x:xf numFmtId="0" fontId="5" fillId="3" borderId="0" xfId="0" applyNumberFormat="1" applyFont="1" applyFill="1" applyBorder="1" applyAlignment="1">
      <x:alignment vertical="center" wrapText="0"/>
    </x:xf>
    <x:xf numFmtId="0" fontId="5" fillId="3" borderId="5" xfId="0" applyNumberFormat="1" applyFont="1" applyFill="1" applyBorder="1" applyAlignment="1">
      <x:alignment vertical="center" wrapText="0"/>
    </x:xf>
    <x:xf numFmtId="0" fontId="5" fillId="3" borderId="0" xfId="0" applyNumberFormat="1" applyFont="1" applyFill="1" applyBorder="1" applyAlignment="1">
      <x:alignment horizontal="right" vertical="center" wrapText="0"/>
    </x:xf>
    <x:xf numFmtId="0" fontId="5" fillId="3" borderId="5" xfId="0" applyNumberFormat="1" applyFont="1" applyFill="1" applyBorder="1" applyAlignment="1">
      <x:alignment horizontal="right" vertical="center" wrapText="0"/>
    </x:xf>
    <x:xf numFmtId="200" fontId="5" fillId="3" borderId="0" xfId="0" applyNumberFormat="1" applyFont="1" applyFill="1" applyBorder="1" applyAlignment="1">
      <x:alignment horizontal="right" vertical="center" wrapText="0"/>
    </x:xf>
    <x:xf numFmtId="201" fontId="4" fillId="0" borderId="0" xfId="0" applyNumberFormat="1" applyFont="1" applyFill="1" applyBorder="1" applyAlignment="1">
      <x:alignment vertical="center" wrapText="0"/>
    </x:xf>
    <x:xf numFmtId="201" fontId="4" fillId="0" borderId="5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  <x:xf numFmtId="0" fontId="6" fillId="0" borderId="5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6" xfId="0" applyNumberFormat="1" applyFont="1" applyFill="1" applyBorder="1"/>
    <x:xf numFmtId="202" fontId="4" fillId="0" borderId="0" xfId="0" applyNumberFormat="1" applyFont="1" applyFill="1" applyBorder="1" applyAlignment="1">
      <x:alignment vertical="center" wrapText="0"/>
    </x:xf>
    <x:xf numFmtId="202" fontId="4" fillId="0" borderId="5" xfId="0" applyNumberFormat="1" applyFont="1" applyFill="1" applyBorder="1" applyAlignment="1">
      <x:alignment vertical="center" wrapText="0"/>
    </x:xf>
    <x:xf numFmtId="202" fontId="0" fillId="0" borderId="0" xfId="0" applyNumberFormat="1" applyFont="1" applyFill="1" applyBorder="1"/>
    <x:xf numFmtId="202" fontId="6" fillId="4" borderId="6" xfId="0" applyNumberFormat="1" applyFont="1" applyFill="1" applyBorder="1"/>
    <x:xf numFmtId="202" fontId="4" fillId="0" borderId="0" xfId="0" applyNumberFormat="1" applyFont="1" applyFill="1" applyBorder="1" applyAlignment="1">
      <x:alignment vertical="top" wrapText="1"/>
    </x:xf>
    <x:xf numFmtId="202" fontId="4" fillId="0" borderId="5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center" wrapText="0"/>
    </x:xf>
    <x:xf numFmtId="0" fontId="6" fillId="0" borderId="7" xfId="0" applyNumberFormat="1" applyFont="1" applyFill="1" applyBorder="1" applyAlignment="1">
      <x:alignment vertical="center" wrapText="0"/>
    </x:xf>
    <x:xf numFmtId="0" fontId="4" fillId="4" borderId="5" xfId="0" applyNumberFormat="1" applyFont="1" applyFill="1" applyBorder="1" applyAlignment="1">
      <x:alignment vertical="top" wrapText="1"/>
    </x:xf>
    <x:xf numFmtId="0" fontId="6" fillId="4" borderId="5" xfId="0" applyNumberFormat="1" applyFont="1" applyFill="1" applyBorder="1" applyAlignment="1">
      <x:alignment vertical="top" wrapText="1"/>
    </x:xf>
    <x:xf numFmtId="0" fontId="6" fillId="4" borderId="6" xfId="0" applyNumberFormat="1" applyFont="1" applyFill="1" applyBorder="1" applyAlignment="1">
      <x:alignment vertical="top" wrapText="1"/>
    </x:xf>
    <x:xf numFmtId="202" fontId="6" fillId="4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203" fontId="4" fillId="0" borderId="0" xfId="0" applyNumberFormat="1" applyFont="1" applyFill="1" applyBorder="1" applyAlignment="1">
      <x:alignment vertical="center" wrapText="0"/>
    </x:xf>
    <x:xf numFmtId="203" fontId="4" fillId="0" borderId="5" xfId="0" applyNumberFormat="1" applyFont="1" applyFill="1" applyBorder="1" applyAlignment="1">
      <x:alignment vertical="center" wrapText="0"/>
    </x:xf>
    <x:xf numFmtId="203" fontId="0" fillId="0" borderId="0" xfId="0" applyNumberFormat="1" applyFont="1" applyFill="1" applyBorder="1"/>
    <x:xf numFmtId="203" fontId="6" fillId="4" borderId="6" xfId="0" applyNumberFormat="1" applyFont="1" applyFill="1" applyBorder="1"/>
    <x:xf numFmtId="200" fontId="4" fillId="0" borderId="0" xfId="0" applyNumberFormat="1" applyFont="1" applyFill="1" applyBorder="1" applyAlignment="1">
      <x:alignment vertical="center" wrapText="0"/>
    </x:xf>
    <x:xf numFmtId="200" fontId="4" fillId="0" borderId="5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/>
    <x:xf numFmtId="200" fontId="6" fillId="4" borderId="6" xfId="0" applyNumberFormat="1" applyFont="1" applyFill="1" applyBorder="1"/>
    <x:xf numFmtId="200" fontId="4" fillId="0" borderId="0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0" fontId="6" fillId="4" borderId="8" xfId="0" applyNumberFormat="1" applyFont="1" applyFill="1" applyBorder="1"/>
    <x:xf numFmtId="0" fontId="6" fillId="4" borderId="1" xfId="0" applyNumberFormat="1" applyFont="1" applyFill="1" applyBorder="1"/>
    <x:xf numFmtId="0" fontId="7" fillId="0" borderId="0" xfId="0" applyNumberFormat="1" applyFont="1" applyFill="1" applyBorder="1" applyAlignment="1">
      <x:alignment vertical="center" wrapText="0"/>
    </x:xf>
    <x:xf numFmtId="0" fontId="7" fillId="0" borderId="5" xfId="0" applyNumberFormat="1" applyFont="1" applyFill="1" applyBorder="1" applyAlignment="1">
      <x:alignment vertical="center" wrapText="0"/>
    </x:xf>
    <x:xf numFmtId="0" fontId="8" fillId="0" borderId="0" xfId="0" applyNumberFormat="1" applyFont="1" applyFill="1" applyBorder="1"/>
    <x:xf numFmtId="202" fontId="8" fillId="0" borderId="0" xfId="0" applyNumberFormat="1" applyFont="1" applyFill="1" applyBorder="1"/>
    <x:xf numFmtId="203" fontId="8" fillId="0" borderId="0" xfId="0" applyNumberFormat="1" applyFont="1" applyFill="1" applyBorder="1"/>
    <x:xf numFmtId="200" fontId="8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c6a7b5f3ee4d8e" /><Relationship Type="http://schemas.openxmlformats.org/officeDocument/2006/relationships/theme" Target="/xl/theme/theme1.xml" Id="Rb4f3d3d7a3d5449d" /><Relationship Type="http://schemas.openxmlformats.org/officeDocument/2006/relationships/sharedStrings" Target="/xl/sharedStrings.xml" Id="R630a5ec047314903" /><Relationship Type="http://schemas.openxmlformats.org/officeDocument/2006/relationships/worksheet" Target="/xl/worksheets/sheet1.xml" Id="Rec657c2edb3e4ba9" /><Relationship Type="http://schemas.openxmlformats.org/officeDocument/2006/relationships/worksheet" Target="/xl/worksheets/sheet2.xml" Id="R104a5ad40f274ca4" /><Relationship Type="http://schemas.openxmlformats.org/officeDocument/2006/relationships/worksheet" Target="/xl/worksheets/sheet3.xml" Id="Rb5ff446982954eb4" /><Relationship Type="http://schemas.openxmlformats.org/officeDocument/2006/relationships/worksheet" Target="/xl/worksheets/sheet4.xml" Id="Rcb751f580ad64d30" /><Relationship Type="http://schemas.openxmlformats.org/officeDocument/2006/relationships/worksheet" Target="/xl/worksheets/sheet5.xml" Id="R8526a71a1e564c04" /><Relationship Type="http://schemas.openxmlformats.org/officeDocument/2006/relationships/worksheet" Target="/xl/worksheets/sheet6.xml" Id="Rfdd32196ad7c4c61" /><Relationship Type="http://schemas.openxmlformats.org/officeDocument/2006/relationships/worksheet" Target="/xl/worksheets/sheet7.xml" Id="R68f2d40996f1476e" /><Relationship Type="http://schemas.openxmlformats.org/officeDocument/2006/relationships/worksheet" Target="/xl/worksheets/sheet8.xml" Id="R78436c4bbe2d4aa0" /><Relationship Type="http://schemas.openxmlformats.org/officeDocument/2006/relationships/worksheet" Target="/xl/worksheets/sheet9.xml" Id="R6fcca35940304392" /><Relationship Type="http://schemas.openxmlformats.org/officeDocument/2006/relationships/worksheet" Target="/xl/worksheets/sheet10.xml" Id="R096d218491754323" /><Relationship Type="http://schemas.openxmlformats.org/officeDocument/2006/relationships/worksheet" Target="/xl/worksheets/sheet11.xml" Id="Rd094af147a104f50" /><Relationship Type="http://schemas.openxmlformats.org/officeDocument/2006/relationships/worksheet" Target="/xl/worksheets/sheet12.xml" Id="R17abf2df1c544bc7" /><Relationship Type="http://schemas.openxmlformats.org/officeDocument/2006/relationships/worksheet" Target="/xl/worksheets/sheet13.xml" Id="R2a2d9e86fe42479a" /><Relationship Type="http://schemas.openxmlformats.org/officeDocument/2006/relationships/worksheet" Target="/xl/worksheets/sheet14.xml" Id="R9c6f4e9e42114b65" /><Relationship Type="http://schemas.openxmlformats.org/officeDocument/2006/relationships/worksheet" Target="/xl/worksheets/sheet15.xml" Id="Rdd6f2c1897404f65" /><Relationship Type="http://schemas.openxmlformats.org/officeDocument/2006/relationships/worksheet" Target="/xl/worksheets/sheet16.xml" Id="R3712af90059b4bc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8cfd9fefe0246c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Mission-system G0–G3 allocation (USD B)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G0–G3 allocation USD B</c:v>
          </c:tx>
          <c:cat>
            <c:strRef>
              <c:f>'Financials'!$C$7:$C$12</c:f>
              <c:strCache>
                <c:ptCount val="0"/>
              </c:strCache>
            </c:strRef>
          </c:cat>
          <c:val>
            <c:numRef>
              <c:f>'Financials'!$F$7:$F$12</c:f>
              <c:numCache>
                <c:formatCode>$0.0000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5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cfd9fefe0246c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d1359ac8717e4de9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3" max="3" width="31" hidden="0" customWidth="1"/>
    <x:col min="4" max="4" width="60" hidden="0" customWidth="1"/>
    <x:col min="5" max="5" width="3" hidden="0" customWidth="1"/>
    <x:col min="6" max="6" width="31" hidden="0" customWidth="1"/>
    <x:col min="7" max="7" width="38" hidden="0" customWidth="1"/>
    <x:col min="8" max="8" width="13" hidden="0" customWidth="1"/>
    <x:col min="9" max="9" width="13" hidden="0" customWidth="1"/>
    <x:col min="10" max="10" width="20" hidden="0" customWidth="1"/>
    <x:col min="11" max="11" width="20" hidden="0" customWidth="1"/>
    <x:col min="12" max="12" width="18" hidden="0" customWidth="1"/>
    <x:col min="13" max="13" width="18" hidden="0" customWidth="1"/>
    <x:col min="1" max="1" width="2.5" hidden="0" customWidth="1"/>
    <x:col min="2" max="2" width="2.5" hidden="0" customWidth="1"/>
  </x:cols>
  <x:sheetData>
    <x:row r="2" ht="19.200000762939453" hidden="0" customHeight="1">
      <x:c r="C2" s="1" t="str">
        <x:v>Lifeline branch return and six-system proof wave</x:v>
      </x:c>
      <x:c r="D2" s="71"/>
      <x:c r="E2" s="71"/>
      <x:c r="F2" s="71"/>
      <x:c r="G2" s="71"/>
      <x:c r="H2" s="71"/>
      <x:c r="I2" s="71"/>
      <x:c r="J2" s="71"/>
      <x:c r="K2" s="71"/>
      <x:c r="L2" s="71"/>
      <x:c r="M2" s="71"/>
    </x:row>
    <x:row r="3" ht="15" hidden="0" customHeight="1">
      <x:c r="C3" s="3" t="str">
        <x:v>Pass 179 · RETURN · all evidence fields remain source-empty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15" hidden="0" customHeight="1">
      <x:c r="C4" s="71"/>
      <x:c r="D4" s="71"/>
      <x:c r="E4" s="71"/>
      <x:c r="F4" s="71"/>
      <x:c r="G4" s="71"/>
      <x:c r="H4" s="71"/>
      <x:c r="I4" s="71"/>
      <x:c r="J4" s="71"/>
      <x:c r="K4" s="71"/>
      <x:c r="L4" s="71"/>
      <x:c r="M4" s="71"/>
    </x:row>
    <x:row r="5" ht="15" hidden="0" customHeight="1">
      <x:c r="C5" s="71"/>
      <x:c r="D5" s="71"/>
      <x:c r="E5" s="71"/>
      <x:c r="F5" s="71"/>
      <x:c r="G5" s="71"/>
      <x:c r="H5" s="71"/>
      <x:c r="I5" s="71"/>
      <x:c r="J5" s="71"/>
      <x:c r="K5" s="71"/>
      <x:c r="L5" s="71"/>
      <x:c r="M5" s="71"/>
    </x:row>
    <x:row r="6" ht="15" hidden="0" customHeight="1">
      <x:c r="C6" s="15" t="str">
        <x:v>Decision</x:v>
      </x:c>
      <x:c r="D6" s="17" t="str">
        <x:v>Result</x:v>
      </x:c>
      <x:c r="E6" s="71"/>
      <x:c r="F6" s="15" t="str">
        <x:v>Financial boundary</x:v>
      </x:c>
      <x:c r="G6" s="17" t="str">
        <x:v>USD B</x:v>
      </x:c>
      <x:c r="H6" s="71"/>
      <x:c r="I6" s="71"/>
      <x:c r="J6" s="71"/>
      <x:c r="K6" s="71"/>
      <x:c r="L6" s="71"/>
      <x:c r="M6" s="71"/>
    </x:row>
    <x:row r="7" ht="15" hidden="0" customHeight="1">
      <x:c r="C7" s="67" t="str">
        <x:v>Lifeline desk branch</x:v>
      </x:c>
      <x:c r="D7" s="37" t="str">
        <x:v>END after three technical passes</x:v>
      </x:c>
      <x:c r="E7" s="71"/>
      <x:c r="F7" s="22" t="str">
        <x:v>G0–G3 total program</x:v>
      </x:c>
      <x:c r="G7" s="61" t="n">
        <x:f>'Controls'!D15</x:f>
        <x:v>500</x:v>
      </x:c>
      <x:c r="H7" s="71"/>
      <x:c r="I7" s="71"/>
      <x:c r="J7" s="71"/>
      <x:c r="K7" s="71"/>
      <x:c r="L7" s="71"/>
      <x:c r="M7" s="71"/>
    </x:row>
    <x:row r="8" ht="15" hidden="0" customHeight="1">
      <x:c r="C8" s="42" t="str">
        <x:v>Cancelled successor</x:v>
      </x:c>
      <x:c r="D8" s="37" t="str">
        <x:v>C3-LFG3-4 paper evidence population</x:v>
      </x:c>
      <x:c r="E8" s="71"/>
      <x:c r="F8" s="22" t="str">
        <x:v>G0–G3 mission systems</x:v>
      </x:c>
      <x:c r="G8" s="61" t="n">
        <x:f>'Controls'!D16</x:f>
        <x:v>275</x:v>
      </x:c>
      <x:c r="H8" s="71"/>
      <x:c r="I8" s="71"/>
      <x:c r="J8" s="71"/>
      <x:c r="K8" s="71"/>
      <x:c r="L8" s="71"/>
      <x:c r="M8" s="71"/>
    </x:row>
    <x:row r="9" ht="15" hidden="0" customHeight="1">
      <x:c r="C9" s="42" t="str">
        <x:v>Returned parent</x:v>
      </x:c>
      <x:c r="D9" s="37" t="str">
        <x:v>MSDW-1 / C3-RDFC-1 coupled six-system G3 wave</x:v>
      </x:c>
      <x:c r="E9" s="71"/>
      <x:c r="F9" s="22" t="str">
        <x:v>Non-lifeline mission allocation</x:v>
      </x:c>
      <x:c r="G9" s="61" t="n">
        <x:f>'Financials'!D17</x:f>
        <x:v>239</x:v>
      </x:c>
      <x:c r="H9" s="71"/>
      <x:c r="I9" s="71"/>
      <x:c r="J9" s="71"/>
      <x:c r="K9" s="71"/>
      <x:c r="L9" s="71"/>
      <x:c r="M9" s="71"/>
    </x:row>
    <x:row r="10" ht="15" hidden="0" customHeight="1">
      <x:c r="C10" s="42" t="str">
        <x:v>Selected portfolio path</x:v>
      </x:c>
      <x:c r="D10" s="37" t="str">
        <x:f>INDEX('Path Test'!C7:C10,MATCH("SELECT",'Path Test'!N7:N10,0))</x:f>
        <x:v>Synchronized translation wave</x:v>
      </x:c>
      <x:c r="E10" s="71"/>
      <x:c r="F10" s="22" t="str">
        <x:v>Lifeline mission allocation</x:v>
      </x:c>
      <x:c r="G10" s="61" t="n">
        <x:f>'Financials'!F10</x:f>
        <x:v>35.9765</x:v>
      </x:c>
      <x:c r="H10" s="71"/>
      <x:c r="I10" s="71"/>
      <x:c r="J10" s="71"/>
      <x:c r="K10" s="71"/>
      <x:c r="L10" s="71"/>
      <x:c r="M10" s="71"/>
    </x:row>
    <x:row r="11" ht="15" hidden="0" customHeight="1">
      <x:c r="C11" s="42" t="str">
        <x:v>Common rule</x:v>
      </x:c>
      <x:c r="D11" s="37" t="str">
        <x:v>Ten-element kernel; system-native proof unit</x:v>
      </x:c>
      <x:c r="E11" s="71"/>
      <x:c r="F11" s="22" t="str">
        <x:v>Public common / technical / reserve</x:v>
      </x:c>
      <x:c r="G11" s="61" t="n">
        <x:f>'Controls'!D15-'Controls'!D16</x:f>
        <x:v>225</x:v>
      </x:c>
      <x:c r="H11" s="71"/>
      <x:c r="I11" s="71"/>
      <x:c r="J11" s="71"/>
      <x:c r="K11" s="71"/>
      <x:c r="L11" s="71"/>
      <x:c r="M11" s="71"/>
    </x:row>
    <x:row r="12" ht="15" hidden="0" customHeight="1">
      <x:c r="C12" s="42" t="str">
        <x:v>Required root releases</x:v>
      </x:c>
      <x:c r="D12" s="37" t="n">
        <x:f>'Controls'!D9</x:f>
        <x:v>24</x:v>
      </x:c>
      <x:c r="E12" s="71"/>
      <x:c r="F12" s="23" t="str">
        <x:v>Reallocation to apparent leader</x:v>
      </x:c>
      <x:c r="G12" s="62" t="n">
        <x:v>0</x:v>
      </x:c>
      <x:c r="H12" s="71"/>
      <x:c r="I12" s="71"/>
      <x:c r="J12" s="71"/>
      <x:c r="K12" s="71"/>
      <x:c r="L12" s="71"/>
      <x:c r="M12" s="71"/>
    </x:row>
    <x:row r="13" ht="15" hidden="0" customHeight="1">
      <x:c r="C13" s="42" t="str">
        <x:v>Current root releases</x:v>
      </x:c>
      <x:c r="D13" s="37" t="n">
        <x:f>'G3 Barrier'!D14</x:f>
        <x:v>0</x:v>
      </x:c>
      <x:c r="E13" s="71"/>
      <x:c r="F13" s="71"/>
      <x:c r="G13" s="71"/>
      <x:c r="H13" s="71"/>
      <x:c r="I13" s="71"/>
      <x:c r="J13" s="71"/>
      <x:c r="K13" s="71"/>
      <x:c r="L13" s="71"/>
      <x:c r="M13" s="71"/>
    </x:row>
    <x:row r="14" ht="15" hidden="0" customHeight="1">
      <x:c r="C14" s="68" t="str">
        <x:v>Cascadia G4 entry</x:v>
      </x:c>
      <x:c r="D14" s="38" t="str">
        <x:f>'G3 Barrier'!D18</x:f>
        <x:v>BLOCKED</x:v>
      </x:c>
      <x:c r="E14" s="71"/>
      <x:c r="F14" s="71"/>
      <x:c r="G14" s="71"/>
      <x:c r="H14" s="71"/>
      <x:c r="I14" s="71"/>
      <x:c r="J14" s="71"/>
      <x:c r="K14" s="71"/>
      <x:c r="L14" s="71"/>
      <x:c r="M14" s="71"/>
    </x:row>
    <x:row r="15" ht="15" hidden="0" customHeight="1">
      <x:c r="C15" s="71"/>
      <x:c r="D15" s="71"/>
      <x:c r="E15" s="71"/>
      <x:c r="F15" s="15" t="str">
        <x:v>System</x:v>
      </x:c>
      <x:c r="G15" s="16" t="str">
        <x:v>Complete proof unit</x:v>
      </x:c>
      <x:c r="H15" s="16" t="str">
        <x:v>Roots</x:v>
      </x:c>
      <x:c r="I15" s="16" t="str">
        <x:v>Released</x:v>
      </x:c>
      <x:c r="J15" s="16" t="str">
        <x:v>Allocation USD B</x:v>
      </x:c>
      <x:c r="K15" s="16" t="str">
        <x:v>Unreleased USD B</x:v>
      </x:c>
      <x:c r="L15" s="16" t="str">
        <x:v>Barrier</x:v>
      </x:c>
      <x:c r="M15" s="17" t="str">
        <x:v>Literal copy?</x:v>
      </x:c>
    </x:row>
    <x:row r="16" ht="15" hidden="0" customHeight="1">
      <x:c r="C16" s="71"/>
      <x:c r="D16" s="71"/>
      <x:c r="E16" s="71"/>
      <x:c r="F16" s="22" t="str">
        <x:f>'System Translation'!C7</x:f>
        <x:v>MS-ET</x:v>
      </x:c>
      <x:c r="G16" s="22" t="str">
        <x:f>'System Translation'!F7</x:f>
        <x:v>Theater-entry corridor</x:v>
      </x:c>
      <x:c r="H16" s="22" t="n">
        <x:f>'Financials'!E7</x:f>
        <x:v>4</x:v>
      </x:c>
      <x:c r="I16" s="22" t="n">
        <x:f>'Financials'!H7</x:f>
        <x:v>0</x:v>
      </x:c>
      <x:c r="J16" s="44" t="n">
        <x:f>'Financials'!F7</x:f>
        <x:v>44.5</x:v>
      </x:c>
      <x:c r="K16" s="44" t="n">
        <x:f>'Financials'!I7</x:f>
        <x:v>44.5</x:v>
      </x:c>
      <x:c r="L16" s="50" t="str">
        <x:f>IF(J16=I16,"READY","BLOCKED")</x:f>
        <x:v>BLOCKED</x:v>
      </x:c>
      <x:c r="M16" s="22" t="str">
        <x:f>'System Translation'!J7</x:f>
        <x:v>NO</x:v>
      </x:c>
    </x:row>
    <x:row r="17" ht="15" hidden="0" customHeight="1">
      <x:c r="C17" s="71"/>
      <x:c r="D17" s="71"/>
      <x:c r="E17" s="71"/>
      <x:c r="F17" s="22" t="str">
        <x:f>'System Translation'!C8</x:f>
        <x:v>MS-CT</x:v>
      </x:c>
      <x:c r="G17" s="22" t="str">
        <x:f>'System Translation'!F8</x:f>
        <x:v>Occupied-terrain reach district</x:v>
      </x:c>
      <x:c r="H17" s="22" t="n">
        <x:f>'Financials'!E8</x:f>
        <x:v>4</x:v>
      </x:c>
      <x:c r="I17" s="22" t="n">
        <x:f>'Financials'!H8</x:f>
        <x:v>0</x:v>
      </x:c>
      <x:c r="J17" s="44" t="n">
        <x:f>'Financials'!F8</x:f>
        <x:v>45.9</x:v>
      </x:c>
      <x:c r="K17" s="44" t="n">
        <x:f>'Financials'!I8</x:f>
        <x:v>45.9</x:v>
      </x:c>
      <x:c r="L17" s="50" t="str">
        <x:f>IF(J17=I17,"READY","BLOCKED")</x:f>
        <x:v>BLOCKED</x:v>
      </x:c>
      <x:c r="M17" s="22" t="str">
        <x:f>'System Translation'!J8</x:f>
        <x:v>NO</x:v>
      </x:c>
    </x:row>
    <x:row r="18" ht="15" hidden="0" customHeight="1">
      <x:c r="C18" s="71"/>
      <x:c r="D18" s="71"/>
      <x:c r="E18" s="71"/>
      <x:c r="F18" s="22" t="str">
        <x:f>'System Translation'!C9</x:f>
        <x:v>MS-HC</x:v>
      </x:c>
      <x:c r="G18" s="22" t="str">
        <x:f>'System Translation'!F9</x:f>
        <x:v>Active-hazard control cell</x:v>
      </x:c>
      <x:c r="H18" s="22" t="n">
        <x:f>'Financials'!E9</x:f>
        <x:v>4</x:v>
      </x:c>
      <x:c r="I18" s="22" t="n">
        <x:f>'Financials'!H9</x:f>
        <x:v>0</x:v>
      </x:c>
      <x:c r="J18" s="44" t="n">
        <x:f>'Financials'!F9</x:f>
        <x:v>27.3</x:v>
      </x:c>
      <x:c r="K18" s="44" t="n">
        <x:f>'Financials'!I9</x:f>
        <x:v>27.3</x:v>
      </x:c>
      <x:c r="L18" s="50" t="str">
        <x:f>IF(J18=I18,"READY","BLOCKED")</x:f>
        <x:v>BLOCKED</x:v>
      </x:c>
      <x:c r="M18" s="22" t="str">
        <x:f>'System Translation'!J9</x:f>
        <x:v>NO</x:v>
      </x:c>
    </x:row>
    <x:row r="19" ht="15" hidden="0" customHeight="1">
      <x:c r="C19" s="71"/>
      <x:c r="D19" s="71"/>
      <x:c r="E19" s="71"/>
      <x:c r="F19" s="22" t="str">
        <x:f>'System Translation'!C10</x:f>
        <x:v>MS-LF</x:v>
      </x:c>
      <x:c r="G19" s="22" t="str">
        <x:f>'System Translation'!F10</x:f>
        <x:v>Quarter-service utility sector</x:v>
      </x:c>
      <x:c r="H19" s="22" t="n">
        <x:f>'Financials'!E10</x:f>
        <x:v>4</x:v>
      </x:c>
      <x:c r="I19" s="22" t="n">
        <x:f>'Financials'!H10</x:f>
        <x:v>0</x:v>
      </x:c>
      <x:c r="J19" s="44" t="n">
        <x:f>'Financials'!F10</x:f>
        <x:v>35.9765</x:v>
      </x:c>
      <x:c r="K19" s="44" t="n">
        <x:f>'Financials'!I10</x:f>
        <x:v>35.9765</x:v>
      </x:c>
      <x:c r="L19" s="50" t="str">
        <x:f>IF(J19=I19,"READY","BLOCKED")</x:f>
        <x:v>BLOCKED</x:v>
      </x:c>
      <x:c r="M19" s="22" t="str">
        <x:f>'System Translation'!J10</x:f>
        <x:v>REFERENCE</x:v>
      </x:c>
    </x:row>
    <x:row r="20" ht="15" hidden="0" customHeight="1">
      <x:c r="C20" s="71"/>
      <x:c r="D20" s="71"/>
      <x:c r="E20" s="71"/>
      <x:c r="F20" s="22" t="str">
        <x:f>'System Translation'!C11</x:f>
        <x:v>MS-HU</x:v>
      </x:c>
      <x:c r="G20" s="22" t="str">
        <x:f>'System Translation'!F11</x:f>
        <x:v>Relationship-bearing continuity district</x:v>
      </x:c>
      <x:c r="H20" s="22" t="n">
        <x:f>'Financials'!E11</x:f>
        <x:v>4</x:v>
      </x:c>
      <x:c r="I20" s="22" t="n">
        <x:f>'Financials'!H11</x:f>
        <x:v>0</x:v>
      </x:c>
      <x:c r="J20" s="44" t="n">
        <x:f>'Financials'!F11</x:f>
        <x:v>76.6</x:v>
      </x:c>
      <x:c r="K20" s="44" t="n">
        <x:f>'Financials'!I11</x:f>
        <x:v>76.6</x:v>
      </x:c>
      <x:c r="L20" s="50" t="str">
        <x:f>IF(J20=I20,"READY","BLOCKED")</x:f>
        <x:v>BLOCKED</x:v>
      </x:c>
      <x:c r="M20" s="22" t="str">
        <x:f>'System Translation'!J11</x:f>
        <x:v>NO</x:v>
      </x:c>
    </x:row>
    <x:row r="21" ht="15" hidden="0" customHeight="1">
      <x:c r="C21" s="71"/>
      <x:c r="D21" s="71"/>
      <x:c r="E21" s="71"/>
      <x:c r="F21" s="23" t="str">
        <x:f>'System Translation'!C12</x:f>
        <x:v>MS-RT</x:v>
      </x:c>
      <x:c r="G21" s="23" t="str">
        <x:f>'System Translation'!F12</x:f>
        <x:v>Closed regeneration loop</x:v>
      </x:c>
      <x:c r="H21" s="23" t="n">
        <x:f>'Financials'!E12</x:f>
        <x:v>4</x:v>
      </x:c>
      <x:c r="I21" s="23" t="n">
        <x:f>'Financials'!H12</x:f>
        <x:v>0</x:v>
      </x:c>
      <x:c r="J21" s="45" t="n">
        <x:f>'Financials'!F12</x:f>
        <x:v>44.7</x:v>
      </x:c>
      <x:c r="K21" s="45" t="n">
        <x:f>'Financials'!I12</x:f>
        <x:v>44.7</x:v>
      </x:c>
      <x:c r="L21" s="50" t="str">
        <x:f>IF(J21=I21,"READY","BLOCKED")</x:f>
        <x:v>BLOCKED</x:v>
      </x:c>
      <x:c r="M21" s="23" t="str">
        <x:f>'System Translation'!J12</x:f>
        <x:v>NO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75F3A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42" hidden="0" customWidth="1"/>
    <x:col min="4" max="4" width="18" hidden="0" customWidth="1"/>
    <x:col min="5" max="5" width="22" hidden="0" customWidth="1"/>
    <x:col min="6" max="6" width="25" hidden="0" customWidth="1"/>
    <x:col min="1" max="1" width="2.5" hidden="0" customWidth="1"/>
    <x:col min="2" max="2" width="2.5" hidden="0" customWidth="1"/>
  </x:cols>
  <x:sheetData>
    <x:row r="2" ht="19.200000762939453" hidden="0" customHeight="1">
      <x:c r="C2" s="1" t="str">
        <x:v>Six-system proof-wave controls</x:v>
      </x:c>
      <x:c r="D2" s="71"/>
      <x:c r="E2" s="71"/>
      <x:c r="F2" s="71"/>
      <x:c r="G2" s="71"/>
      <x:c r="H2" s="71"/>
    </x:row>
    <x:row r="3" ht="15" hidden="0" customHeight="1">
      <x:c r="C3" s="3" t="str">
        <x:v>Yellow cells are inherited constitutional inputs; outputs recalculate from them.</x:v>
      </x:c>
      <x:c r="D3" s="3"/>
      <x:c r="E3" s="3"/>
      <x:c r="F3" s="3"/>
      <x:c r="G3" s="3"/>
      <x:c r="H3" s="3"/>
    </x:row>
    <x:row r="4" ht="15" hidden="0" customHeight="1">
      <x:c r="C4" s="71"/>
      <x:c r="D4" s="71"/>
      <x:c r="E4" s="71"/>
      <x:c r="F4" s="71"/>
      <x:c r="G4" s="71"/>
      <x:c r="H4" s="71"/>
    </x:row>
    <x:row r="5" ht="15" hidden="0" customHeight="1">
      <x:c r="C5" s="71"/>
      <x:c r="D5" s="71"/>
      <x:c r="E5" s="71"/>
      <x:c r="F5" s="71"/>
      <x:c r="G5" s="71"/>
      <x:c r="H5" s="71"/>
    </x:row>
    <x:row r="6" ht="15" hidden="0" customHeight="1">
      <x:c r="C6" s="15" t="str">
        <x:v>Control</x:v>
      </x:c>
      <x:c r="D6" s="16" t="str">
        <x:v>Value</x:v>
      </x:c>
      <x:c r="E6" s="16" t="str">
        <x:v>Unit</x:v>
      </x:c>
      <x:c r="F6" s="17" t="str">
        <x:v>Authority</x:v>
      </x:c>
      <x:c r="G6" s="71"/>
      <x:c r="H6" s="71"/>
    </x:row>
    <x:row r="7" ht="15" hidden="0" customHeight="1">
      <x:c r="C7" s="22" t="str">
        <x:v>Mission systems</x:v>
      </x:c>
      <x:c r="D7" s="28" t="n">
        <x:v>6</x:v>
      </x:c>
      <x:c r="E7" s="22" t="str">
        <x:v>systems</x:v>
      </x:c>
      <x:c r="F7" s="22" t="str">
        <x:v>Pass 168</x:v>
      </x:c>
      <x:c r="G7" s="71"/>
      <x:c r="H7" s="71"/>
    </x:row>
    <x:row r="8" ht="15" hidden="0" customHeight="1">
      <x:c r="C8" s="22" t="str">
        <x:v>Roots per system</x:v>
      </x:c>
      <x:c r="D8" s="28" t="n">
        <x:v>4</x:v>
      </x:c>
      <x:c r="E8" s="22" t="str">
        <x:v>roots</x:v>
      </x:c>
      <x:c r="F8" s="22" t="str">
        <x:v>Pass 175</x:v>
      </x:c>
      <x:c r="G8" s="71"/>
      <x:c r="H8" s="71"/>
    </x:row>
    <x:row r="9" ht="15" hidden="0" customHeight="1">
      <x:c r="C9" s="22" t="str">
        <x:v>Required root releases</x:v>
      </x:c>
      <x:c r="D9" s="28" t="n">
        <x:v>24</x:v>
      </x:c>
      <x:c r="E9" s="22" t="str">
        <x:v>roots</x:v>
      </x:c>
      <x:c r="F9" s="22" t="str">
        <x:v>Four per system</x:v>
      </x:c>
      <x:c r="G9" s="71"/>
      <x:c r="H9" s="71"/>
    </x:row>
    <x:row r="10" ht="15" hidden="0" customHeight="1">
      <x:c r="C10" s="22" t="str">
        <x:v>Rotating all-six stacks</x:v>
      </x:c>
      <x:c r="D10" s="28" t="n">
        <x:v>4</x:v>
      </x:c>
      <x:c r="E10" s="22" t="str">
        <x:v>stacks</x:v>
      </x:c>
      <x:c r="F10" s="22" t="str">
        <x:v>Pass 171</x:v>
      </x:c>
      <x:c r="G10" s="71"/>
      <x:c r="H10" s="71"/>
    </x:row>
    <x:row r="11" ht="15" hidden="0" customHeight="1">
      <x:c r="C11" s="22" t="str">
        <x:v>Routes</x:v>
      </x:c>
      <x:c r="D11" s="28" t="n">
        <x:v>28</x:v>
      </x:c>
      <x:c r="E11" s="22" t="str">
        <x:v>routes</x:v>
      </x:c>
      <x:c r="F11" s="22" t="str">
        <x:v>Pass 172</x:v>
      </x:c>
      <x:c r="G11" s="71"/>
      <x:c r="H11" s="71"/>
    </x:row>
    <x:row r="12" ht="15" hidden="0" customHeight="1">
      <x:c r="C12" s="22" t="str">
        <x:v>Directed system exchanges</x:v>
      </x:c>
      <x:c r="D12" s="28" t="n">
        <x:v>30</x:v>
      </x:c>
      <x:c r="E12" s="22" t="str">
        <x:v>records</x:v>
      </x:c>
      <x:c r="F12" s="22" t="str">
        <x:v>Pass 172</x:v>
      </x:c>
      <x:c r="G12" s="71"/>
      <x:c r="H12" s="71"/>
    </x:row>
    <x:row r="13" ht="15" hidden="0" customHeight="1">
      <x:c r="C13" s="22" t="str">
        <x:v>Common proof elements</x:v>
      </x:c>
      <x:c r="D13" s="28" t="n">
        <x:v>10</x:v>
      </x:c>
      <x:c r="E13" s="22" t="str">
        <x:v>elements</x:v>
      </x:c>
      <x:c r="F13" s="22" t="str">
        <x:v>Pass 179</x:v>
      </x:c>
      <x:c r="G13" s="71"/>
      <x:c r="H13" s="71"/>
    </x:row>
    <x:row r="14" ht="15" hidden="0" customHeight="1">
      <x:c r="C14" s="22" t="str">
        <x:v>Public seam implementation floor</x:v>
      </x:c>
      <x:c r="D14" s="28" t="n">
        <x:v>4</x:v>
      </x:c>
      <x:c r="E14" s="22" t="str">
        <x:v>implementations</x:v>
      </x:c>
      <x:c r="F14" s="22" t="str">
        <x:v>Pass 175</x:v>
      </x:c>
      <x:c r="G14" s="71"/>
      <x:c r="H14" s="71"/>
    </x:row>
    <x:row r="15" ht="15" hidden="0" customHeight="1">
      <x:c r="C15" s="22" t="str">
        <x:v>Program through G3</x:v>
      </x:c>
      <x:c r="D15" s="30" t="n">
        <x:v>500</x:v>
      </x:c>
      <x:c r="E15" s="22" t="str">
        <x:v>USD B</x:v>
      </x:c>
      <x:c r="F15" s="22" t="str">
        <x:v>Pass 175</x:v>
      </x:c>
      <x:c r="G15" s="71"/>
      <x:c r="H15" s="71"/>
    </x:row>
    <x:row r="16" ht="15" hidden="0" customHeight="1">
      <x:c r="C16" s="22" t="str">
        <x:v>Mission-system account through G3</x:v>
      </x:c>
      <x:c r="D16" s="30" t="n">
        <x:v>275</x:v>
      </x:c>
      <x:c r="E16" s="22" t="str">
        <x:v>USD B</x:v>
      </x:c>
      <x:c r="F16" s="22" t="str">
        <x:v>Pass 175</x:v>
      </x:c>
      <x:c r="G16" s="71"/>
      <x:c r="H16" s="71"/>
    </x:row>
    <x:row r="17" ht="15" hidden="0" customHeight="1">
      <x:c r="C17" s="22" t="str">
        <x:v>Service technical bases through G3</x:v>
      </x:c>
      <x:c r="D17" s="30" t="n">
        <x:v>75</x:v>
      </x:c>
      <x:c r="E17" s="22" t="str">
        <x:v>USD B</x:v>
      </x:c>
      <x:c r="F17" s="22" t="str">
        <x:v>Pass 175</x:v>
      </x:c>
      <x:c r="G17" s="71"/>
      <x:c r="H17" s="71"/>
    </x:row>
    <x:row r="18" ht="15" hidden="0" customHeight="1">
      <x:c r="C18" s="22" t="str">
        <x:v>National common capacity through G3</x:v>
      </x:c>
      <x:c r="D18" s="30" t="n">
        <x:v>75</x:v>
      </x:c>
      <x:c r="E18" s="22" t="str">
        <x:v>USD B</x:v>
      </x:c>
      <x:c r="F18" s="22" t="str">
        <x:v>Pass 175</x:v>
      </x:c>
      <x:c r="G18" s="71"/>
      <x:c r="H18" s="71"/>
    </x:row>
    <x:row r="19" ht="15" hidden="0" customHeight="1">
      <x:c r="C19" s="22" t="str">
        <x:v>Sovereign technical estate through G3</x:v>
      </x:c>
      <x:c r="D19" s="30" t="n">
        <x:v>50</x:v>
      </x:c>
      <x:c r="E19" s="22" t="str">
        <x:v>USD B</x:v>
      </x:c>
      <x:c r="F19" s="22" t="str">
        <x:v>Pass 175</x:v>
      </x:c>
      <x:c r="G19" s="71"/>
      <x:c r="H19" s="71"/>
    </x:row>
    <x:row r="20" ht="15" hidden="0" customHeight="1">
      <x:c r="C20" s="22" t="str">
        <x:v>Failure reserve through G3</x:v>
      </x:c>
      <x:c r="D20" s="30" t="n">
        <x:v>25</x:v>
      </x:c>
      <x:c r="E20" s="22" t="str">
        <x:v>USD B</x:v>
      </x:c>
      <x:c r="F20" s="22" t="str">
        <x:v>Pass 175</x:v>
      </x:c>
      <x:c r="G20" s="71"/>
      <x:c r="H20" s="71"/>
    </x:row>
    <x:row r="21" ht="15" hidden="0" customHeight="1">
      <x:c r="C21" s="22" t="str">
        <x:v>Full 25-year program</x:v>
      </x:c>
      <x:c r="D21" s="30" t="n">
        <x:v>1000</x:v>
      </x:c>
      <x:c r="E21" s="22" t="str">
        <x:v>USD B</x:v>
      </x:c>
      <x:c r="F21" s="22" t="str">
        <x:v>Pass 171</x:v>
      </x:c>
      <x:c r="G21" s="71"/>
      <x:c r="H21" s="71"/>
    </x:row>
    <x:row r="22" ht="15" hidden="0" customHeight="1">
      <x:c r="C22" s="22" t="str">
        <x:v>Full mission-system account</x:v>
      </x:c>
      <x:c r="D22" s="30" t="n">
        <x:v>550</x:v>
      </x:c>
      <x:c r="E22" s="22" t="str">
        <x:v>USD B</x:v>
      </x:c>
      <x:c r="F22" s="22" t="str">
        <x:v>Pass 168</x:v>
      </x:c>
      <x:c r="G22" s="71"/>
      <x:c r="H22" s="71"/>
    </x:row>
    <x:row r="23" ht="15" hidden="0" customHeight="1">
      <x:c r="C23" s="23" t="str">
        <x:v>Lifeline desk branch technical passes</x:v>
      </x:c>
      <x:c r="D23" s="29" t="n">
        <x:v>3</x:v>
      </x:c>
      <x:c r="E23" s="23" t="str">
        <x:v>passes</x:v>
      </x:c>
      <x:c r="F23" s="23" t="str">
        <x:v>Passes 176–178</x:v>
      </x:c>
      <x:c r="G23" s="71"/>
      <x:c r="H23" s="7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F669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36" hidden="0" customWidth="1"/>
    <x:col min="4" max="4" width="16" hidden="0" customWidth="1"/>
    <x:col min="5" max="5" width="16" hidden="0" customWidth="1"/>
    <x:col min="6" max="6" width="3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4" hidden="0" customWidth="1"/>
    <x:col min="13" max="13" width="14" hidden="0" customWidth="1"/>
    <x:col min="14" max="14" width="14" hidden="0" customWidth="1"/>
    <x:col min="1" max="1" width="2.5" hidden="0" customWidth="1"/>
    <x:col min="2" max="2" width="2.5" hidden="0" customWidth="1"/>
  </x:cols>
  <x:sheetData>
    <x:row r="2" ht="19.200000762939453" hidden="0" customHeight="1">
      <x:c r="C2" s="1" t="str">
        <x:v>Returned portfolio path test</x:v>
      </x:c>
      <x:c r="D2" s="71"/>
      <x:c r="E2" s="71"/>
      <x:c r="F2" s="71"/>
      <x:c r="G2" s="71"/>
      <x:c r="H2" s="71"/>
      <x:c r="I2" s="71"/>
      <x:c r="J2" s="71"/>
      <x:c r="K2" s="71"/>
      <x:c r="L2" s="71"/>
      <x:c r="M2" s="71"/>
      <x:c r="N2" s="71"/>
    </x:row>
    <x:row r="3" ht="15" hidden="0" customHeight="1">
      <x:c r="C3" s="3" t="str">
        <x:v>A path must pass all eight gates; scores are counts, not compensatory weights.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15" hidden="0" customHeight="1">
      <x:c r="C4" s="71"/>
      <x:c r="D4" s="71"/>
      <x:c r="E4" s="71"/>
      <x:c r="F4" s="71"/>
      <x:c r="G4" s="71"/>
      <x:c r="H4" s="71"/>
      <x:c r="I4" s="71"/>
      <x:c r="J4" s="71"/>
      <x:c r="K4" s="71"/>
      <x:c r="L4" s="71"/>
      <x:c r="M4" s="71"/>
      <x:c r="N4" s="71"/>
    </x:row>
    <x:row r="5" ht="15" hidden="0" customHeight="1">
      <x:c r="C5" s="71"/>
      <x:c r="D5" s="71"/>
      <x:c r="E5" s="71"/>
      <x:c r="F5" s="71"/>
      <x:c r="G5" s="71"/>
      <x:c r="H5" s="71"/>
      <x:c r="I5" s="71"/>
      <x:c r="J5" s="71"/>
      <x:c r="K5" s="71"/>
      <x:c r="L5" s="71"/>
      <x:c r="M5" s="71"/>
      <x:c r="N5" s="71"/>
    </x:row>
    <x:row r="6" ht="24" hidden="0" customHeight="1">
      <x:c r="C6" s="15" t="str">
        <x:v>Path</x:v>
      </x:c>
      <x:c r="D6" s="16" t="str">
        <x:v>All systems live</x:v>
      </x:c>
      <x:c r="E6" s="16" t="str">
        <x:v>Funds conserved</x:v>
      </x:c>
      <x:c r="F6" s="16" t="str">
        <x:v>Four unlike roots</x:v>
      </x:c>
      <x:c r="G6" s="16" t="str">
        <x:v>Public seams</x:v>
      </x:c>
      <x:c r="H6" s="16" t="str">
        <x:v>System-specific causality</x:v>
      </x:c>
      <x:c r="I6" s="16" t="str">
        <x:v>No evidence transfer</x:v>
      </x:c>
      <x:c r="J6" s="16" t="str">
        <x:v>Four-stack bank</x:v>
      </x:c>
      <x:c r="K6" s="16" t="str">
        <x:v>No solo G5</x:v>
      </x:c>
      <x:c r="L6" s="16" t="str">
        <x:v>Passed</x:v>
      </x:c>
      <x:c r="M6" s="16" t="str">
        <x:v>Required</x:v>
      </x:c>
      <x:c r="N6" s="17" t="str">
        <x:v>Result</x:v>
      </x:c>
    </x:row>
    <x:row r="7" ht="15" hidden="0" customHeight="1">
      <x:c r="C7" s="22" t="str">
        <x:v>Rank and finish a second system</x:v>
      </x:c>
      <x:c r="D7" s="31" t="n">
        <x:v>0</x:v>
      </x:c>
      <x:c r="E7" s="31" t="n">
        <x:v>1</x:v>
      </x:c>
      <x:c r="F7" s="31" t="n">
        <x:v>1</x:v>
      </x:c>
      <x:c r="G7" s="31" t="n">
        <x:v>1</x:v>
      </x:c>
      <x:c r="H7" s="31" t="n">
        <x:v>1</x:v>
      </x:c>
      <x:c r="I7" s="31" t="n">
        <x:v>1</x:v>
      </x:c>
      <x:c r="J7" s="31" t="n">
        <x:v>0</x:v>
      </x:c>
      <x:c r="K7" s="31" t="n">
        <x:v>0</x:v>
      </x:c>
      <x:c r="L7" s="22" t="n">
        <x:f>SUM(D7:K7)</x:f>
        <x:v>5</x:v>
      </x:c>
      <x:c r="M7" s="22" t="n">
        <x:f>8</x:f>
        <x:v>8</x:v>
      </x:c>
      <x:c r="N7" s="33" t="str">
        <x:f>IF(L7=M7,"SELECT","REJECT")</x:f>
        <x:v>REJECT</x:v>
      </x:c>
    </x:row>
    <x:row r="8" ht="15" hidden="0" customHeight="1">
      <x:c r="C8" s="22" t="str">
        <x:v>Copy lifeline campaign five times</x:v>
      </x:c>
      <x:c r="D8" s="31" t="n">
        <x:v>1</x:v>
      </x:c>
      <x:c r="E8" s="31" t="n">
        <x:v>1</x:v>
      </x:c>
      <x:c r="F8" s="31" t="n">
        <x:v>1</x:v>
      </x:c>
      <x:c r="G8" s="31" t="n">
        <x:v>1</x:v>
      </x:c>
      <x:c r="H8" s="31" t="n">
        <x:v>0</x:v>
      </x:c>
      <x:c r="I8" s="31" t="n">
        <x:v>0</x:v>
      </x:c>
      <x:c r="J8" s="31" t="n">
        <x:v>1</x:v>
      </x:c>
      <x:c r="K8" s="31" t="n">
        <x:v>1</x:v>
      </x:c>
      <x:c r="L8" s="22" t="n">
        <x:f>SUM(D8:K8)</x:f>
        <x:v>6</x:v>
      </x:c>
      <x:c r="M8" s="22" t="n">
        <x:f>8</x:f>
        <x:v>8</x:v>
      </x:c>
      <x:c r="N8" s="33" t="str">
        <x:f>IF(L8=M8,"SELECT","REJECT")</x:f>
        <x:v>REJECT</x:v>
      </x:c>
    </x:row>
    <x:row r="9" ht="15" hidden="0" customHeight="1">
      <x:c r="C9" s="22" t="str">
        <x:v>Five independent constitutions</x:v>
      </x:c>
      <x:c r="D9" s="31" t="n">
        <x:v>1</x:v>
      </x:c>
      <x:c r="E9" s="31" t="n">
        <x:v>1</x:v>
      </x:c>
      <x:c r="F9" s="31" t="n">
        <x:v>1</x:v>
      </x:c>
      <x:c r="G9" s="31" t="n">
        <x:v>0</x:v>
      </x:c>
      <x:c r="H9" s="31" t="n">
        <x:v>1</x:v>
      </x:c>
      <x:c r="I9" s="31" t="n">
        <x:v>1</x:v>
      </x:c>
      <x:c r="J9" s="31" t="n">
        <x:v>0</x:v>
      </x:c>
      <x:c r="K9" s="31" t="n">
        <x:v>1</x:v>
      </x:c>
      <x:c r="L9" s="22" t="n">
        <x:f>SUM(D9:K9)</x:f>
        <x:v>6</x:v>
      </x:c>
      <x:c r="M9" s="22" t="n">
        <x:f>8</x:f>
        <x:v>8</x:v>
      </x:c>
      <x:c r="N9" s="33" t="str">
        <x:f>IF(L9=M9,"SELECT","REJECT")</x:f>
        <x:v>REJECT</x:v>
      </x:c>
    </x:row>
    <x:row r="10" ht="15" hidden="0" customHeight="1">
      <x:c r="C10" s="23" t="str">
        <x:v>Synchronized translation wave</x:v>
      </x:c>
      <x:c r="D10" s="32" t="n">
        <x:v>1</x:v>
      </x:c>
      <x:c r="E10" s="32" t="n">
        <x:v>1</x:v>
      </x:c>
      <x:c r="F10" s="32" t="n">
        <x:v>1</x:v>
      </x:c>
      <x:c r="G10" s="32" t="n">
        <x:v>1</x:v>
      </x:c>
      <x:c r="H10" s="32" t="n">
        <x:v>1</x:v>
      </x:c>
      <x:c r="I10" s="32" t="n">
        <x:v>1</x:v>
      </x:c>
      <x:c r="J10" s="32" t="n">
        <x:v>1</x:v>
      </x:c>
      <x:c r="K10" s="32" t="n">
        <x:v>1</x:v>
      </x:c>
      <x:c r="L10" s="23" t="n">
        <x:f>SUM(D10:K10)</x:f>
        <x:v>8</x:v>
      </x:c>
      <x:c r="M10" s="23" t="n">
        <x:f>8</x:f>
        <x:v>8</x:v>
      </x:c>
      <x:c r="N10" s="34" t="str">
        <x:f>IF(L10=M10,"SELECT","REJECT")</x:f>
        <x:v>SELECT</x:v>
      </x:c>
    </x:row>
    <x:row r="11" ht="15" hidden="0" customHeight="1">
      <x:c r="C11" s="71"/>
      <x:c r="D11" s="71"/>
      <x:c r="E11" s="71"/>
      <x:c r="F11" s="71"/>
      <x:c r="G11" s="71"/>
      <x:c r="H11" s="71"/>
      <x:c r="I11" s="71"/>
      <x:c r="J11" s="71"/>
      <x:c r="K11" s="71"/>
      <x:c r="L11" s="71"/>
      <x:c r="M11" s="71"/>
      <x:c r="N11" s="71"/>
    </x:row>
    <x:row r="12" ht="15" hidden="0" customHeight="1">
      <x:c r="C12" s="71"/>
      <x:c r="D12" s="71"/>
      <x:c r="E12" s="71"/>
      <x:c r="F12" s="71"/>
      <x:c r="G12" s="71"/>
      <x:c r="H12" s="71"/>
      <x:c r="I12" s="71"/>
      <x:c r="J12" s="71"/>
      <x:c r="K12" s="71"/>
      <x:c r="L12" s="71"/>
      <x:c r="M12" s="71"/>
      <x:c r="N12" s="71"/>
    </x:row>
    <x:row r="13" ht="15" hidden="0" customHeight="1">
      <x:c r="C13" s="15" t="str">
        <x:v>Rejected path</x:v>
      </x:c>
      <x:c r="D13" s="16" t="str">
        <x:v>Failure</x:v>
      </x:c>
      <x:c r="E13" s="16" t="str">
        <x:v>What remains valid</x:v>
      </x:c>
      <x:c r="F13" s="17" t="str">
        <x:v>Disposition</x:v>
      </x:c>
      <x:c r="G13" s="71"/>
      <x:c r="H13" s="71"/>
      <x:c r="I13" s="71"/>
      <x:c r="J13" s="71"/>
      <x:c r="K13" s="71"/>
      <x:c r="L13" s="71"/>
      <x:c r="M13" s="71"/>
      <x:c r="N13" s="71"/>
    </x:row>
    <x:row r="14" ht="24" hidden="0" customHeight="1">
      <x:c r="C14" s="37" t="str">
        <x:v>Rank second</x:v>
      </x:c>
      <x:c r="D14" s="37" t="str">
        <x:v>Violates coupled wavefront</x:v>
      </x:c>
      <x:c r="E14" s="37" t="str">
        <x:v>Local technical staggering</x:v>
      </x:c>
      <x:c r="F14" s="37" t="str">
        <x:v>No serial successor</x:v>
      </x:c>
      <x:c r="G14" s="71"/>
      <x:c r="H14" s="71"/>
      <x:c r="I14" s="71"/>
      <x:c r="J14" s="71"/>
      <x:c r="K14" s="71"/>
      <x:c r="L14" s="71"/>
      <x:c r="M14" s="71"/>
      <x:c r="N14" s="71"/>
    </x:row>
    <x:row r="15" ht="24" hidden="0" customHeight="1">
      <x:c r="C15" s="37" t="str">
        <x:v>Clone lifelines</x:v>
      </x:c>
      <x:c r="D15" s="37" t="str">
        <x:v>Wrong physical denominator</x:v>
      </x:c>
      <x:c r="E15" s="37" t="str">
        <x:v>Common proof kernel</x:v>
      </x:c>
      <x:c r="F15" s="37" t="str">
        <x:v>Translate, do not copy</x:v>
      </x:c>
      <x:c r="G15" s="71"/>
      <x:c r="H15" s="71"/>
      <x:c r="I15" s="71"/>
      <x:c r="J15" s="71"/>
      <x:c r="K15" s="71"/>
      <x:c r="L15" s="71"/>
      <x:c r="M15" s="71"/>
      <x:c r="N15" s="71"/>
    </x:row>
    <x:row r="16" ht="24" hidden="0" customHeight="1">
      <x:c r="C16" s="37" t="str">
        <x:v>Independent offices</x:v>
      </x:c>
      <x:c r="D16" s="37" t="str">
        <x:v>Late interface discovery</x:v>
      </x:c>
      <x:c r="E16" s="37" t="str">
        <x:v>System causal autonomy</x:v>
      </x:c>
      <x:c r="F16" s="37" t="str">
        <x:v>Use joint barrier</x:v>
      </x:c>
      <x:c r="G16" s="71"/>
      <x:c r="H16" s="71"/>
      <x:c r="I16" s="71"/>
      <x:c r="J16" s="71"/>
      <x:c r="K16" s="71"/>
      <x:c r="L16" s="71"/>
      <x:c r="M16" s="71"/>
      <x:c r="N16" s="71"/>
    </x:row>
    <x:row r="17" ht="15" hidden="0" customHeight="1">
      <x:c r="C17" s="38" t="str">
        <x:v>Synchronized wave</x:v>
      </x:c>
      <x:c r="D17" s="38" t="str">
        <x:v>None at planning level</x:v>
      </x:c>
      <x:c r="E17" s="38" t="str">
        <x:v>All eight gates</x:v>
      </x:c>
      <x:c r="F17" s="38" t="str">
        <x:v>Selected parent architecture</x:v>
      </x:c>
      <x:c r="G17" s="71"/>
      <x:c r="H17" s="71"/>
      <x:c r="I17" s="71"/>
      <x:c r="J17" s="71"/>
      <x:c r="K17" s="71"/>
      <x:c r="L17" s="71"/>
      <x:c r="M17" s="71"/>
      <x:c r="N17" s="7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F669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34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20" hidden="0" customWidth="1"/>
    <x:col min="11" max="11" width="20" hidden="0" customWidth="1"/>
    <x:col min="12" max="12" width="20" hidden="0" customWidth="1"/>
    <x:col min="13" max="13" width="18" hidden="0" customWidth="1"/>
    <x:col min="14" max="14" width="18" hidden="0" customWidth="1"/>
    <x:col min="15" max="15" width="12" hidden="0" customWidth="1"/>
    <x:col min="1" max="1" width="2.5" hidden="0" customWidth="1"/>
    <x:col min="2" max="2" width="2.5" hidden="0" customWidth="1"/>
  </x:cols>
  <x:sheetData>
    <x:row r="2" ht="19.200000762939453" hidden="0" customHeight="1">
      <x:c r="C2" s="1" t="str">
        <x:v>G3 barrier case tests</x:v>
      </x:c>
      <x:c r="D2" s="71"/>
      <x:c r="E2" s="71"/>
      <x:c r="F2" s="71"/>
      <x:c r="G2" s="71"/>
      <x:c r="H2" s="71"/>
      <x:c r="I2" s="71"/>
      <x:c r="J2" s="71"/>
      <x:c r="K2" s="71"/>
      <x:c r="L2" s="71"/>
      <x:c r="M2" s="71"/>
      <x:c r="N2" s="71"/>
      <x:c r="O2" s="71"/>
    </x:row>
    <x:row r="3" ht="15" hidden="0" customHeight="1">
      <x:c r="C3" s="3" t="str">
        <x:v>Aggregate root count is insufficient; every system and stack must close.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71"/>
    </x:row>
    <x:row r="4" ht="15" hidden="0" customHeight="1">
      <x:c r="C4" s="71"/>
      <x:c r="D4" s="71"/>
      <x:c r="E4" s="71"/>
      <x:c r="F4" s="71"/>
      <x:c r="G4" s="71"/>
      <x:c r="H4" s="71"/>
      <x:c r="I4" s="71"/>
      <x:c r="J4" s="71"/>
      <x:c r="K4" s="71"/>
      <x:c r="L4" s="71"/>
      <x:c r="M4" s="71"/>
      <x:c r="N4" s="71"/>
      <x:c r="O4" s="71"/>
    </x:row>
    <x:row r="5" ht="15" hidden="0" customHeight="1">
      <x:c r="C5" s="71"/>
      <x:c r="D5" s="71"/>
      <x:c r="E5" s="71"/>
      <x:c r="F5" s="71"/>
      <x:c r="G5" s="71"/>
      <x:c r="H5" s="71"/>
      <x:c r="I5" s="71"/>
      <x:c r="J5" s="71"/>
      <x:c r="K5" s="71"/>
      <x:c r="L5" s="71"/>
      <x:c r="M5" s="71"/>
      <x:c r="N5" s="71"/>
      <x:c r="O5" s="71"/>
    </x:row>
    <x:row r="6" ht="15" hidden="0" customHeight="1">
      <x:c r="C6" s="15" t="str">
        <x:v>Case</x:v>
      </x:c>
      <x:c r="D6" s="16" t="str">
        <x:v>ET</x:v>
      </x:c>
      <x:c r="E6" s="16" t="str">
        <x:v>CT</x:v>
      </x:c>
      <x:c r="F6" s="16" t="str">
        <x:v>HC</x:v>
      </x:c>
      <x:c r="G6" s="16" t="str">
        <x:v>LF</x:v>
      </x:c>
      <x:c r="H6" s="16" t="str">
        <x:v>HU</x:v>
      </x:c>
      <x:c r="I6" s="16" t="str">
        <x:v>RT</x:v>
      </x:c>
      <x:c r="J6" s="16" t="str">
        <x:v>Killed roots</x:v>
      </x:c>
      <x:c r="K6" s="16" t="str">
        <x:v>Kernel exceptions</x:v>
      </x:c>
      <x:c r="L6" s="16" t="str">
        <x:v>Seam implementations</x:v>
      </x:c>
      <x:c r="M6" s="16" t="str">
        <x:v>Expected</x:v>
      </x:c>
      <x:c r="N6" s="16" t="str">
        <x:v>Actual</x:v>
      </x:c>
      <x:c r="O6" s="17" t="str">
        <x:v>Audit</x:v>
      </x:c>
    </x:row>
    <x:row r="7" ht="15" hidden="0" customHeight="1">
      <x:c r="C7" s="22" t="str">
        <x:v>All 24 roots and seams</x:v>
      </x:c>
      <x:c r="D7" s="22" t="n">
        <x:v>4</x:v>
      </x:c>
      <x:c r="E7" s="22" t="n">
        <x:v>4</x:v>
      </x:c>
      <x:c r="F7" s="22" t="n">
        <x:v>4</x:v>
      </x:c>
      <x:c r="G7" s="22" t="n">
        <x:v>4</x:v>
      </x:c>
      <x:c r="H7" s="22" t="n">
        <x:v>4</x:v>
      </x:c>
      <x:c r="I7" s="22" t="n">
        <x:v>4</x:v>
      </x:c>
      <x:c r="J7" s="22" t="n">
        <x:v>0</x:v>
      </x:c>
      <x:c r="K7" s="22" t="n">
        <x:v>0</x:v>
      </x:c>
      <x:c r="L7" s="22" t="n">
        <x:v>4</x:v>
      </x:c>
      <x:c r="M7" s="51" t="str">
        <x:v>ELIGIBLE</x:v>
      </x:c>
      <x:c r="N7" s="33" t="str">
        <x:f>IF(AND(MIN(D7:I7)=4,J7=0,K7=0,L7&gt;=4),"ELIGIBLE","BLOCKED")</x:f>
        <x:v>ELIGIBLE</x:v>
      </x:c>
      <x:c r="O7" s="33" t="str">
        <x:f>IF(M7=N7,"PASS","FAIL")</x:f>
        <x:v>PASS</x:v>
      </x:c>
    </x:row>
    <x:row r="8" ht="15" hidden="0" customHeight="1">
      <x:c r="C8" s="22" t="str">
        <x:v>One root absent</x:v>
      </x:c>
      <x:c r="D8" s="22" t="n">
        <x:v>4</x:v>
      </x:c>
      <x:c r="E8" s="22" t="n">
        <x:v>4</x:v>
      </x:c>
      <x:c r="F8" s="22" t="n">
        <x:v>4</x:v>
      </x:c>
      <x:c r="G8" s="22" t="n">
        <x:v>4</x:v>
      </x:c>
      <x:c r="H8" s="22" t="n">
        <x:v>4</x:v>
      </x:c>
      <x:c r="I8" s="22" t="n">
        <x:v>3</x:v>
      </x:c>
      <x:c r="J8" s="22" t="n">
        <x:v>0</x:v>
      </x:c>
      <x:c r="K8" s="22" t="n">
        <x:v>0</x:v>
      </x:c>
      <x:c r="L8" s="22" t="n">
        <x:v>4</x:v>
      </x:c>
      <x:c r="M8" s="51" t="str">
        <x:v>BLOCKED</x:v>
      </x:c>
      <x:c r="N8" s="33" t="str">
        <x:f>IF(AND(MIN(D8:I8)=4,J8=0,K8=0,L8&gt;=4),"ELIGIBLE","BLOCKED")</x:f>
        <x:v>BLOCKED</x:v>
      </x:c>
      <x:c r="O8" s="33" t="str">
        <x:f>IF(M8=N8,"PASS","FAIL")</x:f>
        <x:v>PASS</x:v>
      </x:c>
    </x:row>
    <x:row r="9" ht="15" hidden="0" customHeight="1">
      <x:c r="C9" s="22" t="str">
        <x:v>All roots, one killed</x:v>
      </x:c>
      <x:c r="D9" s="22" t="n">
        <x:v>4</x:v>
      </x:c>
      <x:c r="E9" s="22" t="n">
        <x:v>4</x:v>
      </x:c>
      <x:c r="F9" s="22" t="n">
        <x:v>4</x:v>
      </x:c>
      <x:c r="G9" s="22" t="n">
        <x:v>4</x:v>
      </x:c>
      <x:c r="H9" s="22" t="n">
        <x:v>4</x:v>
      </x:c>
      <x:c r="I9" s="22" t="n">
        <x:v>4</x:v>
      </x:c>
      <x:c r="J9" s="22" t="n">
        <x:v>1</x:v>
      </x:c>
      <x:c r="K9" s="22" t="n">
        <x:v>0</x:v>
      </x:c>
      <x:c r="L9" s="22" t="n">
        <x:v>4</x:v>
      </x:c>
      <x:c r="M9" s="51" t="str">
        <x:v>BLOCKED</x:v>
      </x:c>
      <x:c r="N9" s="33" t="str">
        <x:f>IF(AND(MIN(D9:I9)=4,J9=0,K9=0,L9&gt;=4),"ELIGIBLE","BLOCKED")</x:f>
        <x:v>BLOCKED</x:v>
      </x:c>
      <x:c r="O9" s="33" t="str">
        <x:f>IF(M9=N9,"PASS","FAIL")</x:f>
        <x:v>PASS</x:v>
      </x:c>
    </x:row>
    <x:row r="10" ht="15" hidden="0" customHeight="1">
      <x:c r="C10" s="22" t="str">
        <x:v>All roots, one kernel exception</x:v>
      </x:c>
      <x:c r="D10" s="22" t="n">
        <x:v>4</x:v>
      </x:c>
      <x:c r="E10" s="22" t="n">
        <x:v>4</x:v>
      </x:c>
      <x:c r="F10" s="22" t="n">
        <x:v>4</x:v>
      </x:c>
      <x:c r="G10" s="22" t="n">
        <x:v>4</x:v>
      </x:c>
      <x:c r="H10" s="22" t="n">
        <x:v>4</x:v>
      </x:c>
      <x:c r="I10" s="22" t="n">
        <x:v>4</x:v>
      </x:c>
      <x:c r="J10" s="22" t="n">
        <x:v>0</x:v>
      </x:c>
      <x:c r="K10" s="22" t="n">
        <x:v>1</x:v>
      </x:c>
      <x:c r="L10" s="22" t="n">
        <x:v>4</x:v>
      </x:c>
      <x:c r="M10" s="51" t="str">
        <x:v>BLOCKED</x:v>
      </x:c>
      <x:c r="N10" s="33" t="str">
        <x:f>IF(AND(MIN(D10:I10)=4,J10=0,K10=0,L10&gt;=4),"ELIGIBLE","BLOCKED")</x:f>
        <x:v>BLOCKED</x:v>
      </x:c>
      <x:c r="O10" s="33" t="str">
        <x:f>IF(M10=N10,"PASS","FAIL")</x:f>
        <x:v>PASS</x:v>
      </x:c>
    </x:row>
    <x:row r="11" ht="15" hidden="0" customHeight="1">
      <x:c r="C11" s="22" t="str">
        <x:v>Lifelines only</x:v>
      </x:c>
      <x:c r="D11" s="22" t="n">
        <x:v>0</x:v>
      </x:c>
      <x:c r="E11" s="22" t="n">
        <x:v>0</x:v>
      </x:c>
      <x:c r="F11" s="22" t="n">
        <x:v>0</x:v>
      </x:c>
      <x:c r="G11" s="22" t="n">
        <x:v>4</x:v>
      </x:c>
      <x:c r="H11" s="22" t="n">
        <x:v>0</x:v>
      </x:c>
      <x:c r="I11" s="22" t="n">
        <x:v>0</x:v>
      </x:c>
      <x:c r="J11" s="22" t="n">
        <x:v>0</x:v>
      </x:c>
      <x:c r="K11" s="22" t="n">
        <x:v>0</x:v>
      </x:c>
      <x:c r="L11" s="22" t="n">
        <x:v>4</x:v>
      </x:c>
      <x:c r="M11" s="51" t="str">
        <x:v>BLOCKED</x:v>
      </x:c>
      <x:c r="N11" s="33" t="str">
        <x:f>IF(AND(MIN(D11:I11)=4,J11=0,K11=0,L11&gt;=4),"ELIGIBLE","BLOCKED")</x:f>
        <x:v>BLOCKED</x:v>
      </x:c>
      <x:c r="O11" s="33" t="str">
        <x:f>IF(M11=N11,"PASS","FAIL")</x:f>
        <x:v>PASS</x:v>
      </x:c>
    </x:row>
    <x:row r="12" ht="15" hidden="0" customHeight="1">
      <x:c r="C12" s="23" t="str">
        <x:v>Only three seam implementations</x:v>
      </x:c>
      <x:c r="D12" s="23" t="n">
        <x:v>4</x:v>
      </x:c>
      <x:c r="E12" s="23" t="n">
        <x:v>4</x:v>
      </x:c>
      <x:c r="F12" s="23" t="n">
        <x:v>4</x:v>
      </x:c>
      <x:c r="G12" s="23" t="n">
        <x:v>4</x:v>
      </x:c>
      <x:c r="H12" s="23" t="n">
        <x:v>4</x:v>
      </x:c>
      <x:c r="I12" s="23" t="n">
        <x:v>4</x:v>
      </x:c>
      <x:c r="J12" s="23" t="n">
        <x:v>0</x:v>
      </x:c>
      <x:c r="K12" s="23" t="n">
        <x:v>0</x:v>
      </x:c>
      <x:c r="L12" s="23" t="n">
        <x:v>3</x:v>
      </x:c>
      <x:c r="M12" s="51" t="str">
        <x:v>BLOCKED</x:v>
      </x:c>
      <x:c r="N12" s="33" t="str">
        <x:f>IF(AND(MIN(D12:I12)=4,J12=0,K12=0,L12&gt;=4),"ELIGIBLE","BLOCKED")</x:f>
        <x:v>BLOCKED</x:v>
      </x:c>
      <x:c r="O12" s="33" t="str">
        <x:f>IF(M12=N12,"PASS","FAIL")</x:f>
        <x:v>PASS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F669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25" hidden="0" customWidth="1"/>
    <x:col min="4" max="4" width="40" hidden="0" customWidth="1"/>
    <x:col min="5" max="5" width="40" hidden="0" customWidth="1"/>
    <x:col min="6" max="6" width="40" hidden="0" customWidth="1"/>
    <x:col min="7" max="7" width="17" hidden="0" customWidth="1"/>
    <x:col min="8" max="8" width="17" hidden="0" customWidth="1"/>
    <x:col min="9" max="9" width="25" hidden="0" customWidth="1"/>
    <x:col min="1" max="1" width="2.5" hidden="0" customWidth="1"/>
    <x:col min="2" max="2" width="2.5" hidden="0" customWidth="1"/>
  </x:cols>
  <x:sheetData>
    <x:row r="2" ht="19.200000762939453" hidden="0" customHeight="1">
      <x:c r="C2" s="1" t="str">
        <x:v>Common G3 proof kernel</x:v>
      </x:c>
      <x:c r="D2" s="71"/>
      <x:c r="E2" s="71"/>
      <x:c r="F2" s="71"/>
      <x:c r="G2" s="71"/>
      <x:c r="H2" s="71"/>
      <x:c r="I2" s="71"/>
    </x:row>
    <x:row r="3" ht="15" hidden="0" customHeight="1">
      <x:c r="C3" s="3" t="str">
        <x:v>Every system may strengthen an element; none may weaken or borrow it from another system.</x:v>
      </x:c>
      <x:c r="D3" s="3"/>
      <x:c r="E3" s="3"/>
      <x:c r="F3" s="3"/>
      <x:c r="G3" s="3"/>
      <x:c r="H3" s="3"/>
      <x:c r="I3" s="3"/>
    </x:row>
    <x:row r="4" ht="15" hidden="0" customHeight="1">
      <x:c r="C4" s="71"/>
      <x:c r="D4" s="71"/>
      <x:c r="E4" s="71"/>
      <x:c r="F4" s="71"/>
      <x:c r="G4" s="71"/>
      <x:c r="H4" s="71"/>
      <x:c r="I4" s="71"/>
    </x:row>
    <x:row r="5" ht="15" hidden="0" customHeight="1">
      <x:c r="C5" s="71"/>
      <x:c r="D5" s="71"/>
      <x:c r="E5" s="71"/>
      <x:c r="F5" s="71"/>
      <x:c r="G5" s="71"/>
      <x:c r="H5" s="71"/>
      <x:c r="I5" s="71"/>
    </x:row>
    <x:row r="6" ht="15" hidden="0" customHeight="1">
      <x:c r="C6" s="15" t="str">
        <x:v>Element</x:v>
      </x:c>
      <x:c r="D6" s="16" t="str">
        <x:v>Common requirement</x:v>
      </x:c>
      <x:c r="E6" s="16" t="str">
        <x:v>Lifeline expression</x:v>
      </x:c>
      <x:c r="F6" s="16" t="str">
        <x:v>Other-system translation</x:v>
      </x:c>
      <x:c r="G6" s="16" t="str">
        <x:v>May strengthen?</x:v>
      </x:c>
      <x:c r="H6" s="16" t="str">
        <x:v>May weaken?</x:v>
      </x:c>
      <x:c r="I6" s="17" t="str">
        <x:v>Failure</x:v>
      </x:c>
    </x:row>
    <x:row r="7" ht="15" hidden="0" customHeight="1">
      <x:c r="C7" s="37" t="str">
        <x:v>Service denominator</x:v>
      </x:c>
      <x:c r="D7" s="37" t="str">
        <x:v>Complete public service</x:v>
      </x:c>
      <x:c r="E7" s="37" t="str">
        <x:v>2M-person utility vector</x:v>
      </x:c>
      <x:c r="F7" s="37" t="str">
        <x:v>System-native complete unit</x:v>
      </x:c>
      <x:c r="G7" s="37" t="str">
        <x:v>YES</x:v>
      </x:c>
      <x:c r="H7" s="37" t="str">
        <x:v>NO</x:v>
      </x:c>
      <x:c r="I7" s="37" t="str">
        <x:v>HOLD</x:v>
      </x:c>
    </x:row>
    <x:row r="8" ht="15" hidden="0" customHeight="1">
      <x:c r="C8" s="37" t="str">
        <x:v>Root diversity</x:v>
      </x:c>
      <x:c r="D8" s="37" t="str">
        <x:v>Four unlike roots</x:v>
      </x:c>
      <x:c r="E8" s="37" t="str">
        <x:v>Four source physics</x:v>
      </x:c>
      <x:c r="F8" s="37" t="str">
        <x:v>Four execution ancestries</x:v>
      </x:c>
      <x:c r="G8" s="37" t="str">
        <x:v>YES</x:v>
      </x:c>
      <x:c r="H8" s="37" t="str">
        <x:v>NO</x:v>
      </x:c>
      <x:c r="I8" s="37" t="str">
        <x:v>HOLD / KILL collision</x:v>
      </x:c>
    </x:row>
    <x:row r="9" ht="15" hidden="0" customHeight="1">
      <x:c r="C9" s="37" t="str">
        <x:v>Route completeness</x:v>
      </x:c>
      <x:c r="D9" s="37" t="str">
        <x:v>Every route in every root</x:v>
      </x:c>
      <x:c r="E9" s="37" t="str">
        <x:v>Five utility routes</x:v>
      </x:c>
      <x:c r="F9" s="37" t="str">
        <x:v>System route set</x:v>
      </x:c>
      <x:c r="G9" s="37" t="str">
        <x:v>YES</x:v>
      </x:c>
      <x:c r="H9" s="37" t="str">
        <x:v>NO</x:v>
      </x:c>
      <x:c r="I9" s="37" t="str">
        <x:v>HOLD</x:v>
      </x:c>
    </x:row>
    <x:row r="10" ht="15" hidden="0" customHeight="1">
      <x:c r="C10" s="37" t="str">
        <x:v>Challenge / control</x:v>
      </x:c>
      <x:c r="D10" s="37" t="str">
        <x:v>Simultaneous paired evidence</x:v>
      </x:c>
      <x:c r="E10" s="37" t="str">
        <x:v>P1 / P2 sectors</x:v>
      </x:c>
      <x:c r="F10" s="37" t="str">
        <x:v>Paired complete units</x:v>
      </x:c>
      <x:c r="G10" s="37" t="str">
        <x:v>YES</x:v>
      </x:c>
      <x:c r="H10" s="37" t="str">
        <x:v>NO</x:v>
      </x:c>
      <x:c r="I10" s="37" t="str">
        <x:v>HOLD</x:v>
      </x:c>
    </x:row>
    <x:row r="11" ht="15" hidden="0" customHeight="1">
      <x:c r="C11" s="37" t="str">
        <x:v>Cold reproduction</x:v>
      </x:c>
      <x:c r="D11" s="37" t="str">
        <x:v>Separate-team full build</x:v>
      </x:c>
      <x:c r="E11" s="37" t="str">
        <x:v>R1 sector</x:v>
      </x:c>
      <x:c r="F11" s="37" t="str">
        <x:v>Cold complete unit</x:v>
      </x:c>
      <x:c r="G11" s="37" t="str">
        <x:v>YES</x:v>
      </x:c>
      <x:c r="H11" s="37" t="str">
        <x:v>NO</x:v>
      </x:c>
      <x:c r="I11" s="37" t="str">
        <x:v>HOLD</x:v>
      </x:c>
    </x:row>
    <x:row r="12" ht="15" hidden="0" customHeight="1">
      <x:c r="C12" s="37" t="str">
        <x:v>Event judgments</x:v>
      </x:c>
      <x:c r="D12" s="37" t="str">
        <x:v>Six independent axes</x:v>
      </x:c>
      <x:c r="E12" s="37" t="str">
        <x:v>Validity through reset</x:v>
      </x:c>
      <x:c r="F12" s="37" t="str">
        <x:v>Same six authorities</x:v>
      </x:c>
      <x:c r="G12" s="37" t="str">
        <x:v>YES</x:v>
      </x:c>
      <x:c r="H12" s="37" t="str">
        <x:v>NO</x:v>
      </x:c>
      <x:c r="I12" s="37" t="str">
        <x:v>HOLD / adverse</x:v>
      </x:c>
    </x:row>
    <x:row r="13" ht="15" hidden="0" customHeight="1">
      <x:c r="C13" s="37" t="str">
        <x:v>Adverse permanence</x:v>
      </x:c>
      <x:c r="D13" s="37" t="str">
        <x:v>Valid failure stays</x:v>
      </x:c>
      <x:c r="E13" s="37" t="str">
        <x:v>CF1 permanent</x:v>
      </x:c>
      <x:c r="F13" s="37" t="str">
        <x:v>Same</x:v>
      </x:c>
      <x:c r="G13" s="37" t="str">
        <x:v>YES</x:v>
      </x:c>
      <x:c r="H13" s="37" t="str">
        <x:v>NO</x:v>
      </x:c>
      <x:c r="I13" s="37" t="str">
        <x:v>Successor / KILL</x:v>
      </x:c>
    </x:row>
    <x:row r="14" ht="15" hidden="0" customHeight="1">
      <x:c r="C14" s="37" t="str">
        <x:v>Successor ceiling</x:v>
      </x:c>
      <x:c r="D14" s="37" t="str">
        <x:v>One fully re-earned CF2</x:v>
      </x:c>
      <x:c r="E14" s="37" t="str">
        <x:v>42 events + 159 packages</x:v>
      </x:c>
      <x:c r="F14" s="37" t="str">
        <x:v>Full system denominator</x:v>
      </x:c>
      <x:c r="G14" s="37" t="str">
        <x:v>YES</x:v>
      </x:c>
      <x:c r="H14" s="37" t="str">
        <x:v>NO</x:v>
      </x:c>
      <x:c r="I14" s="37" t="str">
        <x:v>KILL second adverse</x:v>
      </x:c>
    </x:row>
    <x:row r="15" ht="15" hidden="0" customHeight="1">
      <x:c r="C15" s="37" t="str">
        <x:v>Ancestry / replay</x:v>
      </x:c>
      <x:c r="D15" s="37" t="str">
        <x:v>Root-native and outside</x:v>
      </x:c>
      <x:c r="E15" s="37" t="str">
        <x:v>12 domains + replay</x:v>
      </x:c>
      <x:c r="F15" s="37" t="str">
        <x:v>System decisive domains</x:v>
      </x:c>
      <x:c r="G15" s="37" t="str">
        <x:v>YES</x:v>
      </x:c>
      <x:c r="H15" s="37" t="str">
        <x:v>NO</x:v>
      </x:c>
      <x:c r="I15" s="37" t="str">
        <x:v>HOLD / KILL</x:v>
      </x:c>
    </x:row>
    <x:row r="16" ht="15" hidden="0" customHeight="1">
      <x:c r="C16" s="38" t="str">
        <x:v>Joint barrier</x:v>
      </x:c>
      <x:c r="D16" s="38" t="str">
        <x:v>Four all-six stacks</x:v>
      </x:c>
      <x:c r="E16" s="38" t="str">
        <x:v>One lifeline root / stack</x:v>
      </x:c>
      <x:c r="F16" s="38" t="str">
        <x:v>One root / system / stack</x:v>
      </x:c>
      <x:c r="G16" s="38" t="str">
        <x:v>YES</x:v>
      </x:c>
      <x:c r="H16" s="38" t="str">
        <x:v>NO</x:v>
      </x:c>
      <x:c r="I16" s="38" t="str">
        <x:v>G4 BLOCKED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2F669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14" hidden="0" customWidth="1"/>
    <x:col min="4" max="4" width="38" hidden="0" customWidth="1"/>
    <x:col min="5" max="5" width="34" hidden="0" customWidth="1"/>
    <x:col min="6" max="6" width="44" hidden="0" customWidth="1"/>
    <x:col min="7" max="7" width="44" hidden="0" customWidth="1"/>
    <x:col min="8" max="8" width="44" hidden="0" customWidth="1"/>
    <x:col min="9" max="9" width="44" hidden="0" customWidth="1"/>
    <x:col min="10" max="10" width="20" hidden="0" customWidth="1"/>
    <x:col min="1" max="1" width="2.5" hidden="0" customWidth="1"/>
    <x:col min="2" max="2" width="2.5" hidden="0" customWidth="1"/>
  </x:cols>
  <x:sheetData>
    <x:row r="2" ht="19.200000762939453" hidden="0" customHeight="1">
      <x:c r="C2" s="1" t="str">
        <x:v>System-specific proof translation</x:v>
      </x:c>
      <x:c r="D2" s="71"/>
      <x:c r="E2" s="71"/>
      <x:c r="F2" s="71"/>
      <x:c r="G2" s="71"/>
      <x:c r="H2" s="71"/>
      <x:c r="I2" s="71"/>
      <x:c r="J2" s="71"/>
    </x:row>
    <x:row r="3" ht="15" hidden="0" customHeight="1">
      <x:c r="C3" s="3" t="str">
        <x:v>The experimental article is the smallest physical unit that retains every route and causal boundary.</x:v>
      </x:c>
      <x:c r="D3" s="3"/>
      <x:c r="E3" s="3"/>
      <x:c r="F3" s="3"/>
      <x:c r="G3" s="3"/>
      <x:c r="H3" s="3"/>
      <x:c r="I3" s="3"/>
      <x:c r="J3" s="3"/>
    </x:row>
    <x:row r="4" ht="15" hidden="0" customHeight="1">
      <x:c r="C4" s="71"/>
      <x:c r="D4" s="71"/>
      <x:c r="E4" s="71"/>
      <x:c r="F4" s="71"/>
      <x:c r="G4" s="71"/>
      <x:c r="H4" s="71"/>
      <x:c r="I4" s="71"/>
      <x:c r="J4" s="71"/>
    </x:row>
    <x:row r="5" ht="15" hidden="0" customHeight="1">
      <x:c r="C5" s="71"/>
      <x:c r="D5" s="71"/>
      <x:c r="E5" s="71"/>
      <x:c r="F5" s="71"/>
      <x:c r="G5" s="71"/>
      <x:c r="H5" s="71"/>
      <x:c r="I5" s="71"/>
      <x:c r="J5" s="71"/>
    </x:row>
    <x:row r="6" ht="15" hidden="0" customHeight="1">
      <x:c r="C6" s="15" t="str">
        <x:v>System</x:v>
      </x:c>
      <x:c r="D6" s="16" t="str">
        <x:v>Service promise</x:v>
      </x:c>
      <x:c r="E6" s="16" t="str">
        <x:v>Routes</x:v>
      </x:c>
      <x:c r="F6" s="16" t="str">
        <x:v>Complete proof unit</x:v>
      </x:c>
      <x:c r="G6" s="16" t="str">
        <x:v>Causal boundary</x:v>
      </x:c>
      <x:c r="H6" s="16" t="str">
        <x:v>Public acceptance</x:v>
      </x:c>
      <x:c r="I6" s="16" t="str">
        <x:v>Residual / return</x:v>
      </x:c>
      <x:c r="J6" s="17" t="str">
        <x:v>Literal lifeline copy?</x:v>
      </x:c>
    </x:row>
    <x:row r="7" ht="15" hidden="0" customHeight="1">
      <x:c r="C7" s="37" t="str">
        <x:v>MS-ET</x:v>
      </x:c>
      <x:c r="D7" s="37" t="str">
        <x:v>Enter a broken theater</x:v>
      </x:c>
      <x:c r="E7" s="39" t="n">
        <x:v>5</x:v>
      </x:c>
      <x:c r="F7" s="37" t="str">
        <x:v>Theater-entry corridor</x:v>
      </x:c>
      <x:c r="G7" s="37" t="str">
        <x:v>Node, debarkation, custody, onward handoff, temporary works</x:v>
      </x:c>
      <x:c r="H7" s="37" t="str">
        <x:v>Formation operational at released destination</x:v>
      </x:c>
      <x:c r="I7" s="37" t="str">
        <x:v>Node closure and route restoration</x:v>
      </x:c>
      <x:c r="J7" s="37" t="str">
        <x:v>NO</x:v>
      </x:c>
    </x:row>
    <x:row r="8" ht="15" hidden="0" customHeight="1">
      <x:c r="C8" s="37" t="str">
        <x:v>MS-CT</x:v>
      </x:c>
      <x:c r="D8" s="37" t="str">
        <x:v>Reach occupied civil terrain</x:v>
      </x:c>
      <x:c r="E8" s="39" t="n">
        <x:v>5</x:v>
      </x:c>
      <x:c r="F8" s="37" t="str">
        <x:v>Occupied-terrain reach district</x:v>
      </x:c>
      <x:c r="G8" s="37" t="str">
        <x:v>Authority, public truth, accessibility, last-building reach, return</x:v>
      </x:c>
      <x:c r="H8" s="37" t="str">
        <x:v>Named population lawfully reached</x:v>
      </x:c>
      <x:c r="I8" s="37" t="str">
        <x:v>Rights and origin handback</x:v>
      </x:c>
      <x:c r="J8" s="37" t="str">
        <x:v>NO</x:v>
      </x:c>
    </x:row>
    <x:row r="9" ht="24" hidden="0" customHeight="1">
      <x:c r="C9" s="37" t="str">
        <x:v>MS-HC</x:v>
      </x:c>
      <x:c r="D9" s="37" t="str">
        <x:v>Control an active hazard</x:v>
      </x:c>
      <x:c r="E9" s="39" t="n">
        <x:v>3</x:v>
      </x:c>
      <x:c r="F9" s="37" t="str">
        <x:v>Active-hazard control cell</x:v>
      </x:c>
      <x:c r="G9" s="37" t="str">
        <x:v>Pathway attenuation, population protection, responder envelope, residual</x:v>
      </x:c>
      <x:c r="H9" s="37" t="str">
        <x:v>Declared safe envelope sustained</x:v>
      </x:c>
      <x:c r="I9" s="37" t="str">
        <x:v>Residual destination and re-entry</x:v>
      </x:c>
      <x:c r="J9" s="37" t="str">
        <x:v>NO</x:v>
      </x:c>
    </x:row>
    <x:row r="10" ht="15" hidden="0" customHeight="1">
      <x:c r="C10" s="37" t="str">
        <x:v>MS-LF</x:v>
      </x:c>
      <x:c r="D10" s="37" t="str">
        <x:v>Produce and distribute lifelines</x:v>
      </x:c>
      <x:c r="E10" s="39" t="n">
        <x:v>5</x:v>
      </x:c>
      <x:c r="F10" s="37" t="str">
        <x:v>Quarter-service utility sector</x:v>
      </x:c>
      <x:c r="G10" s="37" t="str">
        <x:v>Source, conversion, corridor, receiver, quality, residual</x:v>
      </x:c>
      <x:c r="H10" s="37" t="str">
        <x:v>Usable service at point of use</x:v>
      </x:c>
      <x:c r="I10" s="37" t="str">
        <x:v>Residual custody and reset</x:v>
      </x:c>
      <x:c r="J10" s="37" t="str">
        <x:v>REFERENCE</x:v>
      </x:c>
    </x:row>
    <x:row r="11" ht="15" hidden="0" customHeight="1">
      <x:c r="C11" s="37" t="str">
        <x:v>MS-HU</x:v>
      </x:c>
      <x:c r="D11" s="37" t="str">
        <x:v>Preserve care and human continuity</x:v>
      </x:c>
      <x:c r="E11" s="39" t="n">
        <x:v>5</x:v>
      </x:c>
      <x:c r="F11" s="37" t="str">
        <x:v>Relationship-bearing continuity district</x:v>
      </x:c>
      <x:c r="G11" s="37" t="str">
        <x:v>Person, household, care, consent, transfer, supported release</x:v>
      </x:c>
      <x:c r="H11" s="37" t="str">
        <x:v>Accepted continuity state</x:v>
      </x:c>
      <x:c r="I11" s="37" t="str">
        <x:v>Supported return or lawful transition</x:v>
      </x:c>
      <x:c r="J11" s="37" t="str">
        <x:v>NO</x:v>
      </x:c>
    </x:row>
    <x:row r="12" ht="24" hidden="0" customHeight="1">
      <x:c r="C12" s="38" t="str">
        <x:v>MS-RT</x:v>
      </x:c>
      <x:c r="D12" s="38" t="str">
        <x:v>Sustain, transfer and regenerate</x:v>
      </x:c>
      <x:c r="E12" s="40" t="n">
        <x:v>5</x:v>
      </x:c>
      <x:c r="F12" s="38" t="str">
        <x:v>Closed regeneration loop</x:v>
      </x:c>
      <x:c r="G12" s="38" t="str">
        <x:v>Replenishment, repair, remanufacture, transfer, residual, configuration</x:v>
      </x:c>
      <x:c r="H12" s="38" t="str">
        <x:v>Renewed certified capacity</x:v>
      </x:c>
      <x:c r="I12" s="38" t="str">
        <x:v>Material and authority closure</x:v>
      </x:c>
      <x:c r="J12" s="38" t="str">
        <x:v>NO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375F3A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14" hidden="0" customWidth="1"/>
    <x:col min="4" max="4" width="10" hidden="0" customWidth="1"/>
    <x:col min="5" max="5" width="38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16" hidden="0" customWidth="1"/>
    <x:col min="11" max="11" width="10" hidden="0" customWidth="1"/>
    <x:col min="12" max="12" width="15" hidden="0" customWidth="1"/>
    <x:col min="1" max="1" width="2.5" hidden="0" customWidth="1"/>
    <x:col min="2" max="2" width="2.5" hidden="0" customWidth="1"/>
  </x:cols>
  <x:sheetData>
    <x:row r="2" ht="19.200000762939453" hidden="0" customHeight="1">
      <x:c r="C2" s="1" t="str">
        <x:v>Twenty-four-root G3 bank</x:v>
      </x:c>
      <x:c r="D2" s="71"/>
      <x:c r="E2" s="71"/>
      <x:c r="F2" s="71"/>
      <x:c r="G2" s="71"/>
      <x:c r="H2" s="71"/>
      <x:c r="I2" s="71"/>
      <x:c r="J2" s="71"/>
      <x:c r="K2" s="71"/>
      <x:c r="L2" s="71"/>
    </x:row>
    <x:row r="3" ht="15" hidden="0" customHeight="1">
      <x:c r="C3" s="3" t="str">
        <x:v>Yellow observations are intentionally zero; this return pass creates no physical release.</x:v>
      </x:c>
      <x:c r="D3" s="3"/>
      <x:c r="E3" s="3"/>
      <x:c r="F3" s="3"/>
      <x:c r="G3" s="3"/>
      <x:c r="H3" s="3"/>
      <x:c r="I3" s="3"/>
      <x:c r="J3" s="3"/>
      <x:c r="K3" s="3"/>
      <x:c r="L3" s="3"/>
    </x:row>
    <x:row r="4" ht="15" hidden="0" customHeight="1">
      <x:c r="C4" s="71"/>
      <x:c r="D4" s="71"/>
      <x:c r="E4" s="71"/>
      <x:c r="F4" s="71"/>
      <x:c r="G4" s="71"/>
      <x:c r="H4" s="71"/>
      <x:c r="I4" s="71"/>
      <x:c r="J4" s="71"/>
      <x:c r="K4" s="71"/>
      <x:c r="L4" s="71"/>
    </x:row>
    <x:row r="5" ht="15" hidden="0" customHeight="1">
      <x:c r="C5" s="71"/>
      <x:c r="D5" s="71"/>
      <x:c r="E5" s="71"/>
      <x:c r="F5" s="71"/>
      <x:c r="G5" s="71"/>
      <x:c r="H5" s="71"/>
      <x:c r="I5" s="71"/>
      <x:c r="J5" s="71"/>
      <x:c r="K5" s="71"/>
      <x:c r="L5" s="71"/>
    </x:row>
    <x:row r="6" ht="15" hidden="0" customHeight="1">
      <x:c r="C6" s="15" t="str">
        <x:v>System</x:v>
      </x:c>
      <x:c r="D6" s="16" t="str">
        <x:v>Root</x:v>
      </x:c>
      <x:c r="E6" s="16" t="str">
        <x:v>Architecture thesis</x:v>
      </x:c>
      <x:c r="F6" s="16" t="str">
        <x:v>Allocation USD B</x:v>
      </x:c>
      <x:c r="G6" s="16" t="str">
        <x:v>Release observed</x:v>
      </x:c>
      <x:c r="H6" s="16" t="str">
        <x:v>Kernel exception</x:v>
      </x:c>
      <x:c r="I6" s="16" t="str">
        <x:v>Ancestry collision</x:v>
      </x:c>
      <x:c r="J6" s="16" t="str">
        <x:v>Disposition</x:v>
      </x:c>
      <x:c r="K6" s="16" t="str">
        <x:v>Stack</x:v>
      </x:c>
      <x:c r="L6" s="17" t="str">
        <x:v>Unique identity</x:v>
      </x:c>
    </x:row>
    <x:row r="7" ht="15" hidden="0" customHeight="1">
      <x:c r="C7" s="22" t="str">
        <x:v>MS-ET</x:v>
      </x:c>
      <x:c r="D7" s="22" t="str">
        <x:v>A</x:v>
      </x:c>
      <x:c r="E7" s="22" t="str">
        <x:v>Oceanic mass bridge</x:v>
      </x:c>
      <x:c r="F7" s="44" t="n">
        <x:f>'Financials'!G7</x:f>
        <x:v>11.125</x:v>
      </x:c>
      <x:c r="G7" s="28" t="n">
        <x:v>0</x:v>
      </x:c>
      <x:c r="H7" s="28" t="n">
        <x:v>0</x:v>
      </x:c>
      <x:c r="I7" s="28" t="n">
        <x:v>0</x:v>
      </x:c>
      <x:c r="J7" s="33" t="str">
        <x:f>IF(I7&gt;0,"KILL",IF(AND(G7=1,H7=0),"RELEASE","HOLD"))</x:f>
        <x:v>HOLD</x:v>
      </x:c>
      <x:c r="K7" s="22" t="str">
        <x:f>D7</x:f>
        <x:v>A</x:v>
      </x:c>
      <x:c r="L7" s="22" t="n">
        <x:f>IF(COUNTIFS($C$7:$C$30,C7,$D$7:$D$30,D7)=1,1,0)</x:f>
        <x:v>1</x:v>
      </x:c>
    </x:row>
    <x:row r="8" ht="15" hidden="0" customHeight="1">
      <x:c r="C8" s="22" t="str">
        <x:v>MS-ET</x:v>
      </x:c>
      <x:c r="D8" s="22" t="str">
        <x:v>B</x:v>
      </x:c>
      <x:c r="E8" s="22" t="str">
        <x:v>Buoyant air bridge</x:v>
      </x:c>
      <x:c r="F8" s="44" t="n">
        <x:f>'Financials'!G7</x:f>
        <x:v>11.125</x:v>
      </x:c>
      <x:c r="G8" s="28" t="n">
        <x:v>0</x:v>
      </x:c>
      <x:c r="H8" s="28" t="n">
        <x:v>0</x:v>
      </x:c>
      <x:c r="I8" s="28" t="n">
        <x:v>0</x:v>
      </x:c>
      <x:c r="J8" s="33" t="str">
        <x:f>IF(I8&gt;0,"KILL",IF(AND(G8=1,H8=0),"RELEASE","HOLD"))</x:f>
        <x:v>HOLD</x:v>
      </x:c>
      <x:c r="K8" s="22" t="str">
        <x:f>D8</x:f>
        <x:v>B</x:v>
      </x:c>
      <x:c r="L8" s="22" t="n">
        <x:f>IF(COUNTIFS($C$7:$C$30,C8,$D$7:$D$30,D8)=1,1,0)</x:f>
        <x:v>1</x:v>
      </x:c>
    </x:row>
    <x:row r="9" ht="15" hidden="0" customHeight="1">
      <x:c r="C9" s="22" t="str">
        <x:v>MS-ET</x:v>
      </x:c>
      <x:c r="D9" s="22" t="str">
        <x:v>C</x:v>
      </x:c>
      <x:c r="E9" s="22" t="str">
        <x:v>Austere surface bridge</x:v>
      </x:c>
      <x:c r="F9" s="44" t="n">
        <x:f>'Financials'!G7</x:f>
        <x:v>11.125</x:v>
      </x:c>
      <x:c r="G9" s="28" t="n">
        <x:v>0</x:v>
      </x:c>
      <x:c r="H9" s="28" t="n">
        <x:v>0</x:v>
      </x:c>
      <x:c r="I9" s="28" t="n">
        <x:v>0</x:v>
      </x:c>
      <x:c r="J9" s="33" t="str">
        <x:f>IF(I9&gt;0,"KILL",IF(AND(G9=1,H9=0),"RELEASE","HOLD"))</x:f>
        <x:v>HOLD</x:v>
      </x:c>
      <x:c r="K9" s="22" t="str">
        <x:f>D9</x:f>
        <x:v>C</x:v>
      </x:c>
      <x:c r="L9" s="22" t="n">
        <x:f>IF(COUNTIFS($C$7:$C$30,C9,$D$7:$D$30,D9)=1,1,0)</x:f>
        <x:v>1</x:v>
      </x:c>
    </x:row>
    <x:row r="10" ht="15" hidden="0" customHeight="1">
      <x:c r="C10" s="22" t="str">
        <x:v>MS-ET</x:v>
      </x:c>
      <x:c r="D10" s="22" t="str">
        <x:v>D</x:v>
      </x:c>
      <x:c r="E10" s="22" t="str">
        <x:v>Amphibious autonomous mesh</x:v>
      </x:c>
      <x:c r="F10" s="44" t="n">
        <x:f>'Financials'!G7</x:f>
        <x:v>11.125</x:v>
      </x:c>
      <x:c r="G10" s="28" t="n">
        <x:v>0</x:v>
      </x:c>
      <x:c r="H10" s="28" t="n">
        <x:v>0</x:v>
      </x:c>
      <x:c r="I10" s="28" t="n">
        <x:v>0</x:v>
      </x:c>
      <x:c r="J10" s="33" t="str">
        <x:f>IF(I10&gt;0,"KILL",IF(AND(G10=1,H10=0),"RELEASE","HOLD"))</x:f>
        <x:v>HOLD</x:v>
      </x:c>
      <x:c r="K10" s="22" t="str">
        <x:f>D10</x:f>
        <x:v>D</x:v>
      </x:c>
      <x:c r="L10" s="22" t="n">
        <x:f>IF(COUNTIFS($C$7:$C$30,C10,$D$7:$D$30,D10)=1,1,0)</x:f>
        <x:v>1</x:v>
      </x:c>
    </x:row>
    <x:row r="11" ht="15" hidden="0" customHeight="1">
      <x:c r="C11" s="22" t="str">
        <x:v>MS-CT</x:v>
      </x:c>
      <x:c r="D11" s="22" t="str">
        <x:v>A</x:v>
      </x:c>
      <x:c r="E11" s="22" t="str">
        <x:v>Civic edge grid</x:v>
      </x:c>
      <x:c r="F11" s="44" t="n">
        <x:f>'Financials'!G8</x:f>
        <x:v>11.475</x:v>
      </x:c>
      <x:c r="G11" s="28" t="n">
        <x:v>0</x:v>
      </x:c>
      <x:c r="H11" s="28" t="n">
        <x:v>0</x:v>
      </x:c>
      <x:c r="I11" s="28" t="n">
        <x:v>0</x:v>
      </x:c>
      <x:c r="J11" s="33" t="str">
        <x:f>IF(I11&gt;0,"KILL",IF(AND(G11=1,H11=0),"RELEASE","HOLD"))</x:f>
        <x:v>HOLD</x:v>
      </x:c>
      <x:c r="K11" s="22" t="str">
        <x:f>D11</x:f>
        <x:v>A</x:v>
      </x:c>
      <x:c r="L11" s="22" t="n">
        <x:f>IF(COUNTIFS($C$7:$C$30,C11,$D$7:$D$30,D11)=1,1,0)</x:f>
        <x:v>1</x:v>
      </x:c>
    </x:row>
    <x:row r="12" ht="15" hidden="0" customHeight="1">
      <x:c r="C12" s="22" t="str">
        <x:v>MS-CT</x:v>
      </x:c>
      <x:c r="D12" s="22" t="str">
        <x:v>B</x:v>
      </x:c>
      <x:c r="E12" s="22" t="str">
        <x:v>Air-and-skin reach</x:v>
      </x:c>
      <x:c r="F12" s="44" t="n">
        <x:f>'Financials'!G8</x:f>
        <x:v>11.475</x:v>
      </x:c>
      <x:c r="G12" s="28" t="n">
        <x:v>0</x:v>
      </x:c>
      <x:c r="H12" s="28" t="n">
        <x:v>0</x:v>
      </x:c>
      <x:c r="I12" s="28" t="n">
        <x:v>0</x:v>
      </x:c>
      <x:c r="J12" s="33" t="str">
        <x:f>IF(I12&gt;0,"KILL",IF(AND(G12=1,H12=0),"RELEASE","HOLD"))</x:f>
        <x:v>HOLD</x:v>
      </x:c>
      <x:c r="K12" s="22" t="str">
        <x:f>D12</x:f>
        <x:v>B</x:v>
      </x:c>
      <x:c r="L12" s="22" t="n">
        <x:f>IF(COUNTIFS($C$7:$C$30,C12,$D$7:$D$30,D12)=1,1,0)</x:f>
        <x:v>1</x:v>
      </x:c>
    </x:row>
    <x:row r="13" ht="15" hidden="0" customHeight="1">
      <x:c r="C13" s="22" t="str">
        <x:v>MS-CT</x:v>
      </x:c>
      <x:c r="D13" s="22" t="str">
        <x:v>C</x:v>
      </x:c>
      <x:c r="E13" s="22" t="str">
        <x:v>Building utility spine</x:v>
      </x:c>
      <x:c r="F13" s="44" t="n">
        <x:f>'Financials'!G8</x:f>
        <x:v>11.475</x:v>
      </x:c>
      <x:c r="G13" s="28" t="n">
        <x:v>0</x:v>
      </x:c>
      <x:c r="H13" s="28" t="n">
        <x:v>0</x:v>
      </x:c>
      <x:c r="I13" s="28" t="n">
        <x:v>0</x:v>
      </x:c>
      <x:c r="J13" s="33" t="str">
        <x:f>IF(I13&gt;0,"KILL",IF(AND(G13=1,H13=0),"RELEASE","HOLD"))</x:f>
        <x:v>HOLD</x:v>
      </x:c>
      <x:c r="K13" s="22" t="str">
        <x:f>D13</x:f>
        <x:v>C</x:v>
      </x:c>
      <x:c r="L13" s="22" t="n">
        <x:f>IF(COUNTIFS($C$7:$C$30,C13,$D$7:$D$30,D13)=1,1,0)</x:f>
        <x:v>1</x:v>
      </x:c>
    </x:row>
    <x:row r="14" ht="15" hidden="0" customHeight="1">
      <x:c r="C14" s="22" t="str">
        <x:v>MS-CT</x:v>
      </x:c>
      <x:c r="D14" s="22" t="str">
        <x:v>D</x:v>
      </x:c>
      <x:c r="E14" s="22" t="str">
        <x:v>Neighborhood machine swarm</x:v>
      </x:c>
      <x:c r="F14" s="44" t="n">
        <x:f>'Financials'!G8</x:f>
        <x:v>11.475</x:v>
      </x:c>
      <x:c r="G14" s="28" t="n">
        <x:v>0</x:v>
      </x:c>
      <x:c r="H14" s="28" t="n">
        <x:v>0</x:v>
      </x:c>
      <x:c r="I14" s="28" t="n">
        <x:v>0</x:v>
      </x:c>
      <x:c r="J14" s="33" t="str">
        <x:f>IF(I14&gt;0,"KILL",IF(AND(G14=1,H14=0),"RELEASE","HOLD"))</x:f>
        <x:v>HOLD</x:v>
      </x:c>
      <x:c r="K14" s="22" t="str">
        <x:f>D14</x:f>
        <x:v>D</x:v>
      </x:c>
      <x:c r="L14" s="22" t="n">
        <x:f>IF(COUNTIFS($C$7:$C$30,C14,$D$7:$D$30,D14)=1,1,0)</x:f>
        <x:v>1</x:v>
      </x:c>
    </x:row>
    <x:row r="15" ht="15" hidden="0" customHeight="1">
      <x:c r="C15" s="22" t="str">
        <x:v>MS-HC</x:v>
      </x:c>
      <x:c r="D15" s="22" t="str">
        <x:v>A</x:v>
      </x:c>
      <x:c r="E15" s="22" t="str">
        <x:v>Atmospheric control wing</x:v>
      </x:c>
      <x:c r="F15" s="44" t="n">
        <x:f>'Financials'!G9</x:f>
        <x:v>6.825</x:v>
      </x:c>
      <x:c r="G15" s="28" t="n">
        <x:v>0</x:v>
      </x:c>
      <x:c r="H15" s="28" t="n">
        <x:v>0</x:v>
      </x:c>
      <x:c r="I15" s="28" t="n">
        <x:v>0</x:v>
      </x:c>
      <x:c r="J15" s="33" t="str">
        <x:f>IF(I15&gt;0,"KILL",IF(AND(G15=1,H15=0),"RELEASE","HOLD"))</x:f>
        <x:v>HOLD</x:v>
      </x:c>
      <x:c r="K15" s="22" t="str">
        <x:f>D15</x:f>
        <x:v>A</x:v>
      </x:c>
      <x:c r="L15" s="22" t="n">
        <x:f>IF(COUNTIFS($C$7:$C$30,C15,$D$7:$D$30,D15)=1,1,0)</x:f>
        <x:v>1</x:v>
      </x:c>
    </x:row>
    <x:row r="16" ht="15" hidden="0" customHeight="1">
      <x:c r="C16" s="22" t="str">
        <x:v>MS-HC</x:v>
      </x:c>
      <x:c r="D16" s="22" t="str">
        <x:v>B</x:v>
      </x:c>
      <x:c r="E16" s="22" t="str">
        <x:v>Fluid intervention lattice</x:v>
      </x:c>
      <x:c r="F16" s="44" t="n">
        <x:f>'Financials'!G9</x:f>
        <x:v>6.825</x:v>
      </x:c>
      <x:c r="G16" s="28" t="n">
        <x:v>0</x:v>
      </x:c>
      <x:c r="H16" s="28" t="n">
        <x:v>0</x:v>
      </x:c>
      <x:c r="I16" s="28" t="n">
        <x:v>0</x:v>
      </x:c>
      <x:c r="J16" s="33" t="str">
        <x:f>IF(I16&gt;0,"KILL",IF(AND(G16=1,H16=0),"RELEASE","HOLD"))</x:f>
        <x:v>HOLD</x:v>
      </x:c>
      <x:c r="K16" s="22" t="str">
        <x:f>D16</x:f>
        <x:v>B</x:v>
      </x:c>
      <x:c r="L16" s="22" t="n">
        <x:f>IF(COUNTIFS($C$7:$C$30,C16,$D$7:$D$30,D16)=1,1,0)</x:f>
        <x:v>1</x:v>
      </x:c>
    </x:row>
    <x:row r="17" ht="15" hidden="0" customHeight="1">
      <x:c r="C17" s="22" t="str">
        <x:v>MS-HC</x:v>
      </x:c>
      <x:c r="D17" s="22" t="str">
        <x:v>C</x:v>
      </x:c>
      <x:c r="E17" s="22" t="str">
        <x:v>Autonomous terrain corps</x:v>
      </x:c>
      <x:c r="F17" s="44" t="n">
        <x:f>'Financials'!G9</x:f>
        <x:v>6.825</x:v>
      </x:c>
      <x:c r="G17" s="28" t="n">
        <x:v>0</x:v>
      </x:c>
      <x:c r="H17" s="28" t="n">
        <x:v>0</x:v>
      </x:c>
      <x:c r="I17" s="28" t="n">
        <x:v>0</x:v>
      </x:c>
      <x:c r="J17" s="33" t="str">
        <x:f>IF(I17&gt;0,"KILL",IF(AND(G17=1,H17=0),"RELEASE","HOLD"))</x:f>
        <x:v>HOLD</x:v>
      </x:c>
      <x:c r="K17" s="22" t="str">
        <x:f>D17</x:f>
        <x:v>C</x:v>
      </x:c>
      <x:c r="L17" s="22" t="n">
        <x:f>IF(COUNTIFS($C$7:$C$30,C17,$D$7:$D$30,D17)=1,1,0)</x:f>
        <x:v>1</x:v>
      </x:c>
    </x:row>
    <x:row r="18" ht="15" hidden="0" customHeight="1">
      <x:c r="C18" s="22" t="str">
        <x:v>MS-HC</x:v>
      </x:c>
      <x:c r="D18" s="22" t="str">
        <x:v>D</x:v>
      </x:c>
      <x:c r="E18" s="22" t="str">
        <x:v>Distributed control field</x:v>
      </x:c>
      <x:c r="F18" s="44" t="n">
        <x:f>'Financials'!G9</x:f>
        <x:v>6.825</x:v>
      </x:c>
      <x:c r="G18" s="28" t="n">
        <x:v>0</x:v>
      </x:c>
      <x:c r="H18" s="28" t="n">
        <x:v>0</x:v>
      </x:c>
      <x:c r="I18" s="28" t="n">
        <x:v>0</x:v>
      </x:c>
      <x:c r="J18" s="33" t="str">
        <x:f>IF(I18&gt;0,"KILL",IF(AND(G18=1,H18=0),"RELEASE","HOLD"))</x:f>
        <x:v>HOLD</x:v>
      </x:c>
      <x:c r="K18" s="22" t="str">
        <x:f>D18</x:f>
        <x:v>D</x:v>
      </x:c>
      <x:c r="L18" s="22" t="n">
        <x:f>IF(COUNTIFS($C$7:$C$30,C18,$D$7:$D$30,D18)=1,1,0)</x:f>
        <x:v>1</x:v>
      </x:c>
    </x:row>
    <x:row r="19" ht="15" hidden="0" customHeight="1">
      <x:c r="C19" s="22" t="str">
        <x:v>MS-LF</x:v>
      </x:c>
      <x:c r="D19" s="22" t="str">
        <x:v>A</x:v>
      </x:c>
      <x:c r="E19" s="22" t="str">
        <x:v>Oceanic nuclear utility</x:v>
      </x:c>
      <x:c r="F19" s="44" t="n">
        <x:f>'Financials'!G10</x:f>
        <x:v>8.994125</x:v>
      </x:c>
      <x:c r="G19" s="28" t="n">
        <x:v>0</x:v>
      </x:c>
      <x:c r="H19" s="28" t="n">
        <x:v>0</x:v>
      </x:c>
      <x:c r="I19" s="28" t="n">
        <x:v>0</x:v>
      </x:c>
      <x:c r="J19" s="33" t="str">
        <x:f>IF(I19&gt;0,"KILL",IF(AND(G19=1,H19=0),"RELEASE","HOLD"))</x:f>
        <x:v>HOLD</x:v>
      </x:c>
      <x:c r="K19" s="22" t="str">
        <x:f>D19</x:f>
        <x:v>A</x:v>
      </x:c>
      <x:c r="L19" s="22" t="n">
        <x:f>IF(COUNTIFS($C$7:$C$30,C19,$D$7:$D$30,D19)=1,1,0)</x:f>
        <x:v>1</x:v>
      </x:c>
    </x:row>
    <x:row r="20" ht="15" hidden="0" customHeight="1">
      <x:c r="C20" s="22" t="str">
        <x:v>MS-LF</x:v>
      </x:c>
      <x:c r="D20" s="22" t="str">
        <x:v>B</x:v>
      </x:c>
      <x:c r="E20" s="22" t="str">
        <x:v>Inland geothermal train</x:v>
      </x:c>
      <x:c r="F20" s="44" t="n">
        <x:f>'Financials'!G10</x:f>
        <x:v>8.994125</x:v>
      </x:c>
      <x:c r="G20" s="28" t="n">
        <x:v>0</x:v>
      </x:c>
      <x:c r="H20" s="28" t="n">
        <x:v>0</x:v>
      </x:c>
      <x:c r="I20" s="28" t="n">
        <x:v>0</x:v>
      </x:c>
      <x:c r="J20" s="33" t="str">
        <x:f>IF(I20&gt;0,"KILL",IF(AND(G20=1,H20=0),"RELEASE","HOLD"))</x:f>
        <x:v>HOLD</x:v>
      </x:c>
      <x:c r="K20" s="22" t="str">
        <x:f>D20</x:f>
        <x:v>B</x:v>
      </x:c>
      <x:c r="L20" s="22" t="n">
        <x:f>IF(COUNTIFS($C$7:$C$30,C20,$D$7:$D$30,D20)=1,1,0)</x:f>
        <x:v>1</x:v>
      </x:c>
    </x:row>
    <x:row r="21" ht="15" hidden="0" customHeight="1">
      <x:c r="C21" s="22" t="str">
        <x:v>MS-LF</x:v>
      </x:c>
      <x:c r="D21" s="22" t="str">
        <x:v>C</x:v>
      </x:c>
      <x:c r="E21" s="22" t="str">
        <x:v>Renewable electrochemical swarm</x:v>
      </x:c>
      <x:c r="F21" s="44" t="n">
        <x:f>'Financials'!G10</x:f>
        <x:v>8.994125</x:v>
      </x:c>
      <x:c r="G21" s="28" t="n">
        <x:v>0</x:v>
      </x:c>
      <x:c r="H21" s="28" t="n">
        <x:v>0</x:v>
      </x:c>
      <x:c r="I21" s="28" t="n">
        <x:v>0</x:v>
      </x:c>
      <x:c r="J21" s="33" t="str">
        <x:f>IF(I21&gt;0,"KILL",IF(AND(G21=1,H21=0),"RELEASE","HOLD"))</x:f>
        <x:v>HOLD</x:v>
      </x:c>
      <x:c r="K21" s="22" t="str">
        <x:f>D21</x:f>
        <x:v>C</x:v>
      </x:c>
      <x:c r="L21" s="22" t="n">
        <x:f>IF(COUNTIFS($C$7:$C$30,C21,$D$7:$D$30,D21)=1,1,0)</x:f>
        <x:v>1</x:v>
      </x:c>
    </x:row>
    <x:row r="22" ht="15" hidden="0" customHeight="1">
      <x:c r="C22" s="22" t="str">
        <x:v>MS-LF</x:v>
      </x:c>
      <x:c r="D22" s="22" t="str">
        <x:v>D</x:v>
      </x:c>
      <x:c r="E22" s="22" t="str">
        <x:v>Synthetic-fuel service fleet</x:v>
      </x:c>
      <x:c r="F22" s="44" t="n">
        <x:f>'Financials'!G10</x:f>
        <x:v>8.994125</x:v>
      </x:c>
      <x:c r="G22" s="28" t="n">
        <x:v>0</x:v>
      </x:c>
      <x:c r="H22" s="28" t="n">
        <x:v>0</x:v>
      </x:c>
      <x:c r="I22" s="28" t="n">
        <x:v>0</x:v>
      </x:c>
      <x:c r="J22" s="33" t="str">
        <x:f>IF(I22&gt;0,"KILL",IF(AND(G22=1,H22=0),"RELEASE","HOLD"))</x:f>
        <x:v>HOLD</x:v>
      </x:c>
      <x:c r="K22" s="22" t="str">
        <x:f>D22</x:f>
        <x:v>D</x:v>
      </x:c>
      <x:c r="L22" s="22" t="n">
        <x:f>IF(COUNTIFS($C$7:$C$30,C22,$D$7:$D$30,D22)=1,1,0)</x:f>
        <x:v>1</x:v>
      </x:c>
    </x:row>
    <x:row r="23" ht="15" hidden="0" customHeight="1">
      <x:c r="C23" s="22" t="str">
        <x:v>MS-HU</x:v>
      </x:c>
      <x:c r="D23" s="22" t="str">
        <x:v>A</x:v>
      </x:c>
      <x:c r="E23" s="22" t="str">
        <x:v>Clinical continuity campus</x:v>
      </x:c>
      <x:c r="F23" s="44" t="n">
        <x:f>'Financials'!G11</x:f>
        <x:v>19.15</x:v>
      </x:c>
      <x:c r="G23" s="28" t="n">
        <x:v>0</x:v>
      </x:c>
      <x:c r="H23" s="28" t="n">
        <x:v>0</x:v>
      </x:c>
      <x:c r="I23" s="28" t="n">
        <x:v>0</x:v>
      </x:c>
      <x:c r="J23" s="33" t="str">
        <x:f>IF(I23&gt;0,"KILL",IF(AND(G23=1,H23=0),"RELEASE","HOLD"))</x:f>
        <x:v>HOLD</x:v>
      </x:c>
      <x:c r="K23" s="22" t="str">
        <x:f>D23</x:f>
        <x:v>A</x:v>
      </x:c>
      <x:c r="L23" s="22" t="n">
        <x:f>IF(COUNTIFS($C$7:$C$30,C23,$D$7:$D$30,D23)=1,1,0)</x:f>
        <x:v>1</x:v>
      </x:c>
    </x:row>
    <x:row r="24" ht="15" hidden="0" customHeight="1">
      <x:c r="C24" s="22" t="str">
        <x:v>MS-HU</x:v>
      </x:c>
      <x:c r="D24" s="22" t="str">
        <x:v>B</x:v>
      </x:c>
      <x:c r="E24" s="22" t="str">
        <x:v>Neighborhood care fabric</x:v>
      </x:c>
      <x:c r="F24" s="44" t="n">
        <x:f>'Financials'!G11</x:f>
        <x:v>19.15</x:v>
      </x:c>
      <x:c r="G24" s="28" t="n">
        <x:v>0</x:v>
      </x:c>
      <x:c r="H24" s="28" t="n">
        <x:v>0</x:v>
      </x:c>
      <x:c r="I24" s="28" t="n">
        <x:v>0</x:v>
      </x:c>
      <x:c r="J24" s="33" t="str">
        <x:f>IF(I24&gt;0,"KILL",IF(AND(G24=1,H24=0),"RELEASE","HOLD"))</x:f>
        <x:v>HOLD</x:v>
      </x:c>
      <x:c r="K24" s="22" t="str">
        <x:f>D24</x:f>
        <x:v>B</x:v>
      </x:c>
      <x:c r="L24" s="22" t="n">
        <x:f>IF(COUNTIFS($C$7:$C$30,C24,$D$7:$D$30,D24)=1,1,0)</x:f>
        <x:v>1</x:v>
      </x:c>
    </x:row>
    <x:row r="25" ht="15" hidden="0" customHeight="1">
      <x:c r="C25" s="22" t="str">
        <x:v>MS-HU</x:v>
      </x:c>
      <x:c r="D25" s="22" t="str">
        <x:v>C</x:v>
      </x:c>
      <x:c r="E25" s="22" t="str">
        <x:v>Mobile care network</x:v>
      </x:c>
      <x:c r="F25" s="44" t="n">
        <x:f>'Financials'!G11</x:f>
        <x:v>19.15</x:v>
      </x:c>
      <x:c r="G25" s="28" t="n">
        <x:v>0</x:v>
      </x:c>
      <x:c r="H25" s="28" t="n">
        <x:v>0</x:v>
      </x:c>
      <x:c r="I25" s="28" t="n">
        <x:v>0</x:v>
      </x:c>
      <x:c r="J25" s="33" t="str">
        <x:f>IF(I25&gt;0,"KILL",IF(AND(G25=1,H25=0),"RELEASE","HOLD"))</x:f>
        <x:v>HOLD</x:v>
      </x:c>
      <x:c r="K25" s="22" t="str">
        <x:f>D25</x:f>
        <x:v>C</x:v>
      </x:c>
      <x:c r="L25" s="22" t="n">
        <x:f>IF(COUNTIFS($C$7:$C$30,C25,$D$7:$D$30,D25)=1,1,0)</x:f>
        <x:v>1</x:v>
      </x:c>
    </x:row>
    <x:row r="26" ht="15" hidden="0" customHeight="1">
      <x:c r="C26" s="22" t="str">
        <x:v>MS-HU</x:v>
      </x:c>
      <x:c r="D26" s="22" t="str">
        <x:v>D</x:v>
      </x:c>
      <x:c r="E26" s="22" t="str">
        <x:v>Host-building conversion system</x:v>
      </x:c>
      <x:c r="F26" s="44" t="n">
        <x:f>'Financials'!G11</x:f>
        <x:v>19.15</x:v>
      </x:c>
      <x:c r="G26" s="28" t="n">
        <x:v>0</x:v>
      </x:c>
      <x:c r="H26" s="28" t="n">
        <x:v>0</x:v>
      </x:c>
      <x:c r="I26" s="28" t="n">
        <x:v>0</x:v>
      </x:c>
      <x:c r="J26" s="33" t="str">
        <x:f>IF(I26&gt;0,"KILL",IF(AND(G26=1,H26=0),"RELEASE","HOLD"))</x:f>
        <x:v>HOLD</x:v>
      </x:c>
      <x:c r="K26" s="22" t="str">
        <x:f>D26</x:f>
        <x:v>D</x:v>
      </x:c>
      <x:c r="L26" s="22" t="n">
        <x:f>IF(COUNTIFS($C$7:$C$30,C26,$D$7:$D$30,D26)=1,1,0)</x:f>
        <x:v>1</x:v>
      </x:c>
    </x:row>
    <x:row r="27" ht="15" hidden="0" customHeight="1">
      <x:c r="C27" s="22" t="str">
        <x:v>MS-RT</x:v>
      </x:c>
      <x:c r="D27" s="22" t="str">
        <x:v>A</x:v>
      </x:c>
      <x:c r="E27" s="22" t="str">
        <x:v>Heavy arsenal base</x:v>
      </x:c>
      <x:c r="F27" s="44" t="n">
        <x:f>'Financials'!G12</x:f>
        <x:v>11.175</x:v>
      </x:c>
      <x:c r="G27" s="28" t="n">
        <x:v>0</x:v>
      </x:c>
      <x:c r="H27" s="28" t="n">
        <x:v>0</x:v>
      </x:c>
      <x:c r="I27" s="28" t="n">
        <x:v>0</x:v>
      </x:c>
      <x:c r="J27" s="33" t="str">
        <x:f>IF(I27&gt;0,"KILL",IF(AND(G27=1,H27=0),"RELEASE","HOLD"))</x:f>
        <x:v>HOLD</x:v>
      </x:c>
      <x:c r="K27" s="22" t="str">
        <x:f>D27</x:f>
        <x:v>A</x:v>
      </x:c>
      <x:c r="L27" s="22" t="n">
        <x:f>IF(COUNTIFS($C$7:$C$30,C27,$D$7:$D$30,D27)=1,1,0)</x:f>
        <x:v>1</x:v>
      </x:c>
    </x:row>
    <x:row r="28" ht="15" hidden="0" customHeight="1">
      <x:c r="C28" s="22" t="str">
        <x:v>MS-RT</x:v>
      </x:c>
      <x:c r="D28" s="22" t="str">
        <x:v>B</x:v>
      </x:c>
      <x:c r="E28" s="22" t="str">
        <x:v>Distributed microfactory mesh</x:v>
      </x:c>
      <x:c r="F28" s="44" t="n">
        <x:f>'Financials'!G12</x:f>
        <x:v>11.175</x:v>
      </x:c>
      <x:c r="G28" s="28" t="n">
        <x:v>0</x:v>
      </x:c>
      <x:c r="H28" s="28" t="n">
        <x:v>0</x:v>
      </x:c>
      <x:c r="I28" s="28" t="n">
        <x:v>0</x:v>
      </x:c>
      <x:c r="J28" s="33" t="str">
        <x:f>IF(I28&gt;0,"KILL",IF(AND(G28=1,H28=0),"RELEASE","HOLD"))</x:f>
        <x:v>HOLD</x:v>
      </x:c>
      <x:c r="K28" s="22" t="str">
        <x:f>D28</x:f>
        <x:v>B</x:v>
      </x:c>
      <x:c r="L28" s="22" t="n">
        <x:f>IF(COUNTIFS($C$7:$C$30,C28,$D$7:$D$30,D28)=1,1,0)</x:f>
        <x:v>1</x:v>
      </x:c>
    </x:row>
    <x:row r="29" ht="15" hidden="0" customHeight="1">
      <x:c r="C29" s="22" t="str">
        <x:v>MS-RT</x:v>
      </x:c>
      <x:c r="D29" s="22" t="str">
        <x:v>C</x:v>
      </x:c>
      <x:c r="E29" s="22" t="str">
        <x:v>Exchange and remanufacture network</x:v>
      </x:c>
      <x:c r="F29" s="44" t="n">
        <x:f>'Financials'!G12</x:f>
        <x:v>11.175</x:v>
      </x:c>
      <x:c r="G29" s="28" t="n">
        <x:v>0</x:v>
      </x:c>
      <x:c r="H29" s="28" t="n">
        <x:v>0</x:v>
      </x:c>
      <x:c r="I29" s="28" t="n">
        <x:v>0</x:v>
      </x:c>
      <x:c r="J29" s="33" t="str">
        <x:f>IF(I29&gt;0,"KILL",IF(AND(G29=1,H29=0),"RELEASE","HOLD"))</x:f>
        <x:v>HOLD</x:v>
      </x:c>
      <x:c r="K29" s="22" t="str">
        <x:f>D29</x:f>
        <x:v>C</x:v>
      </x:c>
      <x:c r="L29" s="22" t="n">
        <x:f>IF(COUNTIFS($C$7:$C$30,C29,$D$7:$D$30,D29)=1,1,0)</x:f>
        <x:v>1</x:v>
      </x:c>
    </x:row>
    <x:row r="30" ht="15" hidden="0" customHeight="1">
      <x:c r="C30" s="23" t="str">
        <x:v>MS-RT</x:v>
      </x:c>
      <x:c r="D30" s="23" t="str">
        <x:v>D</x:v>
      </x:c>
      <x:c r="E30" s="23" t="str">
        <x:v>Closed-loop sustainment fleet</x:v>
      </x:c>
      <x:c r="F30" s="45" t="n">
        <x:f>'Financials'!G12</x:f>
        <x:v>11.175</x:v>
      </x:c>
      <x:c r="G30" s="29" t="n">
        <x:v>0</x:v>
      </x:c>
      <x:c r="H30" s="29" t="n">
        <x:v>0</x:v>
      </x:c>
      <x:c r="I30" s="29" t="n">
        <x:v>0</x:v>
      </x:c>
      <x:c r="J30" s="34" t="str">
        <x:f>IF(I30&gt;0,"KILL",IF(AND(G30=1,H30=0),"RELEASE","HOLD"))</x:f>
        <x:v>HOLD</x:v>
      </x:c>
      <x:c r="K30" s="23" t="str">
        <x:f>D30</x:f>
        <x:v>D</x:v>
      </x:c>
      <x:c r="L30" s="23" t="n">
        <x:f>IF(COUNTIFS($C$7:$C$30,C30,$D$7:$D$30,D30)=1,1,0)</x:f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31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0" hidden="0" customWidth="1"/>
    <x:col min="11" max="11" width="20" hidden="0" customWidth="1"/>
    <x:col min="12" max="12" width="20" hidden="0" customWidth="1"/>
    <x:col min="1" max="1" width="2.5" hidden="0" customWidth="1"/>
    <x:col min="2" max="2" width="2.5" hidden="0" customWidth="1"/>
  </x:cols>
  <x:sheetData>
    <x:row r="2" ht="19.200000762939453" hidden="0" customHeight="1">
      <x:c r="C2" s="1" t="str">
        <x:v>Synchronized G3 barrier</x:v>
      </x:c>
      <x:c r="D2" s="71"/>
      <x:c r="E2" s="71"/>
      <x:c r="F2" s="71"/>
      <x:c r="G2" s="71"/>
      <x:c r="H2" s="71"/>
      <x:c r="I2" s="71"/>
      <x:c r="J2" s="71"/>
      <x:c r="K2" s="71"/>
      <x:c r="L2" s="71"/>
    </x:row>
    <x:row r="3" ht="15" hidden="0" customHeight="1">
      <x:c r="C3" s="3" t="str">
        <x:v>Each of four rotating stacks needs one released root from every system.</x:v>
      </x:c>
      <x:c r="D3" s="3"/>
      <x:c r="E3" s="3"/>
      <x:c r="F3" s="3"/>
      <x:c r="G3" s="3"/>
      <x:c r="H3" s="3"/>
      <x:c r="I3" s="3"/>
      <x:c r="J3" s="3"/>
      <x:c r="K3" s="3"/>
      <x:c r="L3" s="3"/>
    </x:row>
    <x:row r="4" ht="15" hidden="0" customHeight="1">
      <x:c r="C4" s="71"/>
      <x:c r="D4" s="71"/>
      <x:c r="E4" s="71"/>
      <x:c r="F4" s="71"/>
      <x:c r="G4" s="71"/>
      <x:c r="H4" s="71"/>
      <x:c r="I4" s="71"/>
      <x:c r="J4" s="71"/>
      <x:c r="K4" s="71"/>
      <x:c r="L4" s="71"/>
    </x:row>
    <x:row r="5" ht="15" hidden="0" customHeight="1">
      <x:c r="C5" s="71"/>
      <x:c r="D5" s="71"/>
      <x:c r="E5" s="71"/>
      <x:c r="F5" s="71"/>
      <x:c r="G5" s="71"/>
      <x:c r="H5" s="71"/>
      <x:c r="I5" s="71"/>
      <x:c r="J5" s="71"/>
      <x:c r="K5" s="71"/>
      <x:c r="L5" s="71"/>
    </x:row>
    <x:row r="6" ht="15" hidden="0" customHeight="1">
      <x:c r="C6" s="15" t="str">
        <x:v>Stack</x:v>
      </x:c>
      <x:c r="D6" s="16" t="str">
        <x:v>MS-ET</x:v>
      </x:c>
      <x:c r="E6" s="16" t="str">
        <x:v>MS-CT</x:v>
      </x:c>
      <x:c r="F6" s="16" t="str">
        <x:v>MS-HC</x:v>
      </x:c>
      <x:c r="G6" s="16" t="str">
        <x:v>MS-LF</x:v>
      </x:c>
      <x:c r="H6" s="16" t="str">
        <x:v>MS-HU</x:v>
      </x:c>
      <x:c r="I6" s="16" t="str">
        <x:v>MS-RT</x:v>
      </x:c>
      <x:c r="J6" s="16" t="str">
        <x:v>Released systems</x:v>
      </x:c>
      <x:c r="K6" s="16" t="str">
        <x:v>Required</x:v>
      </x:c>
      <x:c r="L6" s="17" t="str">
        <x:v>Stack status</x:v>
      </x:c>
    </x:row>
    <x:row r="7" ht="15" hidden="0" customHeight="1">
      <x:c r="C7" s="22" t="str">
        <x:v>A</x:v>
      </x:c>
      <x:c r="D7" s="22" t="str">
        <x:f>'Root Bank'!J7</x:f>
        <x:v>HOLD</x:v>
      </x:c>
      <x:c r="E7" s="22" t="str">
        <x:f>'Root Bank'!J11</x:f>
        <x:v>HOLD</x:v>
      </x:c>
      <x:c r="F7" s="22" t="str">
        <x:f>'Root Bank'!J15</x:f>
        <x:v>HOLD</x:v>
      </x:c>
      <x:c r="G7" s="22" t="str">
        <x:f>'Root Bank'!J19</x:f>
        <x:v>HOLD</x:v>
      </x:c>
      <x:c r="H7" s="22" t="str">
        <x:f>'Root Bank'!J23</x:f>
        <x:v>HOLD</x:v>
      </x:c>
      <x:c r="I7" s="22" t="str">
        <x:f>'Root Bank'!J27</x:f>
        <x:v>HOLD</x:v>
      </x:c>
      <x:c r="J7" s="22" t="n">
        <x:f>COUNTIFS(D7:I7,"RELEASE")</x:f>
        <x:v>0</x:v>
      </x:c>
      <x:c r="K7" s="50" t="n">
        <x:f>6</x:f>
        <x:v>6</x:v>
      </x:c>
      <x:c r="L7" s="33" t="str">
        <x:f>IF(J7=K7,"READY","BLOCKED")</x:f>
        <x:v>BLOCKED</x:v>
      </x:c>
    </x:row>
    <x:row r="8" ht="15" hidden="0" customHeight="1">
      <x:c r="C8" s="22" t="str">
        <x:v>B</x:v>
      </x:c>
      <x:c r="D8" s="22" t="str">
        <x:f>'Root Bank'!J8</x:f>
        <x:v>HOLD</x:v>
      </x:c>
      <x:c r="E8" s="22" t="str">
        <x:f>'Root Bank'!J12</x:f>
        <x:v>HOLD</x:v>
      </x:c>
      <x:c r="F8" s="22" t="str">
        <x:f>'Root Bank'!J16</x:f>
        <x:v>HOLD</x:v>
      </x:c>
      <x:c r="G8" s="22" t="str">
        <x:f>'Root Bank'!J20</x:f>
        <x:v>HOLD</x:v>
      </x:c>
      <x:c r="H8" s="22" t="str">
        <x:f>'Root Bank'!J24</x:f>
        <x:v>HOLD</x:v>
      </x:c>
      <x:c r="I8" s="22" t="str">
        <x:f>'Root Bank'!J28</x:f>
        <x:v>HOLD</x:v>
      </x:c>
      <x:c r="J8" s="22" t="n">
        <x:f>COUNTIFS(D8:I8,"RELEASE")</x:f>
        <x:v>0</x:v>
      </x:c>
      <x:c r="K8" s="50" t="n">
        <x:f>6</x:f>
        <x:v>6</x:v>
      </x:c>
      <x:c r="L8" s="33" t="str">
        <x:f>IF(J8=K8,"READY","BLOCKED")</x:f>
        <x:v>BLOCKED</x:v>
      </x:c>
    </x:row>
    <x:row r="9" ht="15" hidden="0" customHeight="1">
      <x:c r="C9" s="22" t="str">
        <x:v>C</x:v>
      </x:c>
      <x:c r="D9" s="22" t="str">
        <x:f>'Root Bank'!J9</x:f>
        <x:v>HOLD</x:v>
      </x:c>
      <x:c r="E9" s="22" t="str">
        <x:f>'Root Bank'!J13</x:f>
        <x:v>HOLD</x:v>
      </x:c>
      <x:c r="F9" s="22" t="str">
        <x:f>'Root Bank'!J17</x:f>
        <x:v>HOLD</x:v>
      </x:c>
      <x:c r="G9" s="22" t="str">
        <x:f>'Root Bank'!J21</x:f>
        <x:v>HOLD</x:v>
      </x:c>
      <x:c r="H9" s="22" t="str">
        <x:f>'Root Bank'!J25</x:f>
        <x:v>HOLD</x:v>
      </x:c>
      <x:c r="I9" s="22" t="str">
        <x:f>'Root Bank'!J29</x:f>
        <x:v>HOLD</x:v>
      </x:c>
      <x:c r="J9" s="22" t="n">
        <x:f>COUNTIFS(D9:I9,"RELEASE")</x:f>
        <x:v>0</x:v>
      </x:c>
      <x:c r="K9" s="50" t="n">
        <x:f>6</x:f>
        <x:v>6</x:v>
      </x:c>
      <x:c r="L9" s="33" t="str">
        <x:f>IF(J9=K9,"READY","BLOCKED")</x:f>
        <x:v>BLOCKED</x:v>
      </x:c>
    </x:row>
    <x:row r="10" ht="15" hidden="0" customHeight="1">
      <x:c r="C10" s="23" t="str">
        <x:v>D</x:v>
      </x:c>
      <x:c r="D10" s="23" t="str">
        <x:f>'Root Bank'!J10</x:f>
        <x:v>HOLD</x:v>
      </x:c>
      <x:c r="E10" s="23" t="str">
        <x:f>'Root Bank'!J14</x:f>
        <x:v>HOLD</x:v>
      </x:c>
      <x:c r="F10" s="23" t="str">
        <x:f>'Root Bank'!J18</x:f>
        <x:v>HOLD</x:v>
      </x:c>
      <x:c r="G10" s="23" t="str">
        <x:f>'Root Bank'!J22</x:f>
        <x:v>HOLD</x:v>
      </x:c>
      <x:c r="H10" s="23" t="str">
        <x:f>'Root Bank'!J26</x:f>
        <x:v>HOLD</x:v>
      </x:c>
      <x:c r="I10" s="23" t="str">
        <x:f>'Root Bank'!J30</x:f>
        <x:v>HOLD</x:v>
      </x:c>
      <x:c r="J10" s="23" t="n">
        <x:f>COUNTIFS(D10:I10,"RELEASE")</x:f>
        <x:v>0</x:v>
      </x:c>
      <x:c r="K10" s="50" t="n">
        <x:f>6</x:f>
        <x:v>6</x:v>
      </x:c>
      <x:c r="L10" s="33" t="str">
        <x:f>IF(J10=K10,"READY","BLOCKED")</x:f>
        <x:v>BLOCKED</x:v>
      </x:c>
    </x:row>
    <x:row r="11" ht="15" hidden="0" customHeight="1">
      <x:c r="C11" s="71"/>
      <x:c r="D11" s="71"/>
      <x:c r="E11" s="71"/>
      <x:c r="F11" s="71"/>
      <x:c r="G11" s="71"/>
      <x:c r="H11" s="71"/>
      <x:c r="I11" s="71"/>
      <x:c r="J11" s="71"/>
      <x:c r="K11" s="71"/>
      <x:c r="L11" s="71"/>
    </x:row>
    <x:row r="12" ht="15" hidden="0" customHeight="1">
      <x:c r="C12" s="71"/>
      <x:c r="D12" s="71"/>
      <x:c r="E12" s="71"/>
      <x:c r="F12" s="71"/>
      <x:c r="G12" s="71"/>
      <x:c r="H12" s="71"/>
      <x:c r="I12" s="71"/>
      <x:c r="J12" s="71"/>
      <x:c r="K12" s="71"/>
      <x:c r="L12" s="71"/>
    </x:row>
    <x:row r="13" ht="15" hidden="0" customHeight="1">
      <x:c r="C13" s="15" t="str">
        <x:v>Program measure</x:v>
      </x:c>
      <x:c r="D13" s="16" t="str">
        <x:v>Observed</x:v>
      </x:c>
      <x:c r="E13" s="16" t="str">
        <x:v>Required</x:v>
      </x:c>
      <x:c r="F13" s="17" t="str">
        <x:v>Status</x:v>
      </x:c>
      <x:c r="G13" s="71"/>
      <x:c r="H13" s="71"/>
      <x:c r="I13" s="71"/>
      <x:c r="J13" s="71"/>
      <x:c r="K13" s="71"/>
      <x:c r="L13" s="71"/>
    </x:row>
    <x:row r="14" ht="15" hidden="0" customHeight="1">
      <x:c r="C14" s="22" t="str">
        <x:v>Released roots</x:v>
      </x:c>
      <x:c r="D14" s="22" t="n">
        <x:f>COUNTIFS('Root Bank'!J7:J30,"RELEASE")</x:f>
        <x:v>0</x:v>
      </x:c>
      <x:c r="E14" s="22" t="n">
        <x:v>24</x:v>
      </x:c>
      <x:c r="F14" s="50" t="str">
        <x:f>IF(D14=E14,"PASS","BLOCKED")</x:f>
        <x:v>BLOCKED</x:v>
      </x:c>
      <x:c r="G14" s="71"/>
      <x:c r="H14" s="71"/>
      <x:c r="I14" s="71"/>
      <x:c r="J14" s="71"/>
      <x:c r="K14" s="71"/>
      <x:c r="L14" s="71"/>
    </x:row>
    <x:row r="15" ht="15" hidden="0" customHeight="1">
      <x:c r="C15" s="22" t="str">
        <x:v>Released systems</x:v>
      </x:c>
      <x:c r="D15" s="22" t="n">
        <x:f>COUNTIFS('Financials'!H7:H12,4)</x:f>
        <x:v>0</x:v>
      </x:c>
      <x:c r="E15" s="22" t="n">
        <x:v>6</x:v>
      </x:c>
      <x:c r="F15" s="50" t="str">
        <x:f>IF(D15=E15,"PASS","BLOCKED")</x:f>
        <x:v>BLOCKED</x:v>
      </x:c>
      <x:c r="G15" s="71"/>
      <x:c r="H15" s="71"/>
      <x:c r="I15" s="71"/>
      <x:c r="J15" s="71"/>
      <x:c r="K15" s="71"/>
      <x:c r="L15" s="71"/>
    </x:row>
    <x:row r="16" ht="15" hidden="0" customHeight="1">
      <x:c r="C16" s="22" t="str">
        <x:v>Ready stacks</x:v>
      </x:c>
      <x:c r="D16" s="22" t="n">
        <x:f>COUNTIFS(L7:L10,"READY")</x:f>
        <x:v>0</x:v>
      </x:c>
      <x:c r="E16" s="22" t="n">
        <x:v>4</x:v>
      </x:c>
      <x:c r="F16" s="50" t="str">
        <x:f>IF(D16=E16,"PASS","BLOCKED")</x:f>
        <x:v>BLOCKED</x:v>
      </x:c>
      <x:c r="G16" s="71"/>
      <x:c r="H16" s="71"/>
      <x:c r="I16" s="71"/>
      <x:c r="J16" s="71"/>
      <x:c r="K16" s="71"/>
      <x:c r="L16" s="71"/>
    </x:row>
    <x:row r="17" ht="15" hidden="0" customHeight="1">
      <x:c r="C17" s="22" t="str">
        <x:v>Qualified seam implementations</x:v>
      </x:c>
      <x:c r="D17" s="26" t="n">
        <x:v>0</x:v>
      </x:c>
      <x:c r="E17" s="22" t="n">
        <x:v>4</x:v>
      </x:c>
      <x:c r="F17" s="50" t="str">
        <x:f>IF(D17&gt;=E17,"PASS","BLOCKED")</x:f>
        <x:v>BLOCKED</x:v>
      </x:c>
      <x:c r="G17" s="71"/>
      <x:c r="H17" s="71"/>
      <x:c r="I17" s="71"/>
      <x:c r="J17" s="71"/>
      <x:c r="K17" s="71"/>
      <x:c r="L17" s="71"/>
    </x:row>
    <x:row r="18" ht="15" hidden="0" customHeight="1">
      <x:c r="C18" s="23" t="str">
        <x:v>Cascadia G4 entry</x:v>
      </x:c>
      <x:c r="D18" s="23" t="str">
        <x:f>IF(AND(D14=24,D15=6,D16=4,D17&gt;=4),"ELIGIBLE","BLOCKED")</x:f>
        <x:v>BLOCKED</x:v>
      </x:c>
      <x:c r="E18" s="23"/>
      <x:c r="F18" s="50" t="str">
        <x:f>D18</x:f>
        <x:v>BLOCKED</x:v>
      </x:c>
      <x:c r="G18" s="71"/>
      <x:c r="H18" s="71"/>
      <x:c r="I18" s="71"/>
      <x:c r="J18" s="71"/>
      <x:c r="K18" s="71"/>
      <x:c r="L18" s="7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2F669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32" hidden="0" customWidth="1"/>
    <x:col min="4" max="4" width="16" hidden="0" customWidth="1"/>
    <x:col min="5" max="5" width="16" hidden="0" customWidth="1"/>
    <x:col min="6" max="6" width="25" hidden="0" customWidth="1"/>
    <x:col min="7" max="7" width="25" hidden="0" customWidth="1"/>
    <x:col min="8" max="8" width="20" hidden="0" customWidth="1"/>
    <x:col min="9" max="9" width="31" hidden="0" customWidth="1"/>
    <x:col min="10" max="10" width="3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" max="1" width="2.5" hidden="0" customWidth="1"/>
    <x:col min="2" max="2" width="2.5" hidden="0" customWidth="1"/>
  </x:cols>
  <x:sheetData>
    <x:row r="2" ht="19.200000762939453" hidden="0" customHeight="1">
      <x:c r="C2" s="1" t="str">
        <x:v>G0–G3 mission-system allocations</x:v>
      </x:c>
      <x:c r="D2" s="71"/>
      <x:c r="E2" s="71"/>
      <x:c r="F2" s="71"/>
      <x:c r="G2" s="71"/>
      <x:c r="H2" s="71"/>
      <x:c r="I2" s="71"/>
      <x:c r="J2" s="71"/>
      <x:c r="K2" s="71"/>
      <x:c r="L2" s="71"/>
      <x:c r="M2" s="71"/>
      <x:c r="N2" s="71"/>
    </x:row>
    <x:row r="3" ht="15" hidden="0" customHeight="1">
      <x:c r="C3" s="3" t="str">
        <x:v>Allocations are conserved planning boundaries, not root prices or capability claims.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15" hidden="0" customHeight="1">
      <x:c r="C4" s="71"/>
      <x:c r="D4" s="71"/>
      <x:c r="E4" s="71"/>
      <x:c r="F4" s="71"/>
      <x:c r="G4" s="71"/>
      <x:c r="H4" s="71"/>
      <x:c r="I4" s="71"/>
      <x:c r="J4" s="71"/>
      <x:c r="K4" s="71"/>
      <x:c r="L4" s="71"/>
      <x:c r="M4" s="71"/>
      <x:c r="N4" s="71"/>
    </x:row>
    <x:row r="5" ht="15" hidden="0" customHeight="1">
      <x:c r="C5" s="71"/>
      <x:c r="D5" s="71"/>
      <x:c r="E5" s="71"/>
      <x:c r="F5" s="71"/>
      <x:c r="G5" s="71"/>
      <x:c r="H5" s="71"/>
      <x:c r="I5" s="71"/>
      <x:c r="J5" s="71"/>
      <x:c r="K5" s="71"/>
      <x:c r="L5" s="71"/>
      <x:c r="M5" s="71"/>
      <x:c r="N5" s="71"/>
    </x:row>
    <x:row r="6" ht="15" hidden="0" customHeight="1">
      <x:c r="C6" s="15" t="str">
        <x:v>System</x:v>
      </x:c>
      <x:c r="D6" s="16" t="str">
        <x:v>Routes</x:v>
      </x:c>
      <x:c r="E6" s="16" t="str">
        <x:v>Roots</x:v>
      </x:c>
      <x:c r="F6" s="16" t="str">
        <x:v>G0–G3 allocation USD B</x:v>
      </x:c>
      <x:c r="G6" s="16" t="str">
        <x:v>Per-root option USD B</x:v>
      </x:c>
      <x:c r="H6" s="16" t="str">
        <x:v>Observed releases</x:v>
      </x:c>
      <x:c r="I6" s="17" t="str">
        <x:v>Unreleased planning authority USD B</x:v>
      </x:c>
      <x:c r="J6" s="71"/>
      <x:c r="K6" s="71"/>
      <x:c r="L6" s="71"/>
      <x:c r="M6" s="71"/>
      <x:c r="N6" s="71"/>
    </x:row>
    <x:row r="7" ht="15" hidden="0" customHeight="1">
      <x:c r="C7" s="22" t="str">
        <x:v>MS-ET</x:v>
      </x:c>
      <x:c r="D7" s="22" t="n">
        <x:v>5</x:v>
      </x:c>
      <x:c r="E7" s="22" t="n">
        <x:v>4</x:v>
      </x:c>
      <x:c r="F7" s="44" t="n">
        <x:v>44.5</x:v>
      </x:c>
      <x:c r="G7" s="44" t="n">
        <x:f>F7/E7</x:f>
        <x:v>11.125</x:v>
      </x:c>
      <x:c r="H7" s="22" t="n">
        <x:f>COUNTIFS('Root Bank'!$C$7:$C$30,C7,'Root Bank'!$J$7:$J$30,"RELEASE")</x:f>
        <x:v>0</x:v>
      </x:c>
      <x:c r="I7" s="44" t="n">
        <x:f>F7*(1-H7/E7)</x:f>
        <x:v>44.5</x:v>
      </x:c>
      <x:c r="J7" s="71"/>
      <x:c r="K7" s="71"/>
      <x:c r="L7" s="71"/>
      <x:c r="M7" s="71"/>
      <x:c r="N7" s="71"/>
    </x:row>
    <x:row r="8" ht="15" hidden="0" customHeight="1">
      <x:c r="C8" s="22" t="str">
        <x:v>MS-CT</x:v>
      </x:c>
      <x:c r="D8" s="22" t="n">
        <x:v>5</x:v>
      </x:c>
      <x:c r="E8" s="22" t="n">
        <x:v>4</x:v>
      </x:c>
      <x:c r="F8" s="44" t="n">
        <x:v>45.9</x:v>
      </x:c>
      <x:c r="G8" s="44" t="n">
        <x:f>F8/E8</x:f>
        <x:v>11.475</x:v>
      </x:c>
      <x:c r="H8" s="22" t="n">
        <x:f>COUNTIFS('Root Bank'!$C$7:$C$30,C8,'Root Bank'!$J$7:$J$30,"RELEASE")</x:f>
        <x:v>0</x:v>
      </x:c>
      <x:c r="I8" s="44" t="n">
        <x:f>F8*(1-H8/E8)</x:f>
        <x:v>45.9</x:v>
      </x:c>
      <x:c r="J8" s="71"/>
      <x:c r="K8" s="71"/>
      <x:c r="L8" s="71"/>
      <x:c r="M8" s="71"/>
      <x:c r="N8" s="71"/>
    </x:row>
    <x:row r="9" ht="15" hidden="0" customHeight="1">
      <x:c r="C9" s="22" t="str">
        <x:v>MS-HC</x:v>
      </x:c>
      <x:c r="D9" s="22" t="n">
        <x:v>3</x:v>
      </x:c>
      <x:c r="E9" s="22" t="n">
        <x:v>4</x:v>
      </x:c>
      <x:c r="F9" s="44" t="n">
        <x:v>27.3</x:v>
      </x:c>
      <x:c r="G9" s="44" t="n">
        <x:f>F9/E9</x:f>
        <x:v>6.825</x:v>
      </x:c>
      <x:c r="H9" s="22" t="n">
        <x:f>COUNTIFS('Root Bank'!$C$7:$C$30,C9,'Root Bank'!$J$7:$J$30,"RELEASE")</x:f>
        <x:v>0</x:v>
      </x:c>
      <x:c r="I9" s="44" t="n">
        <x:f>F9*(1-H9/E9)</x:f>
        <x:v>27.3</x:v>
      </x:c>
      <x:c r="J9" s="71"/>
      <x:c r="K9" s="71"/>
      <x:c r="L9" s="71"/>
      <x:c r="M9" s="71"/>
      <x:c r="N9" s="71"/>
    </x:row>
    <x:row r="10" ht="15" hidden="0" customHeight="1">
      <x:c r="C10" s="22" t="str">
        <x:v>MS-LF</x:v>
      </x:c>
      <x:c r="D10" s="22" t="n">
        <x:v>5</x:v>
      </x:c>
      <x:c r="E10" s="22" t="n">
        <x:v>4</x:v>
      </x:c>
      <x:c r="F10" s="44" t="n">
        <x:v>35.9765</x:v>
      </x:c>
      <x:c r="G10" s="44" t="n">
        <x:f>F10/E10</x:f>
        <x:v>8.994125</x:v>
      </x:c>
      <x:c r="H10" s="22" t="n">
        <x:f>COUNTIFS('Root Bank'!$C$7:$C$30,C10,'Root Bank'!$J$7:$J$30,"RELEASE")</x:f>
        <x:v>0</x:v>
      </x:c>
      <x:c r="I10" s="44" t="n">
        <x:f>F10*(1-H10/E10)</x:f>
        <x:v>35.9765</x:v>
      </x:c>
      <x:c r="J10" s="71"/>
      <x:c r="K10" s="71"/>
      <x:c r="L10" s="71"/>
      <x:c r="M10" s="71"/>
      <x:c r="N10" s="71"/>
    </x:row>
    <x:row r="11" ht="15" hidden="0" customHeight="1">
      <x:c r="C11" s="22" t="str">
        <x:v>MS-HU</x:v>
      </x:c>
      <x:c r="D11" s="22" t="n">
        <x:v>5</x:v>
      </x:c>
      <x:c r="E11" s="22" t="n">
        <x:v>4</x:v>
      </x:c>
      <x:c r="F11" s="44" t="n">
        <x:v>76.6</x:v>
      </x:c>
      <x:c r="G11" s="44" t="n">
        <x:f>F11/E11</x:f>
        <x:v>19.15</x:v>
      </x:c>
      <x:c r="H11" s="22" t="n">
        <x:f>COUNTIFS('Root Bank'!$C$7:$C$30,C11,'Root Bank'!$J$7:$J$30,"RELEASE")</x:f>
        <x:v>0</x:v>
      </x:c>
      <x:c r="I11" s="44" t="n">
        <x:f>F11*(1-H11/E11)</x:f>
        <x:v>76.6</x:v>
      </x:c>
      <x:c r="J11" s="71"/>
      <x:c r="K11" s="71"/>
      <x:c r="L11" s="71"/>
      <x:c r="M11" s="71"/>
      <x:c r="N11" s="71"/>
    </x:row>
    <x:row r="12" ht="15" hidden="0" customHeight="1">
      <x:c r="C12" s="23" t="str">
        <x:v>MS-RT</x:v>
      </x:c>
      <x:c r="D12" s="23" t="n">
        <x:v>5</x:v>
      </x:c>
      <x:c r="E12" s="23" t="n">
        <x:v>4</x:v>
      </x:c>
      <x:c r="F12" s="45" t="n">
        <x:v>44.7</x:v>
      </x:c>
      <x:c r="G12" s="45" t="n">
        <x:f>F12/E12</x:f>
        <x:v>11.175</x:v>
      </x:c>
      <x:c r="H12" s="23" t="n">
        <x:f>COUNTIFS('Root Bank'!$C$7:$C$30,C12,'Root Bank'!$J$7:$J$30,"RELEASE")</x:f>
        <x:v>0</x:v>
      </x:c>
      <x:c r="I12" s="45" t="n">
        <x:f>F12*(1-H12/E12)</x:f>
        <x:v>44.7</x:v>
      </x:c>
      <x:c r="J12" s="71"/>
      <x:c r="K12" s="71"/>
      <x:c r="L12" s="71"/>
      <x:c r="M12" s="71"/>
      <x:c r="N12" s="71"/>
    </x:row>
    <x:row r="13" ht="15" hidden="0" customHeight="1">
      <x:c r="C13" s="71"/>
      <x:c r="D13" s="71"/>
      <x:c r="E13" s="71"/>
      <x:c r="F13" s="72"/>
      <x:c r="G13" s="72"/>
      <x:c r="H13" s="71"/>
      <x:c r="I13" s="72"/>
      <x:c r="J13" s="71"/>
      <x:c r="K13" s="71"/>
      <x:c r="L13" s="71"/>
      <x:c r="M13" s="71"/>
      <x:c r="N13" s="71"/>
    </x:row>
    <x:row r="14" ht="15" hidden="0" customHeight="1">
      <x:c r="C14" s="43" t="str">
        <x:v>Total / control</x:v>
      </x:c>
      <x:c r="D14" s="43" t="n">
        <x:f>SUM(D7:D12)</x:f>
        <x:v>28</x:v>
      </x:c>
      <x:c r="E14" s="43" t="n">
        <x:f>SUM(E7:E12)</x:f>
        <x:v>24</x:v>
      </x:c>
      <x:c r="F14" s="47" t="n">
        <x:f>SUM(F7:F12)</x:f>
        <x:v>274.9765</x:v>
      </x:c>
      <x:c r="G14" s="47" t="n">
        <x:f>SUM(G7:G12)</x:f>
        <x:v>68.744125</x:v>
      </x:c>
      <x:c r="H14" s="43" t="n">
        <x:f>SUM(H7:H12)</x:f>
        <x:v>0</x:v>
      </x:c>
      <x:c r="I14" s="47" t="n">
        <x:f>SUM(I7:I12)</x:f>
        <x:v>274.9765</x:v>
      </x:c>
      <x:c r="J14" s="71"/>
      <x:c r="K14" s="71"/>
      <x:c r="L14" s="71"/>
      <x:c r="M14" s="71"/>
      <x:c r="N14" s="71"/>
    </x:row>
    <x:row r="15" ht="15" hidden="0" customHeight="1">
      <x:c r="C15" s="71"/>
      <x:c r="D15" s="71"/>
      <x:c r="E15" s="71"/>
      <x:c r="F15" s="71"/>
      <x:c r="G15" s="71"/>
      <x:c r="H15" s="71"/>
      <x:c r="I15" s="71"/>
      <x:c r="J15" s="71"/>
      <x:c r="K15" s="71"/>
      <x:c r="L15" s="71"/>
      <x:c r="M15" s="71"/>
      <x:c r="N15" s="71"/>
    </x:row>
    <x:row r="16" ht="15" hidden="0" customHeight="1">
      <x:c r="C16" s="15" t="str">
        <x:v>Derived boundary</x:v>
      </x:c>
      <x:c r="D16" s="16" t="str">
        <x:v>Value USD B</x:v>
      </x:c>
      <x:c r="E16" s="16" t="str">
        <x:v>Formula</x:v>
      </x:c>
      <x:c r="F16" s="17" t="str">
        <x:v>Meaning</x:v>
      </x:c>
      <x:c r="G16" s="71"/>
      <x:c r="H16" s="71"/>
      <x:c r="I16" s="71"/>
      <x:c r="J16" s="71"/>
      <x:c r="K16" s="71"/>
      <x:c r="L16" s="71"/>
      <x:c r="M16" s="71"/>
      <x:c r="N16" s="71"/>
    </x:row>
    <x:row r="17" ht="15" hidden="0" customHeight="1">
      <x:c r="C17" s="37" t="str">
        <x:v>Non-lifeline mission allocation</x:v>
      </x:c>
      <x:c r="D17" s="48" t="n">
        <x:f>F14-F10</x:f>
        <x:v>239</x:v>
      </x:c>
      <x:c r="E17" s="37" t="str">
        <x:v>Total less MS-LF</x:v>
      </x:c>
      <x:c r="F17" s="37" t="str">
        <x:v>Five-system return burden</x:v>
      </x:c>
      <x:c r="G17" s="71"/>
      <x:c r="H17" s="71"/>
      <x:c r="I17" s="71"/>
      <x:c r="J17" s="71"/>
      <x:c r="K17" s="71"/>
      <x:c r="L17" s="71"/>
      <x:c r="M17" s="71"/>
      <x:c r="N17" s="71"/>
    </x:row>
    <x:row r="18" ht="24" hidden="0" customHeight="1">
      <x:c r="C18" s="38" t="str">
        <x:v>Mission-account rounding register</x:v>
      </x:c>
      <x:c r="D18" s="49" t="n">
        <x:f>'Controls'!D16-F14</x:f>
        <x:v>0.023500000000012733</x:v>
      </x:c>
      <x:c r="E18" s="38" t="str">
        <x:v>USD 275B control less allocated</x:v>
      </x:c>
      <x:c r="F18" s="38" t="str">
        <x:v>Inherited published rounding only</x:v>
      </x:c>
      <x:c r="G18" s="71"/>
      <x:c r="H18" s="71"/>
      <x:c r="I18" s="71"/>
      <x:c r="J18" s="71"/>
      <x:c r="K18" s="71"/>
      <x:c r="L18" s="71"/>
      <x:c r="M18" s="71"/>
      <x:c r="N18" s="71"/>
    </x:row>
  </x:sheetData>
  <x:pageMargins left="0.7" right="0.7" top="0.75" bottom="0.75" header="0.3" footer="0.3"/>
  <x:drawing xmlns:r="http://schemas.openxmlformats.org/officeDocument/2006/relationships" r:id="Rd1359ac8717e4de9"/>
</x:worksheet>
</file>

<file path=xl/worksheets/sheet10.xml><?xml version="1.0" encoding="utf-8"?>
<x:worksheet xmlns:x="http://schemas.openxmlformats.org/spreadsheetml/2006/main">
  <x:sheetPr>
    <x:tabColor rgb="FF2F669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31" hidden="0" customWidth="1"/>
    <x:col min="4" max="4" width="24" hidden="0" customWidth="1"/>
    <x:col min="5" max="5" width="24" hidden="0" customWidth="1"/>
    <x:col min="6" max="6" width="24" hidden="0" customWidth="1"/>
    <x:col min="7" max="7" width="29" hidden="0" customWidth="1"/>
    <x:col min="8" max="8" width="29" hidden="0" customWidth="1"/>
    <x:col min="9" max="9" width="29" hidden="0" customWidth="1"/>
    <x:col min="10" max="10" width="29" hidden="0" customWidth="1"/>
    <x:col min="1" max="1" width="2.5" hidden="0" customWidth="1"/>
    <x:col min="2" max="2" width="2.5" hidden="0" customWidth="1"/>
  </x:cols>
  <x:sheetData>
    <x:row r="2" ht="19.200000762939453" hidden="0" customHeight="1">
      <x:c r="C2" s="1" t="str">
        <x:v>Conserved G0–G3 funding accounts</x:v>
      </x:c>
      <x:c r="D2" s="71"/>
      <x:c r="E2" s="71"/>
      <x:c r="F2" s="71"/>
      <x:c r="G2" s="71"/>
      <x:c r="H2" s="71"/>
      <x:c r="I2" s="71"/>
      <x:c r="J2" s="71"/>
    </x:row>
    <x:row r="3" ht="15" hidden="0" customHeight="1">
      <x:c r="C3" s="3" t="str">
        <x:v>Common accounts qualify shared infrastructure but cannot purchase a root release.</x:v>
      </x:c>
      <x:c r="D3" s="3"/>
      <x:c r="E3" s="3"/>
      <x:c r="F3" s="3"/>
      <x:c r="G3" s="3"/>
      <x:c r="H3" s="3"/>
      <x:c r="I3" s="3"/>
      <x:c r="J3" s="3"/>
    </x:row>
    <x:row r="4" ht="15" hidden="0" customHeight="1">
      <x:c r="C4" s="71"/>
      <x:c r="D4" s="71"/>
      <x:c r="E4" s="71"/>
      <x:c r="F4" s="71"/>
      <x:c r="G4" s="71"/>
      <x:c r="H4" s="71"/>
      <x:c r="I4" s="71"/>
      <x:c r="J4" s="71"/>
    </x:row>
    <x:row r="5" ht="15" hidden="0" customHeight="1">
      <x:c r="C5" s="71"/>
      <x:c r="D5" s="71"/>
      <x:c r="E5" s="71"/>
      <x:c r="F5" s="71"/>
      <x:c r="G5" s="71"/>
      <x:c r="H5" s="71"/>
      <x:c r="I5" s="71"/>
      <x:c r="J5" s="71"/>
    </x:row>
    <x:row r="6" ht="15" hidden="0" customHeight="1">
      <x:c r="C6" s="15" t="str">
        <x:v>Account</x:v>
      </x:c>
      <x:c r="D6" s="16" t="str">
        <x:v>Boundary USD B</x:v>
      </x:c>
      <x:c r="E6" s="16" t="str">
        <x:v>System allocation USD B</x:v>
      </x:c>
      <x:c r="F6" s="16" t="str">
        <x:v>Rounding / unassigned USD B</x:v>
      </x:c>
      <x:c r="G6" s="16" t="str">
        <x:v>May fund roots?</x:v>
      </x:c>
      <x:c r="H6" s="16" t="str">
        <x:v>May cure adverse?</x:v>
      </x:c>
      <x:c r="I6" s="16" t="str">
        <x:v>Unreleased destination</x:v>
      </x:c>
      <x:c r="J6" s="17" t="str">
        <x:v>Force credit</x:v>
      </x:c>
    </x:row>
    <x:row r="7" ht="15" hidden="0" customHeight="1">
      <x:c r="C7" s="37" t="str">
        <x:v>Mission systems</x:v>
      </x:c>
      <x:c r="D7" s="48" t="n">
        <x:v>275</x:v>
      </x:c>
      <x:c r="E7" s="48" t="n">
        <x:f>'Financials'!F14</x:f>
        <x:v>274.9765</x:v>
      </x:c>
      <x:c r="F7" s="48" t="n">
        <x:f>D7-E7</x:f>
        <x:v>0.023500000000012733</x:v>
      </x:c>
      <x:c r="G7" s="56" t="str">
        <x:v>Within owning system only</x:v>
      </x:c>
      <x:c r="H7" s="37" t="str">
        <x:v>NO</x:v>
      </x:c>
      <x:c r="I7" s="37" t="str">
        <x:v>Owning mission account</x:v>
      </x:c>
      <x:c r="J7" s="37" t="str">
        <x:v>NONE</x:v>
      </x:c>
    </x:row>
    <x:row r="8" ht="15" hidden="0" customHeight="1">
      <x:c r="C8" s="37" t="str">
        <x:v>Service technical bases</x:v>
      </x:c>
      <x:c r="D8" s="48" t="n">
        <x:v>75</x:v>
      </x:c>
      <x:c r="E8" s="48" t="n">
        <x:v>0</x:v>
      </x:c>
      <x:c r="F8" s="48" t="n">
        <x:f>D8-E8</x:f>
        <x:v>75</x:v>
      </x:c>
      <x:c r="G8" s="56" t="str">
        <x:v>NO</x:v>
      </x:c>
      <x:c r="H8" s="37" t="str">
        <x:v>NO</x:v>
      </x:c>
      <x:c r="I8" s="37" t="str">
        <x:v>Service base account</x:v>
      </x:c>
      <x:c r="J8" s="37" t="str">
        <x:v>NONE</x:v>
      </x:c>
    </x:row>
    <x:row r="9" ht="15" hidden="0" customHeight="1">
      <x:c r="C9" s="37" t="str">
        <x:v>National common capacity</x:v>
      </x:c>
      <x:c r="D9" s="48" t="n">
        <x:v>75</x:v>
      </x:c>
      <x:c r="E9" s="48" t="n">
        <x:v>0</x:v>
      </x:c>
      <x:c r="F9" s="48" t="n">
        <x:f>D9-E9</x:f>
        <x:v>75</x:v>
      </x:c>
      <x:c r="G9" s="56" t="str">
        <x:v>NO</x:v>
      </x:c>
      <x:c r="H9" s="37" t="str">
        <x:v>NO</x:v>
      </x:c>
      <x:c r="I9" s="37" t="str">
        <x:v>Common capacity account</x:v>
      </x:c>
      <x:c r="J9" s="37" t="str">
        <x:v>NONE</x:v>
      </x:c>
    </x:row>
    <x:row r="10" ht="15" hidden="0" customHeight="1">
      <x:c r="C10" s="37" t="str">
        <x:v>Sovereign technical estate</x:v>
      </x:c>
      <x:c r="D10" s="48" t="n">
        <x:v>50</x:v>
      </x:c>
      <x:c r="E10" s="48" t="n">
        <x:v>0</x:v>
      </x:c>
      <x:c r="F10" s="48" t="n">
        <x:f>D10-E10</x:f>
        <x:v>50</x:v>
      </x:c>
      <x:c r="G10" s="56" t="str">
        <x:v>NO</x:v>
      </x:c>
      <x:c r="H10" s="37" t="str">
        <x:v>NO</x:v>
      </x:c>
      <x:c r="I10" s="37" t="str">
        <x:v>Technical estate account</x:v>
      </x:c>
      <x:c r="J10" s="37" t="str">
        <x:v>NONE</x:v>
      </x:c>
    </x:row>
    <x:row r="11" ht="15" hidden="0" customHeight="1">
      <x:c r="C11" s="37" t="str">
        <x:v>Failure reserve</x:v>
      </x:c>
      <x:c r="D11" s="48" t="n">
        <x:v>25</x:v>
      </x:c>
      <x:c r="E11" s="48" t="n">
        <x:v>0</x:v>
      </x:c>
      <x:c r="F11" s="48" t="n">
        <x:f>D11-E11</x:f>
        <x:v>25</x:v>
      </x:c>
      <x:c r="G11" s="56" t="str">
        <x:v>Invalidity / safety only</x:v>
      </x:c>
      <x:c r="H11" s="37" t="str">
        <x:v>NO</x:v>
      </x:c>
      <x:c r="I11" s="37" t="str">
        <x:v>Protected failure reserve</x:v>
      </x:c>
      <x:c r="J11" s="37" t="str">
        <x:v>NONE</x:v>
      </x:c>
    </x:row>
    <x:row r="12" ht="15" hidden="0" customHeight="1">
      <x:c r="C12" s="54" t="str">
        <x:v>Total</x:v>
      </x:c>
      <x:c r="D12" s="55" t="n">
        <x:f>SUM(D7:D11)</x:f>
        <x:v>500</x:v>
      </x:c>
      <x:c r="E12" s="55" t="n">
        <x:f>SUM(E7:E11)</x:f>
        <x:v>274.9765</x:v>
      </x:c>
      <x:c r="F12" s="55" t="n">
        <x:f>SUM(F7:F11)</x:f>
        <x:v>225.0235</x:v>
      </x:c>
      <x:c r="G12" s="54" t="str"/>
      <x:c r="H12" s="54" t="str"/>
      <x:c r="I12" s="54" t="str"/>
      <x:c r="J12" s="54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2F669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12" hidden="0" customWidth="1"/>
    <x:col min="4" max="4" width="14" hidden="0" customWidth="1"/>
    <x:col min="5" max="5" width="14" hidden="0" customWidth="1"/>
    <x:col min="6" max="6" width="17" hidden="0" customWidth="1"/>
    <x:col min="7" max="7" width="17" hidden="0" customWidth="1"/>
    <x:col min="8" max="8" width="18" hidden="0" customWidth="1"/>
    <x:col min="9" max="9" width="18" hidden="0" customWidth="1"/>
    <x:col min="10" max="10" width="19" hidden="0" customWidth="1"/>
    <x:col min="11" max="11" width="19" hidden="0" customWidth="1"/>
    <x:col min="1" max="1" width="2.5" hidden="0" customWidth="1"/>
    <x:col min="2" max="2" width="2.5" hidden="0" customWidth="1"/>
  </x:cols>
  <x:sheetData>
    <x:row r="2" ht="19.200000762939453" hidden="0" customHeight="1">
      <x:c r="C2" s="1" t="str">
        <x:v>All-six exchange register</x:v>
      </x:c>
      <x:c r="D2" s="71"/>
      <x:c r="E2" s="71"/>
      <x:c r="F2" s="71"/>
      <x:c r="G2" s="71"/>
      <x:c r="H2" s="71"/>
      <x:c r="I2" s="71"/>
      <x:c r="J2" s="71"/>
      <x:c r="K2" s="71"/>
    </x:row>
    <x:row r="3" ht="15" hidden="0" customHeight="1">
      <x:c r="C3" s="3" t="str">
        <x:v>Thirty directed records remain the G4 interface obligation; G3 evidence cannot be transferred through them.</x:v>
      </x:c>
      <x:c r="D3" s="3"/>
      <x:c r="E3" s="3"/>
      <x:c r="F3" s="3"/>
      <x:c r="G3" s="3"/>
      <x:c r="H3" s="3"/>
      <x:c r="I3" s="3"/>
      <x:c r="J3" s="3"/>
      <x:c r="K3" s="3"/>
    </x:row>
    <x:row r="4" ht="15" hidden="0" customHeight="1">
      <x:c r="C4" s="71"/>
      <x:c r="D4" s="71"/>
      <x:c r="E4" s="71"/>
      <x:c r="F4" s="71"/>
      <x:c r="G4" s="71"/>
      <x:c r="H4" s="71"/>
      <x:c r="I4" s="71"/>
      <x:c r="J4" s="71"/>
      <x:c r="K4" s="71"/>
    </x:row>
    <x:row r="5" ht="15" hidden="0" customHeight="1">
      <x:c r="C5" s="71"/>
      <x:c r="D5" s="71"/>
      <x:c r="E5" s="71"/>
      <x:c r="F5" s="71"/>
      <x:c r="G5" s="71"/>
      <x:c r="H5" s="71"/>
      <x:c r="I5" s="71"/>
      <x:c r="J5" s="71"/>
      <x:c r="K5" s="71"/>
    </x:row>
    <x:row r="6" ht="15" hidden="0" customHeight="1">
      <x:c r="C6" s="15" t="str">
        <x:v>Record</x:v>
      </x:c>
      <x:c r="D6" s="16" t="str">
        <x:v>Provider</x:v>
      </x:c>
      <x:c r="E6" s="16" t="str">
        <x:v>Receiver</x:v>
      </x:c>
      <x:c r="F6" s="16" t="str">
        <x:v>Domains</x:v>
      </x:c>
      <x:c r="G6" s="16" t="str">
        <x:v>Public seam floor</x:v>
      </x:c>
      <x:c r="H6" s="16" t="str">
        <x:v>Provider G3</x:v>
      </x:c>
      <x:c r="I6" s="16" t="str">
        <x:v>Receiver G3</x:v>
      </x:c>
      <x:c r="J6" s="16" t="str">
        <x:v>Evidence transfer</x:v>
      </x:c>
      <x:c r="K6" s="17" t="str">
        <x:v>G4 state</x:v>
      </x:c>
    </x:row>
    <x:row r="7" ht="15" hidden="0" customHeight="1">
      <x:c r="C7" s="22" t="str">
        <x:v>X-01</x:v>
      </x:c>
      <x:c r="D7" s="22" t="str">
        <x:v>MS-ET</x:v>
      </x:c>
      <x:c r="E7" s="22" t="str">
        <x:v>MS-CT</x:v>
      </x:c>
      <x:c r="F7" s="22" t="n">
        <x:v>6</x:v>
      </x:c>
      <x:c r="G7" s="22" t="n">
        <x:v>4</x:v>
      </x:c>
      <x:c r="H7" s="50" t="str">
        <x:f>IF('Financials'!H7=4,"READY","BLOCKED")</x:f>
        <x:v>BLOCKED</x:v>
      </x:c>
      <x:c r="I7" s="22" t="str">
        <x:f>IF('Financials'!H8=4,"READY","BLOCKED")</x:f>
        <x:v>BLOCKED</x:v>
      </x:c>
      <x:c r="J7" s="22" t="str">
        <x:v>NO</x:v>
      </x:c>
      <x:c r="K7" s="22" t="str">
        <x:v>UNTESTED</x:v>
      </x:c>
    </x:row>
    <x:row r="8" ht="15" hidden="0" customHeight="1">
      <x:c r="C8" s="22" t="str">
        <x:v>X-02</x:v>
      </x:c>
      <x:c r="D8" s="22" t="str">
        <x:v>MS-ET</x:v>
      </x:c>
      <x:c r="E8" s="22" t="str">
        <x:v>MS-HC</x:v>
      </x:c>
      <x:c r="F8" s="22" t="n">
        <x:v>6</x:v>
      </x:c>
      <x:c r="G8" s="22" t="n">
        <x:v>4</x:v>
      </x:c>
      <x:c r="H8" s="50" t="str">
        <x:f>IF('Financials'!H7=4,"READY","BLOCKED")</x:f>
        <x:v>BLOCKED</x:v>
      </x:c>
      <x:c r="I8" s="22" t="str">
        <x:f>IF('Financials'!H9=4,"READY","BLOCKED")</x:f>
        <x:v>BLOCKED</x:v>
      </x:c>
      <x:c r="J8" s="22" t="str">
        <x:v>NO</x:v>
      </x:c>
      <x:c r="K8" s="22" t="str">
        <x:v>UNTESTED</x:v>
      </x:c>
    </x:row>
    <x:row r="9" ht="15" hidden="0" customHeight="1">
      <x:c r="C9" s="22" t="str">
        <x:v>X-03</x:v>
      </x:c>
      <x:c r="D9" s="22" t="str">
        <x:v>MS-ET</x:v>
      </x:c>
      <x:c r="E9" s="22" t="str">
        <x:v>MS-LF</x:v>
      </x:c>
      <x:c r="F9" s="22" t="n">
        <x:v>6</x:v>
      </x:c>
      <x:c r="G9" s="22" t="n">
        <x:v>4</x:v>
      </x:c>
      <x:c r="H9" s="50" t="str">
        <x:f>IF('Financials'!H7=4,"READY","BLOCKED")</x:f>
        <x:v>BLOCKED</x:v>
      </x:c>
      <x:c r="I9" s="22" t="str">
        <x:f>IF('Financials'!H10=4,"READY","BLOCKED")</x:f>
        <x:v>BLOCKED</x:v>
      </x:c>
      <x:c r="J9" s="22" t="str">
        <x:v>NO</x:v>
      </x:c>
      <x:c r="K9" s="22" t="str">
        <x:v>UNTESTED</x:v>
      </x:c>
    </x:row>
    <x:row r="10" ht="15" hidden="0" customHeight="1">
      <x:c r="C10" s="22" t="str">
        <x:v>X-04</x:v>
      </x:c>
      <x:c r="D10" s="22" t="str">
        <x:v>MS-ET</x:v>
      </x:c>
      <x:c r="E10" s="22" t="str">
        <x:v>MS-HU</x:v>
      </x:c>
      <x:c r="F10" s="22" t="n">
        <x:v>6</x:v>
      </x:c>
      <x:c r="G10" s="22" t="n">
        <x:v>4</x:v>
      </x:c>
      <x:c r="H10" s="50" t="str">
        <x:f>IF('Financials'!H7=4,"READY","BLOCKED")</x:f>
        <x:v>BLOCKED</x:v>
      </x:c>
      <x:c r="I10" s="22" t="str">
        <x:f>IF('Financials'!H11=4,"READY","BLOCKED")</x:f>
        <x:v>BLOCKED</x:v>
      </x:c>
      <x:c r="J10" s="22" t="str">
        <x:v>NO</x:v>
      </x:c>
      <x:c r="K10" s="22" t="str">
        <x:v>UNTESTED</x:v>
      </x:c>
    </x:row>
    <x:row r="11" ht="15" hidden="0" customHeight="1">
      <x:c r="C11" s="22" t="str">
        <x:v>X-05</x:v>
      </x:c>
      <x:c r="D11" s="22" t="str">
        <x:v>MS-ET</x:v>
      </x:c>
      <x:c r="E11" s="22" t="str">
        <x:v>MS-RT</x:v>
      </x:c>
      <x:c r="F11" s="22" t="n">
        <x:v>6</x:v>
      </x:c>
      <x:c r="G11" s="22" t="n">
        <x:v>4</x:v>
      </x:c>
      <x:c r="H11" s="50" t="str">
        <x:f>IF('Financials'!H7=4,"READY","BLOCKED")</x:f>
        <x:v>BLOCKED</x:v>
      </x:c>
      <x:c r="I11" s="22" t="str">
        <x:f>IF('Financials'!H12=4,"READY","BLOCKED")</x:f>
        <x:v>BLOCKED</x:v>
      </x:c>
      <x:c r="J11" s="22" t="str">
        <x:v>NO</x:v>
      </x:c>
      <x:c r="K11" s="22" t="str">
        <x:v>UNTESTED</x:v>
      </x:c>
    </x:row>
    <x:row r="12" ht="15" hidden="0" customHeight="1">
      <x:c r="C12" s="22" t="str">
        <x:v>X-06</x:v>
      </x:c>
      <x:c r="D12" s="22" t="str">
        <x:v>MS-CT</x:v>
      </x:c>
      <x:c r="E12" s="22" t="str">
        <x:v>MS-ET</x:v>
      </x:c>
      <x:c r="F12" s="22" t="n">
        <x:v>6</x:v>
      </x:c>
      <x:c r="G12" s="22" t="n">
        <x:v>4</x:v>
      </x:c>
      <x:c r="H12" s="50" t="str">
        <x:f>IF('Financials'!H8=4,"READY","BLOCKED")</x:f>
        <x:v>BLOCKED</x:v>
      </x:c>
      <x:c r="I12" s="22" t="str">
        <x:f>IF('Financials'!H7=4,"READY","BLOCKED")</x:f>
        <x:v>BLOCKED</x:v>
      </x:c>
      <x:c r="J12" s="22" t="str">
        <x:v>NO</x:v>
      </x:c>
      <x:c r="K12" s="22" t="str">
        <x:v>UNTESTED</x:v>
      </x:c>
    </x:row>
    <x:row r="13" ht="15" hidden="0" customHeight="1">
      <x:c r="C13" s="22" t="str">
        <x:v>X-07</x:v>
      </x:c>
      <x:c r="D13" s="22" t="str">
        <x:v>MS-CT</x:v>
      </x:c>
      <x:c r="E13" s="22" t="str">
        <x:v>MS-HC</x:v>
      </x:c>
      <x:c r="F13" s="22" t="n">
        <x:v>6</x:v>
      </x:c>
      <x:c r="G13" s="22" t="n">
        <x:v>4</x:v>
      </x:c>
      <x:c r="H13" s="50" t="str">
        <x:f>IF('Financials'!H8=4,"READY","BLOCKED")</x:f>
        <x:v>BLOCKED</x:v>
      </x:c>
      <x:c r="I13" s="22" t="str">
        <x:f>IF('Financials'!H9=4,"READY","BLOCKED")</x:f>
        <x:v>BLOCKED</x:v>
      </x:c>
      <x:c r="J13" s="22" t="str">
        <x:v>NO</x:v>
      </x:c>
      <x:c r="K13" s="22" t="str">
        <x:v>UNTESTED</x:v>
      </x:c>
    </x:row>
    <x:row r="14" ht="15" hidden="0" customHeight="1">
      <x:c r="C14" s="22" t="str">
        <x:v>X-08</x:v>
      </x:c>
      <x:c r="D14" s="22" t="str">
        <x:v>MS-CT</x:v>
      </x:c>
      <x:c r="E14" s="22" t="str">
        <x:v>MS-LF</x:v>
      </x:c>
      <x:c r="F14" s="22" t="n">
        <x:v>6</x:v>
      </x:c>
      <x:c r="G14" s="22" t="n">
        <x:v>4</x:v>
      </x:c>
      <x:c r="H14" s="50" t="str">
        <x:f>IF('Financials'!H8=4,"READY","BLOCKED")</x:f>
        <x:v>BLOCKED</x:v>
      </x:c>
      <x:c r="I14" s="22" t="str">
        <x:f>IF('Financials'!H10=4,"READY","BLOCKED")</x:f>
        <x:v>BLOCKED</x:v>
      </x:c>
      <x:c r="J14" s="22" t="str">
        <x:v>NO</x:v>
      </x:c>
      <x:c r="K14" s="22" t="str">
        <x:v>UNTESTED</x:v>
      </x:c>
    </x:row>
    <x:row r="15" ht="15" hidden="0" customHeight="1">
      <x:c r="C15" s="22" t="str">
        <x:v>X-09</x:v>
      </x:c>
      <x:c r="D15" s="22" t="str">
        <x:v>MS-CT</x:v>
      </x:c>
      <x:c r="E15" s="22" t="str">
        <x:v>MS-HU</x:v>
      </x:c>
      <x:c r="F15" s="22" t="n">
        <x:v>6</x:v>
      </x:c>
      <x:c r="G15" s="22" t="n">
        <x:v>4</x:v>
      </x:c>
      <x:c r="H15" s="50" t="str">
        <x:f>IF('Financials'!H8=4,"READY","BLOCKED")</x:f>
        <x:v>BLOCKED</x:v>
      </x:c>
      <x:c r="I15" s="22" t="str">
        <x:f>IF('Financials'!H11=4,"READY","BLOCKED")</x:f>
        <x:v>BLOCKED</x:v>
      </x:c>
      <x:c r="J15" s="22" t="str">
        <x:v>NO</x:v>
      </x:c>
      <x:c r="K15" s="22" t="str">
        <x:v>UNTESTED</x:v>
      </x:c>
    </x:row>
    <x:row r="16" ht="15" hidden="0" customHeight="1">
      <x:c r="C16" s="22" t="str">
        <x:v>X-10</x:v>
      </x:c>
      <x:c r="D16" s="22" t="str">
        <x:v>MS-CT</x:v>
      </x:c>
      <x:c r="E16" s="22" t="str">
        <x:v>MS-RT</x:v>
      </x:c>
      <x:c r="F16" s="22" t="n">
        <x:v>6</x:v>
      </x:c>
      <x:c r="G16" s="22" t="n">
        <x:v>4</x:v>
      </x:c>
      <x:c r="H16" s="50" t="str">
        <x:f>IF('Financials'!H8=4,"READY","BLOCKED")</x:f>
        <x:v>BLOCKED</x:v>
      </x:c>
      <x:c r="I16" s="22" t="str">
        <x:f>IF('Financials'!H12=4,"READY","BLOCKED")</x:f>
        <x:v>BLOCKED</x:v>
      </x:c>
      <x:c r="J16" s="22" t="str">
        <x:v>NO</x:v>
      </x:c>
      <x:c r="K16" s="22" t="str">
        <x:v>UNTESTED</x:v>
      </x:c>
    </x:row>
    <x:row r="17" ht="15" hidden="0" customHeight="1">
      <x:c r="C17" s="22" t="str">
        <x:v>X-11</x:v>
      </x:c>
      <x:c r="D17" s="22" t="str">
        <x:v>MS-HC</x:v>
      </x:c>
      <x:c r="E17" s="22" t="str">
        <x:v>MS-ET</x:v>
      </x:c>
      <x:c r="F17" s="22" t="n">
        <x:v>6</x:v>
      </x:c>
      <x:c r="G17" s="22" t="n">
        <x:v>4</x:v>
      </x:c>
      <x:c r="H17" s="50" t="str">
        <x:f>IF('Financials'!H9=4,"READY","BLOCKED")</x:f>
        <x:v>BLOCKED</x:v>
      </x:c>
      <x:c r="I17" s="22" t="str">
        <x:f>IF('Financials'!H7=4,"READY","BLOCKED")</x:f>
        <x:v>BLOCKED</x:v>
      </x:c>
      <x:c r="J17" s="22" t="str">
        <x:v>NO</x:v>
      </x:c>
      <x:c r="K17" s="22" t="str">
        <x:v>UNTESTED</x:v>
      </x:c>
    </x:row>
    <x:row r="18" ht="15" hidden="0" customHeight="1">
      <x:c r="C18" s="22" t="str">
        <x:v>X-12</x:v>
      </x:c>
      <x:c r="D18" s="22" t="str">
        <x:v>MS-HC</x:v>
      </x:c>
      <x:c r="E18" s="22" t="str">
        <x:v>MS-CT</x:v>
      </x:c>
      <x:c r="F18" s="22" t="n">
        <x:v>6</x:v>
      </x:c>
      <x:c r="G18" s="22" t="n">
        <x:v>4</x:v>
      </x:c>
      <x:c r="H18" s="50" t="str">
        <x:f>IF('Financials'!H9=4,"READY","BLOCKED")</x:f>
        <x:v>BLOCKED</x:v>
      </x:c>
      <x:c r="I18" s="22" t="str">
        <x:f>IF('Financials'!H8=4,"READY","BLOCKED")</x:f>
        <x:v>BLOCKED</x:v>
      </x:c>
      <x:c r="J18" s="22" t="str">
        <x:v>NO</x:v>
      </x:c>
      <x:c r="K18" s="22" t="str">
        <x:v>UNTESTED</x:v>
      </x:c>
    </x:row>
    <x:row r="19" ht="15" hidden="0" customHeight="1">
      <x:c r="C19" s="22" t="str">
        <x:v>X-13</x:v>
      </x:c>
      <x:c r="D19" s="22" t="str">
        <x:v>MS-HC</x:v>
      </x:c>
      <x:c r="E19" s="22" t="str">
        <x:v>MS-LF</x:v>
      </x:c>
      <x:c r="F19" s="22" t="n">
        <x:v>6</x:v>
      </x:c>
      <x:c r="G19" s="22" t="n">
        <x:v>4</x:v>
      </x:c>
      <x:c r="H19" s="50" t="str">
        <x:f>IF('Financials'!H9=4,"READY","BLOCKED")</x:f>
        <x:v>BLOCKED</x:v>
      </x:c>
      <x:c r="I19" s="22" t="str">
        <x:f>IF('Financials'!H10=4,"READY","BLOCKED")</x:f>
        <x:v>BLOCKED</x:v>
      </x:c>
      <x:c r="J19" s="22" t="str">
        <x:v>NO</x:v>
      </x:c>
      <x:c r="K19" s="22" t="str">
        <x:v>UNTESTED</x:v>
      </x:c>
    </x:row>
    <x:row r="20" ht="15" hidden="0" customHeight="1">
      <x:c r="C20" s="22" t="str">
        <x:v>X-14</x:v>
      </x:c>
      <x:c r="D20" s="22" t="str">
        <x:v>MS-HC</x:v>
      </x:c>
      <x:c r="E20" s="22" t="str">
        <x:v>MS-HU</x:v>
      </x:c>
      <x:c r="F20" s="22" t="n">
        <x:v>6</x:v>
      </x:c>
      <x:c r="G20" s="22" t="n">
        <x:v>4</x:v>
      </x:c>
      <x:c r="H20" s="50" t="str">
        <x:f>IF('Financials'!H9=4,"READY","BLOCKED")</x:f>
        <x:v>BLOCKED</x:v>
      </x:c>
      <x:c r="I20" s="22" t="str">
        <x:f>IF('Financials'!H11=4,"READY","BLOCKED")</x:f>
        <x:v>BLOCKED</x:v>
      </x:c>
      <x:c r="J20" s="22" t="str">
        <x:v>NO</x:v>
      </x:c>
      <x:c r="K20" s="22" t="str">
        <x:v>UNTESTED</x:v>
      </x:c>
    </x:row>
    <x:row r="21" ht="15" hidden="0" customHeight="1">
      <x:c r="C21" s="22" t="str">
        <x:v>X-15</x:v>
      </x:c>
      <x:c r="D21" s="22" t="str">
        <x:v>MS-HC</x:v>
      </x:c>
      <x:c r="E21" s="22" t="str">
        <x:v>MS-RT</x:v>
      </x:c>
      <x:c r="F21" s="22" t="n">
        <x:v>6</x:v>
      </x:c>
      <x:c r="G21" s="22" t="n">
        <x:v>4</x:v>
      </x:c>
      <x:c r="H21" s="50" t="str">
        <x:f>IF('Financials'!H9=4,"READY","BLOCKED")</x:f>
        <x:v>BLOCKED</x:v>
      </x:c>
      <x:c r="I21" s="22" t="str">
        <x:f>IF('Financials'!H12=4,"READY","BLOCKED")</x:f>
        <x:v>BLOCKED</x:v>
      </x:c>
      <x:c r="J21" s="22" t="str">
        <x:v>NO</x:v>
      </x:c>
      <x:c r="K21" s="22" t="str">
        <x:v>UNTESTED</x:v>
      </x:c>
    </x:row>
    <x:row r="22" ht="15" hidden="0" customHeight="1">
      <x:c r="C22" s="22" t="str">
        <x:v>X-16</x:v>
      </x:c>
      <x:c r="D22" s="22" t="str">
        <x:v>MS-LF</x:v>
      </x:c>
      <x:c r="E22" s="22" t="str">
        <x:v>MS-ET</x:v>
      </x:c>
      <x:c r="F22" s="22" t="n">
        <x:v>6</x:v>
      </x:c>
      <x:c r="G22" s="22" t="n">
        <x:v>4</x:v>
      </x:c>
      <x:c r="H22" s="50" t="str">
        <x:f>IF('Financials'!H10=4,"READY","BLOCKED")</x:f>
        <x:v>BLOCKED</x:v>
      </x:c>
      <x:c r="I22" s="22" t="str">
        <x:f>IF('Financials'!H7=4,"READY","BLOCKED")</x:f>
        <x:v>BLOCKED</x:v>
      </x:c>
      <x:c r="J22" s="22" t="str">
        <x:v>NO</x:v>
      </x:c>
      <x:c r="K22" s="22" t="str">
        <x:v>UNTESTED</x:v>
      </x:c>
    </x:row>
    <x:row r="23" ht="15" hidden="0" customHeight="1">
      <x:c r="C23" s="22" t="str">
        <x:v>X-17</x:v>
      </x:c>
      <x:c r="D23" s="22" t="str">
        <x:v>MS-LF</x:v>
      </x:c>
      <x:c r="E23" s="22" t="str">
        <x:v>MS-CT</x:v>
      </x:c>
      <x:c r="F23" s="22" t="n">
        <x:v>6</x:v>
      </x:c>
      <x:c r="G23" s="22" t="n">
        <x:v>4</x:v>
      </x:c>
      <x:c r="H23" s="50" t="str">
        <x:f>IF('Financials'!H10=4,"READY","BLOCKED")</x:f>
        <x:v>BLOCKED</x:v>
      </x:c>
      <x:c r="I23" s="22" t="str">
        <x:f>IF('Financials'!H8=4,"READY","BLOCKED")</x:f>
        <x:v>BLOCKED</x:v>
      </x:c>
      <x:c r="J23" s="22" t="str">
        <x:v>NO</x:v>
      </x:c>
      <x:c r="K23" s="22" t="str">
        <x:v>UNTESTED</x:v>
      </x:c>
    </x:row>
    <x:row r="24" ht="15" hidden="0" customHeight="1">
      <x:c r="C24" s="22" t="str">
        <x:v>X-18</x:v>
      </x:c>
      <x:c r="D24" s="22" t="str">
        <x:v>MS-LF</x:v>
      </x:c>
      <x:c r="E24" s="22" t="str">
        <x:v>MS-HC</x:v>
      </x:c>
      <x:c r="F24" s="22" t="n">
        <x:v>6</x:v>
      </x:c>
      <x:c r="G24" s="22" t="n">
        <x:v>4</x:v>
      </x:c>
      <x:c r="H24" s="50" t="str">
        <x:f>IF('Financials'!H10=4,"READY","BLOCKED")</x:f>
        <x:v>BLOCKED</x:v>
      </x:c>
      <x:c r="I24" s="22" t="str">
        <x:f>IF('Financials'!H9=4,"READY","BLOCKED")</x:f>
        <x:v>BLOCKED</x:v>
      </x:c>
      <x:c r="J24" s="22" t="str">
        <x:v>NO</x:v>
      </x:c>
      <x:c r="K24" s="22" t="str">
        <x:v>UNTESTED</x:v>
      </x:c>
    </x:row>
    <x:row r="25" ht="15" hidden="0" customHeight="1">
      <x:c r="C25" s="22" t="str">
        <x:v>X-19</x:v>
      </x:c>
      <x:c r="D25" s="22" t="str">
        <x:v>MS-LF</x:v>
      </x:c>
      <x:c r="E25" s="22" t="str">
        <x:v>MS-HU</x:v>
      </x:c>
      <x:c r="F25" s="22" t="n">
        <x:v>6</x:v>
      </x:c>
      <x:c r="G25" s="22" t="n">
        <x:v>4</x:v>
      </x:c>
      <x:c r="H25" s="50" t="str">
        <x:f>IF('Financials'!H10=4,"READY","BLOCKED")</x:f>
        <x:v>BLOCKED</x:v>
      </x:c>
      <x:c r="I25" s="22" t="str">
        <x:f>IF('Financials'!H11=4,"READY","BLOCKED")</x:f>
        <x:v>BLOCKED</x:v>
      </x:c>
      <x:c r="J25" s="22" t="str">
        <x:v>NO</x:v>
      </x:c>
      <x:c r="K25" s="22" t="str">
        <x:v>UNTESTED</x:v>
      </x:c>
    </x:row>
    <x:row r="26" ht="15" hidden="0" customHeight="1">
      <x:c r="C26" s="22" t="str">
        <x:v>X-20</x:v>
      </x:c>
      <x:c r="D26" s="22" t="str">
        <x:v>MS-LF</x:v>
      </x:c>
      <x:c r="E26" s="22" t="str">
        <x:v>MS-RT</x:v>
      </x:c>
      <x:c r="F26" s="22" t="n">
        <x:v>6</x:v>
      </x:c>
      <x:c r="G26" s="22" t="n">
        <x:v>4</x:v>
      </x:c>
      <x:c r="H26" s="50" t="str">
        <x:f>IF('Financials'!H10=4,"READY","BLOCKED")</x:f>
        <x:v>BLOCKED</x:v>
      </x:c>
      <x:c r="I26" s="22" t="str">
        <x:f>IF('Financials'!H12=4,"READY","BLOCKED")</x:f>
        <x:v>BLOCKED</x:v>
      </x:c>
      <x:c r="J26" s="22" t="str">
        <x:v>NO</x:v>
      </x:c>
      <x:c r="K26" s="22" t="str">
        <x:v>UNTESTED</x:v>
      </x:c>
    </x:row>
    <x:row r="27" ht="15" hidden="0" customHeight="1">
      <x:c r="C27" s="22" t="str">
        <x:v>X-21</x:v>
      </x:c>
      <x:c r="D27" s="22" t="str">
        <x:v>MS-HU</x:v>
      </x:c>
      <x:c r="E27" s="22" t="str">
        <x:v>MS-ET</x:v>
      </x:c>
      <x:c r="F27" s="22" t="n">
        <x:v>6</x:v>
      </x:c>
      <x:c r="G27" s="22" t="n">
        <x:v>4</x:v>
      </x:c>
      <x:c r="H27" s="50" t="str">
        <x:f>IF('Financials'!H11=4,"READY","BLOCKED")</x:f>
        <x:v>BLOCKED</x:v>
      </x:c>
      <x:c r="I27" s="22" t="str">
        <x:f>IF('Financials'!H7=4,"READY","BLOCKED")</x:f>
        <x:v>BLOCKED</x:v>
      </x:c>
      <x:c r="J27" s="22" t="str">
        <x:v>NO</x:v>
      </x:c>
      <x:c r="K27" s="22" t="str">
        <x:v>UNTESTED</x:v>
      </x:c>
    </x:row>
    <x:row r="28" ht="15" hidden="0" customHeight="1">
      <x:c r="C28" s="22" t="str">
        <x:v>X-22</x:v>
      </x:c>
      <x:c r="D28" s="22" t="str">
        <x:v>MS-HU</x:v>
      </x:c>
      <x:c r="E28" s="22" t="str">
        <x:v>MS-CT</x:v>
      </x:c>
      <x:c r="F28" s="22" t="n">
        <x:v>6</x:v>
      </x:c>
      <x:c r="G28" s="22" t="n">
        <x:v>4</x:v>
      </x:c>
      <x:c r="H28" s="50" t="str">
        <x:f>IF('Financials'!H11=4,"READY","BLOCKED")</x:f>
        <x:v>BLOCKED</x:v>
      </x:c>
      <x:c r="I28" s="22" t="str">
        <x:f>IF('Financials'!H8=4,"READY","BLOCKED")</x:f>
        <x:v>BLOCKED</x:v>
      </x:c>
      <x:c r="J28" s="22" t="str">
        <x:v>NO</x:v>
      </x:c>
      <x:c r="K28" s="22" t="str">
        <x:v>UNTESTED</x:v>
      </x:c>
    </x:row>
    <x:row r="29" ht="15" hidden="0" customHeight="1">
      <x:c r="C29" s="22" t="str">
        <x:v>X-23</x:v>
      </x:c>
      <x:c r="D29" s="22" t="str">
        <x:v>MS-HU</x:v>
      </x:c>
      <x:c r="E29" s="22" t="str">
        <x:v>MS-HC</x:v>
      </x:c>
      <x:c r="F29" s="22" t="n">
        <x:v>6</x:v>
      </x:c>
      <x:c r="G29" s="22" t="n">
        <x:v>4</x:v>
      </x:c>
      <x:c r="H29" s="50" t="str">
        <x:f>IF('Financials'!H11=4,"READY","BLOCKED")</x:f>
        <x:v>BLOCKED</x:v>
      </x:c>
      <x:c r="I29" s="22" t="str">
        <x:f>IF('Financials'!H9=4,"READY","BLOCKED")</x:f>
        <x:v>BLOCKED</x:v>
      </x:c>
      <x:c r="J29" s="22" t="str">
        <x:v>NO</x:v>
      </x:c>
      <x:c r="K29" s="22" t="str">
        <x:v>UNTESTED</x:v>
      </x:c>
    </x:row>
    <x:row r="30" ht="15" hidden="0" customHeight="1">
      <x:c r="C30" s="22" t="str">
        <x:v>X-24</x:v>
      </x:c>
      <x:c r="D30" s="22" t="str">
        <x:v>MS-HU</x:v>
      </x:c>
      <x:c r="E30" s="22" t="str">
        <x:v>MS-LF</x:v>
      </x:c>
      <x:c r="F30" s="22" t="n">
        <x:v>6</x:v>
      </x:c>
      <x:c r="G30" s="22" t="n">
        <x:v>4</x:v>
      </x:c>
      <x:c r="H30" s="50" t="str">
        <x:f>IF('Financials'!H11=4,"READY","BLOCKED")</x:f>
        <x:v>BLOCKED</x:v>
      </x:c>
      <x:c r="I30" s="22" t="str">
        <x:f>IF('Financials'!H10=4,"READY","BLOCKED")</x:f>
        <x:v>BLOCKED</x:v>
      </x:c>
      <x:c r="J30" s="22" t="str">
        <x:v>NO</x:v>
      </x:c>
      <x:c r="K30" s="22" t="str">
        <x:v>UNTESTED</x:v>
      </x:c>
    </x:row>
    <x:row r="31" ht="15" hidden="0" customHeight="1">
      <x:c r="C31" s="22" t="str">
        <x:v>X-25</x:v>
      </x:c>
      <x:c r="D31" s="22" t="str">
        <x:v>MS-HU</x:v>
      </x:c>
      <x:c r="E31" s="22" t="str">
        <x:v>MS-RT</x:v>
      </x:c>
      <x:c r="F31" s="22" t="n">
        <x:v>6</x:v>
      </x:c>
      <x:c r="G31" s="22" t="n">
        <x:v>4</x:v>
      </x:c>
      <x:c r="H31" s="50" t="str">
        <x:f>IF('Financials'!H11=4,"READY","BLOCKED")</x:f>
        <x:v>BLOCKED</x:v>
      </x:c>
      <x:c r="I31" s="22" t="str">
        <x:f>IF('Financials'!H12=4,"READY","BLOCKED")</x:f>
        <x:v>BLOCKED</x:v>
      </x:c>
      <x:c r="J31" s="22" t="str">
        <x:v>NO</x:v>
      </x:c>
      <x:c r="K31" s="22" t="str">
        <x:v>UNTESTED</x:v>
      </x:c>
    </x:row>
    <x:row r="32" ht="15" hidden="0" customHeight="1">
      <x:c r="C32" s="22" t="str">
        <x:v>X-26</x:v>
      </x:c>
      <x:c r="D32" s="22" t="str">
        <x:v>MS-RT</x:v>
      </x:c>
      <x:c r="E32" s="22" t="str">
        <x:v>MS-ET</x:v>
      </x:c>
      <x:c r="F32" s="22" t="n">
        <x:v>6</x:v>
      </x:c>
      <x:c r="G32" s="22" t="n">
        <x:v>4</x:v>
      </x:c>
      <x:c r="H32" s="50" t="str">
        <x:f>IF('Financials'!H12=4,"READY","BLOCKED")</x:f>
        <x:v>BLOCKED</x:v>
      </x:c>
      <x:c r="I32" s="22" t="str">
        <x:f>IF('Financials'!H7=4,"READY","BLOCKED")</x:f>
        <x:v>BLOCKED</x:v>
      </x:c>
      <x:c r="J32" s="22" t="str">
        <x:v>NO</x:v>
      </x:c>
      <x:c r="K32" s="22" t="str">
        <x:v>UNTESTED</x:v>
      </x:c>
    </x:row>
    <x:row r="33" ht="15" hidden="0" customHeight="1">
      <x:c r="C33" s="22" t="str">
        <x:v>X-27</x:v>
      </x:c>
      <x:c r="D33" s="22" t="str">
        <x:v>MS-RT</x:v>
      </x:c>
      <x:c r="E33" s="22" t="str">
        <x:v>MS-CT</x:v>
      </x:c>
      <x:c r="F33" s="22" t="n">
        <x:v>6</x:v>
      </x:c>
      <x:c r="G33" s="22" t="n">
        <x:v>4</x:v>
      </x:c>
      <x:c r="H33" s="50" t="str">
        <x:f>IF('Financials'!H12=4,"READY","BLOCKED")</x:f>
        <x:v>BLOCKED</x:v>
      </x:c>
      <x:c r="I33" s="22" t="str">
        <x:f>IF('Financials'!H8=4,"READY","BLOCKED")</x:f>
        <x:v>BLOCKED</x:v>
      </x:c>
      <x:c r="J33" s="22" t="str">
        <x:v>NO</x:v>
      </x:c>
      <x:c r="K33" s="22" t="str">
        <x:v>UNTESTED</x:v>
      </x:c>
    </x:row>
    <x:row r="34" ht="15" hidden="0" customHeight="1">
      <x:c r="C34" s="22" t="str">
        <x:v>X-28</x:v>
      </x:c>
      <x:c r="D34" s="22" t="str">
        <x:v>MS-RT</x:v>
      </x:c>
      <x:c r="E34" s="22" t="str">
        <x:v>MS-HC</x:v>
      </x:c>
      <x:c r="F34" s="22" t="n">
        <x:v>6</x:v>
      </x:c>
      <x:c r="G34" s="22" t="n">
        <x:v>4</x:v>
      </x:c>
      <x:c r="H34" s="50" t="str">
        <x:f>IF('Financials'!H12=4,"READY","BLOCKED")</x:f>
        <x:v>BLOCKED</x:v>
      </x:c>
      <x:c r="I34" s="22" t="str">
        <x:f>IF('Financials'!H9=4,"READY","BLOCKED")</x:f>
        <x:v>BLOCKED</x:v>
      </x:c>
      <x:c r="J34" s="22" t="str">
        <x:v>NO</x:v>
      </x:c>
      <x:c r="K34" s="22" t="str">
        <x:v>UNTESTED</x:v>
      </x:c>
    </x:row>
    <x:row r="35" ht="15" hidden="0" customHeight="1">
      <x:c r="C35" s="22" t="str">
        <x:v>X-29</x:v>
      </x:c>
      <x:c r="D35" s="22" t="str">
        <x:v>MS-RT</x:v>
      </x:c>
      <x:c r="E35" s="22" t="str">
        <x:v>MS-LF</x:v>
      </x:c>
      <x:c r="F35" s="22" t="n">
        <x:v>6</x:v>
      </x:c>
      <x:c r="G35" s="22" t="n">
        <x:v>4</x:v>
      </x:c>
      <x:c r="H35" s="50" t="str">
        <x:f>IF('Financials'!H12=4,"READY","BLOCKED")</x:f>
        <x:v>BLOCKED</x:v>
      </x:c>
      <x:c r="I35" s="22" t="str">
        <x:f>IF('Financials'!H10=4,"READY","BLOCKED")</x:f>
        <x:v>BLOCKED</x:v>
      </x:c>
      <x:c r="J35" s="22" t="str">
        <x:v>NO</x:v>
      </x:c>
      <x:c r="K35" s="22" t="str">
        <x:v>UNTESTED</x:v>
      </x:c>
    </x:row>
    <x:row r="36" ht="15" hidden="0" customHeight="1">
      <x:c r="C36" s="23" t="str">
        <x:v>X-30</x:v>
      </x:c>
      <x:c r="D36" s="23" t="str">
        <x:v>MS-RT</x:v>
      </x:c>
      <x:c r="E36" s="23" t="str">
        <x:v>MS-HU</x:v>
      </x:c>
      <x:c r="F36" s="23" t="n">
        <x:v>6</x:v>
      </x:c>
      <x:c r="G36" s="23" t="n">
        <x:v>4</x:v>
      </x:c>
      <x:c r="H36" s="50" t="str">
        <x:f>IF('Financials'!H12=4,"READY","BLOCKED")</x:f>
        <x:v>BLOCKED</x:v>
      </x:c>
      <x:c r="I36" s="23" t="str">
        <x:f>IF('Financials'!H11=4,"READY","BLOCKED")</x:f>
        <x:v>BLOCKED</x:v>
      </x:c>
      <x:c r="J36" s="23" t="str">
        <x:v>NO</x:v>
      </x:c>
      <x:c r="K36" s="23" t="str">
        <x:v>UNTESTED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2F669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31" hidden="0" customWidth="1"/>
    <x:col min="4" max="4" width="35" hidden="0" customWidth="1"/>
    <x:col min="5" max="5" width="35" hidden="0" customWidth="1"/>
    <x:col min="6" max="6" width="35" hidden="0" customWidth="1"/>
    <x:col min="7" max="7" width="35" hidden="0" customWidth="1"/>
    <x:col min="8" max="8" width="35" hidden="0" customWidth="1"/>
    <x:col min="9" max="9" width="35" hidden="0" customWidth="1"/>
    <x:col min="1" max="1" width="2.5" hidden="0" customWidth="1"/>
    <x:col min="2" max="2" width="2.5" hidden="0" customWidth="1"/>
  </x:cols>
  <x:sheetData>
    <x:row r="2" ht="19.200000762939453" hidden="0" customHeight="1">
      <x:c r="C2" s="1" t="str">
        <x:v>Proof-wave failure routing</x:v>
      </x:c>
      <x:c r="D2" s="71"/>
      <x:c r="E2" s="71"/>
      <x:c r="F2" s="71"/>
      <x:c r="G2" s="71"/>
      <x:c r="H2" s="71"/>
      <x:c r="I2" s="71"/>
    </x:row>
    <x:row r="3" ht="15" hidden="0" customHeight="1">
      <x:c r="C3" s="3" t="str">
        <x:v>The lifeline distinction among invalid, adverse and terminal outcomes applies portfolio-wide.</x:v>
      </x:c>
      <x:c r="D3" s="3"/>
      <x:c r="E3" s="3"/>
      <x:c r="F3" s="3"/>
      <x:c r="G3" s="3"/>
      <x:c r="H3" s="3"/>
      <x:c r="I3" s="3"/>
    </x:row>
    <x:row r="4" ht="15" hidden="0" customHeight="1">
      <x:c r="C4" s="71"/>
      <x:c r="D4" s="71"/>
      <x:c r="E4" s="71"/>
      <x:c r="F4" s="71"/>
      <x:c r="G4" s="71"/>
      <x:c r="H4" s="71"/>
      <x:c r="I4" s="71"/>
    </x:row>
    <x:row r="5" ht="15" hidden="0" customHeight="1">
      <x:c r="C5" s="71"/>
      <x:c r="D5" s="71"/>
      <x:c r="E5" s="71"/>
      <x:c r="F5" s="71"/>
      <x:c r="G5" s="71"/>
      <x:c r="H5" s="71"/>
      <x:c r="I5" s="71"/>
    </x:row>
    <x:row r="6" ht="15" hidden="0" customHeight="1">
      <x:c r="C6" s="15" t="str">
        <x:v>State</x:v>
      </x:c>
      <x:c r="D6" s="16" t="str">
        <x:v>Required finding</x:v>
      </x:c>
      <x:c r="E6" s="16" t="str">
        <x:v>Evidence treatment</x:v>
      </x:c>
      <x:c r="F6" s="16" t="str">
        <x:v>Root action</x:v>
      </x:c>
      <x:c r="G6" s="16" t="str">
        <x:v>Money</x:v>
      </x:c>
      <x:c r="H6" s="16" t="str">
        <x:v>Portfolio action</x:v>
      </x:c>
      <x:c r="I6" s="17" t="str">
        <x:v>Can another system compensate?</x:v>
      </x:c>
    </x:row>
    <x:row r="7" ht="15" hidden="0" customHeight="1">
      <x:c r="C7" s="37" t="str">
        <x:v>Protocol integrity defect</x:v>
      </x:c>
      <x:c r="D7" s="37" t="str">
        <x:v>Outside INVALID</x:v>
      </x:c>
      <x:c r="E7" s="37" t="str">
        <x:v>No denominator</x:v>
      </x:c>
      <x:c r="F7" s="37" t="str">
        <x:v>Exact-event repeat within reserve</x:v>
      </x:c>
      <x:c r="G7" s="37" t="str">
        <x:v>Failure reserve only</x:v>
      </x:c>
      <x:c r="H7" s="37" t="str">
        <x:v>Continue synchronized wave</x:v>
      </x:c>
      <x:c r="I7" s="37" t="str">
        <x:v>NO</x:v>
      </x:c>
    </x:row>
    <x:row r="8" ht="15" hidden="0" customHeight="1">
      <x:c r="C8" s="37" t="str">
        <x:v>Tenth invalid attempt</x:v>
      </x:c>
      <x:c r="D8" s="37" t="str">
        <x:v>Outside INVALID</x:v>
      </x:c>
      <x:c r="E8" s="37" t="str">
        <x:v>No pass or fail</x:v>
      </x:c>
      <x:c r="F8" s="37" t="str">
        <x:v>Campaign stop / HOLD</x:v>
      </x:c>
      <x:c r="G8" s="37" t="str">
        <x:v>Unreleased return</x:v>
      </x:c>
      <x:c r="H8" s="37" t="str">
        <x:v>Parent disposition</x:v>
      </x:c>
      <x:c r="I8" s="37" t="str">
        <x:v>NO</x:v>
      </x:c>
    </x:row>
    <x:row r="9" ht="15" hidden="0" customHeight="1">
      <x:c r="C9" s="37" t="str">
        <x:v>Contained CF1 adverse</x:v>
      </x:c>
      <x:c r="D9" s="37" t="str">
        <x:v>VALID</x:v>
      </x:c>
      <x:c r="E9" s="37" t="str">
        <x:v>Permanent denominator</x:v>
      </x:c>
      <x:c r="F9" s="37" t="str">
        <x:v>One successor eligible</x:v>
      </x:c>
      <x:c r="G9" s="37" t="str">
        <x:v>Unspent root authority</x:v>
      </x:c>
      <x:c r="H9" s="37" t="str">
        <x:v>Other systems continue</x:v>
      </x:c>
      <x:c r="I9" s="37" t="str">
        <x:v>NO</x:v>
      </x:c>
    </x:row>
    <x:row r="10" ht="15" hidden="0" customHeight="1">
      <x:c r="C10" s="37" t="str">
        <x:v>Contained CF2 adverse</x:v>
      </x:c>
      <x:c r="D10" s="37" t="str">
        <x:v>VALID</x:v>
      </x:c>
      <x:c r="E10" s="37" t="str">
        <x:v>Permanent denominator</x:v>
      </x:c>
      <x:c r="F10" s="37" t="str">
        <x:v>KILL</x:v>
      </x:c>
      <x:c r="G10" s="37" t="str">
        <x:v>Unreleased return</x:v>
      </x:c>
      <x:c r="H10" s="37" t="str">
        <x:v>Refill root identity at parent</x:v>
      </x:c>
      <x:c r="I10" s="37" t="str">
        <x:v>NO</x:v>
      </x:c>
    </x:row>
    <x:row r="11" ht="15" hidden="0" customHeight="1">
      <x:c r="C11" s="37" t="str">
        <x:v>Unsafe issue / unbounded state</x:v>
      </x:c>
      <x:c r="D11" s="37" t="str">
        <x:v>Terminal</x:v>
      </x:c>
      <x:c r="E11" s="37" t="str">
        <x:v>Permanent public evidence</x:v>
      </x:c>
      <x:c r="F11" s="37" t="str">
        <x:v>KILL</x:v>
      </x:c>
      <x:c r="G11" s="37" t="str">
        <x:v>Unreleased return</x:v>
      </x:c>
      <x:c r="H11" s="37" t="str">
        <x:v>Safety review across seams</x:v>
      </x:c>
      <x:c r="I11" s="37" t="str">
        <x:v>NO</x:v>
      </x:c>
    </x:row>
    <x:row r="12" ht="15" hidden="0" customHeight="1">
      <x:c r="C12" s="37" t="str">
        <x:v>Rights breach / evidence misconduct</x:v>
      </x:c>
      <x:c r="D12" s="37" t="str">
        <x:v>Terminal</x:v>
      </x:c>
      <x:c r="E12" s="37" t="str">
        <x:v>Permanent public evidence</x:v>
      </x:c>
      <x:c r="F12" s="37" t="str">
        <x:v>KILL</x:v>
      </x:c>
      <x:c r="G12" s="37" t="str">
        <x:v>No favorable-result payment</x:v>
      </x:c>
      <x:c r="H12" s="37" t="str">
        <x:v>Authority review</x:v>
      </x:c>
      <x:c r="I12" s="37" t="str">
        <x:v>NO</x:v>
      </x:c>
    </x:row>
    <x:row r="13" ht="15" hidden="0" customHeight="1">
      <x:c r="C13" s="37" t="str">
        <x:v>Decisive ancestry collision</x:v>
      </x:c>
      <x:c r="D13" s="37" t="str">
        <x:v>Terminal</x:v>
      </x:c>
      <x:c r="E13" s="37" t="str">
        <x:v>Permanent public evidence</x:v>
      </x:c>
      <x:c r="F13" s="37" t="str">
        <x:v>KILL</x:v>
      </x:c>
      <x:c r="G13" s="37" t="str">
        <x:v>Unreleased return</x:v>
      </x:c>
      <x:c r="H13" s="37" t="str">
        <x:v>Root slate reconstituted</x:v>
      </x:c>
      <x:c r="I13" s="37" t="str">
        <x:v>NO</x:v>
      </x:c>
    </x:row>
    <x:row r="14" ht="15" hidden="0" customHeight="1">
      <x:c r="C14" s="37" t="str">
        <x:v>Missing G3 system</x:v>
      </x:c>
      <x:c r="D14" s="37" t="str">
        <x:v>Four roots not released</x:v>
      </x:c>
      <x:c r="E14" s="37" t="str">
        <x:v>No transferred evidence</x:v>
      </x:c>
      <x:c r="F14" s="37" t="str">
        <x:v>HOLD</x:v>
      </x:c>
      <x:c r="G14" s="37" t="str">
        <x:v>Owning allocation retained</x:v>
      </x:c>
      <x:c r="H14" s="37" t="str">
        <x:v>All stacks blocked</x:v>
      </x:c>
      <x:c r="I14" s="37" t="str">
        <x:v>NO</x:v>
      </x:c>
    </x:row>
    <x:row r="15" ht="15" hidden="0" customHeight="1">
      <x:c r="C15" s="38" t="str">
        <x:v>Missing public seam implementation</x:v>
      </x:c>
      <x:c r="D15" s="38" t="str">
        <x:v>Fewer than four</x:v>
      </x:c>
      <x:c r="E15" s="38" t="str">
        <x:v>No interface credit</x:v>
      </x:c>
      <x:c r="F15" s="38" t="str">
        <x:v>Roots may remain released</x:v>
      </x:c>
      <x:c r="G15" s="38" t="str">
        <x:v>Common account retained</x:v>
      </x:c>
      <x:c r="H15" s="38" t="str">
        <x:v>G4 blocked</x:v>
      </x:c>
      <x:c r="I15" s="38" t="str">
        <x:v>NO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2F669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40" hidden="0" customWidth="1"/>
    <x:col min="4" max="4" width="13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2" hidden="0" customWidth="1"/>
    <x:col min="10" max="10" width="22" hidden="0" customWidth="1"/>
    <x:col min="11" max="11" width="22" hidden="0" customWidth="1"/>
    <x:col min="1" max="1" width="2.5" hidden="0" customWidth="1"/>
    <x:col min="2" max="2" width="2.5" hidden="0" customWidth="1"/>
  </x:cols>
  <x:sheetData>
    <x:row r="2" ht="19.200000762939453" hidden="0" customHeight="1">
      <x:c r="C2" s="1" t="str">
        <x:v>Twenty-five-year coupled wavefront</x:v>
      </x:c>
      <x:c r="D2" s="71"/>
      <x:c r="E2" s="71"/>
      <x:c r="F2" s="71"/>
      <x:c r="G2" s="71"/>
      <x:c r="H2" s="71"/>
      <x:c r="I2" s="71"/>
      <x:c r="J2" s="71"/>
      <x:c r="K2" s="71"/>
    </x:row>
    <x:row r="3" ht="15" hidden="0" customHeight="1">
      <x:c r="C3" s="3" t="str">
        <x:v>All systems receive the same phase shares; local technical decisions may be staggered.</x:v>
      </x:c>
      <x:c r="D3" s="3"/>
      <x:c r="E3" s="3"/>
      <x:c r="F3" s="3"/>
      <x:c r="G3" s="3"/>
      <x:c r="H3" s="3"/>
      <x:c r="I3" s="3"/>
      <x:c r="J3" s="3"/>
      <x:c r="K3" s="3"/>
    </x:row>
    <x:row r="4" ht="15" hidden="0" customHeight="1">
      <x:c r="C4" s="71"/>
      <x:c r="D4" s="71"/>
      <x:c r="E4" s="71"/>
      <x:c r="F4" s="71"/>
      <x:c r="G4" s="71"/>
      <x:c r="H4" s="71"/>
      <x:c r="I4" s="71"/>
      <x:c r="J4" s="71"/>
      <x:c r="K4" s="71"/>
    </x:row>
    <x:row r="5" ht="15" hidden="0" customHeight="1">
      <x:c r="C5" s="71"/>
      <x:c r="D5" s="71"/>
      <x:c r="E5" s="71"/>
      <x:c r="F5" s="71"/>
      <x:c r="G5" s="71"/>
      <x:c r="H5" s="71"/>
      <x:c r="I5" s="71"/>
      <x:c r="J5" s="71"/>
      <x:c r="K5" s="71"/>
    </x:row>
    <x:row r="6" ht="15" hidden="0" customHeight="1">
      <x:c r="C6" s="15" t="str">
        <x:v>Wave</x:v>
      </x:c>
      <x:c r="D6" s="16" t="str">
        <x:v>Years</x:v>
      </x:c>
      <x:c r="E6" s="16" t="str">
        <x:v>Program share</x:v>
      </x:c>
      <x:c r="F6" s="16" t="str">
        <x:v>Program USD B</x:v>
      </x:c>
      <x:c r="G6" s="16" t="str">
        <x:v>Mission share</x:v>
      </x:c>
      <x:c r="H6" s="16" t="str">
        <x:v>Mission USD B</x:v>
      </x:c>
      <x:c r="I6" s="16" t="str">
        <x:v>Exit</x:v>
      </x:c>
      <x:c r="J6" s="16" t="str">
        <x:v>All systems live?</x:v>
      </x:c>
      <x:c r="K6" s="17" t="str">
        <x:v>Solo G5 allowed?</x:v>
      </x:c>
    </x:row>
    <x:row r="7" ht="15" hidden="0" customHeight="1">
      <x:c r="C7" s="22" t="str">
        <x:v>Constitute evidence and rival mechanisms</x:v>
      </x:c>
      <x:c r="D7" s="22" t="str">
        <x:v>1–5</x:v>
      </x:c>
      <x:c r="E7" s="57" t="n">
        <x:v>0.2</x:v>
      </x:c>
      <x:c r="F7" s="61" t="n">
        <x:f>E7*'Controls'!D21</x:f>
        <x:v>200</x:v>
      </x:c>
      <x:c r="G7" s="57" t="n">
        <x:v>0.2</x:v>
      </x:c>
      <x:c r="H7" s="61" t="n">
        <x:f>G7*'Controls'!D22</x:f>
        <x:v>110</x:v>
      </x:c>
      <x:c r="I7" s="50" t="str">
        <x:v>G0–G1</x:v>
      </x:c>
      <x:c r="J7" s="22" t="str">
        <x:v>YES</x:v>
      </x:c>
      <x:c r="K7" s="22" t="str">
        <x:v>NO</x:v>
      </x:c>
    </x:row>
    <x:row r="8" ht="15" hidden="0" customHeight="1">
      <x:c r="C8" s="22" t="str">
        <x:v>Integrate under representative extremes</x:v>
      </x:c>
      <x:c r="D8" s="22" t="str">
        <x:v>6–10</x:v>
      </x:c>
      <x:c r="E8" s="57" t="n">
        <x:v>0.3</x:v>
      </x:c>
      <x:c r="F8" s="61" t="n">
        <x:f>E8*'Controls'!D21</x:f>
        <x:v>300</x:v>
      </x:c>
      <x:c r="G8" s="57" t="n">
        <x:v>0.3</x:v>
      </x:c>
      <x:c r="H8" s="61" t="n">
        <x:f>G8*'Controls'!D22</x:f>
        <x:v>165</x:v>
      </x:c>
      <x:c r="I8" s="50" t="str">
        <x:v>G2–G3</x:v>
      </x:c>
      <x:c r="J8" s="22" t="str">
        <x:v>YES</x:v>
      </x:c>
      <x:c r="K8" s="22" t="str">
        <x:v>NO</x:v>
      </x:c>
    </x:row>
    <x:row r="9" ht="15" hidden="0" customHeight="1">
      <x:c r="C9" s="22" t="str">
        <x:v>Prove complete mission threads</x:v>
      </x:c>
      <x:c r="D9" s="22" t="str">
        <x:v>11–15</x:v>
      </x:c>
      <x:c r="E9" s="57" t="n">
        <x:v>0.25</x:v>
      </x:c>
      <x:c r="F9" s="61" t="n">
        <x:f>E9*'Controls'!D21</x:f>
        <x:v>250</x:v>
      </x:c>
      <x:c r="G9" s="57" t="n">
        <x:v>0.25</x:v>
      </x:c>
      <x:c r="H9" s="61" t="n">
        <x:f>G9*'Controls'!D22</x:f>
        <x:v>137.5</x:v>
      </x:c>
      <x:c r="I9" s="50" t="str">
        <x:v>G4</x:v>
      </x:c>
      <x:c r="J9" s="22" t="str">
        <x:v>YES</x:v>
      </x:c>
      <x:c r="K9" s="22" t="str">
        <x:v>NO</x:v>
      </x:c>
    </x:row>
    <x:row r="10" ht="15" hidden="0" customHeight="1">
      <x:c r="C10" s="22" t="str">
        <x:v>Qualify production and replicated use</x:v>
      </x:c>
      <x:c r="D10" s="22" t="str">
        <x:v>16–20</x:v>
      </x:c>
      <x:c r="E10" s="57" t="n">
        <x:v>0.15</x:v>
      </x:c>
      <x:c r="F10" s="61" t="n">
        <x:f>E10*'Controls'!D21</x:f>
        <x:v>150</x:v>
      </x:c>
      <x:c r="G10" s="57" t="n">
        <x:v>0.15</x:v>
      </x:c>
      <x:c r="H10" s="61" t="n">
        <x:f>G10*'Controls'!D22</x:f>
        <x:v>82.5</x:v>
      </x:c>
      <x:c r="I10" s="50" t="str">
        <x:v>G5–G6</x:v>
      </x:c>
      <x:c r="J10" s="22" t="str">
        <x:v>YES</x:v>
      </x:c>
      <x:c r="K10" s="22" t="str">
        <x:v>NO</x:v>
      </x:c>
    </x:row>
    <x:row r="11" ht="15" hidden="0" customHeight="1">
      <x:c r="C11" s="23" t="str">
        <x:v>Challenge, renew or retire</x:v>
      </x:c>
      <x:c r="D11" s="23" t="str">
        <x:v>21–25</x:v>
      </x:c>
      <x:c r="E11" s="58" t="n">
        <x:v>0.1</x:v>
      </x:c>
      <x:c r="F11" s="62" t="n">
        <x:f>E11*'Controls'!D21</x:f>
        <x:v>100</x:v>
      </x:c>
      <x:c r="G11" s="58" t="n">
        <x:v>0.1</x:v>
      </x:c>
      <x:c r="H11" s="62" t="n">
        <x:f>G11*'Controls'!D22</x:f>
        <x:v>55</x:v>
      </x:c>
      <x:c r="I11" s="50" t="str">
        <x:v>G7</x:v>
      </x:c>
      <x:c r="J11" s="22" t="str">
        <x:v>YES</x:v>
      </x:c>
      <x:c r="K11" s="22" t="str">
        <x:v>NO</x:v>
      </x:c>
    </x:row>
    <x:row r="12" ht="15" hidden="0" customHeight="1">
      <x:c r="C12" s="71"/>
      <x:c r="D12" s="71"/>
      <x:c r="E12" s="73"/>
      <x:c r="F12" s="74"/>
      <x:c r="G12" s="73"/>
      <x:c r="H12" s="74"/>
      <x:c r="I12" s="71"/>
      <x:c r="J12" s="71"/>
      <x:c r="K12" s="71"/>
    </x:row>
    <x:row r="13" ht="15" hidden="0" customHeight="1">
      <x:c r="C13" s="43" t="str">
        <x:v>Total</x:v>
      </x:c>
      <x:c r="D13" s="43"/>
      <x:c r="E13" s="60" t="n">
        <x:f>SUM(E7:E11)</x:f>
        <x:v>1</x:v>
      </x:c>
      <x:c r="F13" s="64" t="n">
        <x:f>SUM(F7:F11)</x:f>
        <x:v>1000</x:v>
      </x:c>
      <x:c r="G13" s="60" t="n">
        <x:f>SUM(G7:G11)</x:f>
        <x:v>1</x:v>
      </x:c>
      <x:c r="H13" s="64" t="n">
        <x:f>SUM(H7:H11)</x:f>
        <x:v>550</x:v>
      </x:c>
      <x:c r="I13" s="43" t="str"/>
      <x:c r="J13" s="43" t="str"/>
      <x:c r="K13" s="43" t="str"/>
    </x:row>
    <x:row r="14" ht="15" hidden="0" customHeight="1">
      <x:c r="C14" s="71"/>
      <x:c r="D14" s="71"/>
      <x:c r="E14" s="71"/>
      <x:c r="F14" s="71"/>
      <x:c r="G14" s="71"/>
      <x:c r="H14" s="71"/>
      <x:c r="I14" s="71"/>
      <x:c r="J14" s="71"/>
      <x:c r="K14" s="71"/>
    </x:row>
    <x:row r="15" ht="15" hidden="0" customHeight="1">
      <x:c r="C15" s="15" t="str">
        <x:v>Boundary</x:v>
      </x:c>
      <x:c r="D15" s="16" t="str">
        <x:v>Program USD B</x:v>
      </x:c>
      <x:c r="E15" s="16" t="str">
        <x:v>Mission USD B</x:v>
      </x:c>
      <x:c r="F15" s="17" t="str">
        <x:v>Meaning</x:v>
      </x:c>
      <x:c r="G15" s="71"/>
      <x:c r="H15" s="71"/>
      <x:c r="I15" s="71"/>
      <x:c r="J15" s="71"/>
      <x:c r="K15" s="71"/>
    </x:row>
    <x:row r="16" ht="15" hidden="0" customHeight="1">
      <x:c r="C16" s="37" t="str">
        <x:v>Through G3</x:v>
      </x:c>
      <x:c r="D16" s="65" t="n">
        <x:f>SUM(F7:F8)</x:f>
        <x:v>500</x:v>
      </x:c>
      <x:c r="E16" s="65" t="n">
        <x:f>SUM(H7:H8)</x:f>
        <x:v>275</x:v>
      </x:c>
      <x:c r="F16" s="37" t="str">
        <x:v>First two waves</x:v>
      </x:c>
      <x:c r="G16" s="71"/>
      <x:c r="H16" s="71"/>
      <x:c r="I16" s="71"/>
      <x:c r="J16" s="71"/>
      <x:c r="K16" s="71"/>
    </x:row>
    <x:row r="17" ht="15" hidden="0" customHeight="1">
      <x:c r="C17" s="38" t="str">
        <x:v>Through G4</x:v>
      </x:c>
      <x:c r="D17" s="66" t="n">
        <x:f>SUM(F7:F9)</x:f>
        <x:v>750</x:v>
      </x:c>
      <x:c r="E17" s="66" t="n">
        <x:f>SUM(H7:H9)</x:f>
        <x:v>412.5</x:v>
      </x:c>
      <x:c r="F17" s="38" t="str">
        <x:v>First three waves</x:v>
      </x:c>
      <x:c r="G17" s="71"/>
      <x:c r="H17" s="71"/>
      <x:c r="I17" s="71"/>
      <x:c r="J17" s="71"/>
      <x:c r="K17" s="7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40" hidden="0" customWidth="1"/>
    <x:col min="4" max="4" width="28" hidden="0" customWidth="1"/>
    <x:col min="5" max="5" width="28" hidden="0" customWidth="1"/>
    <x:col min="6" max="6" width="14" hidden="0" customWidth="1"/>
    <x:col min="1" max="1" width="2.5" hidden="0" customWidth="1"/>
    <x:col min="2" max="2" width="2.5" hidden="0" customWidth="1"/>
  </x:cols>
  <x:sheetData>
    <x:row r="2" ht="19.200000762939453" hidden="0" customHeight="1">
      <x:c r="C2" s="1" t="str">
        <x:v>Terminal model audits</x:v>
      </x:c>
      <x:c r="D2" s="71"/>
      <x:c r="E2" s="71"/>
      <x:c r="F2" s="71"/>
    </x:row>
    <x:row r="3" ht="15" hidden="0" customHeight="1">
      <x:c r="C3" s="3" t="str">
        <x:v>Audits observe the model. No output or gate reads this sheet.</x:v>
      </x:c>
      <x:c r="D3" s="3"/>
      <x:c r="E3" s="3"/>
      <x:c r="F3" s="3"/>
    </x:row>
    <x:row r="4" ht="15" hidden="0" customHeight="1">
      <x:c r="C4" s="71"/>
      <x:c r="D4" s="71"/>
      <x:c r="E4" s="71"/>
      <x:c r="F4" s="71"/>
    </x:row>
    <x:row r="5" ht="15" hidden="0" customHeight="1">
      <x:c r="C5" s="71"/>
      <x:c r="D5" s="71"/>
      <x:c r="E5" s="71"/>
      <x:c r="F5" s="71"/>
    </x:row>
    <x:row r="6" ht="15" hidden="0" customHeight="1">
      <x:c r="C6" s="15" t="str">
        <x:v>Audit</x:v>
      </x:c>
      <x:c r="D6" s="16" t="str">
        <x:v>Observed</x:v>
      </x:c>
      <x:c r="E6" s="16" t="str">
        <x:v>Expected</x:v>
      </x:c>
      <x:c r="F6" s="17" t="str">
        <x:v>Result</x:v>
      </x:c>
    </x:row>
    <x:row r="7" ht="15" hidden="0" customHeight="1">
      <x:c r="C7" s="22" t="str">
        <x:v>Selected path count</x:v>
      </x:c>
      <x:c r="D7" s="22" t="n">
        <x:f>COUNTIFS('Path Test'!N7:N10,"SELECT")</x:f>
        <x:v>1</x:v>
      </x:c>
      <x:c r="E7" s="22" t="n">
        <x:v>1</x:v>
      </x:c>
      <x:c r="F7" s="69" t="str">
        <x:f>IF(D7=E7,"PASS","FAIL")</x:f>
        <x:v>PASS</x:v>
      </x:c>
    </x:row>
    <x:row r="8" ht="15" hidden="0" customHeight="1">
      <x:c r="C8" s="22" t="str">
        <x:v>Selected path</x:v>
      </x:c>
      <x:c r="D8" s="22" t="str">
        <x:f>'Path Test'!N10</x:f>
        <x:v>SELECT</x:v>
      </x:c>
      <x:c r="E8" s="22" t="str">
        <x:v>SELECT</x:v>
      </x:c>
      <x:c r="F8" s="69" t="str">
        <x:f>IF(D8=E8,"PASS","FAIL")</x:f>
        <x:v>PASS</x:v>
      </x:c>
    </x:row>
    <x:row r="9" ht="15" hidden="0" customHeight="1">
      <x:c r="C9" s="22" t="str">
        <x:v>Serial path rejected</x:v>
      </x:c>
      <x:c r="D9" s="22" t="str">
        <x:f>'Path Test'!N7</x:f>
        <x:v>REJECT</x:v>
      </x:c>
      <x:c r="E9" s="22" t="str">
        <x:v>REJECT</x:v>
      </x:c>
      <x:c r="F9" s="69" t="str">
        <x:f>IF(D9=E9,"PASS","FAIL")</x:f>
        <x:v>PASS</x:v>
      </x:c>
    </x:row>
    <x:row r="10" ht="15" hidden="0" customHeight="1">
      <x:c r="C10" s="22" t="str">
        <x:v>Clone path rejected</x:v>
      </x:c>
      <x:c r="D10" s="22" t="str">
        <x:f>'Path Test'!N8</x:f>
        <x:v>REJECT</x:v>
      </x:c>
      <x:c r="E10" s="22" t="str">
        <x:v>REJECT</x:v>
      </x:c>
      <x:c r="F10" s="69" t="str">
        <x:f>IF(D10=E10,"PASS","FAIL")</x:f>
        <x:v>PASS</x:v>
      </x:c>
    </x:row>
    <x:row r="11" ht="15" hidden="0" customHeight="1">
      <x:c r="C11" s="22" t="str">
        <x:v>Independent path rejected</x:v>
      </x:c>
      <x:c r="D11" s="22" t="str">
        <x:f>'Path Test'!N9</x:f>
        <x:v>REJECT</x:v>
      </x:c>
      <x:c r="E11" s="22" t="str">
        <x:v>REJECT</x:v>
      </x:c>
      <x:c r="F11" s="69" t="str">
        <x:f>IF(D11=E11,"PASS","FAIL")</x:f>
        <x:v>PASS</x:v>
      </x:c>
    </x:row>
    <x:row r="12" ht="15" hidden="0" customHeight="1">
      <x:c r="C12" s="22" t="str">
        <x:v>Systems</x:v>
      </x:c>
      <x:c r="D12" s="22" t="n">
        <x:f>'Controls'!D7</x:f>
        <x:v>6</x:v>
      </x:c>
      <x:c r="E12" s="22" t="n">
        <x:v>6</x:v>
      </x:c>
      <x:c r="F12" s="69" t="str">
        <x:f>IF(D12=E12,"PASS","FAIL")</x:f>
        <x:v>PASS</x:v>
      </x:c>
    </x:row>
    <x:row r="13" ht="15" hidden="0" customHeight="1">
      <x:c r="C13" s="22" t="str">
        <x:v>Roots per system</x:v>
      </x:c>
      <x:c r="D13" s="22" t="n">
        <x:f>'Controls'!D8</x:f>
        <x:v>4</x:v>
      </x:c>
      <x:c r="E13" s="22" t="n">
        <x:v>4</x:v>
      </x:c>
      <x:c r="F13" s="69" t="str">
        <x:f>IF(D13=E13,"PASS","FAIL")</x:f>
        <x:v>PASS</x:v>
      </x:c>
    </x:row>
    <x:row r="14" ht="15" hidden="0" customHeight="1">
      <x:c r="C14" s="22" t="str">
        <x:v>Required roots</x:v>
      </x:c>
      <x:c r="D14" s="22" t="n">
        <x:f>'Controls'!D9</x:f>
        <x:v>24</x:v>
      </x:c>
      <x:c r="E14" s="22" t="n">
        <x:v>24</x:v>
      </x:c>
      <x:c r="F14" s="69" t="str">
        <x:f>IF(D14=E14,"PASS","FAIL")</x:f>
        <x:v>PASS</x:v>
      </x:c>
    </x:row>
    <x:row r="15" ht="15" hidden="0" customHeight="1">
      <x:c r="C15" s="22" t="str">
        <x:v>Stacks</x:v>
      </x:c>
      <x:c r="D15" s="22" t="n">
        <x:f>'Controls'!D10</x:f>
        <x:v>4</x:v>
      </x:c>
      <x:c r="E15" s="22" t="n">
        <x:v>4</x:v>
      </x:c>
      <x:c r="F15" s="69" t="str">
        <x:f>IF(D15=E15,"PASS","FAIL")</x:f>
        <x:v>PASS</x:v>
      </x:c>
    </x:row>
    <x:row r="16" ht="15" hidden="0" customHeight="1">
      <x:c r="C16" s="22" t="str">
        <x:v>Routes</x:v>
      </x:c>
      <x:c r="D16" s="22" t="n">
        <x:f>'Controls'!D11</x:f>
        <x:v>28</x:v>
      </x:c>
      <x:c r="E16" s="22" t="n">
        <x:v>28</x:v>
      </x:c>
      <x:c r="F16" s="69" t="str">
        <x:f>IF(D16=E16,"PASS","FAIL")</x:f>
        <x:v>PASS</x:v>
      </x:c>
    </x:row>
    <x:row r="17" ht="15" hidden="0" customHeight="1">
      <x:c r="C17" s="22" t="str">
        <x:v>Directed exchanges</x:v>
      </x:c>
      <x:c r="D17" s="22" t="n">
        <x:f>'Controls'!D12</x:f>
        <x:v>30</x:v>
      </x:c>
      <x:c r="E17" s="22" t="n">
        <x:v>30</x:v>
      </x:c>
      <x:c r="F17" s="69" t="str">
        <x:f>IF(D17=E17,"PASS","FAIL")</x:f>
        <x:v>PASS</x:v>
      </x:c>
    </x:row>
    <x:row r="18" ht="15" hidden="0" customHeight="1">
      <x:c r="C18" s="22" t="str">
        <x:v>Kernel elements</x:v>
      </x:c>
      <x:c r="D18" s="22" t="n">
        <x:f>'Controls'!D13</x:f>
        <x:v>10</x:v>
      </x:c>
      <x:c r="E18" s="22" t="n">
        <x:v>10</x:v>
      </x:c>
      <x:c r="F18" s="69" t="str">
        <x:f>IF(D18=E18,"PASS","FAIL")</x:f>
        <x:v>PASS</x:v>
      </x:c>
    </x:row>
    <x:row r="19" ht="15" hidden="0" customHeight="1">
      <x:c r="C19" s="22" t="str">
        <x:v>Seam floor</x:v>
      </x:c>
      <x:c r="D19" s="22" t="n">
        <x:f>'Controls'!D14</x:f>
        <x:v>4</x:v>
      </x:c>
      <x:c r="E19" s="22" t="n">
        <x:v>4</x:v>
      </x:c>
      <x:c r="F19" s="69" t="str">
        <x:f>IF(D19=E19,"PASS","FAIL")</x:f>
        <x:v>PASS</x:v>
      </x:c>
    </x:row>
    <x:row r="20" ht="15" hidden="0" customHeight="1">
      <x:c r="C20" s="22" t="str">
        <x:v>Root bank rows</x:v>
      </x:c>
      <x:c r="D20" s="22" t="n">
        <x:f>COUNTA('Root Bank'!C7:C30)</x:f>
        <x:v>24</x:v>
      </x:c>
      <x:c r="E20" s="22" t="n">
        <x:v>24</x:v>
      </x:c>
      <x:c r="F20" s="69" t="str">
        <x:f>IF(D20=E20,"PASS","FAIL")</x:f>
        <x:v>PASS</x:v>
      </x:c>
    </x:row>
    <x:row r="21" ht="15" hidden="0" customHeight="1">
      <x:c r="C21" s="22" t="str">
        <x:v>Unique root identifiers</x:v>
      </x:c>
      <x:c r="D21" s="22" t="n">
        <x:f>COUNTIFS('Root Bank'!L7:L30,1)</x:f>
        <x:v>24</x:v>
      </x:c>
      <x:c r="E21" s="22" t="n">
        <x:v>24</x:v>
      </x:c>
      <x:c r="F21" s="69" t="str">
        <x:f>IF(D21=E21,"PASS","FAIL")</x:f>
        <x:v>PASS</x:v>
      </x:c>
    </x:row>
    <x:row r="22" ht="15" hidden="0" customHeight="1">
      <x:c r="C22" s="22" t="str">
        <x:v>Root releases initially zero</x:v>
      </x:c>
      <x:c r="D22" s="22" t="n">
        <x:f>COUNTIFS('Root Bank'!J7:J30,"RELEASE")</x:f>
        <x:v>0</x:v>
      </x:c>
      <x:c r="E22" s="22" t="n">
        <x:v>0</x:v>
      </x:c>
      <x:c r="F22" s="69" t="str">
        <x:f>IF(D22=E22,"PASS","FAIL")</x:f>
        <x:v>PASS</x:v>
      </x:c>
    </x:row>
    <x:row r="23" ht="15" hidden="0" customHeight="1">
      <x:c r="C23" s="22" t="str">
        <x:v>Root holds initially</x:v>
      </x:c>
      <x:c r="D23" s="22" t="n">
        <x:f>COUNTIFS('Root Bank'!J7:J30,"HOLD")</x:f>
        <x:v>24</x:v>
      </x:c>
      <x:c r="E23" s="22" t="n">
        <x:v>24</x:v>
      </x:c>
      <x:c r="F23" s="69" t="str">
        <x:f>IF(D23=E23,"PASS","FAIL")</x:f>
        <x:v>PASS</x:v>
      </x:c>
    </x:row>
    <x:row r="24" ht="15" hidden="0" customHeight="1">
      <x:c r="C24" s="22" t="str">
        <x:v>System releases initially zero</x:v>
      </x:c>
      <x:c r="D24" s="22" t="n">
        <x:f>COUNTIFS('Financials'!H7:H12,4)</x:f>
        <x:v>0</x:v>
      </x:c>
      <x:c r="E24" s="22" t="n">
        <x:v>0</x:v>
      </x:c>
      <x:c r="F24" s="69" t="str">
        <x:f>IF(D24=E24,"PASS","FAIL")</x:f>
        <x:v>PASS</x:v>
      </x:c>
    </x:row>
    <x:row r="25" ht="15" hidden="0" customHeight="1">
      <x:c r="C25" s="22" t="str">
        <x:v>Ready stacks initially zero</x:v>
      </x:c>
      <x:c r="D25" s="22" t="n">
        <x:f>COUNTIFS('G3 Barrier'!L7:L10,"READY")</x:f>
        <x:v>0</x:v>
      </x:c>
      <x:c r="E25" s="22" t="n">
        <x:v>0</x:v>
      </x:c>
      <x:c r="F25" s="69" t="str">
        <x:f>IF(D25=E25,"PASS","FAIL")</x:f>
        <x:v>PASS</x:v>
      </x:c>
    </x:row>
    <x:row r="26" ht="15" hidden="0" customHeight="1">
      <x:c r="C26" s="22" t="str">
        <x:v>G4 initially blocked</x:v>
      </x:c>
      <x:c r="D26" s="22" t="str">
        <x:f>'G3 Barrier'!D18</x:f>
        <x:v>BLOCKED</x:v>
      </x:c>
      <x:c r="E26" s="22" t="str">
        <x:v>BLOCKED</x:v>
      </x:c>
      <x:c r="F26" s="69" t="str">
        <x:f>IF(D26=E26,"PASS","FAIL")</x:f>
        <x:v>PASS</x:v>
      </x:c>
    </x:row>
    <x:row r="27" ht="15" hidden="0" customHeight="1">
      <x:c r="C27" s="22" t="str">
        <x:v>ET allocation</x:v>
      </x:c>
      <x:c r="D27" s="22" t="n">
        <x:f>'Financials'!F7</x:f>
        <x:v>44.5</x:v>
      </x:c>
      <x:c r="E27" s="22" t="n">
        <x:v>44.5</x:v>
      </x:c>
      <x:c r="F27" s="69" t="str">
        <x:f>IF(D27=E27,"PASS","FAIL")</x:f>
        <x:v>PASS</x:v>
      </x:c>
    </x:row>
    <x:row r="28" ht="15" hidden="0" customHeight="1">
      <x:c r="C28" s="22" t="str">
        <x:v>CT allocation</x:v>
      </x:c>
      <x:c r="D28" s="22" t="n">
        <x:f>'Financials'!F8</x:f>
        <x:v>45.9</x:v>
      </x:c>
      <x:c r="E28" s="22" t="n">
        <x:v>45.9</x:v>
      </x:c>
      <x:c r="F28" s="69" t="str">
        <x:f>IF(D28=E28,"PASS","FAIL")</x:f>
        <x:v>PASS</x:v>
      </x:c>
    </x:row>
    <x:row r="29" ht="15" hidden="0" customHeight="1">
      <x:c r="C29" s="22" t="str">
        <x:v>HC allocation</x:v>
      </x:c>
      <x:c r="D29" s="22" t="n">
        <x:f>'Financials'!F9</x:f>
        <x:v>27.3</x:v>
      </x:c>
      <x:c r="E29" s="22" t="n">
        <x:v>27.3</x:v>
      </x:c>
      <x:c r="F29" s="69" t="str">
        <x:f>IF(D29=E29,"PASS","FAIL")</x:f>
        <x:v>PASS</x:v>
      </x:c>
    </x:row>
    <x:row r="30" ht="15" hidden="0" customHeight="1">
      <x:c r="C30" s="22" t="str">
        <x:v>LF allocation</x:v>
      </x:c>
      <x:c r="D30" s="22" t="n">
        <x:f>'Financials'!F10</x:f>
        <x:v>35.9765</x:v>
      </x:c>
      <x:c r="E30" s="22" t="n">
        <x:v>35.9765</x:v>
      </x:c>
      <x:c r="F30" s="69" t="str">
        <x:f>IF(D30=E30,"PASS","FAIL")</x:f>
        <x:v>PASS</x:v>
      </x:c>
    </x:row>
    <x:row r="31" ht="15" hidden="0" customHeight="1">
      <x:c r="C31" s="22" t="str">
        <x:v>HU allocation</x:v>
      </x:c>
      <x:c r="D31" s="22" t="n">
        <x:f>'Financials'!F11</x:f>
        <x:v>76.6</x:v>
      </x:c>
      <x:c r="E31" s="22" t="n">
        <x:v>76.6</x:v>
      </x:c>
      <x:c r="F31" s="69" t="str">
        <x:f>IF(D31=E31,"PASS","FAIL")</x:f>
        <x:v>PASS</x:v>
      </x:c>
    </x:row>
    <x:row r="32" ht="15" hidden="0" customHeight="1">
      <x:c r="C32" s="22" t="str">
        <x:v>RT allocation</x:v>
      </x:c>
      <x:c r="D32" s="22" t="n">
        <x:f>'Financials'!F12</x:f>
        <x:v>44.7</x:v>
      </x:c>
      <x:c r="E32" s="22" t="n">
        <x:v>44.7</x:v>
      </x:c>
      <x:c r="F32" s="69" t="str">
        <x:f>IF(D32=E32,"PASS","FAIL")</x:f>
        <x:v>PASS</x:v>
      </x:c>
    </x:row>
    <x:row r="33" ht="15" hidden="0" customHeight="1">
      <x:c r="C33" s="22" t="str">
        <x:v>Allocated mission total</x:v>
      </x:c>
      <x:c r="D33" s="22" t="n">
        <x:f>'Financials'!F14</x:f>
        <x:v>274.9765</x:v>
      </x:c>
      <x:c r="E33" s="22" t="n">
        <x:v>274.9765</x:v>
      </x:c>
      <x:c r="F33" s="69" t="str">
        <x:f>IF(D33=E33,"PASS","FAIL")</x:f>
        <x:v>PASS</x:v>
      </x:c>
    </x:row>
    <x:row r="34" ht="15" hidden="0" customHeight="1">
      <x:c r="C34" s="22" t="str">
        <x:v>Non-lifeline allocation</x:v>
      </x:c>
      <x:c r="D34" s="22" t="n">
        <x:f>'Financials'!D17</x:f>
        <x:v>239</x:v>
      </x:c>
      <x:c r="E34" s="22" t="n">
        <x:v>239</x:v>
      </x:c>
      <x:c r="F34" s="69" t="str">
        <x:f>IF(D34=E34,"PASS","FAIL")</x:f>
        <x:v>PASS</x:v>
      </x:c>
    </x:row>
    <x:row r="35" ht="15" hidden="0" customHeight="1">
      <x:c r="C35" s="22" t="str">
        <x:v>Mission rounding register</x:v>
      </x:c>
      <x:c r="D35" s="22" t="n">
        <x:f>'Financials'!D18</x:f>
        <x:v>0.023500000000012733</x:v>
      </x:c>
      <x:c r="E35" s="22" t="n">
        <x:v>0.0235</x:v>
      </x:c>
      <x:c r="F35" s="69" t="str">
        <x:f>IF(D35=E35,"PASS","FAIL")</x:f>
        <x:v>PASS</x:v>
      </x:c>
    </x:row>
    <x:row r="36" ht="15" hidden="0" customHeight="1">
      <x:c r="C36" s="22" t="str">
        <x:v>G3 program boundary</x:v>
      </x:c>
      <x:c r="D36" s="22" t="n">
        <x:f>'Funding Accounts'!D12</x:f>
        <x:v>500</x:v>
      </x:c>
      <x:c r="E36" s="22" t="n">
        <x:v>500</x:v>
      </x:c>
      <x:c r="F36" s="69" t="str">
        <x:f>IF(D36=E36,"PASS","FAIL")</x:f>
        <x:v>PASS</x:v>
      </x:c>
    </x:row>
    <x:row r="37" ht="15" hidden="0" customHeight="1">
      <x:c r="C37" s="22" t="str">
        <x:v>Mission account boundary</x:v>
      </x:c>
      <x:c r="D37" s="22" t="n">
        <x:f>'Funding Accounts'!D7</x:f>
        <x:v>275</x:v>
      </x:c>
      <x:c r="E37" s="22" t="n">
        <x:v>275</x:v>
      </x:c>
      <x:c r="F37" s="69" t="str">
        <x:f>IF(D37=E37,"PASS","FAIL")</x:f>
        <x:v>PASS</x:v>
      </x:c>
    </x:row>
    <x:row r="38" ht="15" hidden="0" customHeight="1">
      <x:c r="C38" s="22" t="str">
        <x:v>Service bases boundary</x:v>
      </x:c>
      <x:c r="D38" s="22" t="n">
        <x:f>'Funding Accounts'!D8</x:f>
        <x:v>75</x:v>
      </x:c>
      <x:c r="E38" s="22" t="n">
        <x:v>75</x:v>
      </x:c>
      <x:c r="F38" s="69" t="str">
        <x:f>IF(D38=E38,"PASS","FAIL")</x:f>
        <x:v>PASS</x:v>
      </x:c>
    </x:row>
    <x:row r="39" ht="15" hidden="0" customHeight="1">
      <x:c r="C39" s="22" t="str">
        <x:v>Common capacity boundary</x:v>
      </x:c>
      <x:c r="D39" s="22" t="n">
        <x:f>'Funding Accounts'!D9</x:f>
        <x:v>75</x:v>
      </x:c>
      <x:c r="E39" s="22" t="n">
        <x:v>75</x:v>
      </x:c>
      <x:c r="F39" s="69" t="str">
        <x:f>IF(D39=E39,"PASS","FAIL")</x:f>
        <x:v>PASS</x:v>
      </x:c>
    </x:row>
    <x:row r="40" ht="15" hidden="0" customHeight="1">
      <x:c r="C40" s="22" t="str">
        <x:v>Technical estate boundary</x:v>
      </x:c>
      <x:c r="D40" s="22" t="n">
        <x:f>'Funding Accounts'!D10</x:f>
        <x:v>50</x:v>
      </x:c>
      <x:c r="E40" s="22" t="n">
        <x:v>50</x:v>
      </x:c>
      <x:c r="F40" s="69" t="str">
        <x:f>IF(D40=E40,"PASS","FAIL")</x:f>
        <x:v>PASS</x:v>
      </x:c>
    </x:row>
    <x:row r="41" ht="15" hidden="0" customHeight="1">
      <x:c r="C41" s="22" t="str">
        <x:v>Failure reserve boundary</x:v>
      </x:c>
      <x:c r="D41" s="22" t="n">
        <x:f>'Funding Accounts'!D11</x:f>
        <x:v>25</x:v>
      </x:c>
      <x:c r="E41" s="22" t="n">
        <x:v>25</x:v>
      </x:c>
      <x:c r="F41" s="69" t="str">
        <x:f>IF(D41=E41,"PASS","FAIL")</x:f>
        <x:v>PASS</x:v>
      </x:c>
    </x:row>
    <x:row r="42" ht="15" hidden="0" customHeight="1">
      <x:c r="C42" s="22" t="str">
        <x:v>Full program</x:v>
      </x:c>
      <x:c r="D42" s="22" t="n">
        <x:f>'Controls'!D21</x:f>
        <x:v>1000</x:v>
      </x:c>
      <x:c r="E42" s="22" t="n">
        <x:v>1000</x:v>
      </x:c>
      <x:c r="F42" s="69" t="str">
        <x:f>IF(D42=E42,"PASS","FAIL")</x:f>
        <x:v>PASS</x:v>
      </x:c>
    </x:row>
    <x:row r="43" ht="15" hidden="0" customHeight="1">
      <x:c r="C43" s="22" t="str">
        <x:v>Full mission account</x:v>
      </x:c>
      <x:c r="D43" s="22" t="n">
        <x:f>'Controls'!D22</x:f>
        <x:v>550</x:v>
      </x:c>
      <x:c r="E43" s="22" t="n">
        <x:v>550</x:v>
      </x:c>
      <x:c r="F43" s="69" t="str">
        <x:f>IF(D43=E43,"PASS","FAIL")</x:f>
        <x:v>PASS</x:v>
      </x:c>
    </x:row>
    <x:row r="44" ht="15" hidden="0" customHeight="1">
      <x:c r="C44" s="22" t="str">
        <x:v>Wave program shares</x:v>
      </x:c>
      <x:c r="D44" s="22" t="n">
        <x:f>SUM('Timeline'!E7:E11)</x:f>
        <x:v>1</x:v>
      </x:c>
      <x:c r="E44" s="22" t="n">
        <x:v>1</x:v>
      </x:c>
      <x:c r="F44" s="69" t="str">
        <x:f>IF(D44=E44,"PASS","FAIL")</x:f>
        <x:v>PASS</x:v>
      </x:c>
    </x:row>
    <x:row r="45" ht="15" hidden="0" customHeight="1">
      <x:c r="C45" s="22" t="str">
        <x:v>Wave mission shares</x:v>
      </x:c>
      <x:c r="D45" s="22" t="n">
        <x:f>SUM('Timeline'!G7:G11)</x:f>
        <x:v>1</x:v>
      </x:c>
      <x:c r="E45" s="22" t="n">
        <x:v>1</x:v>
      </x:c>
      <x:c r="F45" s="69" t="str">
        <x:f>IF(D45=E45,"PASS","FAIL")</x:f>
        <x:v>PASS</x:v>
      </x:c>
    </x:row>
    <x:row r="46" ht="15" hidden="0" customHeight="1">
      <x:c r="C46" s="22" t="str">
        <x:v>Through G3 program</x:v>
      </x:c>
      <x:c r="D46" s="22" t="n">
        <x:f>'Timeline'!D16</x:f>
        <x:v>500</x:v>
      </x:c>
      <x:c r="E46" s="22" t="n">
        <x:v>500</x:v>
      </x:c>
      <x:c r="F46" s="69" t="str">
        <x:f>IF(D46=E46,"PASS","FAIL")</x:f>
        <x:v>PASS</x:v>
      </x:c>
    </x:row>
    <x:row r="47" ht="15" hidden="0" customHeight="1">
      <x:c r="C47" s="22" t="str">
        <x:v>Through G3 mission</x:v>
      </x:c>
      <x:c r="D47" s="22" t="n">
        <x:f>'Timeline'!E16</x:f>
        <x:v>275</x:v>
      </x:c>
      <x:c r="E47" s="22" t="n">
        <x:v>275</x:v>
      </x:c>
      <x:c r="F47" s="69" t="str">
        <x:f>IF(D47=E47,"PASS","FAIL")</x:f>
        <x:v>PASS</x:v>
      </x:c>
    </x:row>
    <x:row r="48" ht="15" hidden="0" customHeight="1">
      <x:c r="C48" s="22" t="str">
        <x:v>Through G4 program</x:v>
      </x:c>
      <x:c r="D48" s="22" t="n">
        <x:f>'Timeline'!D17</x:f>
        <x:v>750</x:v>
      </x:c>
      <x:c r="E48" s="22" t="n">
        <x:v>750</x:v>
      </x:c>
      <x:c r="F48" s="69" t="str">
        <x:f>IF(D48=E48,"PASS","FAIL")</x:f>
        <x:v>PASS</x:v>
      </x:c>
    </x:row>
    <x:row r="49" ht="15" hidden="0" customHeight="1">
      <x:c r="C49" s="22" t="str">
        <x:v>Through G4 mission</x:v>
      </x:c>
      <x:c r="D49" s="22" t="n">
        <x:f>'Timeline'!E17</x:f>
        <x:v>412.5</x:v>
      </x:c>
      <x:c r="E49" s="22" t="n">
        <x:v>412.5</x:v>
      </x:c>
      <x:c r="F49" s="69" t="str">
        <x:f>IF(D49=E49,"PASS","FAIL")</x:f>
        <x:v>PASS</x:v>
      </x:c>
    </x:row>
    <x:row r="50" ht="15" hidden="0" customHeight="1">
      <x:c r="C50" s="22" t="str">
        <x:v>Exchange rows</x:v>
      </x:c>
      <x:c r="D50" s="22" t="n">
        <x:f>COUNTA('Exchange Register'!C7:C36)</x:f>
        <x:v>30</x:v>
      </x:c>
      <x:c r="E50" s="22" t="n">
        <x:v>30</x:v>
      </x:c>
      <x:c r="F50" s="69" t="str">
        <x:f>IF(D50=E50,"PASS","FAIL")</x:f>
        <x:v>PASS</x:v>
      </x:c>
    </x:row>
    <x:row r="51" ht="15" hidden="0" customHeight="1">
      <x:c r="C51" s="22" t="str">
        <x:v>Evidence transfers forbidden</x:v>
      </x:c>
      <x:c r="D51" s="22" t="n">
        <x:f>COUNTIFS('Exchange Register'!J7:J36,"NO")</x:f>
        <x:v>30</x:v>
      </x:c>
      <x:c r="E51" s="22" t="n">
        <x:v>30</x:v>
      </x:c>
      <x:c r="F51" s="69" t="str">
        <x:f>IF(D51=E51,"PASS","FAIL")</x:f>
        <x:v>PASS</x:v>
      </x:c>
    </x:row>
    <x:row r="52" ht="15" hidden="0" customHeight="1">
      <x:c r="C52" s="22" t="str">
        <x:v>Case tests pass</x:v>
      </x:c>
      <x:c r="D52" s="22" t="n">
        <x:f>COUNTIFS('Case Tests'!O7:O12,"PASS")</x:f>
        <x:v>6</x:v>
      </x:c>
      <x:c r="E52" s="22" t="n">
        <x:v>6</x:v>
      </x:c>
      <x:c r="F52" s="69" t="str">
        <x:f>IF(D52=E52,"PASS","FAIL")</x:f>
        <x:v>PASS</x:v>
      </x:c>
    </x:row>
    <x:row r="53" ht="15" hidden="0" customHeight="1">
      <x:c r="C53" s="22" t="str">
        <x:v>All-24 case eligible</x:v>
      </x:c>
      <x:c r="D53" s="22" t="str">
        <x:f>'Case Tests'!N7</x:f>
        <x:v>ELIGIBLE</x:v>
      </x:c>
      <x:c r="E53" s="22" t="str">
        <x:v>ELIGIBLE</x:v>
      </x:c>
      <x:c r="F53" s="69" t="str">
        <x:f>IF(D53=E53,"PASS","FAIL")</x:f>
        <x:v>PASS</x:v>
      </x:c>
    </x:row>
    <x:row r="54" ht="15" hidden="0" customHeight="1">
      <x:c r="C54" s="22" t="str">
        <x:v>One-root case blocked</x:v>
      </x:c>
      <x:c r="D54" s="22" t="str">
        <x:f>'Case Tests'!N8</x:f>
        <x:v>BLOCKED</x:v>
      </x:c>
      <x:c r="E54" s="22" t="str">
        <x:v>BLOCKED</x:v>
      </x:c>
      <x:c r="F54" s="69" t="str">
        <x:f>IF(D54=E54,"PASS","FAIL")</x:f>
        <x:v>PASS</x:v>
      </x:c>
    </x:row>
    <x:row r="55" ht="15" hidden="0" customHeight="1">
      <x:c r="C55" s="22" t="str">
        <x:v>Killed-root case blocked</x:v>
      </x:c>
      <x:c r="D55" s="22" t="str">
        <x:f>'Case Tests'!N9</x:f>
        <x:v>BLOCKED</x:v>
      </x:c>
      <x:c r="E55" s="22" t="str">
        <x:v>BLOCKED</x:v>
      </x:c>
      <x:c r="F55" s="69" t="str">
        <x:f>IF(D55=E55,"PASS","FAIL")</x:f>
        <x:v>PASS</x:v>
      </x:c>
    </x:row>
    <x:row r="56" ht="15" hidden="0" customHeight="1">
      <x:c r="C56" s="22" t="str">
        <x:v>Kernel-exception case blocked</x:v>
      </x:c>
      <x:c r="D56" s="22" t="str">
        <x:f>'Case Tests'!N10</x:f>
        <x:v>BLOCKED</x:v>
      </x:c>
      <x:c r="E56" s="22" t="str">
        <x:v>BLOCKED</x:v>
      </x:c>
      <x:c r="F56" s="69" t="str">
        <x:f>IF(D56=E56,"PASS","FAIL")</x:f>
        <x:v>PASS</x:v>
      </x:c>
    </x:row>
    <x:row r="57" ht="15" hidden="0" customHeight="1">
      <x:c r="C57" s="22" t="str">
        <x:v>Lifeline-only case blocked</x:v>
      </x:c>
      <x:c r="D57" s="22" t="str">
        <x:f>'Case Tests'!N11</x:f>
        <x:v>BLOCKED</x:v>
      </x:c>
      <x:c r="E57" s="22" t="str">
        <x:v>BLOCKED</x:v>
      </x:c>
      <x:c r="F57" s="69" t="str">
        <x:f>IF(D57=E57,"PASS","FAIL")</x:f>
        <x:v>PASS</x:v>
      </x:c>
    </x:row>
    <x:row r="58" ht="15" hidden="0" customHeight="1">
      <x:c r="C58" s="22" t="str">
        <x:v>Three-seam case blocked</x:v>
      </x:c>
      <x:c r="D58" s="22" t="str">
        <x:f>'Case Tests'!N12</x:f>
        <x:v>BLOCKED</x:v>
      </x:c>
      <x:c r="E58" s="22" t="str">
        <x:v>BLOCKED</x:v>
      </x:c>
      <x:c r="F58" s="69" t="str">
        <x:f>IF(D58=E58,"PASS","FAIL")</x:f>
        <x:v>PASS</x:v>
      </x:c>
    </x:row>
    <x:row r="59" ht="15" hidden="0" customHeight="1">
      <x:c r="C59" s="22" t="str">
        <x:v>Literal copy refusals</x:v>
      </x:c>
      <x:c r="D59" s="22" t="n">
        <x:f>COUNTIFS('System Translation'!J7:J12,"NO")</x:f>
        <x:v>5</x:v>
      </x:c>
      <x:c r="E59" s="22" t="n">
        <x:v>5</x:v>
      </x:c>
      <x:c r="F59" s="69" t="str">
        <x:f>IF(D59=E59,"PASS","FAIL")</x:f>
        <x:v>PASS</x:v>
      </x:c>
    </x:row>
    <x:row r="60" ht="15" hidden="0" customHeight="1">
      <x:c r="C60" s="22" t="str">
        <x:v>Lifeline reference</x:v>
      </x:c>
      <x:c r="D60" s="22" t="n">
        <x:f>COUNTIFS('System Translation'!J7:J12,"REFERENCE")</x:f>
        <x:v>1</x:v>
      </x:c>
      <x:c r="E60" s="22" t="n">
        <x:v>1</x:v>
      </x:c>
      <x:c r="F60" s="69" t="str">
        <x:f>IF(D60=E60,"PASS","FAIL")</x:f>
        <x:v>PASS</x:v>
      </x:c>
    </x:row>
    <x:row r="61" ht="15" hidden="0" customHeight="1">
      <x:c r="C61" s="23" t="str">
        <x:v>No leader reallocation</x:v>
      </x:c>
      <x:c r="D61" s="23" t="n">
        <x:f>'Decision'!G12</x:f>
        <x:v>0</x:v>
      </x:c>
      <x:c r="E61" s="23" t="n">
        <x:v>0</x:v>
      </x:c>
      <x:c r="F61" s="70" t="str">
        <x:f>IF(D61=E61,"PASS","FAIL")</x:f>
        <x:v>PASS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12" hidden="0" customWidth="1"/>
    <x:col min="4" max="4" width="18" hidden="0" customWidth="1"/>
    <x:col min="5" max="5" width="38" hidden="0" customWidth="1"/>
    <x:col min="6" max="6" width="45" hidden="0" customWidth="1"/>
    <x:col min="7" max="7" width="45" hidden="0" customWidth="1"/>
    <x:col min="8" max="8" width="24" hidden="0" customWidth="1"/>
    <x:col min="1" max="1" width="2.5" hidden="0" customWidth="1"/>
    <x:col min="2" max="2" width="2.5" hidden="0" customWidth="1"/>
  </x:cols>
  <x:sheetData>
    <x:row r="2" ht="19.200000762939453" hidden="0" customHeight="1">
      <x:c r="C2" s="1" t="str">
        <x:v>Internal source register</x:v>
      </x:c>
      <x:c r="D2" s="71"/>
      <x:c r="E2" s="71"/>
      <x:c r="F2" s="71"/>
      <x:c r="G2" s="71"/>
      <x:c r="H2" s="71"/>
    </x:row>
    <x:row r="3" ht="15" hidden="0" customHeight="1">
      <x:c r="C3" s="3" t="str">
        <x:v>No external sites were used; repository decisions are the only authorities.</x:v>
      </x:c>
      <x:c r="D3" s="3"/>
      <x:c r="E3" s="3"/>
      <x:c r="F3" s="3"/>
      <x:c r="G3" s="3"/>
      <x:c r="H3" s="3"/>
    </x:row>
    <x:row r="4" ht="15" hidden="0" customHeight="1">
      <x:c r="C4" s="71"/>
      <x:c r="D4" s="71"/>
      <x:c r="E4" s="71"/>
      <x:c r="F4" s="71"/>
      <x:c r="G4" s="71"/>
      <x:c r="H4" s="71"/>
    </x:row>
    <x:row r="5" ht="15" hidden="0" customHeight="1">
      <x:c r="C5" s="71"/>
      <x:c r="D5" s="71"/>
      <x:c r="E5" s="71"/>
      <x:c r="F5" s="71"/>
      <x:c r="G5" s="71"/>
      <x:c r="H5" s="71"/>
    </x:row>
    <x:row r="6" ht="15" hidden="0" customHeight="1">
      <x:c r="C6" s="15" t="str">
        <x:v>Pass</x:v>
      </x:c>
      <x:c r="D6" s="16" t="str">
        <x:v>Research object</x:v>
      </x:c>
      <x:c r="E6" s="16" t="str">
        <x:v>Source</x:v>
      </x:c>
      <x:c r="F6" s="16" t="str">
        <x:v>Inherited decision</x:v>
      </x:c>
      <x:c r="G6" s="16" t="str">
        <x:v>Model use</x:v>
      </x:c>
      <x:c r="H6" s="17" t="str">
        <x:v>Access</x:v>
      </x:c>
    </x:row>
    <x:row r="7" ht="15" hidden="0" customHeight="1">
      <x:c r="C7" s="37" t="n">
        <x:v>168</x:v>
      </x:c>
      <x:c r="D7" s="37" t="str">
        <x:v>MSPT-1</x:v>
      </x:c>
      <x:c r="E7" s="37" t="str">
        <x:v>Six mission-system portfolio topology</x:v>
      </x:c>
      <x:c r="F7" s="37" t="str">
        <x:v>Six systems, 28 routes, allocations</x:v>
      </x:c>
      <x:c r="G7" s="37" t="str">
        <x:v>System and finance registers</x:v>
      </x:c>
      <x:c r="H7" s="37" t="str">
        <x:v>Repository Markdown</x:v>
      </x:c>
    </x:row>
    <x:row r="8" ht="15" hidden="0" customHeight="1">
      <x:c r="C8" s="37" t="n">
        <x:v>171</x:v>
      </x:c>
      <x:c r="D8" s="37" t="str">
        <x:v>MSDW-1</x:v>
      </x:c>
      <x:c r="E8" s="37" t="str">
        <x:v>Coupled development wavefront</x:v>
      </x:c>
      <x:c r="F8" s="37" t="str">
        <x:v>Five waves; no solo G5</x:v>
      </x:c>
      <x:c r="G8" s="37" t="str">
        <x:v>Timeline and path gates</x:v>
      </x:c>
      <x:c r="H8" s="37" t="str">
        <x:v>Repository Markdown</x:v>
      </x:c>
    </x:row>
    <x:row r="9" ht="15" hidden="0" customHeight="1">
      <x:c r="C9" s="37" t="n">
        <x:v>172</x:v>
      </x:c>
      <x:c r="D9" s="37" t="str">
        <x:v>A6XG-1</x:v>
      </x:c>
      <x:c r="E9" s="37" t="str">
        <x:v>All-six exchange grammar</x:v>
      </x:c>
      <x:c r="F9" s="37" t="str">
        <x:v>30 directed records</x:v>
      </x:c>
      <x:c r="G9" s="37" t="str">
        <x:v>Exchange register</x:v>
      </x:c>
      <x:c r="H9" s="37" t="str">
        <x:v>Repository Markdown</x:v>
      </x:c>
    </x:row>
    <x:row r="10" ht="15" hidden="0" customHeight="1">
      <x:c r="C10" s="37" t="n">
        <x:v>174</x:v>
      </x:c>
      <x:c r="D10" s="37" t="str">
        <x:v>C3-RSEP-1</x:v>
      </x:c>
      <x:c r="E10" s="37" t="str">
        <x:v>Root-serial protocol</x:v>
      </x:c>
      <x:c r="F10" s="37" t="str">
        <x:v>Complete roots; independent validity</x:v>
      </x:c>
      <x:c r="G10" s="37" t="str">
        <x:v>Kernel</x:v>
      </x:c>
      <x:c r="H10" s="37" t="str">
        <x:v>Repository Markdown</x:v>
      </x:c>
    </x:row>
    <x:row r="11" ht="15" hidden="0" customHeight="1">
      <x:c r="C11" s="37" t="n">
        <x:v>175</x:v>
      </x:c>
      <x:c r="D11" s="37" t="str">
        <x:v>C3-RDFC-1</x:v>
      </x:c>
      <x:c r="E11" s="37" t="str">
        <x:v>Twenty-four-root constitution</x:v>
      </x:c>
      <x:c r="F11" s="37" t="str">
        <x:v>Root theses, ancestry, G3 barrier</x:v>
      </x:c>
      <x:c r="G11" s="37" t="str">
        <x:v>Root bank and funding</x:v>
      </x:c>
      <x:c r="H11" s="37" t="str">
        <x:v>Repository Markdown</x:v>
      </x:c>
    </x:row>
    <x:row r="12" ht="15" hidden="0" customHeight="1">
      <x:c r="C12" s="37" t="n">
        <x:v>176</x:v>
      </x:c>
      <x:c r="D12" s="37" t="str">
        <x:v>C3-LFG3-1</x:v>
      </x:c>
      <x:c r="E12" s="37" t="str">
        <x:v>Lifeline physical freeze</x:v>
      </x:c>
      <x:c r="F12" s="37" t="str">
        <x:v>Four roots; USD 36.0B</x:v>
      </x:c>
      <x:c r="G12" s="37" t="str">
        <x:v>Lifeline reference</x:v>
      </x:c>
      <x:c r="H12" s="37" t="str">
        <x:v>Repository Markdown</x:v>
      </x:c>
    </x:row>
    <x:row r="13" ht="15" hidden="0" customHeight="1">
      <x:c r="C13" s="37" t="n">
        <x:v>177</x:v>
      </x:c>
      <x:c r="D13" s="37" t="str">
        <x:v>C3-LFG3-2</x:v>
      </x:c>
      <x:c r="E13" s="37" t="str">
        <x:v>Lifeline physical proof campaign</x:v>
      </x:c>
      <x:c r="F13" s="37" t="str">
        <x:v>P1/P2/R1 and 168 events</x:v>
      </x:c>
      <x:c r="G13" s="37" t="str">
        <x:v>Kernel translation</x:v>
      </x:c>
      <x:c r="H13" s="37" t="str">
        <x:v>Repository Markdown</x:v>
      </x:c>
    </x:row>
    <x:row r="14" ht="15" hidden="0" customHeight="1">
      <x:c r="C14" s="38" t="n">
        <x:v>178</x:v>
      </x:c>
      <x:c r="D14" s="38" t="str">
        <x:v>C3-LFG3-3</x:v>
      </x:c>
      <x:c r="E14" s="38" t="str">
        <x:v>Evidence adjudication and disposition</x:v>
      </x:c>
      <x:c r="F14" s="38" t="str">
        <x:v>Six judgments; successor / kill</x:v>
      </x:c>
      <x:c r="G14" s="38" t="str">
        <x:v>Failure routing</x:v>
      </x:c>
      <x:c r="H14" s="38" t="str">
        <x:v>Repository Markdown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30" hidden="0" customWidth="1"/>
    <x:col min="4" max="4" width="33" hidden="0" customWidth="1"/>
    <x:col min="5" max="5" width="48" hidden="0" customWidth="1"/>
    <x:col min="6" max="6" width="48" hidden="0" customWidth="1"/>
    <x:col min="7" max="7" width="48" hidden="0" customWidth="1"/>
    <x:col min="1" max="1" width="2.5" hidden="0" customWidth="1"/>
    <x:col min="2" max="2" width="2.5" hidden="0" customWidth="1"/>
  </x:cols>
  <x:sheetData>
    <x:row r="2" ht="19.200000762939453" hidden="0" customHeight="1">
      <x:c r="C2" s="1" t="str">
        <x:v>Workbook use</x:v>
      </x:c>
      <x:c r="D2" s="71"/>
      <x:c r="E2" s="71"/>
      <x:c r="F2" s="71"/>
      <x:c r="G2" s="71"/>
    </x:row>
    <x:row r="3" ht="15" hidden="0" customHeight="1">
      <x:c r="C3" s="3" t="str">
        <x:v>The workbook governs a research return; it does not simulate physical evidence.</x:v>
      </x:c>
      <x:c r="D3" s="3"/>
      <x:c r="E3" s="3"/>
      <x:c r="F3" s="3"/>
      <x:c r="G3" s="3"/>
    </x:row>
    <x:row r="4" ht="15" hidden="0" customHeight="1">
      <x:c r="C4" s="71"/>
      <x:c r="D4" s="71"/>
      <x:c r="E4" s="71"/>
      <x:c r="F4" s="71"/>
      <x:c r="G4" s="71"/>
    </x:row>
    <x:row r="5" ht="15" hidden="0" customHeight="1">
      <x:c r="C5" s="71"/>
      <x:c r="D5" s="71"/>
      <x:c r="E5" s="71"/>
      <x:c r="F5" s="71"/>
      <x:c r="G5" s="71"/>
    </x:row>
    <x:row r="6" ht="15" hidden="0" customHeight="1">
      <x:c r="C6" s="15" t="str">
        <x:v>Question</x:v>
      </x:c>
      <x:c r="D6" s="16" t="str">
        <x:v>Sheet</x:v>
      </x:c>
      <x:c r="E6" s="16" t="str">
        <x:v>Reader action</x:v>
      </x:c>
      <x:c r="F6" s="16" t="str">
        <x:v>What changes</x:v>
      </x:c>
      <x:c r="G6" s="17" t="str">
        <x:v>What does not change</x:v>
      </x:c>
    </x:row>
    <x:row r="7" ht="15" hidden="0" customHeight="1">
      <x:c r="C7" s="37" t="str">
        <x:v>Why return?</x:v>
      </x:c>
      <x:c r="D7" s="37" t="str">
        <x:v>Decision / Path Test</x:v>
      </x:c>
      <x:c r="E7" s="37" t="str">
        <x:v>Inspect the failed lifeline continuation and selected parent path</x:v>
      </x:c>
      <x:c r="F7" s="37" t="str">
        <x:v>Research frontier</x:v>
      </x:c>
      <x:c r="G7" s="37" t="str">
        <x:v>Root evidence</x:v>
      </x:c>
    </x:row>
    <x:row r="8" ht="15" hidden="0" customHeight="1">
      <x:c r="C8" s="37" t="str">
        <x:v>What transfers?</x:v>
      </x:c>
      <x:c r="D8" s="37" t="str">
        <x:v>Proof Kernel</x:v>
      </x:c>
      <x:c r="E8" s="37" t="str">
        <x:v>Review ten common elements</x:v>
      </x:c>
      <x:c r="F8" s="37" t="str">
        <x:v>Constitutional minimum</x:v>
      </x:c>
      <x:c r="G8" s="37" t="str">
        <x:v>System physics</x:v>
      </x:c>
    </x:row>
    <x:row r="9" ht="15" hidden="0" customHeight="1">
      <x:c r="C9" s="37" t="str">
        <x:v>What stays distinct?</x:v>
      </x:c>
      <x:c r="D9" s="37" t="str">
        <x:v>System Translation</x:v>
      </x:c>
      <x:c r="E9" s="37" t="str">
        <x:v>Compare complete proof units</x:v>
      </x:c>
      <x:c r="F9" s="37" t="str">
        <x:v>Causal denominator</x:v>
      </x:c>
      <x:c r="G9" s="37" t="str">
        <x:v>Public seam grammar</x:v>
      </x:c>
    </x:row>
    <x:row r="10" ht="15" hidden="0" customHeight="1">
      <x:c r="C10" s="37" t="str">
        <x:v>What roots exist?</x:v>
      </x:c>
      <x:c r="D10" s="37" t="str">
        <x:v>Root Bank</x:v>
      </x:c>
      <x:c r="E10" s="37" t="str">
        <x:v>Inspect 24 inherited theses</x:v>
      </x:c>
      <x:c r="F10" s="37" t="str">
        <x:v>Disposition only with observed evidence</x:v>
      </x:c>
      <x:c r="G10" s="37" t="str">
        <x:v>No default release</x:v>
      </x:c>
    </x:row>
    <x:row r="11" ht="24" hidden="0" customHeight="1">
      <x:c r="C11" s="37" t="str">
        <x:v>When can G4 begin?</x:v>
      </x:c>
      <x:c r="D11" s="37" t="str">
        <x:v>G3 Barrier</x:v>
      </x:c>
      <x:c r="E11" s="37" t="str">
        <x:v>Require 24 roots, six systems, four stacks and four seam implementations</x:v>
      </x:c>
      <x:c r="F11" s="37" t="str">
        <x:v>Barrier status</x:v>
      </x:c>
      <x:c r="G11" s="37" t="str">
        <x:v>No three-of-four exception</x:v>
      </x:c>
    </x:row>
    <x:row r="12" ht="15" hidden="0" customHeight="1">
      <x:c r="C12" s="37" t="str">
        <x:v>How is money held?</x:v>
      </x:c>
      <x:c r="D12" s="37" t="str">
        <x:v>Financials / Funding Accounts</x:v>
      </x:c>
      <x:c r="E12" s="37" t="str">
        <x:v>Trace allocations and unspent authority</x:v>
      </x:c>
      <x:c r="F12" s="37" t="str">
        <x:v>Unreleased balance</x:v>
      </x:c>
      <x:c r="G12" s="37" t="str">
        <x:v>No winner transfer</x:v>
      </x:c>
    </x:row>
    <x:row r="13" ht="15" hidden="0" customHeight="1">
      <x:c r="C13" s="37" t="str">
        <x:v>What joins systems?</x:v>
      </x:c>
      <x:c r="D13" s="37" t="str">
        <x:v>Exchange Register</x:v>
      </x:c>
      <x:c r="E13" s="37" t="str">
        <x:v>Inspect 30 directed G4 obligations</x:v>
      </x:c>
      <x:c r="F13" s="37" t="str">
        <x:v>Provider / receiver readiness</x:v>
      </x:c>
      <x:c r="G13" s="37" t="str">
        <x:v>No evidence transfer</x:v>
      </x:c>
    </x:row>
    <x:row r="14" ht="15" hidden="0" customHeight="1">
      <x:c r="C14" s="37" t="str">
        <x:v>How are failures treated?</x:v>
      </x:c>
      <x:c r="D14" s="37" t="str">
        <x:v>Failure Routing</x:v>
      </x:c>
      <x:c r="E14" s="37" t="str">
        <x:v>Classify before authorizing repeat or successor</x:v>
      </x:c>
      <x:c r="F14" s="37" t="str">
        <x:v>Root and portfolio action</x:v>
      </x:c>
      <x:c r="G14" s="37" t="str">
        <x:v>Adverse evidence remains</x:v>
      </x:c>
    </x:row>
    <x:row r="15" ht="15" hidden="0" customHeight="1">
      <x:c r="C15" s="38" t="str">
        <x:v>How is it verified?</x:v>
      </x:c>
      <x:c r="D15" s="38" t="str">
        <x:v>Case Tests / Audits</x:v>
      </x:c>
      <x:c r="E15" s="38" t="str">
        <x:v>Confirm all case and terminal checks pass</x:v>
      </x:c>
      <x:c r="F15" s="38" t="str">
        <x:v>Model integrity only</x:v>
      </x:c>
      <x:c r="G15" s="38" t="str">
        <x:v>No physical qualification</x:v>
      </x:c>
    </x:row>
  </x:sheetData>
  <x:pageMargins left="0.7" right="0.7" top="0.75" bottom="0.75" header="0.3" footer="0.3"/>
</x:worksheet>
</file>