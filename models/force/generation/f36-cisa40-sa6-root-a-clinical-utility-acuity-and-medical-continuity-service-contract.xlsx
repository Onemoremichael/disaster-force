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3afdb01e7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1c2596dadd0d4f3d"/>
    <x:sheet xmlns:r="http://schemas.openxmlformats.org/officeDocument/2006/relationships" name="01 Controls" sheetId="2" r:id="Ra25e9520389145fb"/>
    <x:sheet xmlns:r="http://schemas.openxmlformats.org/officeDocument/2006/relationships" name="02 Contract" sheetId="3" r:id="R21d79adc5ea94eaa"/>
    <x:sheet xmlns:r="http://schemas.openxmlformats.org/officeDocument/2006/relationships" name="03 Care inputs" sheetId="4" r:id="R78f0357972f24b97"/>
    <x:sheet xmlns:r="http://schemas.openxmlformats.org/officeDocument/2006/relationships" name="04 Demand" sheetId="5" r:id="R3c3aff0e70cf41ad"/>
    <x:sheet xmlns:r="http://schemas.openxmlformats.org/officeDocument/2006/relationships" name="05 Island capacity" sheetId="6" r:id="R717f5c6ab2304bc6"/>
    <x:sheet xmlns:r="http://schemas.openxmlformats.org/officeDocument/2006/relationships" name="06 Workforce" sheetId="7" r:id="R9f3bbc01e64c48d4"/>
    <x:sheet xmlns:r="http://schemas.openxmlformats.org/officeDocument/2006/relationships" name="07 Patient flow" sheetId="8" r:id="R8e8333b929bd4d69"/>
    <x:sheet xmlns:r="http://schemas.openxmlformats.org/officeDocument/2006/relationships" name="08 Power" sheetId="9" r:id="Rbacdb89d41914ad5"/>
    <x:sheet xmlns:r="http://schemas.openxmlformats.org/officeDocument/2006/relationships" name="09 No-break" sheetId="10" r:id="R3a84294a16a34402"/>
    <x:sheet xmlns:r="http://schemas.openxmlformats.org/officeDocument/2006/relationships" name="10 Clinical utilities" sheetId="11" r:id="Rb3c820006b0249b5"/>
    <x:sheet xmlns:r="http://schemas.openxmlformats.org/officeDocument/2006/relationships" name="11 Architecture" sheetId="12" r:id="Rb659e3e2b0754db3"/>
    <x:sheet xmlns:r="http://schemas.openxmlformats.org/officeDocument/2006/relationships" name="12 Formation bill" sheetId="13" r:id="Refe2a1de73ea493c"/>
    <x:sheet xmlns:r="http://schemas.openxmlformats.org/officeDocument/2006/relationships" name="13 Finance" sheetId="14" r:id="Rfe1c97ddd1224c0f"/>
    <x:sheet xmlns:r="http://schemas.openxmlformats.org/officeDocument/2006/relationships" name="14 Failure worlds" sheetId="15" r:id="Rde8aff62ebfb4275"/>
    <x:sheet xmlns:r="http://schemas.openxmlformats.org/officeDocument/2006/relationships" name="15 Technology" sheetId="16" r:id="Ra0c466b619e74a63"/>
    <x:sheet xmlns:r="http://schemas.openxmlformats.org/officeDocument/2006/relationships" name="16 Campaign" sheetId="17" r:id="R96c847702bc046af"/>
    <x:sheet xmlns:r="http://schemas.openxmlformats.org/officeDocument/2006/relationships" name="17 Schedule" sheetId="18" r:id="R736e330ca9e24e79"/>
    <x:sheet xmlns:r="http://schemas.openxmlformats.org/officeDocument/2006/relationships" name="18 Sensitivity" sheetId="19" r:id="Rad096c634c3e44e6"/>
    <x:sheet xmlns:r="http://schemas.openxmlformats.org/officeDocument/2006/relationships" name="19 Admissions" sheetId="20" r:id="R8e8b3620129045a4"/>
    <x:sheet xmlns:r="http://schemas.openxmlformats.org/officeDocument/2006/relationships" name="20 Audits" sheetId="21" r:id="Rf3eabe8f409941cf"/>
    <x:sheet xmlns:r="http://schemas.openxmlformats.org/officeDocument/2006/relationships" name="21 Sources" sheetId="22" r:id="R2e042ccfe646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.0000"/>
    <x:numFmt numFmtId="202" formatCode="0"/>
    <x:numFmt numFmtId="203" formatCode="#,##0.000"/>
    <x:numFmt numFmtId="204" formatCode="0.000"/>
    <x:numFmt numFmtId="205" formatCode="0.00x"/>
    <x:numFmt numFmtId="206" formatCode="0.000000"/>
    <x:numFmt numFmtId="207" formatCode="#,##0.0000"/>
  </x:numFmts>
  <x:fonts count="9">
    <x:font>
      <x:sz val="11"/>
      <x:name val="Carlito"/>
    </x:font>
    <x:font>
      <x:sz val="10"/>
      <x:name val="Arial"/>
    </x:font>
    <x:font>
      <x:b/>
      <x:sz val="15"/>
      <x:color rgb="FF17365D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  <x:font>
      <x:b/>
      <x:sz val="11"/>
      <x:color rgb="FF17365D"/>
      <x:name val="Arial"/>
    </x:font>
    <x:font>
      <x:i/>
      <x:sz val="10"/>
      <x:color rgb="FFC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2">
    <x:border/>
    <x:border>
      <x:top style="thin">
        <x:color rgb="FF17365D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1" fontId="6" fillId="4" borderId="1" xfId="0" applyNumberFormat="1" applyFont="1" applyFill="1" applyBorder="1"/>
    <x:xf numFmtId="202" fontId="1" fillId="0" borderId="0" xfId="0" applyNumberFormat="1" applyFont="1" applyFill="1" applyBorder="1"/>
    <x:xf numFmtId="202" fontId="6" fillId="4" borderId="1" xfId="0" applyNumberFormat="1" applyFont="1" applyFill="1" applyBorder="1"/>
    <x:xf numFmtId="0" fontId="7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6" fillId="4" borderId="0" xfId="0" applyNumberFormat="1" applyFont="1" applyFill="1" applyBorder="1"/>
    <x:xf numFmtId="0" fontId="8" fillId="0" borderId="0" xfId="0" applyNumberFormat="1" applyFont="1" applyFill="1" applyBorder="1"/>
    <x:xf numFmtId="203" fontId="1" fillId="0" borderId="0" xfId="0" applyNumberFormat="1" applyFont="1" applyFill="1" applyBorder="1"/>
    <x:xf numFmtId="203" fontId="6" fillId="4" borderId="1" xfId="0" applyNumberFormat="1" applyFont="1" applyFill="1" applyBorder="1"/>
    <x:xf numFmtId="204" fontId="1" fillId="0" borderId="0" xfId="0" applyNumberFormat="1" applyFont="1" applyFill="1" applyBorder="1"/>
    <x:xf numFmtId="204" fontId="8" fillId="0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5" fontId="5" fillId="3" borderId="0" xfId="0" applyNumberFormat="1" applyFont="1" applyFill="1" applyBorder="1"/>
    <x:xf numFmtId="201" fontId="1" fillId="5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1" fontId="1" fillId="5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/>
    <x:xf numFmtId="206" fontId="0" fillId="0" borderId="0" xfId="0" applyNumberFormat="1" applyFont="1" applyFill="1" applyBorder="1"/>
    <x:xf numFmtId="206" fontId="6" fillId="4" borderId="1" xfId="0" applyNumberFormat="1" applyFont="1" applyFill="1" applyBorder="1"/>
    <x:xf numFmtId="207" fontId="1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6" fillId="4" borderId="1" xfId="0" applyNumberFormat="1" applyFont="1" applyFill="1" applyBorder="1" applyAlignment="1">
      <x:alignment vertical="top"/>
    </x:xf>
    <x:xf numFmtId="202" fontId="6" fillId="4" borderId="1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6" fillId="4" borderId="1" xfId="0" applyNumberFormat="1" applyFont="1" applyFill="1" applyBorder="1" applyAlignment="1">
      <x:alignment vertical="top" wrapText="1"/>
    </x:xf>
    <x:xf numFmtId="202" fontId="6" fillId="4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1" fontId="6" fillId="4" borderId="0" xfId="0" applyNumberFormat="1" applyFont="1" applyFill="1" applyBorder="1" applyAlignment="1">
      <x:alignment vertical="top"/>
    </x:xf>
    <x:xf numFmtId="201" fontId="6" fillId="4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/>
    </x:xf>
    <x:xf numFmtId="203" fontId="6" fillId="4" borderId="1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/>
    </x:xf>
    <x:xf numFmtId="204" fontId="8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 wrapText="1"/>
    </x:xf>
    <x:xf numFmtId="203" fontId="6" fillId="4" borderId="1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4" fontId="8" fillId="0" borderId="0" xfId="0" applyNumberFormat="1" applyFont="1" applyFill="1" applyBorder="1" applyAlignment="1">
      <x:alignment vertical="top" wrapText="1"/>
    </x:xf>
    <x:xf numFmtId="205" fontId="5" fillId="3" borderId="0" xfId="0" applyNumberFormat="1" applyFont="1" applyFill="1" applyBorder="1" applyAlignment="1">
      <x:alignment vertical="top"/>
    </x:xf>
    <x:xf numFmtId="205" fontId="5" fillId="3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/>
    </x:xf>
    <x:xf numFmtId="206" fontId="0" fillId="0" borderId="0" xfId="0" applyNumberFormat="1" applyFont="1" applyFill="1" applyBorder="1" applyAlignment="1">
      <x:alignment vertical="top"/>
    </x:xf>
    <x:xf numFmtId="206" fontId="6" fillId="4" borderId="1" xfId="0" applyNumberFormat="1" applyFont="1" applyFill="1" applyBorder="1" applyAlignment="1">
      <x:alignment vertical="top"/>
    </x:xf>
    <x:xf numFmtId="206" fontId="1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vertical="top" wrapText="1"/>
    </x:xf>
    <x:xf numFmtId="206" fontId="6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ad772de7a4ce5" /><Relationship Type="http://schemas.openxmlformats.org/officeDocument/2006/relationships/theme" Target="/xl/theme/theme1.xml" Id="Rb6aef823b01a429a" /><Relationship Type="http://schemas.openxmlformats.org/officeDocument/2006/relationships/sharedStrings" Target="/xl/sharedStrings.xml" Id="R2590d5d0fbec4fad" /><Relationship Type="http://schemas.openxmlformats.org/officeDocument/2006/relationships/worksheet" Target="/xl/worksheets/sheet1.xml" Id="R1c2596dadd0d4f3d" /><Relationship Type="http://schemas.openxmlformats.org/officeDocument/2006/relationships/worksheet" Target="/xl/worksheets/sheet2.xml" Id="Ra25e9520389145fb" /><Relationship Type="http://schemas.openxmlformats.org/officeDocument/2006/relationships/worksheet" Target="/xl/worksheets/sheet3.xml" Id="R21d79adc5ea94eaa" /><Relationship Type="http://schemas.openxmlformats.org/officeDocument/2006/relationships/worksheet" Target="/xl/worksheets/sheet4.xml" Id="R78f0357972f24b97" /><Relationship Type="http://schemas.openxmlformats.org/officeDocument/2006/relationships/worksheet" Target="/xl/worksheets/sheet5.xml" Id="R3c3aff0e70cf41ad" /><Relationship Type="http://schemas.openxmlformats.org/officeDocument/2006/relationships/worksheet" Target="/xl/worksheets/sheet6.xml" Id="R717f5c6ab2304bc6" /><Relationship Type="http://schemas.openxmlformats.org/officeDocument/2006/relationships/worksheet" Target="/xl/worksheets/sheet7.xml" Id="R9f3bbc01e64c48d4" /><Relationship Type="http://schemas.openxmlformats.org/officeDocument/2006/relationships/worksheet" Target="/xl/worksheets/sheet8.xml" Id="R8e8333b929bd4d69" /><Relationship Type="http://schemas.openxmlformats.org/officeDocument/2006/relationships/worksheet" Target="/xl/worksheets/sheet9.xml" Id="Rbacdb89d41914ad5" /><Relationship Type="http://schemas.openxmlformats.org/officeDocument/2006/relationships/worksheet" Target="/xl/worksheets/sheet10.xml" Id="R3a84294a16a34402" /><Relationship Type="http://schemas.openxmlformats.org/officeDocument/2006/relationships/worksheet" Target="/xl/worksheets/sheet11.xml" Id="Rb3c820006b0249b5" /><Relationship Type="http://schemas.openxmlformats.org/officeDocument/2006/relationships/worksheet" Target="/xl/worksheets/sheet12.xml" Id="Rb659e3e2b0754db3" /><Relationship Type="http://schemas.openxmlformats.org/officeDocument/2006/relationships/worksheet" Target="/xl/worksheets/sheet13.xml" Id="Refe2a1de73ea493c" /><Relationship Type="http://schemas.openxmlformats.org/officeDocument/2006/relationships/worksheet" Target="/xl/worksheets/sheet14.xml" Id="Rfe1c97ddd1224c0f" /><Relationship Type="http://schemas.openxmlformats.org/officeDocument/2006/relationships/worksheet" Target="/xl/worksheets/sheet15.xml" Id="Rde8aff62ebfb4275" /><Relationship Type="http://schemas.openxmlformats.org/officeDocument/2006/relationships/worksheet" Target="/xl/worksheets/sheet16.xml" Id="Ra0c466b619e74a63" /><Relationship Type="http://schemas.openxmlformats.org/officeDocument/2006/relationships/worksheet" Target="/xl/worksheets/sheet17.xml" Id="R96c847702bc046af" /><Relationship Type="http://schemas.openxmlformats.org/officeDocument/2006/relationships/worksheet" Target="/xl/worksheets/sheet18.xml" Id="R736e330ca9e24e79" /><Relationship Type="http://schemas.openxmlformats.org/officeDocument/2006/relationships/worksheet" Target="/xl/worksheets/sheet19.xml" Id="Rad096c634c3e44e6" /><Relationship Type="http://schemas.openxmlformats.org/officeDocument/2006/relationships/worksheet" Target="/xl/worksheets/sheet20.xml" Id="R8e8b3620129045a4" /><Relationship Type="http://schemas.openxmlformats.org/officeDocument/2006/relationships/worksheet" Target="/xl/worksheets/sheet21.xml" Id="Rf3eabe8f409941cf" /><Relationship Type="http://schemas.openxmlformats.org/officeDocument/2006/relationships/worksheet" Target="/xl/worksheets/sheet22.xml" Id="R2e042ccfe6464c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2ff6fda4334a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Capital by service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Capital USD m</c:v>
          </c:tx>
          <c:cat>
            <c:strRef>
              <c:f>'13 Finance'!$G$7:$G$10</c:f>
              <c:strCache>
                <c:ptCount val="0"/>
              </c:strCache>
            </c:strRef>
          </c:cat>
          <c:val>
            <c:numRef>
              <c:f>'13 Finance'!$H$7:$H$10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2ff6fda4334a0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f562a5d6691247a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22" hidden="0" customWidth="1"/>
    <x:col min="4" max="4" width="18" hidden="0" customWidth="1"/>
    <x:col min="5" max="5" width="18" hidden="0" customWidth="1"/>
    <x:col min="6" max="6" width="5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" max="1" width="3" hidden="0" customWidth="1"/>
  </x:cols>
  <x:sheetData>
    <x:row r="2" ht="18" hidden="0" customHeight="1">
      <x:c r="B2" s="50" t="str">
        <x:v>RBZ-1 — Clinical utility, acuity and continuity decision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Decision object: replace a 22 MW hospital proxy with a complete HCSG-100 service kernel, while admitting zero fleet or quantity credit.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51" t="str">
        <x:v>Decision summary</x:v>
      </x:c>
      <x:c r="C6" s="51"/>
      <x:c r="D6" s="51"/>
      <x:c r="E6" s="51"/>
      <x:c r="F6" s="51"/>
      <x:c r="G6" s="51"/>
      <x:c r="H6" s="51"/>
      <x:c r="I6" s="51"/>
      <x:c r="J6" s="51"/>
      <x:c r="K6" s="51"/>
      <x:c r="L6" s="51"/>
    </x:row>
    <x:row r="7" ht="15" hidden="0" customHeight="1">
      <x:c r="B7" s="45" t="str">
        <x:v>Measure</x:v>
      </x:c>
      <x:c r="C7" s="45" t="str">
        <x:v>Reference result</x:v>
      </x:c>
      <x:c r="D7" s="45" t="str">
        <x:v>Unit</x:v>
      </x:c>
      <x:c r="E7" s="45" t="str">
        <x:v>Maturity</x:v>
      </x:c>
      <x:c r="F7" s="45" t="str">
        <x:v>Decision meaning</x:v>
      </x:c>
      <x:c r="G7" s="47"/>
      <x:c r="H7" s="47"/>
      <x:c r="I7" s="47"/>
      <x:c r="J7" s="47"/>
      <x:c r="K7" s="47"/>
      <x:c r="L7" s="47"/>
    </x:row>
    <x:row r="8" ht="15" hidden="0" customHeight="1">
      <x:c r="B8" s="47" t="str">
        <x:v>Service population</x:v>
      </x:c>
      <x:c r="C8" s="52" t="n">
        <x:f>'01 Controls'!D7</x:f>
        <x:v>100000</x:v>
      </x:c>
      <x:c r="D8" s="47" t="str">
        <x:v>people</x:v>
      </x:c>
      <x:c r="E8" s="47" t="str">
        <x:v>G2 planning</x:v>
      </x:c>
      <x:c r="F8" s="47" t="str">
        <x:v>declared 30-day region</x:v>
      </x:c>
      <x:c r="G8" s="47"/>
      <x:c r="H8" s="47"/>
      <x:c r="I8" s="47"/>
      <x:c r="J8" s="47"/>
      <x:c r="K8" s="47"/>
      <x:c r="L8" s="47"/>
    </x:row>
    <x:row r="9" ht="15" hidden="0" customHeight="1">
      <x:c r="B9" s="47" t="str">
        <x:v>Required care positions</x:v>
      </x:c>
      <x:c r="C9" s="52" t="n">
        <x:f>'04 Demand'!I17</x:f>
        <x:v>951</x:v>
      </x:c>
      <x:c r="D9" s="47" t="str">
        <x:v>positions</x:v>
      </x:c>
      <x:c r="E9" s="47" t="str">
        <x:v>G2 planning</x:v>
      </x:c>
      <x:c r="F9" s="47" t="str">
        <x:v>ten unlike care lines</x:v>
      </x:c>
      <x:c r="G9" s="47"/>
      <x:c r="H9" s="47"/>
      <x:c r="I9" s="47"/>
      <x:c r="J9" s="47"/>
      <x:c r="K9" s="47"/>
      <x:c r="L9" s="47"/>
    </x:row>
    <x:row r="10" ht="15" hidden="0" customHeight="1">
      <x:c r="B10" s="47" t="str">
        <x:v>Installed / after-loss positions</x:v>
      </x:c>
      <x:c r="C10" s="52" t="n">
        <x:f>'05 Island capacity'!F17</x:f>
        <x:v>1200</x:v>
      </x:c>
      <x:c r="D10" s="47" t="str">
        <x:v>positions installed</x:v>
      </x:c>
      <x:c r="E10" s="47" t="str">
        <x:v>G2 planning</x:v>
      </x:c>
      <x:c r="F10" s="47" t="str">
        <x:v>1,200 installed; 960 after loss</x:v>
      </x:c>
      <x:c r="G10" s="47"/>
      <x:c r="H10" s="47"/>
      <x:c r="I10" s="47"/>
      <x:c r="J10" s="47"/>
      <x:c r="K10" s="47"/>
      <x:c r="L10" s="47"/>
    </x:row>
    <x:row r="11" ht="15" hidden="0" customHeight="1">
      <x:c r="B11" s="47" t="str">
        <x:v>Deployed / establishment workforce</x:v>
      </x:c>
      <x:c r="C11" s="52" t="n">
        <x:f>'06 Workforce'!D26</x:f>
        <x:v>4400</x:v>
      </x:c>
      <x:c r="D11" s="47" t="str">
        <x:v>deployed people</x:v>
      </x:c>
      <x:c r="E11" s="47" t="str">
        <x:v>G2 planning</x:v>
      </x:c>
      <x:c r="F11" s="47" t="str">
        <x:v>4,400 deployed; 15,400 establishment</x:v>
      </x:c>
      <x:c r="G11" s="47"/>
      <x:c r="H11" s="47"/>
      <x:c r="I11" s="47"/>
      <x:c r="J11" s="47"/>
      <x:c r="K11" s="47"/>
      <x:c r="L11" s="47"/>
    </x:row>
    <x:row r="12" ht="15" hidden="0" customHeight="1">
      <x:c r="B12" s="47" t="str">
        <x:v>Continuous / peak power</x:v>
      </x:c>
      <x:c r="C12" s="52" t="n">
        <x:f>'08 Power'!D36</x:f>
        <x:v>17.409799999999997</x:v>
      </x:c>
      <x:c r="D12" s="47" t="str">
        <x:v>MW continuous</x:v>
      </x:c>
      <x:c r="E12" s="47" t="str">
        <x:v>G2 planning</x:v>
      </x:c>
      <x:c r="F12" s="47" t="str">
        <x:v>17.4098 continuous; 20.02127 peak</x:v>
      </x:c>
      <x:c r="G12" s="47"/>
      <x:c r="H12" s="47"/>
      <x:c r="I12" s="47"/>
      <x:c r="J12" s="47"/>
      <x:c r="K12" s="47"/>
      <x:c r="L12" s="47"/>
    </x:row>
    <x:row r="13" ht="15" hidden="0" customHeight="1">
      <x:c r="B13" s="47" t="str">
        <x:v>No-break demand</x:v>
      </x:c>
      <x:c r="C13" s="52" t="n">
        <x:f>'09 No-break'!D34</x:f>
        <x:v>9.7887</x:v>
      </x:c>
      <x:c r="D13" s="47" t="str">
        <x:v>MW</x:v>
      </x:c>
      <x:c r="E13" s="47" t="str">
        <x:v>G2 planning</x:v>
      </x:c>
      <x:c r="F13" s="47" t="str">
        <x:v>9.7887 MW for declared 0.5 h</x:v>
      </x:c>
      <x:c r="G13" s="47"/>
      <x:c r="H13" s="47"/>
      <x:c r="I13" s="47"/>
      <x:c r="J13" s="47"/>
      <x:c r="K13" s="47"/>
      <x:c r="L13" s="47"/>
    </x:row>
    <x:row r="14" ht="15" hidden="0" customHeight="1">
      <x:c r="B14" s="47" t="str">
        <x:v>Formation bill</x:v>
      </x:c>
      <x:c r="C14" s="52" t="n">
        <x:f>'12 Formation bill'!E27</x:f>
        <x:v>144</x:v>
      </x:c>
      <x:c r="D14" s="47" t="str">
        <x:v>articles</x:v>
      </x:c>
      <x:c r="E14" s="47" t="str">
        <x:v>G2 planning</x:v>
      </x:c>
      <x:c r="F14" s="47" t="str">
        <x:v>144 articles; 31,217 t; USD 25.077B</x:v>
      </x:c>
      <x:c r="G14" s="47"/>
      <x:c r="H14" s="47"/>
      <x:c r="I14" s="47"/>
      <x:c r="J14" s="47"/>
      <x:c r="K14" s="47"/>
      <x:c r="L14" s="47"/>
    </x:row>
    <x:row r="15" ht="15" hidden="0" customHeight="1">
      <x:c r="B15" s="47" t="str">
        <x:v>Campaign</x:v>
      </x:c>
      <x:c r="C15" s="52" t="n">
        <x:f>'16 Campaign'!C25</x:f>
        <x:v>160</x:v>
      </x:c>
      <x:c r="D15" s="47" t="str">
        <x:v>experiment articles</x:v>
      </x:c>
      <x:c r="E15" s="47" t="str">
        <x:v>G2 planning</x:v>
      </x:c>
      <x:c r="F15" s="47" t="str">
        <x:v>160 articles across six configurations</x:v>
      </x:c>
      <x:c r="G15" s="47"/>
      <x:c r="H15" s="47"/>
      <x:c r="I15" s="47"/>
      <x:c r="J15" s="47"/>
      <x:c r="K15" s="47"/>
      <x:c r="L15" s="47"/>
    </x:row>
    <x:row r="16" ht="15" hidden="0" customHeight="1">
      <x:c r="B16" s="47" t="str">
        <x:v>Admitted force credit</x:v>
      </x:c>
      <x:c r="C16" s="52" t="n">
        <x:f>SUM('19 Admissions'!E7:E14)</x:f>
        <x:v>0</x:v>
      </x:c>
      <x:c r="D16" s="47" t="str">
        <x:v>all units</x:v>
      </x:c>
      <x:c r="E16" s="47" t="str">
        <x:v>G0 admitted</x:v>
      </x:c>
      <x:c r="F16" s="47" t="str">
        <x:v>zero</x:v>
      </x:c>
      <x:c r="G16" s="47"/>
      <x:c r="H16" s="47"/>
      <x:c r="I16" s="47"/>
      <x:c r="J16" s="47"/>
      <x:c r="K16" s="47"/>
      <x:c r="L16" s="47"/>
    </x:row>
    <x:row r="17" ht="15" hidden="0" customHeight="1"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</x:row>
    <x:row r="18" ht="15" hidden="0" customHeight="1"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</x:row>
    <x:row r="19" ht="15" hidden="0" customHeight="1">
      <x:c r="B19" s="51" t="str">
        <x:v>What changed</x:v>
      </x:c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</x:row>
    <x:row r="20" ht="15" hidden="0" customHeight="1">
      <x:c r="B20" s="47" t="str">
        <x:v>Before</x:v>
      </x:c>
      <x:c r="C20" s="47" t="str">
        <x:v>22 MW hospital allocation and gross medical formations were diagnostic placeholders.</x:v>
      </x:c>
      <x:c r="D20" s="47"/>
      <x:c r="E20" s="47"/>
      <x:c r="F20" s="47"/>
      <x:c r="G20" s="47"/>
      <x:c r="H20" s="47"/>
      <x:c r="I20" s="47"/>
      <x:c r="J20" s="47"/>
      <x:c r="K20" s="47"/>
      <x:c r="L20" s="47"/>
    </x:row>
    <x:row r="21" ht="15" hidden="0" customHeight="1">
      <x:c r="B21" s="47" t="str">
        <x:v>After</x:v>
      </x:c>
      <x:c r="C21" s="47" t="str">
        <x:v>Ten care lines generate positions, staffing, utilities, transfer, discharge and electrical loads for a bounded 100,000-person / 30-day mission.</x:v>
      </x:c>
      <x:c r="D21" s="47"/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47" t="str">
        <x:v>Architecture</x:v>
      </x:c>
      <x:c r="C22" s="47" t="str">
        <x:v>Four operating clinical islands plus one complete replacement retain every care line after one-island loss.</x:v>
      </x:c>
      <x:c r="D22" s="47"/>
      <x:c r="E22" s="47"/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 t="str">
        <x:v>Correction</x:v>
      </x:c>
      <x:c r="C23" s="47" t="str">
        <x:v>The service-derived source screen is five SPC-5 clusters; the prior six-cluster medical diagnostic is not credited or silently retained.</x:v>
      </x:c>
      <x:c r="D23" s="47"/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 t="str">
        <x:v>Boundary</x:v>
      </x:c>
      <x:c r="C24" s="47" t="str">
        <x:v>All scalar closures remain planning results. No physical, clinical, ethical, rights, workforce, cost or field proof is admitted.</x:v>
      </x:c>
      <x:c r="D24" s="47"/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51" t="str">
        <x:v>Decision and next object</x:v>
      </x:c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</x:row>
    <x:row r="28" ht="15" hidden="0" customHeight="1">
      <x:c r="B28" s="47" t="str">
        <x:v>Decision</x:v>
      </x:c>
      <x:c r="C28" s="47" t="str">
        <x:v>Carry HCSG-100 and the federated clinical lattice as the representative planning reference.</x:v>
      </x:c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 t="str">
        <x:v>Do not authorize</x:v>
      </x:c>
      <x:c r="C29" s="47" t="str">
        <x:v>Fielding, procurement, representative substitution, force quantity or exterior vehicle rendering.</x:v>
      </x:c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 t="str">
        <x:v>Authorize next research</x:v>
      </x:c>
      <x:c r="C30" s="47" t="str">
        <x:v>RCA-1 — CSI-25 internal configuration, patient-flow, utility one-line and clean–controlled–contaminated zone constitution.</x:v>
      </x:c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 t="str">
        <x:v>Core question</x:v>
      </x:c>
      <x:c r="C31" s="47" t="str">
        <x:v>Can one island close real care pathways with safe utilities, custody, infection zoning and staff work under representative degraded conditions?</x:v>
      </x:c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51" t="str">
        <x:v>Audit state</x:v>
      </x:c>
      <x:c r="C34" s="51"/>
      <x:c r="D34" s="51"/>
      <x:c r="E34" s="51"/>
      <x:c r="F34" s="51"/>
      <x:c r="G34" s="47"/>
      <x:c r="H34" s="47"/>
      <x:c r="I34" s="47"/>
      <x:c r="J34" s="47"/>
      <x:c r="K34" s="47"/>
      <x:c r="L34" s="47"/>
    </x:row>
    <x:row r="35" ht="15" hidden="0" customHeight="1">
      <x:c r="B35" s="53" t="str">
        <x:v>Audit passes</x:v>
      </x:c>
      <x:c r="C35" s="53"/>
      <x:c r="D35" s="53" t="n">
        <x:f>COUNTIF('20 Audits'!G7:G94,"PASS")</x:f>
        <x:v>88</x:v>
      </x:c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54" t="str">
        <x:v>Audit total</x:v>
      </x:c>
      <x:c r="C36" s="54"/>
      <x:c r="D36" s="54" t="n">
        <x:f>COUNTA('20 Audits'!G7:G94)</x:f>
        <x:v>88</x:v>
      </x:c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54" t="str">
        <x:v>Audit status</x:v>
      </x:c>
      <x:c r="C37" s="54"/>
      <x:c r="D37" s="54" t="str">
        <x:f>IF(D35=D36,"PASS","FAIL")</x:f>
        <x:v>PASS</x:v>
      </x:c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6:L6"/>
    <x:mergeCell ref="B19:L19"/>
    <x:mergeCell ref="C20:L20"/>
    <x:mergeCell ref="C21:L21"/>
    <x:mergeCell ref="C22:L22"/>
    <x:mergeCell ref="C23:L23"/>
    <x:mergeCell ref="C24:L24"/>
    <x:mergeCell ref="B27:L27"/>
    <x:mergeCell ref="C28:L28"/>
    <x:mergeCell ref="C29:L29"/>
    <x:mergeCell ref="C30:L30"/>
    <x:mergeCell ref="C31:L31"/>
    <x:mergeCell ref="B34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34" hidden="0" customWidth="1"/>
    <x:col min="4" max="4" width="14" hidden="0" customWidth="1"/>
    <x:col min="5" max="5" width="16" hidden="0" customWidth="1"/>
    <x:col min="6" max="6" width="15" hidden="0" customWidth="1"/>
    <x:col min="1" max="1" width="3" hidden="0" customWidth="1"/>
  </x:cols>
  <x:sheetData>
    <x:row r="2" ht="18" hidden="0" customHeight="1">
      <x:c r="B2" s="50" t="str">
        <x:v>RBZ-1 control surface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Yellow cells are declared research assumptions. No value below is procurement authority or evidence of clinical efficacy.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Domain</x:v>
      </x:c>
      <x:c r="C6" s="45" t="str">
        <x:v>Control</x:v>
      </x:c>
      <x:c r="D6" s="45" t="str">
        <x:v>Value</x:v>
      </x:c>
      <x:c r="E6" s="45" t="str">
        <x:v>Unit</x:v>
      </x:c>
      <x:c r="F6" s="45" t="str">
        <x:v>Status</x:v>
      </x:c>
      <x:c r="G6" s="47"/>
      <x:c r="H6" s="47"/>
      <x:c r="I6" s="47"/>
      <x:c r="J6" s="47"/>
      <x:c r="K6" s="47"/>
      <x:c r="L6" s="47"/>
    </x:row>
    <x:row r="7" ht="15" hidden="0" customHeight="1">
      <x:c r="B7" s="47" t="str">
        <x:v>Mission</x:v>
      </x:c>
      <x:c r="C7" s="47" t="str">
        <x:v>Service population</x:v>
      </x:c>
      <x:c r="D7" s="57" t="n">
        <x:v>100000</x:v>
      </x:c>
      <x:c r="E7" s="47" t="str">
        <x:v>people</x:v>
      </x:c>
      <x:c r="F7" s="47" t="str">
        <x:v>DECLARED</x:v>
      </x:c>
      <x:c r="G7" s="47"/>
      <x:c r="H7" s="47"/>
      <x:c r="I7" s="47"/>
      <x:c r="J7" s="47"/>
      <x:c r="K7" s="47"/>
      <x:c r="L7" s="47"/>
    </x:row>
    <x:row r="8" ht="15" hidden="0" customHeight="1">
      <x:c r="B8" s="47" t="str">
        <x:v>Mission</x:v>
      </x:c>
      <x:c r="C8" s="47" t="str">
        <x:v>Campaign duration</x:v>
      </x:c>
      <x:c r="D8" s="57" t="n">
        <x:v>30</x:v>
      </x:c>
      <x:c r="E8" s="47" t="str">
        <x:v>days</x:v>
      </x:c>
      <x:c r="F8" s="47" t="str">
        <x:v>DECLARED</x:v>
      </x:c>
      <x:c r="G8" s="47"/>
      <x:c r="H8" s="47"/>
      <x:c r="I8" s="47"/>
      <x:c r="J8" s="47"/>
      <x:c r="K8" s="47"/>
      <x:c r="L8" s="47"/>
    </x:row>
    <x:row r="9" ht="15" hidden="0" customHeight="1">
      <x:c r="B9" s="47" t="str">
        <x:v>Architecture</x:v>
      </x:c>
      <x:c r="C9" s="47" t="str">
        <x:v>Operating clinical islands</x:v>
      </x:c>
      <x:c r="D9" s="57" t="n">
        <x:v>4</x:v>
      </x:c>
      <x:c r="E9" s="47" t="str">
        <x:v>islands</x:v>
      </x:c>
      <x:c r="F9" s="47" t="str">
        <x:v>ASSUMPTION</x:v>
      </x:c>
      <x:c r="G9" s="47"/>
      <x:c r="H9" s="47"/>
      <x:c r="I9" s="47"/>
      <x:c r="J9" s="47"/>
      <x:c r="K9" s="47"/>
      <x:c r="L9" s="47"/>
    </x:row>
    <x:row r="10" ht="15" hidden="0" customHeight="1">
      <x:c r="B10" s="47" t="str">
        <x:v>Architecture</x:v>
      </x:c>
      <x:c r="C10" s="47" t="str">
        <x:v>Ready replacement islands</x:v>
      </x:c>
      <x:c r="D10" s="57" t="n">
        <x:v>1</x:v>
      </x:c>
      <x:c r="E10" s="47" t="str">
        <x:v>island</x:v>
      </x:c>
      <x:c r="F10" s="47" t="str">
        <x:v>ASSUMPTION</x:v>
      </x:c>
      <x:c r="G10" s="47"/>
      <x:c r="H10" s="47"/>
      <x:c r="I10" s="47"/>
      <x:c r="J10" s="47"/>
      <x:c r="K10" s="47"/>
      <x:c r="L10" s="47"/>
    </x:row>
    <x:row r="11" ht="15" hidden="0" customHeight="1">
      <x:c r="B11" s="47" t="str">
        <x:v>Workforce</x:v>
      </x:c>
      <x:c r="C11" s="47" t="str">
        <x:v>Effective clinical hours/person/day</x:v>
      </x:c>
      <x:c r="D11" s="57" t="n">
        <x:v>8</x:v>
      </x:c>
      <x:c r="E11" s="47" t="str">
        <x:v>hours</x:v>
      </x:c>
      <x:c r="F11" s="47" t="str">
        <x:v>ASSUMPTION</x:v>
      </x:c>
      <x:c r="G11" s="47"/>
      <x:c r="H11" s="47"/>
      <x:c r="I11" s="47"/>
      <x:c r="J11" s="47"/>
      <x:c r="K11" s="47"/>
      <x:c r="L11" s="47"/>
    </x:row>
    <x:row r="12" ht="15" hidden="0" customHeight="1">
      <x:c r="B12" s="47" t="str">
        <x:v>Workforce</x:v>
      </x:c>
      <x:c r="C12" s="47" t="str">
        <x:v>Direct roster resilience factor</x:v>
      </x:c>
      <x:c r="D12" s="58" t="n">
        <x:v>0.15</x:v>
      </x:c>
      <x:c r="E12" s="47" t="str">
        <x:v>fraction</x:v>
      </x:c>
      <x:c r="F12" s="47" t="str">
        <x:v>ASSUMPTION</x:v>
      </x:c>
      <x:c r="G12" s="47"/>
      <x:c r="H12" s="47"/>
      <x:c r="I12" s="47"/>
      <x:c r="J12" s="47"/>
      <x:c r="K12" s="47"/>
      <x:c r="L12" s="47"/>
    </x:row>
    <x:row r="13" ht="15" hidden="0" customHeight="1">
      <x:c r="B13" s="47" t="str">
        <x:v>Workforce</x:v>
      </x:c>
      <x:c r="C13" s="47" t="str">
        <x:v>Support positions</x:v>
      </x:c>
      <x:c r="D13" s="57" t="n">
        <x:v>2787</x:v>
      </x:c>
      <x:c r="E13" s="47" t="str">
        <x:v>people</x:v>
      </x:c>
      <x:c r="F13" s="47" t="str">
        <x:v>ASSUMPTION</x:v>
      </x:c>
      <x:c r="G13" s="47"/>
      <x:c r="H13" s="47"/>
      <x:c r="I13" s="47"/>
      <x:c r="J13" s="47"/>
      <x:c r="K13" s="47"/>
      <x:c r="L13" s="47"/>
    </x:row>
    <x:row r="14" ht="15" hidden="0" customHeight="1">
      <x:c r="B14" s="47" t="str">
        <x:v>Workforce</x:v>
      </x:c>
      <x:c r="C14" s="47" t="str">
        <x:v>Establishment multiple</x:v>
      </x:c>
      <x:c r="D14" s="57" t="n">
        <x:v>3.5</x:v>
      </x:c>
      <x:c r="E14" s="47" t="str">
        <x:v>multiple</x:v>
      </x:c>
      <x:c r="F14" s="47" t="str">
        <x:v>ASSUMPTION</x:v>
      </x:c>
      <x:c r="G14" s="47"/>
      <x:c r="H14" s="47"/>
      <x:c r="I14" s="47"/>
      <x:c r="J14" s="47"/>
      <x:c r="K14" s="47"/>
      <x:c r="L14" s="47"/>
    </x:row>
    <x:row r="15" ht="15" hidden="0" customHeight="1">
      <x:c r="B15" s="47" t="str">
        <x:v>Power</x:v>
      </x:c>
      <x:c r="C15" s="47" t="str">
        <x:v>Support power per 100k</x:v>
      </x:c>
      <x:c r="D15" s="57" t="n">
        <x:v>10.95</x:v>
      </x:c>
      <x:c r="E15" s="47" t="str">
        <x:v>MW</x:v>
      </x:c>
      <x:c r="F15" s="47" t="str">
        <x:v>ASSUMPTION</x:v>
      </x:c>
      <x:c r="G15" s="47"/>
      <x:c r="H15" s="47"/>
      <x:c r="I15" s="47"/>
      <x:c r="J15" s="47"/>
      <x:c r="K15" s="47"/>
      <x:c r="L15" s="47"/>
    </x:row>
    <x:row r="16" ht="15" hidden="0" customHeight="1">
      <x:c r="B16" s="47" t="str">
        <x:v>Power</x:v>
      </x:c>
      <x:c r="C16" s="47" t="str">
        <x:v>Peak factor</x:v>
      </x:c>
      <x:c r="D16" s="57" t="n">
        <x:v>1.15</x:v>
      </x:c>
      <x:c r="E16" s="47" t="str">
        <x:v>multiple</x:v>
      </x:c>
      <x:c r="F16" s="47" t="str">
        <x:v>ASSUMPTION</x:v>
      </x:c>
      <x:c r="G16" s="47"/>
      <x:c r="H16" s="47"/>
      <x:c r="I16" s="47"/>
      <x:c r="J16" s="47"/>
      <x:c r="K16" s="47"/>
      <x:c r="L16" s="47"/>
    </x:row>
    <x:row r="17" ht="15" hidden="0" customHeight="1">
      <x:c r="B17" s="47" t="str">
        <x:v>Power</x:v>
      </x:c>
      <x:c r="C17" s="47" t="str">
        <x:v>Medical power factor</x:v>
      </x:c>
      <x:c r="D17" s="58" t="n">
        <x:v>0.95</x:v>
      </x:c>
      <x:c r="E17" s="47" t="str">
        <x:v>fraction</x:v>
      </x:c>
      <x:c r="F17" s="47" t="str">
        <x:v>ASSUMPTION</x:v>
      </x:c>
      <x:c r="G17" s="47"/>
      <x:c r="H17" s="47"/>
      <x:c r="I17" s="47"/>
      <x:c r="J17" s="47"/>
      <x:c r="K17" s="47"/>
      <x:c r="L17" s="47"/>
    </x:row>
    <x:row r="18" ht="15" hidden="0" customHeight="1">
      <x:c r="B18" s="47" t="str">
        <x:v>Power</x:v>
      </x:c>
      <x:c r="C18" s="47" t="str">
        <x:v>Source availability</x:v>
      </x:c>
      <x:c r="D18" s="58" t="n">
        <x:v>0.9</x:v>
      </x:c>
      <x:c r="E18" s="47" t="str">
        <x:v>fraction</x:v>
      </x:c>
      <x:c r="F18" s="47" t="str">
        <x:v>ASSUMPTION</x:v>
      </x:c>
      <x:c r="G18" s="47"/>
      <x:c r="H18" s="47"/>
      <x:c r="I18" s="47"/>
      <x:c r="J18" s="47"/>
      <x:c r="K18" s="47"/>
      <x:c r="L18" s="47"/>
    </x:row>
    <x:row r="19" ht="15" hidden="0" customHeight="1">
      <x:c r="B19" s="47" t="str">
        <x:v>Power</x:v>
      </x:c>
      <x:c r="C19" s="47" t="str">
        <x:v>Source capacity reserve</x:v>
      </x:c>
      <x:c r="D19" s="57" t="n">
        <x:v>0.2</x:v>
      </x:c>
      <x:c r="E19" s="47" t="str">
        <x:v>fraction</x:v>
      </x:c>
      <x:c r="F19" s="47" t="str">
        <x:v>ASSUMPTION</x:v>
      </x:c>
      <x:c r="G19" s="47"/>
      <x:c r="H19" s="47"/>
      <x:c r="I19" s="47"/>
      <x:c r="J19" s="47"/>
      <x:c r="K19" s="47"/>
      <x:c r="L19" s="47"/>
    </x:row>
    <x:row r="20" ht="15" hidden="0" customHeight="1">
      <x:c r="B20" s="47" t="str">
        <x:v>Power</x:v>
      </x:c>
      <x:c r="C20" s="47" t="str">
        <x:v>Source loss allowance</x:v>
      </x:c>
      <x:c r="D20" s="57" t="n">
        <x:v>1</x:v>
      </x:c>
      <x:c r="E20" s="47" t="str">
        <x:v>article</x:v>
      </x:c>
      <x:c r="F20" s="47" t="str">
        <x:v>ASSUMPTION</x:v>
      </x:c>
      <x:c r="G20" s="47"/>
      <x:c r="H20" s="47"/>
      <x:c r="I20" s="47"/>
      <x:c r="J20" s="47"/>
      <x:c r="K20" s="47"/>
      <x:c r="L20" s="47"/>
    </x:row>
    <x:row r="21" ht="15" hidden="0" customHeight="1">
      <x:c r="B21" s="47" t="str">
        <x:v>Power</x:v>
      </x:c>
      <x:c r="C21" s="47" t="str">
        <x:v>SPC continuous rating</x:v>
      </x:c>
      <x:c r="D21" s="57" t="n">
        <x:v>5</x:v>
      </x:c>
      <x:c r="E21" s="47" t="str">
        <x:v>MW</x:v>
      </x:c>
      <x:c r="F21" s="47" t="str">
        <x:v>INHERITED</x:v>
      </x:c>
      <x:c r="G21" s="47"/>
      <x:c r="H21" s="47"/>
      <x:c r="I21" s="47"/>
      <x:c r="J21" s="47"/>
      <x:c r="K21" s="47"/>
      <x:c r="L21" s="47"/>
    </x:row>
    <x:row r="22" ht="15" hidden="0" customHeight="1">
      <x:c r="B22" s="47" t="str">
        <x:v>Power</x:v>
      </x:c>
      <x:c r="C22" s="47" t="str">
        <x:v>SPC peak rating</x:v>
      </x:c>
      <x:c r="D22" s="57" t="n">
        <x:v>7</x:v>
      </x:c>
      <x:c r="E22" s="47" t="str">
        <x:v>MW</x:v>
      </x:c>
      <x:c r="F22" s="47" t="str">
        <x:v>INHERITED</x:v>
      </x:c>
      <x:c r="G22" s="47"/>
      <x:c r="H22" s="47"/>
      <x:c r="I22" s="47"/>
      <x:c r="J22" s="47"/>
      <x:c r="K22" s="47"/>
      <x:c r="L22" s="47"/>
    </x:row>
    <x:row r="23" ht="15" hidden="0" customHeight="1">
      <x:c r="B23" s="47" t="str">
        <x:v>Power</x:v>
      </x:c>
      <x:c r="C23" s="47" t="str">
        <x:v>SPC dry mass</x:v>
      </x:c>
      <x:c r="D23" s="57" t="n">
        <x:v>110</x:v>
      </x:c>
      <x:c r="E23" s="47" t="str">
        <x:v>t</x:v>
      </x:c>
      <x:c r="F23" s="47" t="str">
        <x:v>INHERITED</x:v>
      </x:c>
      <x:c r="G23" s="47"/>
      <x:c r="H23" s="47"/>
      <x:c r="I23" s="47"/>
      <x:c r="J23" s="47"/>
      <x:c r="K23" s="47"/>
      <x:c r="L23" s="47"/>
    </x:row>
    <x:row r="24" ht="15" hidden="0" customHeight="1">
      <x:c r="B24" s="47" t="str">
        <x:v>Power</x:v>
      </x:c>
      <x:c r="C24" s="47" t="str">
        <x:v>SPC unit capital</x:v>
      </x:c>
      <x:c r="D24" s="57" t="n">
        <x:v>180</x:v>
      </x:c>
      <x:c r="E24" s="47" t="str">
        <x:v>USD m</x:v>
      </x:c>
      <x:c r="F24" s="47" t="str">
        <x:v>INHERITED</x:v>
      </x:c>
      <x:c r="G24" s="47"/>
      <x:c r="H24" s="47"/>
      <x:c r="I24" s="47"/>
      <x:c r="J24" s="47"/>
      <x:c r="K24" s="47"/>
      <x:c r="L24" s="47"/>
    </x:row>
    <x:row r="25" ht="15" hidden="0" customHeight="1">
      <x:c r="B25" s="47" t="str">
        <x:v>Power</x:v>
      </x:c>
      <x:c r="C25" s="47" t="str">
        <x:v>Inherited medical allocation</x:v>
      </x:c>
      <x:c r="D25" s="57" t="n">
        <x:v>22</x:v>
      </x:c>
      <x:c r="E25" s="47" t="str">
        <x:v>MW</x:v>
      </x:c>
      <x:c r="F25" s="47" t="str">
        <x:v>DIAGNOSTIC</x:v>
      </x:c>
      <x:c r="G25" s="47"/>
      <x:c r="H25" s="47"/>
      <x:c r="I25" s="47"/>
      <x:c r="J25" s="47"/>
      <x:c r="K25" s="47"/>
      <x:c r="L25" s="47"/>
    </x:row>
    <x:row r="26" ht="15" hidden="0" customHeight="1">
      <x:c r="B26" s="47" t="str">
        <x:v>Storage</x:v>
      </x:c>
      <x:c r="C26" s="47" t="str">
        <x:v>Usable fraction</x:v>
      </x:c>
      <x:c r="D26" s="58" t="n">
        <x:v>0.8</x:v>
      </x:c>
      <x:c r="E26" s="47" t="str">
        <x:v>fraction</x:v>
      </x:c>
      <x:c r="F26" s="47" t="str">
        <x:v>INHERITED</x:v>
      </x:c>
      <x:c r="G26" s="47"/>
      <x:c r="H26" s="47"/>
      <x:c r="I26" s="47"/>
      <x:c r="J26" s="47"/>
      <x:c r="K26" s="47"/>
      <x:c r="L26" s="47"/>
    </x:row>
    <x:row r="27" ht="15" hidden="0" customHeight="1">
      <x:c r="B27" s="47" t="str">
        <x:v>Storage</x:v>
      </x:c>
      <x:c r="C27" s="47" t="str">
        <x:v>Round-trip efficiency</x:v>
      </x:c>
      <x:c r="D27" s="58" t="n">
        <x:v>0.92</x:v>
      </x:c>
      <x:c r="E27" s="47" t="str">
        <x:v>fraction</x:v>
      </x:c>
      <x:c r="F27" s="47" t="str">
        <x:v>INHERITED</x:v>
      </x:c>
      <x:c r="G27" s="47"/>
      <x:c r="H27" s="47"/>
      <x:c r="I27" s="47"/>
      <x:c r="J27" s="47"/>
      <x:c r="K27" s="47"/>
      <x:c r="L27" s="47"/>
    </x:row>
    <x:row r="28" ht="15" hidden="0" customHeight="1">
      <x:c r="B28" s="47" t="str">
        <x:v>Storage</x:v>
      </x:c>
      <x:c r="C28" s="47" t="str">
        <x:v>Energy reserve</x:v>
      </x:c>
      <x:c r="D28" s="58" t="n">
        <x:v>0.2</x:v>
      </x:c>
      <x:c r="E28" s="47" t="str">
        <x:v>fraction</x:v>
      </x:c>
      <x:c r="F28" s="47" t="str">
        <x:v>ASSUMPTION</x:v>
      </x:c>
      <x:c r="G28" s="47"/>
      <x:c r="H28" s="47"/>
      <x:c r="I28" s="47"/>
      <x:c r="J28" s="47"/>
      <x:c r="K28" s="47"/>
      <x:c r="L28" s="47"/>
    </x:row>
    <x:row r="29" ht="15" hidden="0" customHeight="1">
      <x:c r="B29" s="47" t="str">
        <x:v>Storage</x:v>
      </x:c>
      <x:c r="C29" s="47" t="str">
        <x:v>No-break duration</x:v>
      </x:c>
      <x:c r="D29" s="57" t="n">
        <x:v>0.5</x:v>
      </x:c>
      <x:c r="E29" s="47" t="str">
        <x:v>hours</x:v>
      </x:c>
      <x:c r="F29" s="47" t="str">
        <x:v>ASSUMPTION</x:v>
      </x:c>
      <x:c r="G29" s="47"/>
      <x:c r="H29" s="47"/>
      <x:c r="I29" s="47"/>
      <x:c r="J29" s="47"/>
      <x:c r="K29" s="47"/>
      <x:c r="L29" s="47"/>
    </x:row>
    <x:row r="30" ht="15" hidden="0" customHeight="1">
      <x:c r="B30" s="47" t="str">
        <x:v>Storage</x:v>
      </x:c>
      <x:c r="C30" s="47" t="str">
        <x:v>BSS power rating</x:v>
      </x:c>
      <x:c r="D30" s="57" t="n">
        <x:v>10</x:v>
      </x:c>
      <x:c r="E30" s="47" t="str">
        <x:v>MW</x:v>
      </x:c>
      <x:c r="F30" s="47" t="str">
        <x:v>INHERITED</x:v>
      </x:c>
      <x:c r="G30" s="47"/>
      <x:c r="H30" s="47"/>
      <x:c r="I30" s="47"/>
      <x:c r="J30" s="47"/>
      <x:c r="K30" s="47"/>
      <x:c r="L30" s="47"/>
    </x:row>
    <x:row r="31" ht="15" hidden="0" customHeight="1">
      <x:c r="B31" s="47" t="str">
        <x:v>Storage</x:v>
      </x:c>
      <x:c r="C31" s="47" t="str">
        <x:v>BSS energy rating</x:v>
      </x:c>
      <x:c r="D31" s="57" t="n">
        <x:v>5</x:v>
      </x:c>
      <x:c r="E31" s="47" t="str">
        <x:v>MWh</x:v>
      </x:c>
      <x:c r="F31" s="47" t="str">
        <x:v>INHERITED</x:v>
      </x:c>
      <x:c r="G31" s="47"/>
      <x:c r="H31" s="47"/>
      <x:c r="I31" s="47"/>
      <x:c r="J31" s="47"/>
      <x:c r="K31" s="47"/>
      <x:c r="L31" s="47"/>
    </x:row>
    <x:row r="32" ht="15" hidden="0" customHeight="1">
      <x:c r="B32" s="47" t="str">
        <x:v>Storage</x:v>
      </x:c>
      <x:c r="C32" s="47" t="str">
        <x:v>BSS dry mass</x:v>
      </x:c>
      <x:c r="D32" s="57" t="n">
        <x:v>80</x:v>
      </x:c>
      <x:c r="E32" s="47" t="str">
        <x:v>t</x:v>
      </x:c>
      <x:c r="F32" s="47" t="str">
        <x:v>INHERITED</x:v>
      </x:c>
      <x:c r="G32" s="47"/>
      <x:c r="H32" s="47"/>
      <x:c r="I32" s="47"/>
      <x:c r="J32" s="47"/>
      <x:c r="K32" s="47"/>
      <x:c r="L32" s="47"/>
    </x:row>
    <x:row r="33" ht="15" hidden="0" customHeight="1">
      <x:c r="B33" s="47" t="str">
        <x:v>Storage</x:v>
      </x:c>
      <x:c r="C33" s="47" t="str">
        <x:v>BSS unit capital</x:v>
      </x:c>
      <x:c r="D33" s="57" t="n">
        <x:v>55</x:v>
      </x:c>
      <x:c r="E33" s="47" t="str">
        <x:v>USD m</x:v>
      </x:c>
      <x:c r="F33" s="47" t="str">
        <x:v>INHERITED</x:v>
      </x:c>
      <x:c r="G33" s="47"/>
      <x:c r="H33" s="47"/>
      <x:c r="I33" s="47"/>
      <x:c r="J33" s="47"/>
      <x:c r="K33" s="47"/>
      <x:c r="L33" s="47"/>
    </x:row>
    <x:row r="34" ht="15" hidden="0" customHeight="1">
      <x:c r="B34" s="47" t="str">
        <x:v>Protection</x:v>
      </x:c>
      <x:c r="C34" s="47" t="str">
        <x:v>PTN rating</x:v>
      </x:c>
      <x:c r="D34" s="57" t="n">
        <x:v>5</x:v>
      </x:c>
      <x:c r="E34" s="47" t="str">
        <x:v>MVA</x:v>
      </x:c>
      <x:c r="F34" s="47" t="str">
        <x:v>INHERITED</x:v>
      </x:c>
      <x:c r="G34" s="47"/>
      <x:c r="H34" s="47"/>
      <x:c r="I34" s="47"/>
      <x:c r="J34" s="47"/>
      <x:c r="K34" s="47"/>
      <x:c r="L34" s="47"/>
    </x:row>
    <x:row r="35" ht="15" hidden="0" customHeight="1">
      <x:c r="B35" s="47" t="str">
        <x:v>Protection</x:v>
      </x:c>
      <x:c r="C35" s="47" t="str">
        <x:v>PTN dry mass</x:v>
      </x:c>
      <x:c r="D35" s="57" t="n">
        <x:v>35</x:v>
      </x:c>
      <x:c r="E35" s="47" t="str">
        <x:v>t</x:v>
      </x:c>
      <x:c r="F35" s="47" t="str">
        <x:v>INHERITED</x:v>
      </x:c>
      <x:c r="G35" s="47"/>
      <x:c r="H35" s="47"/>
      <x:c r="I35" s="47"/>
      <x:c r="J35" s="47"/>
      <x:c r="K35" s="47"/>
      <x:c r="L35" s="47"/>
    </x:row>
    <x:row r="36" ht="15" hidden="0" customHeight="1">
      <x:c r="B36" s="47" t="str">
        <x:v>Protection</x:v>
      </x:c>
      <x:c r="C36" s="47" t="str">
        <x:v>PTN unit capital</x:v>
      </x:c>
      <x:c r="D36" s="57" t="n">
        <x:v>20</x:v>
      </x:c>
      <x:c r="E36" s="47" t="str">
        <x:v>USD m</x:v>
      </x:c>
      <x:c r="F36" s="47" t="str">
        <x:v>INHERITED</x:v>
      </x:c>
      <x:c r="G36" s="47"/>
      <x:c r="H36" s="47"/>
      <x:c r="I36" s="47"/>
      <x:c r="J36" s="47"/>
      <x:c r="K36" s="47"/>
      <x:c r="L36" s="47"/>
    </x:row>
    <x:row r="37" ht="15" hidden="0" customHeight="1">
      <x:c r="B37" s="47" t="str">
        <x:v>Control</x:v>
      </x:c>
      <x:c r="C37" s="47" t="str">
        <x:v>CLC dry mass</x:v>
      </x:c>
      <x:c r="D37" s="57" t="n">
        <x:v>12</x:v>
      </x:c>
      <x:c r="E37" s="47" t="str">
        <x:v>t</x:v>
      </x:c>
      <x:c r="F37" s="47" t="str">
        <x:v>INHERITED</x:v>
      </x:c>
      <x:c r="G37" s="47"/>
      <x:c r="H37" s="47"/>
      <x:c r="I37" s="47"/>
      <x:c r="J37" s="47"/>
      <x:c r="K37" s="47"/>
      <x:c r="L37" s="47"/>
    </x:row>
    <x:row r="38" ht="15" hidden="0" customHeight="1">
      <x:c r="B38" s="47" t="str">
        <x:v>Control</x:v>
      </x:c>
      <x:c r="C38" s="47" t="str">
        <x:v>CLC unit capital</x:v>
      </x:c>
      <x:c r="D38" s="57" t="n">
        <x:v>12</x:v>
      </x:c>
      <x:c r="E38" s="47" t="str">
        <x:v>USD m</x:v>
      </x:c>
      <x:c r="F38" s="47" t="str">
        <x:v>INHERITED</x:v>
      </x:c>
      <x:c r="G38" s="47"/>
      <x:c r="H38" s="47"/>
      <x:c r="I38" s="47"/>
      <x:c r="J38" s="47"/>
      <x:c r="K38" s="47"/>
      <x:c r="L38" s="47"/>
    </x:row>
    <x:row r="39" ht="15" hidden="0" customHeight="1">
      <x:c r="B39" s="47" t="str">
        <x:v>Oxygen</x:v>
      </x:c>
      <x:c r="C39" s="47" t="str">
        <x:v>Demand reserve</x:v>
      </x:c>
      <x:c r="D39" s="58" t="n">
        <x:v>0.25</x:v>
      </x:c>
      <x:c r="E39" s="47" t="str">
        <x:v>fraction</x:v>
      </x:c>
      <x:c r="F39" s="47" t="str">
        <x:v>ASSUMPTION</x:v>
      </x:c>
      <x:c r="G39" s="47"/>
      <x:c r="H39" s="47"/>
      <x:c r="I39" s="47"/>
      <x:c r="J39" s="47"/>
      <x:c r="K39" s="47"/>
      <x:c r="L39" s="47"/>
    </x:row>
    <x:row r="40" ht="15" hidden="0" customHeight="1">
      <x:c r="B40" s="47" t="str">
        <x:v>Oxygen</x:v>
      </x:c>
      <x:c r="C40" s="47" t="str">
        <x:v>Reserve duration</x:v>
      </x:c>
      <x:c r="D40" s="57" t="n">
        <x:v>48</x:v>
      </x:c>
      <x:c r="E40" s="47" t="str">
        <x:v>hours</x:v>
      </x:c>
      <x:c r="F40" s="47" t="str">
        <x:v>ASSUMPTION</x:v>
      </x:c>
      <x:c r="G40" s="47"/>
      <x:c r="H40" s="47"/>
      <x:c r="I40" s="47"/>
      <x:c r="J40" s="47"/>
      <x:c r="K40" s="47"/>
      <x:c r="L40" s="47"/>
    </x:row>
    <x:row r="41" ht="15" hidden="0" customHeight="1">
      <x:c r="B41" s="47" t="str">
        <x:v>Oxygen</x:v>
      </x:c>
      <x:c r="C41" s="47" t="str">
        <x:v>OGN rate</x:v>
      </x:c>
      <x:c r="D41" s="57" t="n">
        <x:v>4000</x:v>
      </x:c>
      <x:c r="E41" s="47" t="str">
        <x:v>m3/day</x:v>
      </x:c>
      <x:c r="F41" s="47" t="str">
        <x:v>ASSUMPTION</x:v>
      </x:c>
      <x:c r="G41" s="47"/>
      <x:c r="H41" s="47"/>
      <x:c r="I41" s="47"/>
      <x:c r="J41" s="47"/>
      <x:c r="K41" s="47"/>
      <x:c r="L41" s="47"/>
    </x:row>
    <x:row r="42" ht="15" hidden="0" customHeight="1">
      <x:c r="B42" s="47" t="str">
        <x:v>Oxygen</x:v>
      </x:c>
      <x:c r="C42" s="47" t="str">
        <x:v>OXR capacity</x:v>
      </x:c>
      <x:c r="D42" s="57" t="n">
        <x:v>4000</x:v>
      </x:c>
      <x:c r="E42" s="47" t="str">
        <x:v>m3</x:v>
      </x:c>
      <x:c r="F42" s="47" t="str">
        <x:v>ASSUMPTION</x:v>
      </x:c>
      <x:c r="G42" s="47"/>
      <x:c r="H42" s="47"/>
      <x:c r="I42" s="47"/>
      <x:c r="J42" s="47"/>
      <x:c r="K42" s="47"/>
      <x:c r="L42" s="47"/>
    </x:row>
    <x:row r="43" ht="15" hidden="0" customHeight="1">
      <x:c r="B43" s="47" t="str">
        <x:v>Water</x:v>
      </x:c>
      <x:c r="C43" s="47" t="str">
        <x:v>Demand reserve</x:v>
      </x:c>
      <x:c r="D43" s="58" t="n">
        <x:v>0.25</x:v>
      </x:c>
      <x:c r="E43" s="47" t="str">
        <x:v>fraction</x:v>
      </x:c>
      <x:c r="F43" s="47" t="str">
        <x:v>ASSUMPTION</x:v>
      </x:c>
      <x:c r="G43" s="47"/>
      <x:c r="H43" s="47"/>
      <x:c r="I43" s="47"/>
      <x:c r="J43" s="47"/>
      <x:c r="K43" s="47"/>
      <x:c r="L43" s="47"/>
    </x:row>
    <x:row r="44" ht="15" hidden="0" customHeight="1">
      <x:c r="B44" s="47" t="str">
        <x:v>Water</x:v>
      </x:c>
      <x:c r="C44" s="47" t="str">
        <x:v>Staff water</x:v>
      </x:c>
      <x:c r="D44" s="57" t="n">
        <x:v>80</x:v>
      </x:c>
      <x:c r="E44" s="47" t="str">
        <x:v>L/person/day</x:v>
      </x:c>
      <x:c r="F44" s="47" t="str">
        <x:v>ASSUMPTION</x:v>
      </x:c>
      <x:c r="G44" s="47"/>
      <x:c r="H44" s="47"/>
      <x:c r="I44" s="47"/>
      <x:c r="J44" s="47"/>
      <x:c r="K44" s="47"/>
      <x:c r="L44" s="47"/>
    </x:row>
    <x:row r="45" ht="15" hidden="0" customHeight="1">
      <x:c r="B45" s="47" t="str">
        <x:v>Water</x:v>
      </x:c>
      <x:c r="C45" s="47" t="str">
        <x:v>Process demand</x:v>
      </x:c>
      <x:c r="D45" s="57" t="n">
        <x:v>300</x:v>
      </x:c>
      <x:c r="E45" s="47" t="str">
        <x:v>m3/day</x:v>
      </x:c>
      <x:c r="F45" s="47" t="str">
        <x:v>ASSUMPTION</x:v>
      </x:c>
      <x:c r="G45" s="47"/>
      <x:c r="H45" s="47"/>
      <x:c r="I45" s="47"/>
      <x:c r="J45" s="47"/>
      <x:c r="K45" s="47"/>
      <x:c r="L45" s="47"/>
    </x:row>
    <x:row r="46" ht="15" hidden="0" customHeight="1">
      <x:c r="B46" s="47" t="str">
        <x:v>Water</x:v>
      </x:c>
      <x:c r="C46" s="47" t="str">
        <x:v>Reserve duration</x:v>
      </x:c>
      <x:c r="D46" s="57" t="n">
        <x:v>48</x:v>
      </x:c>
      <x:c r="E46" s="47" t="str">
        <x:v>hours</x:v>
      </x:c>
      <x:c r="F46" s="47" t="str">
        <x:v>ASSUMPTION</x:v>
      </x:c>
      <x:c r="G46" s="47"/>
      <x:c r="H46" s="47"/>
      <x:c r="I46" s="47"/>
      <x:c r="J46" s="47"/>
      <x:c r="K46" s="47"/>
      <x:c r="L46" s="47"/>
    </x:row>
    <x:row r="47" ht="15" hidden="0" customHeight="1">
      <x:c r="B47" s="47" t="str">
        <x:v>Water</x:v>
      </x:c>
      <x:c r="C47" s="47" t="str">
        <x:v>WGN rate</x:v>
      </x:c>
      <x:c r="D47" s="57" t="n">
        <x:v>400</x:v>
      </x:c>
      <x:c r="E47" s="47" t="str">
        <x:v>m3/day</x:v>
      </x:c>
      <x:c r="F47" s="47" t="str">
        <x:v>ASSUMPTION</x:v>
      </x:c>
      <x:c r="G47" s="47"/>
      <x:c r="H47" s="47"/>
      <x:c r="I47" s="47"/>
      <x:c r="J47" s="47"/>
      <x:c r="K47" s="47"/>
      <x:c r="L47" s="47"/>
    </x:row>
    <x:row r="48" ht="15" hidden="0" customHeight="1">
      <x:c r="B48" s="47" t="str">
        <x:v>Water</x:v>
      </x:c>
      <x:c r="C48" s="47" t="str">
        <x:v>WST capacity</x:v>
      </x:c>
      <x:c r="D48" s="57" t="n">
        <x:v>720</x:v>
      </x:c>
      <x:c r="E48" s="47" t="str">
        <x:v>m3</x:v>
      </x:c>
      <x:c r="F48" s="47" t="str">
        <x:v>ASSUMPTION</x:v>
      </x:c>
      <x:c r="G48" s="47"/>
      <x:c r="H48" s="47"/>
      <x:c r="I48" s="47"/>
      <x:c r="J48" s="47"/>
      <x:c r="K48" s="47"/>
      <x:c r="L48" s="47"/>
    </x:row>
    <x:row r="49" ht="15" hidden="0" customHeight="1">
      <x:c r="B49" s="47" t="str">
        <x:v>Waste</x:v>
      </x:c>
      <x:c r="C49" s="47" t="str">
        <x:v>Wastewater return</x:v>
      </x:c>
      <x:c r="D49" s="58" t="n">
        <x:v>0.9</x:v>
      </x:c>
      <x:c r="E49" s="47" t="str">
        <x:v>fraction</x:v>
      </x:c>
      <x:c r="F49" s="47" t="str">
        <x:v>ASSUMPTION</x:v>
      </x:c>
      <x:c r="G49" s="47"/>
      <x:c r="H49" s="47"/>
      <x:c r="I49" s="47"/>
      <x:c r="J49" s="47"/>
      <x:c r="K49" s="47"/>
      <x:c r="L49" s="47"/>
    </x:row>
    <x:row r="50" ht="15" hidden="0" customHeight="1">
      <x:c r="B50" s="47" t="str">
        <x:v>Waste</x:v>
      </x:c>
      <x:c r="C50" s="47" t="str">
        <x:v>WWT rate</x:v>
      </x:c>
      <x:c r="D50" s="57" t="n">
        <x:v>350</x:v>
      </x:c>
      <x:c r="E50" s="47" t="str">
        <x:v>m3/day</x:v>
      </x:c>
      <x:c r="F50" s="47" t="str">
        <x:v>ASSUMPTION</x:v>
      </x:c>
      <x:c r="G50" s="47"/>
      <x:c r="H50" s="47"/>
      <x:c r="I50" s="47"/>
      <x:c r="J50" s="47"/>
      <x:c r="K50" s="47"/>
      <x:c r="L50" s="47"/>
    </x:row>
    <x:row r="51" ht="15" hidden="0" customHeight="1">
      <x:c r="B51" s="47" t="str">
        <x:v>Waste</x:v>
      </x:c>
      <x:c r="C51" s="47" t="str">
        <x:v>Medical-waste reserve</x:v>
      </x:c>
      <x:c r="D51" s="58" t="n">
        <x:v>0.25</x:v>
      </x:c>
      <x:c r="E51" s="47" t="str">
        <x:v>fraction</x:v>
      </x:c>
      <x:c r="F51" s="47" t="str">
        <x:v>ASSUMPTION</x:v>
      </x:c>
      <x:c r="G51" s="47"/>
      <x:c r="H51" s="47"/>
      <x:c r="I51" s="47"/>
      <x:c r="J51" s="47"/>
      <x:c r="K51" s="47"/>
      <x:c r="L51" s="47"/>
    </x:row>
    <x:row r="52" ht="15" hidden="0" customHeight="1">
      <x:c r="B52" s="47" t="str">
        <x:v>Waste</x:v>
      </x:c>
      <x:c r="C52" s="47" t="str">
        <x:v>MWT rate</x:v>
      </x:c>
      <x:c r="D52" s="57" t="n">
        <x:v>2.5</x:v>
      </x:c>
      <x:c r="E52" s="47" t="str">
        <x:v>t/day</x:v>
      </x:c>
      <x:c r="F52" s="47" t="str">
        <x:v>ASSUMPTION</x:v>
      </x:c>
      <x:c r="G52" s="47"/>
      <x:c r="H52" s="47"/>
      <x:c r="I52" s="47"/>
      <x:c r="J52" s="47"/>
      <x:c r="K52" s="47"/>
      <x:c r="L52" s="47"/>
    </x:row>
    <x:row r="53" ht="15" hidden="0" customHeight="1">
      <x:c r="B53" s="47" t="str">
        <x:v>Diagnostics</x:v>
      </x:c>
      <x:c r="C53" s="47" t="str">
        <x:v>Laboratory reserve</x:v>
      </x:c>
      <x:c r="D53" s="58" t="n">
        <x:v>0.2</x:v>
      </x:c>
      <x:c r="E53" s="47" t="str">
        <x:v>fraction</x:v>
      </x:c>
      <x:c r="F53" s="47" t="str">
        <x:v>ASSUMPTION</x:v>
      </x:c>
      <x:c r="G53" s="47"/>
      <x:c r="H53" s="47"/>
      <x:c r="I53" s="47"/>
      <x:c r="J53" s="47"/>
      <x:c r="K53" s="47"/>
      <x:c r="L53" s="47"/>
    </x:row>
    <x:row r="54" ht="15" hidden="0" customHeight="1">
      <x:c r="B54" s="47" t="str">
        <x:v>Diagnostics</x:v>
      </x:c>
      <x:c r="C54" s="47" t="str">
        <x:v>Lab node capacity</x:v>
      </x:c>
      <x:c r="D54" s="57" t="n">
        <x:v>2000</x:v>
      </x:c>
      <x:c r="E54" s="47" t="str">
        <x:v>tests/day</x:v>
      </x:c>
      <x:c r="F54" s="47" t="str">
        <x:v>ASSUMPTION</x:v>
      </x:c>
      <x:c r="G54" s="47"/>
      <x:c r="H54" s="47"/>
      <x:c r="I54" s="47"/>
      <x:c r="J54" s="47"/>
      <x:c r="K54" s="47"/>
      <x:c r="L54" s="47"/>
    </x:row>
    <x:row r="55" ht="15" hidden="0" customHeight="1">
      <x:c r="B55" s="47" t="str">
        <x:v>Blood</x:v>
      </x:c>
      <x:c r="C55" s="47" t="str">
        <x:v>Blood reserve</x:v>
      </x:c>
      <x:c r="D55" s="58" t="n">
        <x:v>0.2</x:v>
      </x:c>
      <x:c r="E55" s="47" t="str">
        <x:v>fraction</x:v>
      </x:c>
      <x:c r="F55" s="47" t="str">
        <x:v>ASSUMPTION</x:v>
      </x:c>
      <x:c r="G55" s="47"/>
      <x:c r="H55" s="47"/>
      <x:c r="I55" s="47"/>
      <x:c r="J55" s="47"/>
      <x:c r="K55" s="47"/>
      <x:c r="L55" s="47"/>
    </x:row>
    <x:row r="56" ht="15" hidden="0" customHeight="1">
      <x:c r="B56" s="47" t="str">
        <x:v>Blood</x:v>
      </x:c>
      <x:c r="C56" s="47" t="str">
        <x:v>Stock duration</x:v>
      </x:c>
      <x:c r="D56" s="57" t="n">
        <x:v>7</x:v>
      </x:c>
      <x:c r="E56" s="47" t="str">
        <x:v>days</x:v>
      </x:c>
      <x:c r="F56" s="47" t="str">
        <x:v>ASSUMPTION</x:v>
      </x:c>
      <x:c r="G56" s="47"/>
      <x:c r="H56" s="47"/>
      <x:c r="I56" s="47"/>
      <x:c r="J56" s="47"/>
      <x:c r="K56" s="47"/>
      <x:c r="L56" s="47"/>
    </x:row>
    <x:row r="57" ht="15" hidden="0" customHeight="1">
      <x:c r="B57" s="47" t="str">
        <x:v>Blood</x:v>
      </x:c>
      <x:c r="C57" s="47" t="str">
        <x:v>Bank capacity</x:v>
      </x:c>
      <x:c r="D57" s="57" t="n">
        <x:v>800</x:v>
      </x:c>
      <x:c r="E57" s="47" t="str">
        <x:v>units</x:v>
      </x:c>
      <x:c r="F57" s="47" t="str">
        <x:v>ASSUMPTION</x:v>
      </x:c>
      <x:c r="G57" s="47"/>
      <x:c r="H57" s="47"/>
      <x:c r="I57" s="47"/>
      <x:c r="J57" s="47"/>
      <x:c r="K57" s="47"/>
      <x:c r="L57" s="47"/>
    </x:row>
    <x:row r="58" ht="15" hidden="0" customHeight="1">
      <x:c r="B58" s="47" t="str">
        <x:v>Flow</x:v>
      </x:c>
      <x:c r="C58" s="47" t="str">
        <x:v>PRM cell rate</x:v>
      </x:c>
      <x:c r="D58" s="57" t="n">
        <x:v>15</x:v>
      </x:c>
      <x:c r="E58" s="47" t="str">
        <x:v>journeys/day</x:v>
      </x:c>
      <x:c r="F58" s="47" t="str">
        <x:v>ASSUMPTION</x:v>
      </x:c>
      <x:c r="G58" s="47"/>
      <x:c r="H58" s="47"/>
      <x:c r="I58" s="47"/>
      <x:c r="J58" s="47"/>
      <x:c r="K58" s="47"/>
      <x:c r="L58" s="47"/>
    </x:row>
    <x:row r="59" ht="15" hidden="0" customHeight="1">
      <x:c r="B59" s="47" t="str">
        <x:v>Flow</x:v>
      </x:c>
      <x:c r="C59" s="47" t="str">
        <x:v>PRM cells</x:v>
      </x:c>
      <x:c r="D59" s="57" t="n">
        <x:v>5</x:v>
      </x:c>
      <x:c r="E59" s="47" t="str">
        <x:v>cells</x:v>
      </x:c>
      <x:c r="F59" s="47" t="str">
        <x:v>ASSUMPTION</x:v>
      </x:c>
      <x:c r="G59" s="47"/>
      <x:c r="H59" s="47"/>
      <x:c r="I59" s="47"/>
      <x:c r="J59" s="47"/>
      <x:c r="K59" s="47"/>
      <x:c r="L59" s="47"/>
    </x:row>
    <x:row r="60" ht="15" hidden="0" customHeight="1">
      <x:c r="B60" s="47" t="str">
        <x:v>Flow</x:v>
      </x:c>
      <x:c r="C60" s="47" t="str">
        <x:v>DCC cell rate</x:v>
      </x:c>
      <x:c r="D60" s="57" t="n">
        <x:v>120</x:v>
      </x:c>
      <x:c r="E60" s="47" t="str">
        <x:v>handoffs/day</x:v>
      </x:c>
      <x:c r="F60" s="47" t="str">
        <x:v>ASSUMPTION</x:v>
      </x:c>
      <x:c r="G60" s="47"/>
      <x:c r="H60" s="47"/>
      <x:c r="I60" s="47"/>
      <x:c r="J60" s="47"/>
      <x:c r="K60" s="47"/>
      <x:c r="L60" s="47"/>
    </x:row>
    <x:row r="61" ht="15" hidden="0" customHeight="1">
      <x:c r="B61" s="47" t="str">
        <x:v>Flow</x:v>
      </x:c>
      <x:c r="C61" s="47" t="str">
        <x:v>DCC cells</x:v>
      </x:c>
      <x:c r="D61" s="57" t="n">
        <x:v>6</x:v>
      </x:c>
      <x:c r="E61" s="47" t="str">
        <x:v>cells</x:v>
      </x:c>
      <x:c r="F61" s="47" t="str">
        <x:v>ASSUMPTION</x:v>
      </x:c>
      <x:c r="G61" s="47"/>
      <x:c r="H61" s="47"/>
      <x:c r="I61" s="47"/>
      <x:c r="J61" s="47"/>
      <x:c r="K61" s="47"/>
      <x:c r="L61" s="47"/>
    </x:row>
    <x:row r="62" ht="15" hidden="0" customHeight="1">
      <x:c r="B62" s="47" t="str">
        <x:v>Finance</x:v>
      </x:c>
      <x:c r="C62" s="47" t="str">
        <x:v>TCP-06 allocation</x:v>
      </x:c>
      <x:c r="D62" s="57" t="n">
        <x:v>75</x:v>
      </x:c>
      <x:c r="E62" s="47" t="str">
        <x:v>USD b</x:v>
      </x:c>
      <x:c r="F62" s="47" t="str">
        <x:v>INHERITED</x:v>
      </x:c>
      <x:c r="G62" s="47"/>
      <x:c r="H62" s="47"/>
      <x:c r="I62" s="47"/>
      <x:c r="J62" s="47"/>
      <x:c r="K62" s="47"/>
      <x:c r="L62" s="47"/>
    </x:row>
    <x:row r="63" ht="15" hidden="0" customHeight="1">
      <x:c r="B63" s="47" t="str">
        <x:v>Admissions</x:v>
      </x:c>
      <x:c r="C63" s="47" t="str">
        <x:v>Admitted power credit</x:v>
      </x:c>
      <x:c r="D63" s="57" t="n">
        <x:v>0</x:v>
      </x:c>
      <x:c r="E63" s="47" t="str">
        <x:v>MW</x:v>
      </x:c>
      <x:c r="F63" s="47" t="str">
        <x:v>BOUNDARY</x:v>
      </x:c>
      <x:c r="G63" s="47"/>
      <x:c r="H63" s="47"/>
      <x:c r="I63" s="47"/>
      <x:c r="J63" s="47"/>
      <x:c r="K63" s="47"/>
      <x:c r="L63" s="47"/>
    </x:row>
    <x:row r="64" ht="15" hidden="0" customHeight="1">
      <x:c r="B64" s="47" t="str">
        <x:v>Admissions</x:v>
      </x:c>
      <x:c r="C64" s="47" t="str">
        <x:v>Admitted article credit</x:v>
      </x:c>
      <x:c r="D64" s="57" t="n">
        <x:v>0</x:v>
      </x:c>
      <x:c r="E64" s="47" t="str">
        <x:v>articles</x:v>
      </x:c>
      <x:c r="F64" s="47" t="str">
        <x:v>BOUNDARY</x:v>
      </x:c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50" hidden="0" customWidth="1"/>
    <x:col min="4" max="4" width="35" hidden="0" customWidth="1"/>
    <x:col min="5" max="5" width="24" hidden="0" customWidth="1"/>
    <x:col min="6" max="6" width="24" hidden="0" customWidth="1"/>
    <x:col min="1" max="1" width="3" hidden="0" customWidth="1"/>
  </x:cols>
  <x:sheetData>
    <x:row r="2" ht="18" hidden="0" customHeight="1">
      <x:c r="B2" s="50" t="str">
        <x:v>CCSC-1 Clinical Continuity Service Contract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A completed appropriate clinical episode is the indivisible unit; beds, megawatts and visits are necessary components, not substitutes.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51" t="str">
        <x:v>Binding service unit</x:v>
      </x:c>
      <x:c r="C6" s="51"/>
      <x:c r="D6" s="51"/>
      <x:c r="E6" s="51"/>
      <x:c r="F6" s="51"/>
      <x:c r="G6" s="51"/>
      <x:c r="H6" s="51"/>
      <x:c r="I6" s="51"/>
      <x:c r="J6" s="51"/>
      <x:c r="K6" s="51"/>
      <x:c r="L6" s="51"/>
    </x:row>
    <x:row r="7" ht="15" hidden="0" customHeight="1">
      <x:c r="B7" s="47" t="str">
        <x:v>Unit</x:v>
      </x:c>
      <x:c r="C7" s="47" t="str">
        <x:v>Completed appropriate clinical episode</x:v>
      </x:c>
      <x:c r="D7" s="47"/>
      <x:c r="E7" s="47"/>
      <x:c r="F7" s="47"/>
      <x:c r="G7" s="47"/>
      <x:c r="H7" s="47"/>
      <x:c r="I7" s="47"/>
      <x:c r="J7" s="47"/>
      <x:c r="K7" s="47"/>
      <x:c r="L7" s="47"/>
    </x:row>
    <x:row r="8" ht="15" hidden="0" customHeight="1">
      <x:c r="B8" s="47" t="str">
        <x:v>Conjunctive fields</x:v>
      </x:c>
      <x:c r="C8" s="47" t="str">
        <x:v>identity and authority; acuity; qualified staff; clinical position; utility and supply state; care record; adverse state; accepted transfer or supported discharge</x:v>
      </x:c>
      <x:c r="D8" s="47"/>
      <x:c r="E8" s="47"/>
      <x:c r="F8" s="47"/>
      <x:c r="G8" s="47"/>
      <x:c r="H8" s="47"/>
      <x:c r="I8" s="47"/>
      <x:c r="J8" s="47"/>
      <x:c r="K8" s="47"/>
      <x:c r="L8" s="47"/>
    </x:row>
    <x:row r="9" ht="15" hidden="0" customHeight="1">
      <x:c r="B9" s="47" t="str">
        <x:v>Failure rule</x:v>
      </x:c>
      <x:c r="C9" s="47" t="str">
        <x:v>If any required field is absent or stale, the episode does not close and no service credit is admitted.</x:v>
      </x:c>
      <x:c r="D9" s="47"/>
      <x:c r="E9" s="47"/>
      <x:c r="F9" s="47"/>
      <x:c r="G9" s="47"/>
      <x:c r="H9" s="47"/>
      <x:c r="I9" s="47"/>
      <x:c r="J9" s="47"/>
      <x:c r="K9" s="47"/>
      <x:c r="L9" s="47"/>
    </x:row>
    <x:row r="10" ht="15" hidden="0" customHeight="1"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</x:row>
    <x:row r="11" ht="15" hidden="0" customHeight="1"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</x:row>
    <x:row r="12" ht="15" hidden="0" customHeight="1">
      <x:c r="B12" s="51" t="str">
        <x:v>Acuity and custody states</x:v>
      </x:c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</x:row>
    <x:row r="13" ht="15" hidden="0" customHeight="1">
      <x:c r="B13" s="45" t="str">
        <x:v>State</x:v>
      </x:c>
      <x:c r="C13" s="45" t="str">
        <x:v>Meaning</x:v>
      </x:c>
      <x:c r="D13" s="45" t="str">
        <x:v>Entry object</x:v>
      </x:c>
      <x:c r="E13" s="45" t="str">
        <x:v>Exit object</x:v>
      </x:c>
      <x:c r="F13" s="45" t="str">
        <x:v>Credit condition</x:v>
      </x:c>
      <x:c r="G13" s="47"/>
      <x:c r="H13" s="47"/>
      <x:c r="I13" s="47"/>
      <x:c r="J13" s="47"/>
      <x:c r="K13" s="47"/>
      <x:c r="L13" s="47"/>
    </x:row>
    <x:row r="14" ht="15" hidden="0" customHeight="1">
      <x:c r="B14" s="47" t="str">
        <x:v>A0</x:v>
      </x:c>
      <x:c r="C14" s="47" t="str">
        <x:v>Uncontacted / population at risk</x:v>
      </x:c>
      <x:c r="D14" s="47" t="str">
        <x:v>declared service region</x:v>
      </x:c>
      <x:c r="E14" s="47" t="str">
        <x:v>contact or verified non-need</x:v>
      </x:c>
      <x:c r="F14" s="47" t="str">
        <x:v>identity + status known</x:v>
      </x:c>
      <x:c r="G14" s="47"/>
      <x:c r="H14" s="47"/>
      <x:c r="I14" s="47"/>
      <x:c r="J14" s="47"/>
      <x:c r="K14" s="47"/>
      <x:c r="L14" s="47"/>
    </x:row>
    <x:row r="15" ht="24" hidden="0" customHeight="1">
      <x:c r="B15" s="47" t="str">
        <x:v>A1</x:v>
      </x:c>
      <x:c r="C15" s="47" t="str">
        <x:v>Community continuity</x:v>
      </x:c>
      <x:c r="D15" s="47" t="str">
        <x:v>community contact</x:v>
      </x:c>
      <x:c r="E15" s="47" t="str">
        <x:v>supported continuity or escalation</x:v>
      </x:c>
      <x:c r="F15" s="47" t="str">
        <x:v>medication / surveillance / referral closed</x:v>
      </x:c>
      <x:c r="G15" s="47"/>
      <x:c r="H15" s="47"/>
      <x:c r="I15" s="47"/>
      <x:c r="J15" s="47"/>
      <x:c r="K15" s="47"/>
      <x:c r="L15" s="47"/>
    </x:row>
    <x:row r="16" ht="24" hidden="0" customHeight="1">
      <x:c r="B16" s="47" t="str">
        <x:v>A2</x:v>
      </x:c>
      <x:c r="C16" s="47" t="str">
        <x:v>Urgent / emergency</x:v>
      </x:c>
      <x:c r="D16" s="47" t="str">
        <x:v>triage and resuscitation</x:v>
      </x:c>
      <x:c r="E16" s="47" t="str">
        <x:v>observation, admission, transfer or discharge</x:v>
      </x:c>
      <x:c r="F16" s="47" t="str">
        <x:v>appropriate disposition accepted</x:v>
      </x:c>
      <x:c r="G16" s="47"/>
      <x:c r="H16" s="47"/>
      <x:c r="I16" s="47"/>
      <x:c r="J16" s="47"/>
      <x:c r="K16" s="47"/>
      <x:c r="L16" s="47"/>
    </x:row>
    <x:row r="17" ht="15" hidden="0" customHeight="1">
      <x:c r="B17" s="47" t="str">
        <x:v>A3</x:v>
      </x:c>
      <x:c r="C17" s="47" t="str">
        <x:v>Inpatient / procedural</x:v>
      </x:c>
      <x:c r="D17" s="47" t="str">
        <x:v>admission or procedure</x:v>
      </x:c>
      <x:c r="E17" s="47" t="str">
        <x:v>transfer, step-down or discharge</x:v>
      </x:c>
      <x:c r="F17" s="47" t="str">
        <x:v>care and receiver continuity closed</x:v>
      </x:c>
      <x:c r="G17" s="47"/>
      <x:c r="H17" s="47"/>
      <x:c r="I17" s="47"/>
      <x:c r="J17" s="47"/>
      <x:c r="K17" s="47"/>
      <x:c r="L17" s="47"/>
    </x:row>
    <x:row r="18" ht="15" hidden="0" customHeight="1">
      <x:c r="B18" s="47" t="str">
        <x:v>A4</x:v>
      </x:c>
      <x:c r="C18" s="47" t="str">
        <x:v>Critical / specialty</x:v>
      </x:c>
      <x:c r="D18" s="47" t="str">
        <x:v>critical or specialty acceptance</x:v>
      </x:c>
      <x:c r="E18" s="47" t="str">
        <x:v>transfer, recovery or death custody</x:v>
      </x:c>
      <x:c r="F18" s="47" t="str">
        <x:v>specialty pathway closed</x:v>
      </x:c>
      <x:c r="G18" s="47"/>
      <x:c r="H18" s="47"/>
      <x:c r="I18" s="47"/>
      <x:c r="J18" s="47"/>
      <x:c r="K18" s="47"/>
      <x:c r="L18" s="47"/>
    </x:row>
    <x:row r="19" ht="24" hidden="0" customHeight="1">
      <x:c r="B19" s="47" t="str">
        <x:v>A5</x:v>
      </x:c>
      <x:c r="C19" s="47" t="str">
        <x:v>Released / transferred</x:v>
      </x:c>
      <x:c r="D19" s="47" t="str">
        <x:v>clinical disposition</x:v>
      </x:c>
      <x:c r="E19" s="47" t="str">
        <x:v>viable destination and follow-up</x:v>
      </x:c>
      <x:c r="F19" s="47" t="str">
        <x:v>custody accepted and adverse state bound</x:v>
      </x:c>
      <x:c r="G19" s="47"/>
      <x:c r="H19" s="47"/>
      <x:c r="I19" s="47"/>
      <x:c r="J19" s="47"/>
      <x:c r="K19" s="47"/>
      <x:c r="L19" s="47"/>
    </x:row>
    <x:row r="20" ht="15" hidden="0" customHeight="1"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</x:row>
    <x:row r="21" ht="15" hidden="0" customHeight="1"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51" t="str">
        <x:v>Reference activation</x:v>
      </x:c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</x:row>
    <x:row r="23" ht="15" hidden="0" customHeight="1">
      <x:c r="B23" s="45" t="str">
        <x:v>Window</x:v>
      </x:c>
      <x:c r="C23" s="45" t="str">
        <x:v>Required service state</x:v>
      </x:c>
      <x:c r="D23" s="45" t="str">
        <x:v>Dominant dependency</x:v>
      </x:c>
      <x:c r="E23" s="45" t="str">
        <x:v>Evidence status</x:v>
      </x:c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 t="str">
        <x:v>0–6 h</x:v>
      </x:c>
      <x:c r="C24" s="47" t="str">
        <x:v>command, authority and patient identity active</x:v>
      </x:c>
      <x:c r="D24" s="47" t="str">
        <x:v>communications + regulation</x:v>
      </x:c>
      <x:c r="E24" s="47" t="str">
        <x:v>unproven</x:v>
      </x:c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 t="str">
        <x:v>6–12 h</x:v>
      </x:c>
      <x:c r="C25" s="47" t="str">
        <x:v>community continuity and receiving compacts active</x:v>
      </x:c>
      <x:c r="D25" s="47" t="str">
        <x:v>local access + data</x:v>
      </x:c>
      <x:c r="E25" s="47" t="str">
        <x:v>unproven</x:v>
      </x:c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 t="str">
        <x:v>12–24 h</x:v>
      </x:c>
      <x:c r="C26" s="47" t="str">
        <x:v>first complete acute-care pathway active</x:v>
      </x:c>
      <x:c r="D26" s="47" t="str">
        <x:v>staff + utilities + receiver</x:v>
      </x:c>
      <x:c r="E26" s="47" t="str">
        <x:v>unproven</x:v>
      </x:c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 t="str">
        <x:v>24–72 h</x:v>
      </x:c>
      <x:c r="C27" s="47" t="str">
        <x:v>four-island lattice and replacement ready</x:v>
      </x:c>
      <x:c r="D27" s="47" t="str">
        <x:v>deployment + integration</x:v>
      </x:c>
      <x:c r="E27" s="47" t="str">
        <x:v>unproven</x:v>
      </x:c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 t="str">
        <x:v>Day 3–30</x:v>
      </x:c>
      <x:c r="C28" s="47" t="str">
        <x:v>full service, replenishment, staff regeneration and discharge continuity</x:v>
      </x:c>
      <x:c r="D28" s="47" t="str">
        <x:v>national network</x:v>
      </x:c>
      <x:c r="E28" s="47" t="str">
        <x:v>unproven</x:v>
      </x:c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6:L6"/>
    <x:mergeCell ref="C7:L7"/>
    <x:mergeCell ref="C8:L8"/>
    <x:mergeCell ref="C9:L9"/>
    <x:mergeCell ref="B12:L12"/>
    <x:mergeCell ref="B22:L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7" hidden="0" customWidth="1"/>
    <x:col min="3" max="3" width="28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1" max="1" width="3" hidden="0" customWidth="1"/>
  </x:cols>
  <x:sheetData>
    <x:row r="2" ht="18" hidden="0" customHeight="1">
      <x:c r="B2" s="50" t="str">
        <x:v>Care-line input constitution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60"/>
      <x:c r="N2" s="60"/>
      <x:c r="O2" s="60"/>
      <x:c r="P2" s="60"/>
      <x:c r="Q2" s="60"/>
      <x:c r="R2" s="60"/>
      <x:c r="S2" s="60"/>
      <x:c r="T2" s="60"/>
      <x:c r="U2" s="60"/>
    </x:row>
    <x:row r="3" ht="15" hidden="0" customHeight="1">
      <x:c r="B3" s="42" t="str">
        <x:v>Ten unlike clinical obligations. Flow modes use episode throughput; census modes convert admissions to patient-days before positions are sized.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60"/>
      <x:c r="N3" s="60"/>
      <x:c r="O3" s="60"/>
      <x:c r="P3" s="60"/>
      <x:c r="Q3" s="60"/>
      <x:c r="R3" s="60"/>
      <x:c r="S3" s="60"/>
      <x:c r="T3" s="60"/>
      <x:c r="U3" s="60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60"/>
      <x:c r="N4" s="60"/>
      <x:c r="O4" s="60"/>
      <x:c r="P4" s="60"/>
      <x:c r="Q4" s="60"/>
      <x:c r="R4" s="60"/>
      <x:c r="S4" s="60"/>
      <x:c r="T4" s="60"/>
      <x:c r="U4" s="60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60"/>
      <x:c r="N5" s="60"/>
      <x:c r="O5" s="60"/>
      <x:c r="P5" s="60"/>
      <x:c r="Q5" s="60"/>
      <x:c r="R5" s="60"/>
      <x:c r="S5" s="60"/>
      <x:c r="T5" s="60"/>
      <x:c r="U5" s="60"/>
    </x:row>
    <x:row r="6" ht="24" hidden="0" customHeight="1">
      <x:c r="B6" s="45" t="str">
        <x:v>ID</x:v>
      </x:c>
      <x:c r="C6" s="45" t="str">
        <x:v>Care line</x:v>
      </x:c>
      <x:c r="D6" s="45" t="str">
        <x:v>Mode</x:v>
      </x:c>
      <x:c r="E6" s="45" t="str">
        <x:v>Base /1,000/day</x:v>
      </x:c>
      <x:c r="F6" s="45" t="str">
        <x:v>Hazard multiplier</x:v>
      </x:c>
      <x:c r="G6" s="45" t="str">
        <x:v>Retained local fraction</x:v>
      </x:c>
      <x:c r="H6" s="45" t="str">
        <x:v>Interaction h / dwell days</x:v>
      </x:c>
      <x:c r="I6" s="45" t="str">
        <x:v>Operating h/day</x:v>
      </x:c>
      <x:c r="J6" s="45" t="str">
        <x:v>Target utilization</x:v>
      </x:c>
      <x:c r="K6" s="45" t="str">
        <x:v>Staff h/workload</x:v>
      </x:c>
      <x:c r="L6" s="45" t="str">
        <x:v>kW/position</x:v>
      </x:c>
      <x:c r="M6" s="45" t="str">
        <x:v>No-break share</x:v>
      </x:c>
      <x:c r="N6" s="45" t="str">
        <x:v>O2 m3/workload</x:v>
      </x:c>
      <x:c r="O6" s="45" t="str">
        <x:v>Water L/workload</x:v>
      </x:c>
      <x:c r="P6" s="45" t="str">
        <x:v>Med waste kg/workload</x:v>
      </x:c>
      <x:c r="Q6" s="45" t="str">
        <x:v>Lab tests/workload</x:v>
      </x:c>
      <x:c r="R6" s="45" t="str">
        <x:v>Blood units/workload</x:v>
      </x:c>
      <x:c r="S6" s="45" t="str">
        <x:v>Transfer share</x:v>
      </x:c>
      <x:c r="T6" s="45" t="str">
        <x:v>Discharge share</x:v>
      </x:c>
      <x:c r="U6" s="45" t="str">
        <x:v>Status</x:v>
      </x:c>
    </x:row>
    <x:row r="7" ht="15" hidden="0" customHeight="1">
      <x:c r="B7" s="47" t="n">
        <x:v>1</x:v>
      </x:c>
      <x:c r="C7" s="47" t="str">
        <x:v>Community continuity</x:v>
      </x:c>
      <x:c r="D7" s="47" t="str">
        <x:v>FLOW</x:v>
      </x:c>
      <x:c r="E7" s="57" t="n">
        <x:v>35</x:v>
      </x:c>
      <x:c r="F7" s="57" t="n">
        <x:v>1.5</x:v>
      </x:c>
      <x:c r="G7" s="58" t="n">
        <x:v>0.4</x:v>
      </x:c>
      <x:c r="H7" s="57" t="n">
        <x:v>0.25</x:v>
      </x:c>
      <x:c r="I7" s="57" t="n">
        <x:v>16</x:v>
      </x:c>
      <x:c r="J7" s="58" t="n">
        <x:v>0.8</x:v>
      </x:c>
      <x:c r="K7" s="57" t="n">
        <x:v>0.4</x:v>
      </x:c>
      <x:c r="L7" s="57" t="n">
        <x:v>0.8</x:v>
      </x:c>
      <x:c r="M7" s="58" t="n">
        <x:v>0</x:v>
      </x:c>
      <x:c r="N7" s="57" t="n">
        <x:v>0</x:v>
      </x:c>
      <x:c r="O7" s="57" t="n">
        <x:v>2</x:v>
      </x:c>
      <x:c r="P7" s="57" t="n">
        <x:v>0.05</x:v>
      </x:c>
      <x:c r="Q7" s="57" t="n">
        <x:v>0.1</x:v>
      </x:c>
      <x:c r="R7" s="57" t="n">
        <x:v>0</x:v>
      </x:c>
      <x:c r="S7" s="58" t="n">
        <x:v>0</x:v>
      </x:c>
      <x:c r="T7" s="58" t="n">
        <x:v>0</x:v>
      </x:c>
      <x:c r="U7" s="60" t="str">
        <x:v>ASSUMPTION</x:v>
      </x:c>
    </x:row>
    <x:row r="8" ht="15" hidden="0" customHeight="1">
      <x:c r="B8" s="47" t="n">
        <x:v>2</x:v>
      </x:c>
      <x:c r="C8" s="47" t="str">
        <x:v>Emergency / resuscitation</x:v>
      </x:c>
      <x:c r="D8" s="47" t="str">
        <x:v>FLOW</x:v>
      </x:c>
      <x:c r="E8" s="57" t="n">
        <x:v>2.5</x:v>
      </x:c>
      <x:c r="F8" s="57" t="n">
        <x:v>2</x:v>
      </x:c>
      <x:c r="G8" s="58" t="n">
        <x:v>0.35</x:v>
      </x:c>
      <x:c r="H8" s="57" t="n">
        <x:v>2</x:v>
      </x:c>
      <x:c r="I8" s="57" t="n">
        <x:v>24</x:v>
      </x:c>
      <x:c r="J8" s="58" t="n">
        <x:v>0.75</x:v>
      </x:c>
      <x:c r="K8" s="57" t="n">
        <x:v>3.5</x:v>
      </x:c>
      <x:c r="L8" s="57" t="n">
        <x:v>10</x:v>
      </x:c>
      <x:c r="M8" s="58" t="n">
        <x:v>0.7</x:v>
      </x:c>
      <x:c r="N8" s="57" t="n">
        <x:v>2</x:v>
      </x:c>
      <x:c r="O8" s="57" t="n">
        <x:v>25</x:v>
      </x:c>
      <x:c r="P8" s="57" t="n">
        <x:v>1.5</x:v>
      </x:c>
      <x:c r="Q8" s="57" t="n">
        <x:v>2</x:v>
      </x:c>
      <x:c r="R8" s="57" t="n">
        <x:v>0.05</x:v>
      </x:c>
      <x:c r="S8" s="58" t="n">
        <x:v>0.08</x:v>
      </x:c>
      <x:c r="T8" s="58" t="n">
        <x:v>0.25</x:v>
      </x:c>
      <x:c r="U8" s="60" t="str">
        <x:v>ASSUMPTION</x:v>
      </x:c>
    </x:row>
    <x:row r="9" ht="15" hidden="0" customHeight="1">
      <x:c r="B9" s="47" t="n">
        <x:v>3</x:v>
      </x:c>
      <x:c r="C9" s="47" t="str">
        <x:v>Observation</x:v>
      </x:c>
      <x:c r="D9" s="47" t="str">
        <x:v>CENSUS</x:v>
      </x:c>
      <x:c r="E9" s="57" t="n">
        <x:v>0.8</x:v>
      </x:c>
      <x:c r="F9" s="57" t="n">
        <x:v>2.2</x:v>
      </x:c>
      <x:c r="G9" s="58" t="n">
        <x:v>0.35</x:v>
      </x:c>
      <x:c r="H9" s="57" t="n">
        <x:v>0.5</x:v>
      </x:c>
      <x:c r="I9" s="57" t="n">
        <x:v>24</x:v>
      </x:c>
      <x:c r="J9" s="58" t="n">
        <x:v>0.9</x:v>
      </x:c>
      <x:c r="K9" s="57" t="n">
        <x:v>8</x:v>
      </x:c>
      <x:c r="L9" s="57" t="n">
        <x:v>4</x:v>
      </x:c>
      <x:c r="M9" s="58" t="n">
        <x:v>0.6</x:v>
      </x:c>
      <x:c r="N9" s="57" t="n">
        <x:v>2</x:v>
      </x:c>
      <x:c r="O9" s="57" t="n">
        <x:v>75</x:v>
      </x:c>
      <x:c r="P9" s="57" t="n">
        <x:v>2</x:v>
      </x:c>
      <x:c r="Q9" s="57" t="n">
        <x:v>2</x:v>
      </x:c>
      <x:c r="R9" s="57" t="n">
        <x:v>0</x:v>
      </x:c>
      <x:c r="S9" s="58" t="n">
        <x:v>0.05</x:v>
      </x:c>
      <x:c r="T9" s="58" t="n">
        <x:v>0.9</x:v>
      </x:c>
      <x:c r="U9" s="60" t="str">
        <x:v>ASSUMPTION</x:v>
      </x:c>
    </x:row>
    <x:row r="10" ht="15" hidden="0" customHeight="1">
      <x:c r="B10" s="47" t="n">
        <x:v>4</x:v>
      </x:c>
      <x:c r="C10" s="47" t="str">
        <x:v>Ward inpatient</x:v>
      </x:c>
      <x:c r="D10" s="47" t="str">
        <x:v>CENSUS</x:v>
      </x:c>
      <x:c r="E10" s="57" t="n">
        <x:v>0.4</x:v>
      </x:c>
      <x:c r="F10" s="57" t="n">
        <x:v>2.5</x:v>
      </x:c>
      <x:c r="G10" s="58" t="n">
        <x:v>0.25</x:v>
      </x:c>
      <x:c r="H10" s="57" t="n">
        <x:v>4</x:v>
      </x:c>
      <x:c r="I10" s="57" t="n">
        <x:v>24</x:v>
      </x:c>
      <x:c r="J10" s="58" t="n">
        <x:v>0.85</x:v>
      </x:c>
      <x:c r="K10" s="57" t="n">
        <x:v>7</x:v>
      </x:c>
      <x:c r="L10" s="57" t="n">
        <x:v>3</x:v>
      </x:c>
      <x:c r="M10" s="58" t="n">
        <x:v>0.35</x:v>
      </x:c>
      <x:c r="N10" s="57" t="n">
        <x:v>3</x:v>
      </x:c>
      <x:c r="O10" s="57" t="n">
        <x:v>200</x:v>
      </x:c>
      <x:c r="P10" s="57" t="n">
        <x:v>3</x:v>
      </x:c>
      <x:c r="Q10" s="57" t="n">
        <x:v>1.5</x:v>
      </x:c>
      <x:c r="R10" s="57" t="n">
        <x:v>0.02</x:v>
      </x:c>
      <x:c r="S10" s="58" t="n">
        <x:v>0.03</x:v>
      </x:c>
      <x:c r="T10" s="58" t="n">
        <x:v>0.85</x:v>
      </x:c>
      <x:c r="U10" s="60" t="str">
        <x:v>ASSUMPTION</x:v>
      </x:c>
    </x:row>
    <x:row r="11" ht="15" hidden="0" customHeight="1">
      <x:c r="B11" s="47" t="n">
        <x:v>5</x:v>
      </x:c>
      <x:c r="C11" s="47" t="str">
        <x:v>Critical care</x:v>
      </x:c>
      <x:c r="D11" s="47" t="str">
        <x:v>CENSUS</x:v>
      </x:c>
      <x:c r="E11" s="57" t="n">
        <x:v>0.08</x:v>
      </x:c>
      <x:c r="F11" s="57" t="n">
        <x:v>3</x:v>
      </x:c>
      <x:c r="G11" s="58" t="n">
        <x:v>0.2</x:v>
      </x:c>
      <x:c r="H11" s="57" t="n">
        <x:v>5</x:v>
      </x:c>
      <x:c r="I11" s="57" t="n">
        <x:v>24</x:v>
      </x:c>
      <x:c r="J11" s="58" t="n">
        <x:v>0.8</x:v>
      </x:c>
      <x:c r="K11" s="57" t="n">
        <x:v>24</x:v>
      </x:c>
      <x:c r="L11" s="57" t="n">
        <x:v>15</x:v>
      </x:c>
      <x:c r="M11" s="58" t="n">
        <x:v>1</x:v>
      </x:c>
      <x:c r="N11" s="57" t="n">
        <x:v>25</x:v>
      </x:c>
      <x:c r="O11" s="57" t="n">
        <x:v>350</x:v>
      </x:c>
      <x:c r="P11" s="57" t="n">
        <x:v>6</x:v>
      </x:c>
      <x:c r="Q11" s="57" t="n">
        <x:v>5</x:v>
      </x:c>
      <x:c r="R11" s="57" t="n">
        <x:v>0.1</x:v>
      </x:c>
      <x:c r="S11" s="58" t="n">
        <x:v>0.15</x:v>
      </x:c>
      <x:c r="T11" s="58" t="n">
        <x:v>0.7</x:v>
      </x:c>
      <x:c r="U11" s="60" t="str">
        <x:v>ASSUMPTION</x:v>
      </x:c>
    </x:row>
    <x:row r="12" ht="15" hidden="0" customHeight="1">
      <x:c r="B12" s="47" t="n">
        <x:v>6</x:v>
      </x:c>
      <x:c r="C12" s="47" t="str">
        <x:v>Surgery</x:v>
      </x:c>
      <x:c r="D12" s="47" t="str">
        <x:v>FLOW</x:v>
      </x:c>
      <x:c r="E12" s="57" t="n">
        <x:v>0.15</x:v>
      </x:c>
      <x:c r="F12" s="57" t="n">
        <x:v>3</x:v>
      </x:c>
      <x:c r="G12" s="58" t="n">
        <x:v>0.25</x:v>
      </x:c>
      <x:c r="H12" s="57" t="n">
        <x:v>3</x:v>
      </x:c>
      <x:c r="I12" s="57" t="n">
        <x:v>18</x:v>
      </x:c>
      <x:c r="J12" s="58" t="n">
        <x:v>0.75</x:v>
      </x:c>
      <x:c r="K12" s="57" t="n">
        <x:v>18</x:v>
      </x:c>
      <x:c r="L12" s="57" t="n">
        <x:v>80</x:v>
      </x:c>
      <x:c r="M12" s="58" t="n">
        <x:v>1</x:v>
      </x:c>
      <x:c r="N12" s="57" t="n">
        <x:v>8</x:v>
      </x:c>
      <x:c r="O12" s="57" t="n">
        <x:v>400</x:v>
      </x:c>
      <x:c r="P12" s="57" t="n">
        <x:v>4</x:v>
      </x:c>
      <x:c r="Q12" s="57" t="n">
        <x:v>2</x:v>
      </x:c>
      <x:c r="R12" s="57" t="n">
        <x:v>2</x:v>
      </x:c>
      <x:c r="S12" s="58" t="n">
        <x:v>0.05</x:v>
      </x:c>
      <x:c r="T12" s="58" t="n">
        <x:v>0.8</x:v>
      </x:c>
      <x:c r="U12" s="60" t="str">
        <x:v>ASSUMPTION</x:v>
      </x:c>
    </x:row>
    <x:row r="13" ht="15" hidden="0" customHeight="1">
      <x:c r="B13" s="47" t="n">
        <x:v>7</x:v>
      </x:c>
      <x:c r="C13" s="47" t="str">
        <x:v>Maternal / neonatal</x:v>
      </x:c>
      <x:c r="D13" s="47" t="str">
        <x:v>FLOW</x:v>
      </x:c>
      <x:c r="E13" s="57" t="n">
        <x:v>0.12</x:v>
      </x:c>
      <x:c r="F13" s="57" t="n">
        <x:v>1.4</x:v>
      </x:c>
      <x:c r="G13" s="58" t="n">
        <x:v>0.4</x:v>
      </x:c>
      <x:c r="H13" s="57" t="n">
        <x:v>6</x:v>
      </x:c>
      <x:c r="I13" s="57" t="n">
        <x:v>24</x:v>
      </x:c>
      <x:c r="J13" s="58" t="n">
        <x:v>0.75</x:v>
      </x:c>
      <x:c r="K13" s="57" t="n">
        <x:v>18</x:v>
      </x:c>
      <x:c r="L13" s="57" t="n">
        <x:v>40</x:v>
      </x:c>
      <x:c r="M13" s="58" t="n">
        <x:v>0.8</x:v>
      </x:c>
      <x:c r="N13" s="57" t="n">
        <x:v>2</x:v>
      </x:c>
      <x:c r="O13" s="57" t="n">
        <x:v>500</x:v>
      </x:c>
      <x:c r="P13" s="57" t="n">
        <x:v>3</x:v>
      </x:c>
      <x:c r="Q13" s="57" t="n">
        <x:v>3</x:v>
      </x:c>
      <x:c r="R13" s="57" t="n">
        <x:v>1.5</x:v>
      </x:c>
      <x:c r="S13" s="58" t="n">
        <x:v>0.08</x:v>
      </x:c>
      <x:c r="T13" s="58" t="n">
        <x:v>0.92</x:v>
      </x:c>
      <x:c r="U13" s="60" t="str">
        <x:v>ASSUMPTION</x:v>
      </x:c>
    </x:row>
    <x:row r="14" ht="15" hidden="0" customHeight="1">
      <x:c r="B14" s="47" t="n">
        <x:v>8</x:v>
      </x:c>
      <x:c r="C14" s="47" t="str">
        <x:v>Dialysis</x:v>
      </x:c>
      <x:c r="D14" s="47" t="str">
        <x:v>FLOW</x:v>
      </x:c>
      <x:c r="E14" s="57" t="n">
        <x:v>0.25</x:v>
      </x:c>
      <x:c r="F14" s="57" t="n">
        <x:v>1.5</x:v>
      </x:c>
      <x:c r="G14" s="58" t="n">
        <x:v>0.3</x:v>
      </x:c>
      <x:c r="H14" s="57" t="n">
        <x:v>4</x:v>
      </x:c>
      <x:c r="I14" s="57" t="n">
        <x:v>18</x:v>
      </x:c>
      <x:c r="J14" s="58" t="n">
        <x:v>0.75</x:v>
      </x:c>
      <x:c r="K14" s="57" t="n">
        <x:v>5</x:v>
      </x:c>
      <x:c r="L14" s="57" t="n">
        <x:v>12</x:v>
      </x:c>
      <x:c r="M14" s="58" t="n">
        <x:v>0.8</x:v>
      </x:c>
      <x:c r="N14" s="57" t="n">
        <x:v>1</x:v>
      </x:c>
      <x:c r="O14" s="57" t="n">
        <x:v>150</x:v>
      </x:c>
      <x:c r="P14" s="57" t="n">
        <x:v>2</x:v>
      </x:c>
      <x:c r="Q14" s="57" t="n">
        <x:v>1</x:v>
      </x:c>
      <x:c r="R14" s="57" t="n">
        <x:v>0</x:v>
      </x:c>
      <x:c r="S14" s="58" t="n">
        <x:v>0.02</x:v>
      </x:c>
      <x:c r="T14" s="58" t="n">
        <x:v>0.95</x:v>
      </x:c>
      <x:c r="U14" s="60" t="str">
        <x:v>ASSUMPTION</x:v>
      </x:c>
    </x:row>
    <x:row r="15" ht="15" hidden="0" customHeight="1">
      <x:c r="B15" s="47" t="n">
        <x:v>9</x:v>
      </x:c>
      <x:c r="C15" s="47" t="str">
        <x:v>Isolation / infectious</x:v>
      </x:c>
      <x:c r="D15" s="47" t="str">
        <x:v>CENSUS</x:v>
      </x:c>
      <x:c r="E15" s="57" t="n">
        <x:v>0.1</x:v>
      </x:c>
      <x:c r="F15" s="57" t="n">
        <x:v>2.5</x:v>
      </x:c>
      <x:c r="G15" s="58" t="n">
        <x:v>0.2</x:v>
      </x:c>
      <x:c r="H15" s="57" t="n">
        <x:v>5</x:v>
      </x:c>
      <x:c r="I15" s="57" t="n">
        <x:v>24</x:v>
      </x:c>
      <x:c r="J15" s="58" t="n">
        <x:v>0.8</x:v>
      </x:c>
      <x:c r="K15" s="57" t="n">
        <x:v>10</x:v>
      </x:c>
      <x:c r="L15" s="57" t="n">
        <x:v>8</x:v>
      </x:c>
      <x:c r="M15" s="58" t="n">
        <x:v>0.7</x:v>
      </x:c>
      <x:c r="N15" s="57" t="n">
        <x:v>8</x:v>
      </x:c>
      <x:c r="O15" s="57" t="n">
        <x:v>250</x:v>
      </x:c>
      <x:c r="P15" s="57" t="n">
        <x:v>5</x:v>
      </x:c>
      <x:c r="Q15" s="57" t="n">
        <x:v>4</x:v>
      </x:c>
      <x:c r="R15" s="57" t="n">
        <x:v>0.05</x:v>
      </x:c>
      <x:c r="S15" s="58" t="n">
        <x:v>0.03</x:v>
      </x:c>
      <x:c r="T15" s="58" t="n">
        <x:v>0.8</x:v>
      </x:c>
      <x:c r="U15" s="60" t="str">
        <x:v>ASSUMPTION</x:v>
      </x:c>
    </x:row>
    <x:row r="16" ht="15" hidden="0" customHeight="1">
      <x:c r="B16" s="47" t="n">
        <x:v>10</x:v>
      </x:c>
      <x:c r="C16" s="47" t="str">
        <x:v>Behavioral health</x:v>
      </x:c>
      <x:c r="D16" s="47" t="str">
        <x:v>FLOW</x:v>
      </x:c>
      <x:c r="E16" s="57" t="n">
        <x:v>0.7</x:v>
      </x:c>
      <x:c r="F16" s="57" t="n">
        <x:v>2</x:v>
      </x:c>
      <x:c r="G16" s="58" t="n">
        <x:v>0.35</x:v>
      </x:c>
      <x:c r="H16" s="57" t="n">
        <x:v>1.5</x:v>
      </x:c>
      <x:c r="I16" s="57" t="n">
        <x:v>16</x:v>
      </x:c>
      <x:c r="J16" s="58" t="n">
        <x:v>0.75</x:v>
      </x:c>
      <x:c r="K16" s="57" t="n">
        <x:v>1.5</x:v>
      </x:c>
      <x:c r="L16" s="57" t="n">
        <x:v>1</x:v>
      </x:c>
      <x:c r="M16" s="58" t="n">
        <x:v>0.1</x:v>
      </x:c>
      <x:c r="N16" s="57" t="n">
        <x:v>0</x:v>
      </x:c>
      <x:c r="O16" s="57" t="n">
        <x:v>5</x:v>
      </x:c>
      <x:c r="P16" s="57" t="n">
        <x:v>0.05</x:v>
      </x:c>
      <x:c r="Q16" s="57" t="n">
        <x:v>0.2</x:v>
      </x:c>
      <x:c r="R16" s="57" t="n">
        <x:v>0</x:v>
      </x:c>
      <x:c r="S16" s="58" t="n">
        <x:v>0.01</x:v>
      </x:c>
      <x:c r="T16" s="58" t="n">
        <x:v>0.95</x:v>
      </x:c>
      <x:c r="U16" s="60" t="str">
        <x:v>ASSUMPTION</x:v>
      </x:c>
    </x:row>
    <x:row r="17" ht="15" hidden="0" customHeight="1"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60"/>
      <x:c r="N17" s="60"/>
      <x:c r="O17" s="60"/>
      <x:c r="P17" s="60"/>
      <x:c r="Q17" s="60"/>
      <x:c r="R17" s="60"/>
      <x:c r="S17" s="60"/>
      <x:c r="T17" s="60"/>
      <x:c r="U17" s="60"/>
    </x:row>
    <x:row r="18" ht="15" hidden="0" customHeight="1"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60"/>
      <x:c r="N18" s="60"/>
      <x:c r="O18" s="60"/>
      <x:c r="P18" s="60"/>
      <x:c r="Q18" s="60"/>
      <x:c r="R18" s="60"/>
      <x:c r="S18" s="60"/>
      <x:c r="T18" s="60"/>
      <x:c r="U18" s="60"/>
    </x:row>
    <x:row r="19" ht="15" hidden="0" customHeight="1"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60"/>
      <x:c r="N19" s="60"/>
      <x:c r="O19" s="60"/>
      <x:c r="P19" s="60"/>
      <x:c r="Q19" s="60"/>
      <x:c r="R19" s="60"/>
      <x:c r="S19" s="60"/>
      <x:c r="T19" s="60"/>
      <x:c r="U19" s="60"/>
    </x:row>
    <x:row r="20" ht="15" hidden="0" customHeight="1"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60"/>
      <x:c r="N20" s="60"/>
      <x:c r="O20" s="60"/>
      <x:c r="P20" s="60"/>
      <x:c r="Q20" s="60"/>
      <x:c r="R20" s="60"/>
      <x:c r="S20" s="60"/>
      <x:c r="T20" s="60"/>
      <x:c r="U20" s="60"/>
    </x:row>
    <x:row r="21" ht="15" hidden="0" customHeight="1"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60"/>
      <x:c r="N21" s="60"/>
      <x:c r="O21" s="60"/>
      <x:c r="P21" s="60"/>
      <x:c r="Q21" s="60"/>
      <x:c r="R21" s="60"/>
      <x:c r="S21" s="60"/>
      <x:c r="T21" s="60"/>
      <x:c r="U21" s="60"/>
    </x:row>
    <x:row r="22" ht="15" hidden="0" customHeight="1"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60"/>
      <x:c r="N22" s="60"/>
      <x:c r="O22" s="60"/>
      <x:c r="P22" s="60"/>
      <x:c r="Q22" s="60"/>
      <x:c r="R22" s="60"/>
      <x:c r="S22" s="60"/>
      <x:c r="T22" s="60"/>
      <x:c r="U22" s="60"/>
    </x:row>
    <x:row r="23" ht="15" hidden="0" customHeight="1"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60"/>
      <x:c r="N23" s="60"/>
      <x:c r="O23" s="60"/>
      <x:c r="P23" s="60"/>
      <x:c r="Q23" s="60"/>
      <x:c r="R23" s="60"/>
      <x:c r="S23" s="60"/>
      <x:c r="T23" s="60"/>
      <x:c r="U23" s="60"/>
    </x:row>
    <x:row r="24" ht="15" hidden="0" customHeight="1"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60"/>
      <x:c r="N24" s="60"/>
      <x:c r="O24" s="60"/>
      <x:c r="P24" s="60"/>
      <x:c r="Q24" s="60"/>
      <x:c r="R24" s="60"/>
      <x:c r="S24" s="60"/>
      <x:c r="T24" s="60"/>
      <x:c r="U24" s="60"/>
    </x:row>
    <x:row r="25" ht="15" hidden="0" customHeight="1"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60"/>
      <x:c r="N25" s="60"/>
      <x:c r="O25" s="60"/>
      <x:c r="P25" s="60"/>
      <x:c r="Q25" s="60"/>
      <x:c r="R25" s="60"/>
      <x:c r="S25" s="60"/>
      <x:c r="T25" s="60"/>
      <x:c r="U25" s="60"/>
    </x:row>
    <x:row r="26" ht="15" hidden="0" customHeight="1"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60"/>
      <x:c r="N26" s="60"/>
      <x:c r="O26" s="60"/>
      <x:c r="P26" s="60"/>
      <x:c r="Q26" s="60"/>
      <x:c r="R26" s="60"/>
      <x:c r="S26" s="60"/>
      <x:c r="T26" s="60"/>
      <x:c r="U26" s="60"/>
    </x:row>
    <x:row r="27" ht="15" hidden="0" customHeight="1"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60"/>
      <x:c r="N27" s="60"/>
      <x:c r="O27" s="60"/>
      <x:c r="P27" s="60"/>
      <x:c r="Q27" s="60"/>
      <x:c r="R27" s="60"/>
      <x:c r="S27" s="60"/>
      <x:c r="T27" s="60"/>
      <x:c r="U27" s="60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60"/>
      <x:c r="N28" s="60"/>
      <x:c r="O28" s="60"/>
      <x:c r="P28" s="60"/>
      <x:c r="Q28" s="60"/>
      <x:c r="R28" s="60"/>
      <x:c r="S28" s="60"/>
      <x:c r="T28" s="60"/>
      <x:c r="U28" s="60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60"/>
      <x:c r="N29" s="60"/>
      <x:c r="O29" s="60"/>
      <x:c r="P29" s="60"/>
      <x:c r="Q29" s="60"/>
      <x:c r="R29" s="60"/>
      <x:c r="S29" s="60"/>
      <x:c r="T29" s="60"/>
      <x:c r="U29" s="60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60"/>
      <x:c r="N30" s="60"/>
      <x:c r="O30" s="60"/>
      <x:c r="P30" s="60"/>
      <x:c r="Q30" s="60"/>
      <x:c r="R30" s="60"/>
      <x:c r="S30" s="60"/>
      <x:c r="T30" s="60"/>
      <x:c r="U30" s="60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60"/>
      <x:c r="N31" s="60"/>
      <x:c r="O31" s="60"/>
      <x:c r="P31" s="60"/>
      <x:c r="Q31" s="60"/>
      <x:c r="R31" s="60"/>
      <x:c r="S31" s="60"/>
      <x:c r="T31" s="60"/>
      <x:c r="U31" s="60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60"/>
      <x:c r="N32" s="60"/>
      <x:c r="O32" s="60"/>
      <x:c r="P32" s="60"/>
      <x:c r="Q32" s="60"/>
      <x:c r="R32" s="60"/>
      <x:c r="S32" s="60"/>
      <x:c r="T32" s="60"/>
      <x:c r="U32" s="60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60"/>
      <x:c r="N33" s="60"/>
      <x:c r="O33" s="60"/>
      <x:c r="P33" s="60"/>
      <x:c r="Q33" s="60"/>
      <x:c r="R33" s="60"/>
      <x:c r="S33" s="60"/>
      <x:c r="T33" s="60"/>
      <x:c r="U33" s="60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60"/>
      <x:c r="N34" s="60"/>
      <x:c r="O34" s="60"/>
      <x:c r="P34" s="60"/>
      <x:c r="Q34" s="60"/>
      <x:c r="R34" s="60"/>
      <x:c r="S34" s="60"/>
      <x:c r="T34" s="60"/>
      <x:c r="U34" s="60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60"/>
      <x:c r="N35" s="60"/>
      <x:c r="O35" s="60"/>
      <x:c r="P35" s="60"/>
      <x:c r="Q35" s="60"/>
      <x:c r="R35" s="60"/>
      <x:c r="S35" s="60"/>
      <x:c r="T35" s="60"/>
      <x:c r="U35" s="60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60"/>
      <x:c r="N36" s="60"/>
      <x:c r="O36" s="60"/>
      <x:c r="P36" s="60"/>
      <x:c r="Q36" s="60"/>
      <x:c r="R36" s="60"/>
      <x:c r="S36" s="60"/>
      <x:c r="T36" s="60"/>
      <x:c r="U36" s="60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60"/>
      <x:c r="N37" s="60"/>
      <x:c r="O37" s="60"/>
      <x:c r="P37" s="60"/>
      <x:c r="Q37" s="60"/>
      <x:c r="R37" s="60"/>
      <x:c r="S37" s="60"/>
      <x:c r="T37" s="60"/>
      <x:c r="U37" s="60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60"/>
      <x:c r="N38" s="60"/>
      <x:c r="O38" s="60"/>
      <x:c r="P38" s="60"/>
      <x:c r="Q38" s="60"/>
      <x:c r="R38" s="60"/>
      <x:c r="S38" s="60"/>
      <x:c r="T38" s="60"/>
      <x:c r="U38" s="60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60"/>
      <x:c r="N39" s="60"/>
      <x:c r="O39" s="60"/>
      <x:c r="P39" s="60"/>
      <x:c r="Q39" s="60"/>
      <x:c r="R39" s="60"/>
      <x:c r="S39" s="60"/>
      <x:c r="T39" s="60"/>
      <x:c r="U39" s="60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60"/>
      <x:c r="N40" s="60"/>
      <x:c r="O40" s="60"/>
      <x:c r="P40" s="60"/>
      <x:c r="Q40" s="60"/>
      <x:c r="R40" s="60"/>
      <x:c r="S40" s="60"/>
      <x:c r="T40" s="60"/>
      <x:c r="U40" s="60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60"/>
      <x:c r="N41" s="60"/>
      <x:c r="O41" s="60"/>
      <x:c r="P41" s="60"/>
      <x:c r="Q41" s="60"/>
      <x:c r="R41" s="60"/>
      <x:c r="S41" s="60"/>
      <x:c r="T41" s="60"/>
      <x:c r="U41" s="60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60"/>
      <x:c r="N42" s="60"/>
      <x:c r="O42" s="60"/>
      <x:c r="P42" s="60"/>
      <x:c r="Q42" s="60"/>
      <x:c r="R42" s="60"/>
      <x:c r="S42" s="60"/>
      <x:c r="T42" s="60"/>
      <x:c r="U42" s="60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60"/>
      <x:c r="N43" s="60"/>
      <x:c r="O43" s="60"/>
      <x:c r="P43" s="60"/>
      <x:c r="Q43" s="60"/>
      <x:c r="R43" s="60"/>
      <x:c r="S43" s="60"/>
      <x:c r="T43" s="60"/>
      <x:c r="U43" s="60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60"/>
      <x:c r="N44" s="60"/>
      <x:c r="O44" s="60"/>
      <x:c r="P44" s="60"/>
      <x:c r="Q44" s="60"/>
      <x:c r="R44" s="60"/>
      <x:c r="S44" s="60"/>
      <x:c r="T44" s="60"/>
      <x:c r="U44" s="60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60"/>
      <x:c r="N45" s="60"/>
      <x:c r="O45" s="60"/>
      <x:c r="P45" s="60"/>
      <x:c r="Q45" s="60"/>
      <x:c r="R45" s="60"/>
      <x:c r="S45" s="60"/>
      <x:c r="T45" s="60"/>
      <x:c r="U45" s="60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60"/>
      <x:c r="N46" s="60"/>
      <x:c r="O46" s="60"/>
      <x:c r="P46" s="60"/>
      <x:c r="Q46" s="60"/>
      <x:c r="R46" s="60"/>
      <x:c r="S46" s="60"/>
      <x:c r="T46" s="60"/>
      <x:c r="U46" s="60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60"/>
      <x:c r="N47" s="60"/>
      <x:c r="O47" s="60"/>
      <x:c r="P47" s="60"/>
      <x:c r="Q47" s="60"/>
      <x:c r="R47" s="60"/>
      <x:c r="S47" s="60"/>
      <x:c r="T47" s="60"/>
      <x:c r="U47" s="60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60"/>
      <x:c r="N48" s="60"/>
      <x:c r="O48" s="60"/>
      <x:c r="P48" s="60"/>
      <x:c r="Q48" s="60"/>
      <x:c r="R48" s="60"/>
      <x:c r="S48" s="60"/>
      <x:c r="T48" s="60"/>
      <x:c r="U48" s="60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60"/>
      <x:c r="N49" s="60"/>
      <x:c r="O49" s="60"/>
      <x:c r="P49" s="60"/>
      <x:c r="Q49" s="60"/>
      <x:c r="R49" s="60"/>
      <x:c r="S49" s="60"/>
      <x:c r="T49" s="60"/>
      <x:c r="U49" s="60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60"/>
      <x:c r="N50" s="60"/>
      <x:c r="O50" s="60"/>
      <x:c r="P50" s="60"/>
      <x:c r="Q50" s="60"/>
      <x:c r="R50" s="60"/>
      <x:c r="S50" s="60"/>
      <x:c r="T50" s="60"/>
      <x:c r="U50" s="60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60"/>
      <x:c r="N51" s="60"/>
      <x:c r="O51" s="60"/>
      <x:c r="P51" s="60"/>
      <x:c r="Q51" s="60"/>
      <x:c r="R51" s="60"/>
      <x:c r="S51" s="60"/>
      <x:c r="T51" s="60"/>
      <x:c r="U51" s="60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60"/>
      <x:c r="N52" s="60"/>
      <x:c r="O52" s="60"/>
      <x:c r="P52" s="60"/>
      <x:c r="Q52" s="60"/>
      <x:c r="R52" s="60"/>
      <x:c r="S52" s="60"/>
      <x:c r="T52" s="60"/>
      <x:c r="U52" s="60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60"/>
      <x:c r="N53" s="60"/>
      <x:c r="O53" s="60"/>
      <x:c r="P53" s="60"/>
      <x:c r="Q53" s="60"/>
      <x:c r="R53" s="60"/>
      <x:c r="S53" s="60"/>
      <x:c r="T53" s="60"/>
      <x:c r="U53" s="60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60"/>
      <x:c r="N54" s="60"/>
      <x:c r="O54" s="60"/>
      <x:c r="P54" s="60"/>
      <x:c r="Q54" s="60"/>
      <x:c r="R54" s="60"/>
      <x:c r="S54" s="60"/>
      <x:c r="T54" s="60"/>
      <x:c r="U54" s="60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60"/>
      <x:c r="N55" s="60"/>
      <x:c r="O55" s="60"/>
      <x:c r="P55" s="60"/>
      <x:c r="Q55" s="60"/>
      <x:c r="R55" s="60"/>
      <x:c r="S55" s="60"/>
      <x:c r="T55" s="60"/>
      <x:c r="U55" s="60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60"/>
      <x:c r="N56" s="60"/>
      <x:c r="O56" s="60"/>
      <x:c r="P56" s="60"/>
      <x:c r="Q56" s="60"/>
      <x:c r="R56" s="60"/>
      <x:c r="S56" s="60"/>
      <x:c r="T56" s="60"/>
      <x:c r="U56" s="60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60"/>
      <x:c r="N57" s="60"/>
      <x:c r="O57" s="60"/>
      <x:c r="P57" s="60"/>
      <x:c r="Q57" s="60"/>
      <x:c r="R57" s="60"/>
      <x:c r="S57" s="60"/>
      <x:c r="T57" s="60"/>
      <x:c r="U57" s="60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60"/>
      <x:c r="N58" s="60"/>
      <x:c r="O58" s="60"/>
      <x:c r="P58" s="60"/>
      <x:c r="Q58" s="60"/>
      <x:c r="R58" s="60"/>
      <x:c r="S58" s="60"/>
      <x:c r="T58" s="60"/>
      <x:c r="U58" s="60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60"/>
      <x:c r="N59" s="60"/>
      <x:c r="O59" s="60"/>
      <x:c r="P59" s="60"/>
      <x:c r="Q59" s="60"/>
      <x:c r="R59" s="60"/>
      <x:c r="S59" s="60"/>
      <x:c r="T59" s="60"/>
      <x:c r="U59" s="60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60"/>
      <x:c r="N60" s="60"/>
      <x:c r="O60" s="60"/>
      <x:c r="P60" s="60"/>
      <x:c r="Q60" s="60"/>
      <x:c r="R60" s="60"/>
      <x:c r="S60" s="60"/>
      <x:c r="T60" s="60"/>
      <x:c r="U60" s="60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60"/>
      <x:c r="N61" s="60"/>
      <x:c r="O61" s="60"/>
      <x:c r="P61" s="60"/>
      <x:c r="Q61" s="60"/>
      <x:c r="R61" s="60"/>
      <x:c r="S61" s="60"/>
      <x:c r="T61" s="60"/>
      <x:c r="U61" s="60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60"/>
      <x:c r="N62" s="60"/>
      <x:c r="O62" s="60"/>
      <x:c r="P62" s="60"/>
      <x:c r="Q62" s="60"/>
      <x:c r="R62" s="60"/>
      <x:c r="S62" s="60"/>
      <x:c r="T62" s="60"/>
      <x:c r="U62" s="60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60"/>
      <x:c r="N63" s="60"/>
      <x:c r="O63" s="60"/>
      <x:c r="P63" s="60"/>
      <x:c r="Q63" s="60"/>
      <x:c r="R63" s="60"/>
      <x:c r="S63" s="60"/>
      <x:c r="T63" s="60"/>
      <x:c r="U63" s="60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60"/>
      <x:c r="N64" s="60"/>
      <x:c r="O64" s="60"/>
      <x:c r="P64" s="60"/>
      <x:c r="Q64" s="60"/>
      <x:c r="R64" s="60"/>
      <x:c r="S64" s="60"/>
      <x:c r="T64" s="60"/>
      <x:c r="U64" s="60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60"/>
      <x:c r="N65" s="60"/>
      <x:c r="O65" s="60"/>
      <x:c r="P65" s="60"/>
      <x:c r="Q65" s="60"/>
      <x:c r="R65" s="60"/>
      <x:c r="S65" s="60"/>
      <x:c r="T65" s="60"/>
      <x:c r="U65" s="60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60"/>
      <x:c r="N66" s="60"/>
      <x:c r="O66" s="60"/>
      <x:c r="P66" s="60"/>
      <x:c r="Q66" s="60"/>
      <x:c r="R66" s="60"/>
      <x:c r="S66" s="60"/>
      <x:c r="T66" s="60"/>
      <x:c r="U66" s="60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60"/>
      <x:c r="N67" s="60"/>
      <x:c r="O67" s="60"/>
      <x:c r="P67" s="60"/>
      <x:c r="Q67" s="60"/>
      <x:c r="R67" s="60"/>
      <x:c r="S67" s="60"/>
      <x:c r="T67" s="60"/>
      <x:c r="U67" s="60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60"/>
      <x:c r="N68" s="60"/>
      <x:c r="O68" s="60"/>
      <x:c r="P68" s="60"/>
      <x:c r="Q68" s="60"/>
      <x:c r="R68" s="60"/>
      <x:c r="S68" s="60"/>
      <x:c r="T68" s="60"/>
      <x:c r="U68" s="60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60"/>
      <x:c r="N69" s="60"/>
      <x:c r="O69" s="60"/>
      <x:c r="P69" s="60"/>
      <x:c r="Q69" s="60"/>
      <x:c r="R69" s="60"/>
      <x:c r="S69" s="60"/>
      <x:c r="T69" s="60"/>
      <x:c r="U69" s="60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60"/>
      <x:c r="N70" s="60"/>
      <x:c r="O70" s="60"/>
      <x:c r="P70" s="60"/>
      <x:c r="Q70" s="60"/>
      <x:c r="R70" s="60"/>
      <x:c r="S70" s="60"/>
      <x:c r="T70" s="60"/>
      <x:c r="U70" s="60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60"/>
      <x:c r="N71" s="60"/>
      <x:c r="O71" s="60"/>
      <x:c r="P71" s="60"/>
      <x:c r="Q71" s="60"/>
      <x:c r="R71" s="60"/>
      <x:c r="S71" s="60"/>
      <x:c r="T71" s="60"/>
      <x:c r="U71" s="60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60"/>
      <x:c r="N72" s="60"/>
      <x:c r="O72" s="60"/>
      <x:c r="P72" s="60"/>
      <x:c r="Q72" s="60"/>
      <x:c r="R72" s="60"/>
      <x:c r="S72" s="60"/>
      <x:c r="T72" s="60"/>
      <x:c r="U72" s="60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60"/>
      <x:c r="N73" s="60"/>
      <x:c r="O73" s="60"/>
      <x:c r="P73" s="60"/>
      <x:c r="Q73" s="60"/>
      <x:c r="R73" s="60"/>
      <x:c r="S73" s="60"/>
      <x:c r="T73" s="60"/>
      <x:c r="U73" s="60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60"/>
      <x:c r="N74" s="60"/>
      <x:c r="O74" s="60"/>
      <x:c r="P74" s="60"/>
      <x:c r="Q74" s="60"/>
      <x:c r="R74" s="60"/>
      <x:c r="S74" s="60"/>
      <x:c r="T74" s="60"/>
      <x:c r="U74" s="60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60"/>
      <x:c r="N75" s="60"/>
      <x:c r="O75" s="60"/>
      <x:c r="P75" s="60"/>
      <x:c r="Q75" s="60"/>
      <x:c r="R75" s="60"/>
      <x:c r="S75" s="60"/>
      <x:c r="T75" s="60"/>
      <x:c r="U75" s="60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60"/>
      <x:c r="N76" s="60"/>
      <x:c r="O76" s="60"/>
      <x:c r="P76" s="60"/>
      <x:c r="Q76" s="60"/>
      <x:c r="R76" s="60"/>
      <x:c r="S76" s="60"/>
      <x:c r="T76" s="60"/>
      <x:c r="U76" s="60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60"/>
      <x:c r="N77" s="60"/>
      <x:c r="O77" s="60"/>
      <x:c r="P77" s="60"/>
      <x:c r="Q77" s="60"/>
      <x:c r="R77" s="60"/>
      <x:c r="S77" s="60"/>
      <x:c r="T77" s="60"/>
      <x:c r="U77" s="60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60"/>
      <x:c r="N78" s="60"/>
      <x:c r="O78" s="60"/>
      <x:c r="P78" s="60"/>
      <x:c r="Q78" s="60"/>
      <x:c r="R78" s="60"/>
      <x:c r="S78" s="60"/>
      <x:c r="T78" s="60"/>
      <x:c r="U78" s="60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60"/>
      <x:c r="N79" s="60"/>
      <x:c r="O79" s="60"/>
      <x:c r="P79" s="60"/>
      <x:c r="Q79" s="60"/>
      <x:c r="R79" s="60"/>
      <x:c r="S79" s="60"/>
      <x:c r="T79" s="60"/>
      <x:c r="U79" s="60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60"/>
      <x:c r="N80" s="60"/>
      <x:c r="O80" s="60"/>
      <x:c r="P80" s="60"/>
      <x:c r="Q80" s="60"/>
      <x:c r="R80" s="60"/>
      <x:c r="S80" s="60"/>
      <x:c r="T80" s="60"/>
      <x:c r="U80" s="60"/>
    </x:row>
  </x:sheetData>
  <x:mergeCells>
    <x:mergeCell ref="B2:L2"/>
    <x:mergeCell ref="B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7" hidden="0" customWidth="1"/>
    <x:col min="3" max="3" width="27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1" max="1" width="3" hidden="0" customWidth="1"/>
  </x:cols>
  <x:sheetData>
    <x:row r="2" ht="18" hidden="0" customHeight="1">
      <x:c r="B2" s="50" t="str">
        <x:v>Care demand and resource derivation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60"/>
      <x:c r="N2" s="60"/>
      <x:c r="O2" s="60"/>
      <x:c r="P2" s="60"/>
      <x:c r="Q2" s="60"/>
      <x:c r="R2" s="60"/>
      <x:c r="S2" s="60"/>
    </x:row>
    <x:row r="3" ht="15" hidden="0" customHeight="1">
      <x:c r="B3" s="42" t="str">
        <x:v>Reference population and care assumptions produce workload, positions, labor, electricity, consumables, tests, blood, transfers and discharge obligations.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60"/>
      <x:c r="N3" s="60"/>
      <x:c r="O3" s="60"/>
      <x:c r="P3" s="60"/>
      <x:c r="Q3" s="60"/>
      <x:c r="R3" s="60"/>
      <x:c r="S3" s="60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60"/>
      <x:c r="N4" s="60"/>
      <x:c r="O4" s="60"/>
      <x:c r="P4" s="60"/>
      <x:c r="Q4" s="60"/>
      <x:c r="R4" s="60"/>
      <x:c r="S4" s="60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60"/>
      <x:c r="N5" s="60"/>
      <x:c r="O5" s="60"/>
      <x:c r="P5" s="60"/>
      <x:c r="Q5" s="60"/>
      <x:c r="R5" s="60"/>
      <x:c r="S5" s="60"/>
    </x:row>
    <x:row r="6" ht="15" hidden="0" customHeight="1">
      <x:c r="B6" s="45" t="str">
        <x:v>ID</x:v>
      </x:c>
      <x:c r="C6" s="45" t="str">
        <x:v>Care line</x:v>
      </x:c>
      <x:c r="D6" s="45" t="str">
        <x:v>Mode</x:v>
      </x:c>
      <x:c r="E6" s="45" t="str">
        <x:v>Gross demand/day</x:v>
      </x:c>
      <x:c r="F6" s="45" t="str">
        <x:v>Local capacity/day</x:v>
      </x:c>
      <x:c r="G6" s="45" t="str">
        <x:v>Force demand/day</x:v>
      </x:c>
      <x:c r="H6" s="45" t="str">
        <x:v>Workload/day</x:v>
      </x:c>
      <x:c r="I6" s="45" t="str">
        <x:v>Required positions</x:v>
      </x:c>
      <x:c r="J6" s="45" t="str">
        <x:v>Direct staff h/day</x:v>
      </x:c>
      <x:c r="K6" s="45" t="str">
        <x:v>Direct MW</x:v>
      </x:c>
      <x:c r="L6" s="45" t="str">
        <x:v>No-break MW</x:v>
      </x:c>
      <x:c r="M6" s="45" t="str">
        <x:v>O2 m3/day</x:v>
      </x:c>
      <x:c r="N6" s="45" t="str">
        <x:v>Water m3/day</x:v>
      </x:c>
      <x:c r="O6" s="45" t="str">
        <x:v>Med waste t/day</x:v>
      </x:c>
      <x:c r="P6" s="45" t="str">
        <x:v>Lab tests/day</x:v>
      </x:c>
      <x:c r="Q6" s="45" t="str">
        <x:v>Blood units/day</x:v>
      </x:c>
      <x:c r="R6" s="45" t="str">
        <x:v>Transfers/day</x:v>
      </x:c>
      <x:c r="S6" s="45" t="str">
        <x:v>Discharges/day</x:v>
      </x:c>
    </x:row>
    <x:row r="7" ht="15" hidden="0" customHeight="1">
      <x:c r="B7" s="47" t="n">
        <x:f>'03 Care inputs'!B7</x:f>
        <x:v>1</x:v>
      </x:c>
      <x:c r="C7" s="47" t="str">
        <x:f>'03 Care inputs'!C7</x:f>
        <x:v>Community continuity</x:v>
      </x:c>
      <x:c r="D7" s="47" t="str">
        <x:f>'03 Care inputs'!D7</x:f>
        <x:v>FLOW</x:v>
      </x:c>
      <x:c r="E7" s="66" t="n">
        <x:f>ROUND('01 Controls'!$D$7/1000*'03 Care inputs'!E7*'03 Care inputs'!F7,4)</x:f>
        <x:v>5250</x:v>
      </x:c>
      <x:c r="F7" s="66" t="n">
        <x:f>ROUND('01 Controls'!$D$7/1000*'03 Care inputs'!E7*'03 Care inputs'!G7,4)</x:f>
        <x:v>1400</x:v>
      </x:c>
      <x:c r="G7" s="66" t="n">
        <x:f>MAX(0,E7-F7)</x:f>
        <x:v>3850</x:v>
      </x:c>
      <x:c r="H7" s="66" t="n">
        <x:f>IF(D7="CENSUS",G7*'03 Care inputs'!H7,G7)</x:f>
        <x:v>3850</x:v>
      </x:c>
      <x:c r="I7" s="67" t="n">
        <x:f>IF(D7="CENSUS",ROUNDUP(H7/'03 Care inputs'!J7,0),ROUNDUP(G7*'03 Care inputs'!H7/('03 Care inputs'!I7*'03 Care inputs'!J7),0))</x:f>
        <x:v>76</x:v>
      </x:c>
      <x:c r="J7" s="66" t="n">
        <x:f>H7*'03 Care inputs'!K7</x:f>
        <x:v>1540</x:v>
      </x:c>
      <x:c r="K7" s="66" t="n">
        <x:f>I7*'03 Care inputs'!L7/1000</x:f>
        <x:v>0.06080000000000001</x:v>
      </x:c>
      <x:c r="L7" s="66" t="n">
        <x:f>K7*'03 Care inputs'!M7</x:f>
        <x:v>0</x:v>
      </x:c>
      <x:c r="M7" s="68" t="n">
        <x:f>H7*'03 Care inputs'!N7</x:f>
        <x:v>0</x:v>
      </x:c>
      <x:c r="N7" s="68" t="n">
        <x:f>H7*'03 Care inputs'!O7/1000</x:f>
        <x:v>7.7</x:v>
      </x:c>
      <x:c r="O7" s="68" t="n">
        <x:f>H7*'03 Care inputs'!P7/1000</x:f>
        <x:v>0.1925</x:v>
      </x:c>
      <x:c r="P7" s="68" t="n">
        <x:f>H7*'03 Care inputs'!Q7</x:f>
        <x:v>385</x:v>
      </x:c>
      <x:c r="Q7" s="68" t="n">
        <x:f>H7*'03 Care inputs'!R7</x:f>
        <x:v>0</x:v>
      </x:c>
      <x:c r="R7" s="68" t="n">
        <x:f>G7*'03 Care inputs'!S7</x:f>
        <x:v>0</x:v>
      </x:c>
      <x:c r="S7" s="68" t="n">
        <x:f>G7*'03 Care inputs'!T7</x:f>
        <x:v>0</x:v>
      </x:c>
    </x:row>
    <x:row r="8" ht="15" hidden="0" customHeight="1">
      <x:c r="B8" s="47" t="n">
        <x:f>'03 Care inputs'!B8</x:f>
        <x:v>2</x:v>
      </x:c>
      <x:c r="C8" s="47" t="str">
        <x:f>'03 Care inputs'!C8</x:f>
        <x:v>Emergency / resuscitation</x:v>
      </x:c>
      <x:c r="D8" s="47" t="str">
        <x:f>'03 Care inputs'!D8</x:f>
        <x:v>FLOW</x:v>
      </x:c>
      <x:c r="E8" s="66" t="n">
        <x:f>ROUND('01 Controls'!$D$7/1000*'03 Care inputs'!E8*'03 Care inputs'!F8,4)</x:f>
        <x:v>500</x:v>
      </x:c>
      <x:c r="F8" s="66" t="n">
        <x:f>ROUND('01 Controls'!$D$7/1000*'03 Care inputs'!E8*'03 Care inputs'!G8,4)</x:f>
        <x:v>87.5</x:v>
      </x:c>
      <x:c r="G8" s="66" t="n">
        <x:f>MAX(0,E8-F8)</x:f>
        <x:v>412.5</x:v>
      </x:c>
      <x:c r="H8" s="66" t="n">
        <x:f>IF(D8="CENSUS",G8*'03 Care inputs'!H8,G8)</x:f>
        <x:v>412.5</x:v>
      </x:c>
      <x:c r="I8" s="67" t="n">
        <x:f>IF(D8="CENSUS",ROUNDUP(H8/'03 Care inputs'!J8,0),ROUNDUP(G8*'03 Care inputs'!H8/('03 Care inputs'!I8*'03 Care inputs'!J8),0))</x:f>
        <x:v>46</x:v>
      </x:c>
      <x:c r="J8" s="66" t="n">
        <x:f>H8*'03 Care inputs'!K8</x:f>
        <x:v>1443.75</x:v>
      </x:c>
      <x:c r="K8" s="66" t="n">
        <x:f>I8*'03 Care inputs'!L8/1000</x:f>
        <x:v>0.46</x:v>
      </x:c>
      <x:c r="L8" s="66" t="n">
        <x:f>K8*'03 Care inputs'!M8</x:f>
        <x:v>0.322</x:v>
      </x:c>
      <x:c r="M8" s="68" t="n">
        <x:f>H8*'03 Care inputs'!N8</x:f>
        <x:v>825</x:v>
      </x:c>
      <x:c r="N8" s="68" t="n">
        <x:f>H8*'03 Care inputs'!O8/1000</x:f>
        <x:v>10.3125</x:v>
      </x:c>
      <x:c r="O8" s="68" t="n">
        <x:f>H8*'03 Care inputs'!P8/1000</x:f>
        <x:v>0.61875</x:v>
      </x:c>
      <x:c r="P8" s="68" t="n">
        <x:f>H8*'03 Care inputs'!Q8</x:f>
        <x:v>825</x:v>
      </x:c>
      <x:c r="Q8" s="68" t="n">
        <x:f>H8*'03 Care inputs'!R8</x:f>
        <x:v>20.625</x:v>
      </x:c>
      <x:c r="R8" s="68" t="n">
        <x:f>G8*'03 Care inputs'!S8</x:f>
        <x:v>33</x:v>
      </x:c>
      <x:c r="S8" s="68" t="n">
        <x:f>G8*'03 Care inputs'!T8</x:f>
        <x:v>103.125</x:v>
      </x:c>
    </x:row>
    <x:row r="9" ht="15" hidden="0" customHeight="1">
      <x:c r="B9" s="47" t="n">
        <x:f>'03 Care inputs'!B9</x:f>
        <x:v>3</x:v>
      </x:c>
      <x:c r="C9" s="47" t="str">
        <x:f>'03 Care inputs'!C9</x:f>
        <x:v>Observation</x:v>
      </x:c>
      <x:c r="D9" s="47" t="str">
        <x:f>'03 Care inputs'!D9</x:f>
        <x:v>CENSUS</x:v>
      </x:c>
      <x:c r="E9" s="66" t="n">
        <x:f>ROUND('01 Controls'!$D$7/1000*'03 Care inputs'!E9*'03 Care inputs'!F9,4)</x:f>
        <x:v>176</x:v>
      </x:c>
      <x:c r="F9" s="66" t="n">
        <x:f>ROUND('01 Controls'!$D$7/1000*'03 Care inputs'!E9*'03 Care inputs'!G9,4)</x:f>
        <x:v>28</x:v>
      </x:c>
      <x:c r="G9" s="66" t="n">
        <x:f>MAX(0,E9-F9)</x:f>
        <x:v>148</x:v>
      </x:c>
      <x:c r="H9" s="66" t="n">
        <x:f>IF(D9="CENSUS",G9*'03 Care inputs'!H9,G9)</x:f>
        <x:v>74</x:v>
      </x:c>
      <x:c r="I9" s="67" t="n">
        <x:f>IF(D9="CENSUS",ROUNDUP(H9/'03 Care inputs'!J9,0),ROUNDUP(G9*'03 Care inputs'!H9/('03 Care inputs'!I9*'03 Care inputs'!J9),0))</x:f>
        <x:v>83</x:v>
      </x:c>
      <x:c r="J9" s="66" t="n">
        <x:f>H9*'03 Care inputs'!K9</x:f>
        <x:v>592</x:v>
      </x:c>
      <x:c r="K9" s="66" t="n">
        <x:f>I9*'03 Care inputs'!L9/1000</x:f>
        <x:v>0.332</x:v>
      </x:c>
      <x:c r="L9" s="66" t="n">
        <x:f>K9*'03 Care inputs'!M9</x:f>
        <x:v>0.19920000000000002</x:v>
      </x:c>
      <x:c r="M9" s="68" t="n">
        <x:f>H9*'03 Care inputs'!N9</x:f>
        <x:v>148</x:v>
      </x:c>
      <x:c r="N9" s="68" t="n">
        <x:f>H9*'03 Care inputs'!O9/1000</x:f>
        <x:v>5.55</x:v>
      </x:c>
      <x:c r="O9" s="68" t="n">
        <x:f>H9*'03 Care inputs'!P9/1000</x:f>
        <x:v>0.148</x:v>
      </x:c>
      <x:c r="P9" s="68" t="n">
        <x:f>H9*'03 Care inputs'!Q9</x:f>
        <x:v>148</x:v>
      </x:c>
      <x:c r="Q9" s="68" t="n">
        <x:f>H9*'03 Care inputs'!R9</x:f>
        <x:v>0</x:v>
      </x:c>
      <x:c r="R9" s="68" t="n">
        <x:f>G9*'03 Care inputs'!S9</x:f>
        <x:v>7.4</x:v>
      </x:c>
      <x:c r="S9" s="68" t="n">
        <x:f>G9*'03 Care inputs'!T9</x:f>
        <x:v>133.20000000000002</x:v>
      </x:c>
    </x:row>
    <x:row r="10" ht="15" hidden="0" customHeight="1">
      <x:c r="B10" s="47" t="n">
        <x:f>'03 Care inputs'!B10</x:f>
        <x:v>4</x:v>
      </x:c>
      <x:c r="C10" s="47" t="str">
        <x:f>'03 Care inputs'!C10</x:f>
        <x:v>Ward inpatient</x:v>
      </x:c>
      <x:c r="D10" s="47" t="str">
        <x:f>'03 Care inputs'!D10</x:f>
        <x:v>CENSUS</x:v>
      </x:c>
      <x:c r="E10" s="66" t="n">
        <x:f>ROUND('01 Controls'!$D$7/1000*'03 Care inputs'!E10*'03 Care inputs'!F10,4)</x:f>
        <x:v>100</x:v>
      </x:c>
      <x:c r="F10" s="66" t="n">
        <x:f>ROUND('01 Controls'!$D$7/1000*'03 Care inputs'!E10*'03 Care inputs'!G10,4)</x:f>
        <x:v>10</x:v>
      </x:c>
      <x:c r="G10" s="66" t="n">
        <x:f>MAX(0,E10-F10)</x:f>
        <x:v>90</x:v>
      </x:c>
      <x:c r="H10" s="66" t="n">
        <x:f>IF(D10="CENSUS",G10*'03 Care inputs'!H10,G10)</x:f>
        <x:v>360</x:v>
      </x:c>
      <x:c r="I10" s="67" t="n">
        <x:f>IF(D10="CENSUS",ROUNDUP(H10/'03 Care inputs'!J10,0),ROUNDUP(G10*'03 Care inputs'!H10/('03 Care inputs'!I10*'03 Care inputs'!J10),0))</x:f>
        <x:v>424</x:v>
      </x:c>
      <x:c r="J10" s="66" t="n">
        <x:f>H10*'03 Care inputs'!K10</x:f>
        <x:v>2520</x:v>
      </x:c>
      <x:c r="K10" s="66" t="n">
        <x:f>I10*'03 Care inputs'!L10/1000</x:f>
        <x:v>1.272</x:v>
      </x:c>
      <x:c r="L10" s="66" t="n">
        <x:f>K10*'03 Care inputs'!M10</x:f>
        <x:v>0.4452</x:v>
      </x:c>
      <x:c r="M10" s="68" t="n">
        <x:f>H10*'03 Care inputs'!N10</x:f>
        <x:v>1080</x:v>
      </x:c>
      <x:c r="N10" s="68" t="n">
        <x:f>H10*'03 Care inputs'!O10/1000</x:f>
        <x:v>72</x:v>
      </x:c>
      <x:c r="O10" s="68" t="n">
        <x:f>H10*'03 Care inputs'!P10/1000</x:f>
        <x:v>1.08</x:v>
      </x:c>
      <x:c r="P10" s="68" t="n">
        <x:f>H10*'03 Care inputs'!Q10</x:f>
        <x:v>540</x:v>
      </x:c>
      <x:c r="Q10" s="68" t="n">
        <x:f>H10*'03 Care inputs'!R10</x:f>
        <x:v>7.2</x:v>
      </x:c>
      <x:c r="R10" s="68" t="n">
        <x:f>G10*'03 Care inputs'!S10</x:f>
        <x:v>2.6999999999999997</x:v>
      </x:c>
      <x:c r="S10" s="68" t="n">
        <x:f>G10*'03 Care inputs'!T10</x:f>
        <x:v>76.5</x:v>
      </x:c>
    </x:row>
    <x:row r="11" ht="15" hidden="0" customHeight="1">
      <x:c r="B11" s="47" t="n">
        <x:f>'03 Care inputs'!B11</x:f>
        <x:v>5</x:v>
      </x:c>
      <x:c r="C11" s="47" t="str">
        <x:f>'03 Care inputs'!C11</x:f>
        <x:v>Critical care</x:v>
      </x:c>
      <x:c r="D11" s="47" t="str">
        <x:f>'03 Care inputs'!D11</x:f>
        <x:v>CENSUS</x:v>
      </x:c>
      <x:c r="E11" s="66" t="n">
        <x:f>ROUND('01 Controls'!$D$7/1000*'03 Care inputs'!E11*'03 Care inputs'!F11,4)</x:f>
        <x:v>24</x:v>
      </x:c>
      <x:c r="F11" s="66" t="n">
        <x:f>ROUND('01 Controls'!$D$7/1000*'03 Care inputs'!E11*'03 Care inputs'!G11,4)</x:f>
        <x:v>1.6</x:v>
      </x:c>
      <x:c r="G11" s="66" t="n">
        <x:f>MAX(0,E11-F11)</x:f>
        <x:v>22.4</x:v>
      </x:c>
      <x:c r="H11" s="66" t="n">
        <x:f>IF(D11="CENSUS",G11*'03 Care inputs'!H11,G11)</x:f>
        <x:v>112</x:v>
      </x:c>
      <x:c r="I11" s="67" t="n">
        <x:f>IF(D11="CENSUS",ROUNDUP(H11/'03 Care inputs'!J11,0),ROUNDUP(G11*'03 Care inputs'!H11/('03 Care inputs'!I11*'03 Care inputs'!J11),0))</x:f>
        <x:v>140</x:v>
      </x:c>
      <x:c r="J11" s="66" t="n">
        <x:f>H11*'03 Care inputs'!K11</x:f>
        <x:v>2688</x:v>
      </x:c>
      <x:c r="K11" s="66" t="n">
        <x:f>I11*'03 Care inputs'!L11/1000</x:f>
        <x:v>2.1</x:v>
      </x:c>
      <x:c r="L11" s="66" t="n">
        <x:f>K11*'03 Care inputs'!M11</x:f>
        <x:v>2.1</x:v>
      </x:c>
      <x:c r="M11" s="68" t="n">
        <x:f>H11*'03 Care inputs'!N11</x:f>
        <x:v>2800</x:v>
      </x:c>
      <x:c r="N11" s="68" t="n">
        <x:f>H11*'03 Care inputs'!O11/1000</x:f>
        <x:v>39.2</x:v>
      </x:c>
      <x:c r="O11" s="68" t="n">
        <x:f>H11*'03 Care inputs'!P11/1000</x:f>
        <x:v>0.672</x:v>
      </x:c>
      <x:c r="P11" s="68" t="n">
        <x:f>H11*'03 Care inputs'!Q11</x:f>
        <x:v>560</x:v>
      </x:c>
      <x:c r="Q11" s="68" t="n">
        <x:f>H11*'03 Care inputs'!R11</x:f>
        <x:v>11.200000000000001</x:v>
      </x:c>
      <x:c r="R11" s="68" t="n">
        <x:f>G11*'03 Care inputs'!S11</x:f>
        <x:v>3.36</x:v>
      </x:c>
      <x:c r="S11" s="68" t="n">
        <x:f>G11*'03 Care inputs'!T11</x:f>
        <x:v>15.679999999999998</x:v>
      </x:c>
    </x:row>
    <x:row r="12" ht="15" hidden="0" customHeight="1">
      <x:c r="B12" s="47" t="n">
        <x:f>'03 Care inputs'!B12</x:f>
        <x:v>6</x:v>
      </x:c>
      <x:c r="C12" s="47" t="str">
        <x:f>'03 Care inputs'!C12</x:f>
        <x:v>Surgery</x:v>
      </x:c>
      <x:c r="D12" s="47" t="str">
        <x:f>'03 Care inputs'!D12</x:f>
        <x:v>FLOW</x:v>
      </x:c>
      <x:c r="E12" s="66" t="n">
        <x:f>ROUND('01 Controls'!$D$7/1000*'03 Care inputs'!E12*'03 Care inputs'!F12,4)</x:f>
        <x:v>45</x:v>
      </x:c>
      <x:c r="F12" s="66" t="n">
        <x:f>ROUND('01 Controls'!$D$7/1000*'03 Care inputs'!E12*'03 Care inputs'!G12,4)</x:f>
        <x:v>3.75</x:v>
      </x:c>
      <x:c r="G12" s="66" t="n">
        <x:f>MAX(0,E12-F12)</x:f>
        <x:v>41.25</x:v>
      </x:c>
      <x:c r="H12" s="66" t="n">
        <x:f>IF(D12="CENSUS",G12*'03 Care inputs'!H12,G12)</x:f>
        <x:v>41.25</x:v>
      </x:c>
      <x:c r="I12" s="67" t="n">
        <x:f>IF(D12="CENSUS",ROUNDUP(H12/'03 Care inputs'!J12,0),ROUNDUP(G12*'03 Care inputs'!H12/('03 Care inputs'!I12*'03 Care inputs'!J12),0))</x:f>
        <x:v>10</x:v>
      </x:c>
      <x:c r="J12" s="66" t="n">
        <x:f>H12*'03 Care inputs'!K12</x:f>
        <x:v>742.5</x:v>
      </x:c>
      <x:c r="K12" s="66" t="n">
        <x:f>I12*'03 Care inputs'!L12/1000</x:f>
        <x:v>0.8</x:v>
      </x:c>
      <x:c r="L12" s="66" t="n">
        <x:f>K12*'03 Care inputs'!M12</x:f>
        <x:v>0.8</x:v>
      </x:c>
      <x:c r="M12" s="68" t="n">
        <x:f>H12*'03 Care inputs'!N12</x:f>
        <x:v>330</x:v>
      </x:c>
      <x:c r="N12" s="68" t="n">
        <x:f>H12*'03 Care inputs'!O12/1000</x:f>
        <x:v>16.5</x:v>
      </x:c>
      <x:c r="O12" s="68" t="n">
        <x:f>H12*'03 Care inputs'!P12/1000</x:f>
        <x:v>0.165</x:v>
      </x:c>
      <x:c r="P12" s="68" t="n">
        <x:f>H12*'03 Care inputs'!Q12</x:f>
        <x:v>82.5</x:v>
      </x:c>
      <x:c r="Q12" s="68" t="n">
        <x:f>H12*'03 Care inputs'!R12</x:f>
        <x:v>82.5</x:v>
      </x:c>
      <x:c r="R12" s="68" t="n">
        <x:f>G12*'03 Care inputs'!S12</x:f>
        <x:v>2.0625</x:v>
      </x:c>
      <x:c r="S12" s="68" t="n">
        <x:f>G12*'03 Care inputs'!T12</x:f>
        <x:v>33</x:v>
      </x:c>
    </x:row>
    <x:row r="13" ht="15" hidden="0" customHeight="1">
      <x:c r="B13" s="47" t="n">
        <x:f>'03 Care inputs'!B13</x:f>
        <x:v>7</x:v>
      </x:c>
      <x:c r="C13" s="47" t="str">
        <x:f>'03 Care inputs'!C13</x:f>
        <x:v>Maternal / neonatal</x:v>
      </x:c>
      <x:c r="D13" s="47" t="str">
        <x:f>'03 Care inputs'!D13</x:f>
        <x:v>FLOW</x:v>
      </x:c>
      <x:c r="E13" s="66" t="n">
        <x:f>ROUND('01 Controls'!$D$7/1000*'03 Care inputs'!E13*'03 Care inputs'!F13,4)</x:f>
        <x:v>16.8</x:v>
      </x:c>
      <x:c r="F13" s="66" t="n">
        <x:f>ROUND('01 Controls'!$D$7/1000*'03 Care inputs'!E13*'03 Care inputs'!G13,4)</x:f>
        <x:v>4.8</x:v>
      </x:c>
      <x:c r="G13" s="66" t="n">
        <x:f>MAX(0,E13-F13)</x:f>
        <x:v>12</x:v>
      </x:c>
      <x:c r="H13" s="66" t="n">
        <x:f>IF(D13="CENSUS",G13*'03 Care inputs'!H13,G13)</x:f>
        <x:v>12</x:v>
      </x:c>
      <x:c r="I13" s="67" t="n">
        <x:f>IF(D13="CENSUS",ROUNDUP(H13/'03 Care inputs'!J13,0),ROUNDUP(G13*'03 Care inputs'!H13/('03 Care inputs'!I13*'03 Care inputs'!J13),0))</x:f>
        <x:v>4</x:v>
      </x:c>
      <x:c r="J13" s="66" t="n">
        <x:f>H13*'03 Care inputs'!K13</x:f>
        <x:v>216</x:v>
      </x:c>
      <x:c r="K13" s="66" t="n">
        <x:f>I13*'03 Care inputs'!L13/1000</x:f>
        <x:v>0.16</x:v>
      </x:c>
      <x:c r="L13" s="66" t="n">
        <x:f>K13*'03 Care inputs'!M13</x:f>
        <x:v>0.128</x:v>
      </x:c>
      <x:c r="M13" s="68" t="n">
        <x:f>H13*'03 Care inputs'!N13</x:f>
        <x:v>24</x:v>
      </x:c>
      <x:c r="N13" s="68" t="n">
        <x:f>H13*'03 Care inputs'!O13/1000</x:f>
        <x:v>6</x:v>
      </x:c>
      <x:c r="O13" s="68" t="n">
        <x:f>H13*'03 Care inputs'!P13/1000</x:f>
        <x:v>0.036</x:v>
      </x:c>
      <x:c r="P13" s="68" t="n">
        <x:f>H13*'03 Care inputs'!Q13</x:f>
        <x:v>36</x:v>
      </x:c>
      <x:c r="Q13" s="68" t="n">
        <x:f>H13*'03 Care inputs'!R13</x:f>
        <x:v>18</x:v>
      </x:c>
      <x:c r="R13" s="68" t="n">
        <x:f>G13*'03 Care inputs'!S13</x:f>
        <x:v>0.96</x:v>
      </x:c>
      <x:c r="S13" s="68" t="n">
        <x:f>G13*'03 Care inputs'!T13</x:f>
        <x:v>11.040000000000001</x:v>
      </x:c>
    </x:row>
    <x:row r="14" ht="15" hidden="0" customHeight="1">
      <x:c r="B14" s="47" t="n">
        <x:f>'03 Care inputs'!B14</x:f>
        <x:v>8</x:v>
      </x:c>
      <x:c r="C14" s="47" t="str">
        <x:f>'03 Care inputs'!C14</x:f>
        <x:v>Dialysis</x:v>
      </x:c>
      <x:c r="D14" s="47" t="str">
        <x:f>'03 Care inputs'!D14</x:f>
        <x:v>FLOW</x:v>
      </x:c>
      <x:c r="E14" s="66" t="n">
        <x:f>ROUND('01 Controls'!$D$7/1000*'03 Care inputs'!E14*'03 Care inputs'!F14,4)</x:f>
        <x:v>37.5</x:v>
      </x:c>
      <x:c r="F14" s="66" t="n">
        <x:f>ROUND('01 Controls'!$D$7/1000*'03 Care inputs'!E14*'03 Care inputs'!G14,4)</x:f>
        <x:v>7.5</x:v>
      </x:c>
      <x:c r="G14" s="66" t="n">
        <x:f>MAX(0,E14-F14)</x:f>
        <x:v>30</x:v>
      </x:c>
      <x:c r="H14" s="66" t="n">
        <x:f>IF(D14="CENSUS",G14*'03 Care inputs'!H14,G14)</x:f>
        <x:v>30</x:v>
      </x:c>
      <x:c r="I14" s="67" t="n">
        <x:f>IF(D14="CENSUS",ROUNDUP(H14/'03 Care inputs'!J14,0),ROUNDUP(G14*'03 Care inputs'!H14/('03 Care inputs'!I14*'03 Care inputs'!J14),0))</x:f>
        <x:v>9</x:v>
      </x:c>
      <x:c r="J14" s="66" t="n">
        <x:f>H14*'03 Care inputs'!K14</x:f>
        <x:v>150</x:v>
      </x:c>
      <x:c r="K14" s="66" t="n">
        <x:f>I14*'03 Care inputs'!L14/1000</x:f>
        <x:v>0.108</x:v>
      </x:c>
      <x:c r="L14" s="66" t="n">
        <x:f>K14*'03 Care inputs'!M14</x:f>
        <x:v>0.0864</x:v>
      </x:c>
      <x:c r="M14" s="68" t="n">
        <x:f>H14*'03 Care inputs'!N14</x:f>
        <x:v>30</x:v>
      </x:c>
      <x:c r="N14" s="68" t="n">
        <x:f>H14*'03 Care inputs'!O14/1000</x:f>
        <x:v>4.5</x:v>
      </x:c>
      <x:c r="O14" s="68" t="n">
        <x:f>H14*'03 Care inputs'!P14/1000</x:f>
        <x:v>0.06</x:v>
      </x:c>
      <x:c r="P14" s="68" t="n">
        <x:f>H14*'03 Care inputs'!Q14</x:f>
        <x:v>30</x:v>
      </x:c>
      <x:c r="Q14" s="68" t="n">
        <x:f>H14*'03 Care inputs'!R14</x:f>
        <x:v>0</x:v>
      </x:c>
      <x:c r="R14" s="68" t="n">
        <x:f>G14*'03 Care inputs'!S14</x:f>
        <x:v>0.6</x:v>
      </x:c>
      <x:c r="S14" s="68" t="n">
        <x:f>G14*'03 Care inputs'!T14</x:f>
        <x:v>28.5</x:v>
      </x:c>
    </x:row>
    <x:row r="15" ht="15" hidden="0" customHeight="1">
      <x:c r="B15" s="47" t="n">
        <x:f>'03 Care inputs'!B15</x:f>
        <x:v>9</x:v>
      </x:c>
      <x:c r="C15" s="47" t="str">
        <x:f>'03 Care inputs'!C15</x:f>
        <x:v>Isolation / infectious</x:v>
      </x:c>
      <x:c r="D15" s="47" t="str">
        <x:f>'03 Care inputs'!D15</x:f>
        <x:v>CENSUS</x:v>
      </x:c>
      <x:c r="E15" s="66" t="n">
        <x:f>ROUND('01 Controls'!$D$7/1000*'03 Care inputs'!E15*'03 Care inputs'!F15,4)</x:f>
        <x:v>25</x:v>
      </x:c>
      <x:c r="F15" s="66" t="n">
        <x:f>ROUND('01 Controls'!$D$7/1000*'03 Care inputs'!E15*'03 Care inputs'!G15,4)</x:f>
        <x:v>2</x:v>
      </x:c>
      <x:c r="G15" s="66" t="n">
        <x:f>MAX(0,E15-F15)</x:f>
        <x:v>23</x:v>
      </x:c>
      <x:c r="H15" s="66" t="n">
        <x:f>IF(D15="CENSUS",G15*'03 Care inputs'!H15,G15)</x:f>
        <x:v>115</x:v>
      </x:c>
      <x:c r="I15" s="67" t="n">
        <x:f>IF(D15="CENSUS",ROUNDUP(H15/'03 Care inputs'!J15,0),ROUNDUP(G15*'03 Care inputs'!H15/('03 Care inputs'!I15*'03 Care inputs'!J15),0))</x:f>
        <x:v>144</x:v>
      </x:c>
      <x:c r="J15" s="66" t="n">
        <x:f>H15*'03 Care inputs'!K15</x:f>
        <x:v>1150</x:v>
      </x:c>
      <x:c r="K15" s="66" t="n">
        <x:f>I15*'03 Care inputs'!L15/1000</x:f>
        <x:v>1.152</x:v>
      </x:c>
      <x:c r="L15" s="66" t="n">
        <x:f>K15*'03 Care inputs'!M15</x:f>
        <x:v>0.8063999999999999</x:v>
      </x:c>
      <x:c r="M15" s="68" t="n">
        <x:f>H15*'03 Care inputs'!N15</x:f>
        <x:v>920</x:v>
      </x:c>
      <x:c r="N15" s="68" t="n">
        <x:f>H15*'03 Care inputs'!O15/1000</x:f>
        <x:v>28.75</x:v>
      </x:c>
      <x:c r="O15" s="68" t="n">
        <x:f>H15*'03 Care inputs'!P15/1000</x:f>
        <x:v>0.575</x:v>
      </x:c>
      <x:c r="P15" s="68" t="n">
        <x:f>H15*'03 Care inputs'!Q15</x:f>
        <x:v>460</x:v>
      </x:c>
      <x:c r="Q15" s="68" t="n">
        <x:f>H15*'03 Care inputs'!R15</x:f>
        <x:v>5.75</x:v>
      </x:c>
      <x:c r="R15" s="68" t="n">
        <x:f>G15*'03 Care inputs'!S15</x:f>
        <x:v>0.69</x:v>
      </x:c>
      <x:c r="S15" s="68" t="n">
        <x:f>G15*'03 Care inputs'!T15</x:f>
        <x:v>18.400000000000002</x:v>
      </x:c>
    </x:row>
    <x:row r="16" ht="15" hidden="0" customHeight="1">
      <x:c r="B16" s="47" t="n">
        <x:f>'03 Care inputs'!B16</x:f>
        <x:v>10</x:v>
      </x:c>
      <x:c r="C16" s="47" t="str">
        <x:f>'03 Care inputs'!C16</x:f>
        <x:v>Behavioral health</x:v>
      </x:c>
      <x:c r="D16" s="47" t="str">
        <x:f>'03 Care inputs'!D16</x:f>
        <x:v>FLOW</x:v>
      </x:c>
      <x:c r="E16" s="66" t="n">
        <x:f>ROUND('01 Controls'!$D$7/1000*'03 Care inputs'!E16*'03 Care inputs'!F16,4)</x:f>
        <x:v>140</x:v>
      </x:c>
      <x:c r="F16" s="66" t="n">
        <x:f>ROUND('01 Controls'!$D$7/1000*'03 Care inputs'!E16*'03 Care inputs'!G16,4)</x:f>
        <x:v>24.5</x:v>
      </x:c>
      <x:c r="G16" s="66" t="n">
        <x:f>MAX(0,E16-F16)</x:f>
        <x:v>115.5</x:v>
      </x:c>
      <x:c r="H16" s="66" t="n">
        <x:f>IF(D16="CENSUS",G16*'03 Care inputs'!H16,G16)</x:f>
        <x:v>115.5</x:v>
      </x:c>
      <x:c r="I16" s="67" t="n">
        <x:f>IF(D16="CENSUS",ROUNDUP(H16/'03 Care inputs'!J16,0),ROUNDUP(G16*'03 Care inputs'!H16/('03 Care inputs'!I16*'03 Care inputs'!J16),0))</x:f>
        <x:v>15</x:v>
      </x:c>
      <x:c r="J16" s="66" t="n">
        <x:f>H16*'03 Care inputs'!K16</x:f>
        <x:v>173.25</x:v>
      </x:c>
      <x:c r="K16" s="66" t="n">
        <x:f>I16*'03 Care inputs'!L16/1000</x:f>
        <x:v>0.015</x:v>
      </x:c>
      <x:c r="L16" s="66" t="n">
        <x:f>K16*'03 Care inputs'!M16</x:f>
        <x:v>0.0015</x:v>
      </x:c>
      <x:c r="M16" s="68" t="n">
        <x:f>H16*'03 Care inputs'!N16</x:f>
        <x:v>0</x:v>
      </x:c>
      <x:c r="N16" s="68" t="n">
        <x:f>H16*'03 Care inputs'!O16/1000</x:f>
        <x:v>0.5775</x:v>
      </x:c>
      <x:c r="O16" s="68" t="n">
        <x:f>H16*'03 Care inputs'!P16/1000</x:f>
        <x:v>0.005775000000000001</x:v>
      </x:c>
      <x:c r="P16" s="68" t="n">
        <x:f>H16*'03 Care inputs'!Q16</x:f>
        <x:v>23.1</x:v>
      </x:c>
      <x:c r="Q16" s="68" t="n">
        <x:f>H16*'03 Care inputs'!R16</x:f>
        <x:v>0</x:v>
      </x:c>
      <x:c r="R16" s="68" t="n">
        <x:f>G16*'03 Care inputs'!S16</x:f>
        <x:v>1.155</x:v>
      </x:c>
      <x:c r="S16" s="68" t="n">
        <x:f>G16*'03 Care inputs'!T16</x:f>
        <x:v>109.725</x:v>
      </x:c>
    </x:row>
    <x:row r="17" ht="24" hidden="0" customHeight="1">
      <x:c r="B17" s="53" t="str">
        <x:v>TOTAL</x:v>
      </x:c>
      <x:c r="C17" s="53" t="str">
        <x:v>Unlike obligations</x:v>
      </x:c>
      <x:c r="D17" s="53" t="str">
        <x:v>Do not sum as patients</x:v>
      </x:c>
      <x:c r="E17" s="69" t="n">
        <x:f>SUM(E7:E16)</x:f>
        <x:v>6314.3</x:v>
      </x:c>
      <x:c r="F17" s="69" t="n">
        <x:f>SUM(F7:F16)</x:f>
        <x:v>1569.6499999999999</x:v>
      </x:c>
      <x:c r="G17" s="69" t="n">
        <x:f>SUM(G7:G16)</x:f>
        <x:v>4744.65</x:v>
      </x:c>
      <x:c r="H17" s="69" t="n">
        <x:f>SUM(H7:H16)</x:f>
        <x:v>5122.25</x:v>
      </x:c>
      <x:c r="I17" s="70" t="n">
        <x:f>SUM(I7:I16)</x:f>
        <x:v>951</x:v>
      </x:c>
      <x:c r="J17" s="69" t="n">
        <x:f>SUM(J7:J16)</x:f>
        <x:v>11215.5</x:v>
      </x:c>
      <x:c r="K17" s="69" t="n">
        <x:f>SUM(K7:K16)</x:f>
        <x:v>6.4597999999999995</x:v>
      </x:c>
      <x:c r="L17" s="69" t="n">
        <x:f>SUM(L7:L16)</x:f>
        <x:v>4.8887</x:v>
      </x:c>
      <x:c r="M17" s="69" t="n">
        <x:f>SUM(M7:M16)</x:f>
        <x:v>6157</x:v>
      </x:c>
      <x:c r="N17" s="69" t="n">
        <x:f>SUM(N7:N16)</x:f>
        <x:v>191.08999999999997</x:v>
      </x:c>
      <x:c r="O17" s="69" t="n">
        <x:f>SUM(O7:O16)</x:f>
        <x:v>3.553025</x:v>
      </x:c>
      <x:c r="P17" s="69" t="n">
        <x:f>SUM(P7:P16)</x:f>
        <x:v>3089.6</x:v>
      </x:c>
      <x:c r="Q17" s="69" t="n">
        <x:f>SUM(Q7:Q16)</x:f>
        <x:v>145.275</x:v>
      </x:c>
      <x:c r="R17" s="69" t="n">
        <x:f>SUM(R7:R16)</x:f>
        <x:v>51.9275</x:v>
      </x:c>
      <x:c r="S17" s="69" t="n">
        <x:f>SUM(S7:S16)</x:f>
        <x:v>529.1700000000001</x:v>
      </x:c>
    </x:row>
    <x:row r="18" ht="15" hidden="0" customHeight="1"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60"/>
      <x:c r="N18" s="60"/>
      <x:c r="O18" s="60"/>
      <x:c r="P18" s="60"/>
      <x:c r="Q18" s="60"/>
      <x:c r="R18" s="60"/>
      <x:c r="S18" s="60"/>
    </x:row>
    <x:row r="19" ht="15" hidden="0" customHeight="1"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60"/>
      <x:c r="N19" s="60"/>
      <x:c r="O19" s="60"/>
      <x:c r="P19" s="60"/>
      <x:c r="Q19" s="60"/>
      <x:c r="R19" s="60"/>
      <x:c r="S19" s="60"/>
    </x:row>
    <x:row r="20" ht="15" hidden="0" customHeight="1"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60"/>
      <x:c r="N20" s="60"/>
      <x:c r="O20" s="60"/>
      <x:c r="P20" s="60"/>
      <x:c r="Q20" s="60"/>
      <x:c r="R20" s="60"/>
      <x:c r="S20" s="60"/>
    </x:row>
    <x:row r="21" ht="15" hidden="0" customHeight="1"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60"/>
      <x:c r="N21" s="60"/>
      <x:c r="O21" s="60"/>
      <x:c r="P21" s="60"/>
      <x:c r="Q21" s="60"/>
      <x:c r="R21" s="60"/>
      <x:c r="S21" s="60"/>
    </x:row>
    <x:row r="22" ht="15" hidden="0" customHeight="1"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60"/>
      <x:c r="N22" s="60"/>
      <x:c r="O22" s="60"/>
      <x:c r="P22" s="60"/>
      <x:c r="Q22" s="60"/>
      <x:c r="R22" s="60"/>
      <x:c r="S22" s="60"/>
    </x:row>
    <x:row r="23" ht="15" hidden="0" customHeight="1"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60"/>
      <x:c r="N23" s="60"/>
      <x:c r="O23" s="60"/>
      <x:c r="P23" s="60"/>
      <x:c r="Q23" s="60"/>
      <x:c r="R23" s="60"/>
      <x:c r="S23" s="60"/>
    </x:row>
    <x:row r="24" ht="15" hidden="0" customHeight="1"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60"/>
      <x:c r="N24" s="60"/>
      <x:c r="O24" s="60"/>
      <x:c r="P24" s="60"/>
      <x:c r="Q24" s="60"/>
      <x:c r="R24" s="60"/>
      <x:c r="S24" s="60"/>
    </x:row>
    <x:row r="25" ht="15" hidden="0" customHeight="1"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60"/>
      <x:c r="N25" s="60"/>
      <x:c r="O25" s="60"/>
      <x:c r="P25" s="60"/>
      <x:c r="Q25" s="60"/>
      <x:c r="R25" s="60"/>
      <x:c r="S25" s="60"/>
    </x:row>
    <x:row r="26" ht="15" hidden="0" customHeight="1"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60"/>
      <x:c r="N26" s="60"/>
      <x:c r="O26" s="60"/>
      <x:c r="P26" s="60"/>
      <x:c r="Q26" s="60"/>
      <x:c r="R26" s="60"/>
      <x:c r="S26" s="60"/>
    </x:row>
    <x:row r="27" ht="15" hidden="0" customHeight="1"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60"/>
      <x:c r="N27" s="60"/>
      <x:c r="O27" s="60"/>
      <x:c r="P27" s="60"/>
      <x:c r="Q27" s="60"/>
      <x:c r="R27" s="60"/>
      <x:c r="S27" s="60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60"/>
      <x:c r="N28" s="60"/>
      <x:c r="O28" s="60"/>
      <x:c r="P28" s="60"/>
      <x:c r="Q28" s="60"/>
      <x:c r="R28" s="60"/>
      <x:c r="S28" s="60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60"/>
      <x:c r="N29" s="60"/>
      <x:c r="O29" s="60"/>
      <x:c r="P29" s="60"/>
      <x:c r="Q29" s="60"/>
      <x:c r="R29" s="60"/>
      <x:c r="S29" s="60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60"/>
      <x:c r="N30" s="60"/>
      <x:c r="O30" s="60"/>
      <x:c r="P30" s="60"/>
      <x:c r="Q30" s="60"/>
      <x:c r="R30" s="60"/>
      <x:c r="S30" s="60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60"/>
      <x:c r="N31" s="60"/>
      <x:c r="O31" s="60"/>
      <x:c r="P31" s="60"/>
      <x:c r="Q31" s="60"/>
      <x:c r="R31" s="60"/>
      <x:c r="S31" s="60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60"/>
      <x:c r="N32" s="60"/>
      <x:c r="O32" s="60"/>
      <x:c r="P32" s="60"/>
      <x:c r="Q32" s="60"/>
      <x:c r="R32" s="60"/>
      <x:c r="S32" s="60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60"/>
      <x:c r="N33" s="60"/>
      <x:c r="O33" s="60"/>
      <x:c r="P33" s="60"/>
      <x:c r="Q33" s="60"/>
      <x:c r="R33" s="60"/>
      <x:c r="S33" s="60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60"/>
      <x:c r="N34" s="60"/>
      <x:c r="O34" s="60"/>
      <x:c r="P34" s="60"/>
      <x:c r="Q34" s="60"/>
      <x:c r="R34" s="60"/>
      <x:c r="S34" s="60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60"/>
      <x:c r="N35" s="60"/>
      <x:c r="O35" s="60"/>
      <x:c r="P35" s="60"/>
      <x:c r="Q35" s="60"/>
      <x:c r="R35" s="60"/>
      <x:c r="S35" s="60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60"/>
      <x:c r="N36" s="60"/>
      <x:c r="O36" s="60"/>
      <x:c r="P36" s="60"/>
      <x:c r="Q36" s="60"/>
      <x:c r="R36" s="60"/>
      <x:c r="S36" s="60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60"/>
      <x:c r="N37" s="60"/>
      <x:c r="O37" s="60"/>
      <x:c r="P37" s="60"/>
      <x:c r="Q37" s="60"/>
      <x:c r="R37" s="60"/>
      <x:c r="S37" s="60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60"/>
      <x:c r="N38" s="60"/>
      <x:c r="O38" s="60"/>
      <x:c r="P38" s="60"/>
      <x:c r="Q38" s="60"/>
      <x:c r="R38" s="60"/>
      <x:c r="S38" s="60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60"/>
      <x:c r="N39" s="60"/>
      <x:c r="O39" s="60"/>
      <x:c r="P39" s="60"/>
      <x:c r="Q39" s="60"/>
      <x:c r="R39" s="60"/>
      <x:c r="S39" s="60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60"/>
      <x:c r="N40" s="60"/>
      <x:c r="O40" s="60"/>
      <x:c r="P40" s="60"/>
      <x:c r="Q40" s="60"/>
      <x:c r="R40" s="60"/>
      <x:c r="S40" s="60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60"/>
      <x:c r="N41" s="60"/>
      <x:c r="O41" s="60"/>
      <x:c r="P41" s="60"/>
      <x:c r="Q41" s="60"/>
      <x:c r="R41" s="60"/>
      <x:c r="S41" s="60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60"/>
      <x:c r="N42" s="60"/>
      <x:c r="O42" s="60"/>
      <x:c r="P42" s="60"/>
      <x:c r="Q42" s="60"/>
      <x:c r="R42" s="60"/>
      <x:c r="S42" s="60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60"/>
      <x:c r="N43" s="60"/>
      <x:c r="O43" s="60"/>
      <x:c r="P43" s="60"/>
      <x:c r="Q43" s="60"/>
      <x:c r="R43" s="60"/>
      <x:c r="S43" s="60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60"/>
      <x:c r="N44" s="60"/>
      <x:c r="O44" s="60"/>
      <x:c r="P44" s="60"/>
      <x:c r="Q44" s="60"/>
      <x:c r="R44" s="60"/>
      <x:c r="S44" s="60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60"/>
      <x:c r="N45" s="60"/>
      <x:c r="O45" s="60"/>
      <x:c r="P45" s="60"/>
      <x:c r="Q45" s="60"/>
      <x:c r="R45" s="60"/>
      <x:c r="S45" s="60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60"/>
      <x:c r="N46" s="60"/>
      <x:c r="O46" s="60"/>
      <x:c r="P46" s="60"/>
      <x:c r="Q46" s="60"/>
      <x:c r="R46" s="60"/>
      <x:c r="S46" s="60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60"/>
      <x:c r="N47" s="60"/>
      <x:c r="O47" s="60"/>
      <x:c r="P47" s="60"/>
      <x:c r="Q47" s="60"/>
      <x:c r="R47" s="60"/>
      <x:c r="S47" s="60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60"/>
      <x:c r="N48" s="60"/>
      <x:c r="O48" s="60"/>
      <x:c r="P48" s="60"/>
      <x:c r="Q48" s="60"/>
      <x:c r="R48" s="60"/>
      <x:c r="S48" s="60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60"/>
      <x:c r="N49" s="60"/>
      <x:c r="O49" s="60"/>
      <x:c r="P49" s="60"/>
      <x:c r="Q49" s="60"/>
      <x:c r="R49" s="60"/>
      <x:c r="S49" s="60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60"/>
      <x:c r="N50" s="60"/>
      <x:c r="O50" s="60"/>
      <x:c r="P50" s="60"/>
      <x:c r="Q50" s="60"/>
      <x:c r="R50" s="60"/>
      <x:c r="S50" s="60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60"/>
      <x:c r="N51" s="60"/>
      <x:c r="O51" s="60"/>
      <x:c r="P51" s="60"/>
      <x:c r="Q51" s="60"/>
      <x:c r="R51" s="60"/>
      <x:c r="S51" s="60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60"/>
      <x:c r="N52" s="60"/>
      <x:c r="O52" s="60"/>
      <x:c r="P52" s="60"/>
      <x:c r="Q52" s="60"/>
      <x:c r="R52" s="60"/>
      <x:c r="S52" s="60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60"/>
      <x:c r="N53" s="60"/>
      <x:c r="O53" s="60"/>
      <x:c r="P53" s="60"/>
      <x:c r="Q53" s="60"/>
      <x:c r="R53" s="60"/>
      <x:c r="S53" s="60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60"/>
      <x:c r="N54" s="60"/>
      <x:c r="O54" s="60"/>
      <x:c r="P54" s="60"/>
      <x:c r="Q54" s="60"/>
      <x:c r="R54" s="60"/>
      <x:c r="S54" s="60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60"/>
      <x:c r="N55" s="60"/>
      <x:c r="O55" s="60"/>
      <x:c r="P55" s="60"/>
      <x:c r="Q55" s="60"/>
      <x:c r="R55" s="60"/>
      <x:c r="S55" s="60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60"/>
      <x:c r="N56" s="60"/>
      <x:c r="O56" s="60"/>
      <x:c r="P56" s="60"/>
      <x:c r="Q56" s="60"/>
      <x:c r="R56" s="60"/>
      <x:c r="S56" s="60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60"/>
      <x:c r="N57" s="60"/>
      <x:c r="O57" s="60"/>
      <x:c r="P57" s="60"/>
      <x:c r="Q57" s="60"/>
      <x:c r="R57" s="60"/>
      <x:c r="S57" s="60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60"/>
      <x:c r="N58" s="60"/>
      <x:c r="O58" s="60"/>
      <x:c r="P58" s="60"/>
      <x:c r="Q58" s="60"/>
      <x:c r="R58" s="60"/>
      <x:c r="S58" s="60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60"/>
      <x:c r="N59" s="60"/>
      <x:c r="O59" s="60"/>
      <x:c r="P59" s="60"/>
      <x:c r="Q59" s="60"/>
      <x:c r="R59" s="60"/>
      <x:c r="S59" s="60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60"/>
      <x:c r="N60" s="60"/>
      <x:c r="O60" s="60"/>
      <x:c r="P60" s="60"/>
      <x:c r="Q60" s="60"/>
      <x:c r="R60" s="60"/>
      <x:c r="S60" s="60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60"/>
      <x:c r="N61" s="60"/>
      <x:c r="O61" s="60"/>
      <x:c r="P61" s="60"/>
      <x:c r="Q61" s="60"/>
      <x:c r="R61" s="60"/>
      <x:c r="S61" s="60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60"/>
      <x:c r="N62" s="60"/>
      <x:c r="O62" s="60"/>
      <x:c r="P62" s="60"/>
      <x:c r="Q62" s="60"/>
      <x:c r="R62" s="60"/>
      <x:c r="S62" s="60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60"/>
      <x:c r="N63" s="60"/>
      <x:c r="O63" s="60"/>
      <x:c r="P63" s="60"/>
      <x:c r="Q63" s="60"/>
      <x:c r="R63" s="60"/>
      <x:c r="S63" s="60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60"/>
      <x:c r="N64" s="60"/>
      <x:c r="O64" s="60"/>
      <x:c r="P64" s="60"/>
      <x:c r="Q64" s="60"/>
      <x:c r="R64" s="60"/>
      <x:c r="S64" s="60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60"/>
      <x:c r="N65" s="60"/>
      <x:c r="O65" s="60"/>
      <x:c r="P65" s="60"/>
      <x:c r="Q65" s="60"/>
      <x:c r="R65" s="60"/>
      <x:c r="S65" s="60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60"/>
      <x:c r="N66" s="60"/>
      <x:c r="O66" s="60"/>
      <x:c r="P66" s="60"/>
      <x:c r="Q66" s="60"/>
      <x:c r="R66" s="60"/>
      <x:c r="S66" s="60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60"/>
      <x:c r="N67" s="60"/>
      <x:c r="O67" s="60"/>
      <x:c r="P67" s="60"/>
      <x:c r="Q67" s="60"/>
      <x:c r="R67" s="60"/>
      <x:c r="S67" s="60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60"/>
      <x:c r="N68" s="60"/>
      <x:c r="O68" s="60"/>
      <x:c r="P68" s="60"/>
      <x:c r="Q68" s="60"/>
      <x:c r="R68" s="60"/>
      <x:c r="S68" s="60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60"/>
      <x:c r="N69" s="60"/>
      <x:c r="O69" s="60"/>
      <x:c r="P69" s="60"/>
      <x:c r="Q69" s="60"/>
      <x:c r="R69" s="60"/>
      <x:c r="S69" s="60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60"/>
      <x:c r="N70" s="60"/>
      <x:c r="O70" s="60"/>
      <x:c r="P70" s="60"/>
      <x:c r="Q70" s="60"/>
      <x:c r="R70" s="60"/>
      <x:c r="S70" s="60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60"/>
      <x:c r="N71" s="60"/>
      <x:c r="O71" s="60"/>
      <x:c r="P71" s="60"/>
      <x:c r="Q71" s="60"/>
      <x:c r="R71" s="60"/>
      <x:c r="S71" s="60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60"/>
      <x:c r="N72" s="60"/>
      <x:c r="O72" s="60"/>
      <x:c r="P72" s="60"/>
      <x:c r="Q72" s="60"/>
      <x:c r="R72" s="60"/>
      <x:c r="S72" s="60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60"/>
      <x:c r="N73" s="60"/>
      <x:c r="O73" s="60"/>
      <x:c r="P73" s="60"/>
      <x:c r="Q73" s="60"/>
      <x:c r="R73" s="60"/>
      <x:c r="S73" s="60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60"/>
      <x:c r="N74" s="60"/>
      <x:c r="O74" s="60"/>
      <x:c r="P74" s="60"/>
      <x:c r="Q74" s="60"/>
      <x:c r="R74" s="60"/>
      <x:c r="S74" s="60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60"/>
      <x:c r="N75" s="60"/>
      <x:c r="O75" s="60"/>
      <x:c r="P75" s="60"/>
      <x:c r="Q75" s="60"/>
      <x:c r="R75" s="60"/>
      <x:c r="S75" s="60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60"/>
      <x:c r="N76" s="60"/>
      <x:c r="O76" s="60"/>
      <x:c r="P76" s="60"/>
      <x:c r="Q76" s="60"/>
      <x:c r="R76" s="60"/>
      <x:c r="S76" s="60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60"/>
      <x:c r="N77" s="60"/>
      <x:c r="O77" s="60"/>
      <x:c r="P77" s="60"/>
      <x:c r="Q77" s="60"/>
      <x:c r="R77" s="60"/>
      <x:c r="S77" s="60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60"/>
      <x:c r="N78" s="60"/>
      <x:c r="O78" s="60"/>
      <x:c r="P78" s="60"/>
      <x:c r="Q78" s="60"/>
      <x:c r="R78" s="60"/>
      <x:c r="S78" s="60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60"/>
      <x:c r="N79" s="60"/>
      <x:c r="O79" s="60"/>
      <x:c r="P79" s="60"/>
      <x:c r="Q79" s="60"/>
      <x:c r="R79" s="60"/>
      <x:c r="S79" s="60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60"/>
      <x:c r="N80" s="60"/>
      <x:c r="O80" s="60"/>
      <x:c r="P80" s="60"/>
      <x:c r="Q80" s="60"/>
      <x:c r="R80" s="60"/>
      <x:c r="S80" s="60"/>
    </x:row>
  </x:sheetData>
  <x:mergeCells>
    <x:mergeCell ref="B2:L2"/>
    <x:mergeCell ref="B3:L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" max="1" width="3" hidden="0" customWidth="1"/>
  </x:cols>
  <x:sheetData>
    <x:row r="2" ht="18" hidden="0" customHeight="1">
      <x:c r="B2" s="50" t="str">
        <x:v>Five-island clinical lattice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Four operating islands plus one complete ready replacement. Each care line must still close after one island is removed.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ID</x:v>
      </x:c>
      <x:c r="C6" s="45" t="str">
        <x:v>Care line</x:v>
      </x:c>
      <x:c r="D6" s="45" t="str">
        <x:v>Required positions</x:v>
      </x:c>
      <x:c r="E6" s="45" t="str">
        <x:v>Per operating island</x:v>
      </x:c>
      <x:c r="F6" s="45" t="str">
        <x:v>Installed across five</x:v>
      </x:c>
      <x:c r="G6" s="45" t="str">
        <x:v>After one-island loss</x:v>
      </x:c>
      <x:c r="H6" s="45" t="str">
        <x:v>Margin after loss</x:v>
      </x:c>
      <x:c r="I6" s="47"/>
      <x:c r="J6" s="47"/>
      <x:c r="K6" s="47"/>
      <x:c r="L6" s="47"/>
    </x:row>
    <x:row r="7" ht="15" hidden="0" customHeight="1">
      <x:c r="B7" s="47" t="n">
        <x:f>'04 Demand'!B7</x:f>
        <x:v>1</x:v>
      </x:c>
      <x:c r="C7" s="47" t="str">
        <x:f>'04 Demand'!C7</x:f>
        <x:v>Community continuity</x:v>
      </x:c>
      <x:c r="D7" s="47" t="n">
        <x:f>'04 Demand'!I7</x:f>
        <x:v>76</x:v>
      </x:c>
      <x:c r="E7" s="47" t="n">
        <x:f>ROUNDUP(D7/'01 Controls'!$D$9,0)</x:f>
        <x:v>19</x:v>
      </x:c>
      <x:c r="F7" s="47" t="n">
        <x:f>E7*('01 Controls'!$D$9+'01 Controls'!$D$10)</x:f>
        <x:v>95</x:v>
      </x:c>
      <x:c r="G7" s="47" t="n">
        <x:f>E7*'01 Controls'!$D$9</x:f>
        <x:v>76</x:v>
      </x:c>
      <x:c r="H7" s="47" t="n">
        <x:f>G7-D7</x:f>
        <x:v>0</x:v>
      </x:c>
      <x:c r="I7" s="47"/>
      <x:c r="J7" s="47"/>
      <x:c r="K7" s="47"/>
      <x:c r="L7" s="47"/>
    </x:row>
    <x:row r="8" ht="15" hidden="0" customHeight="1">
      <x:c r="B8" s="47" t="n">
        <x:f>'04 Demand'!B8</x:f>
        <x:v>2</x:v>
      </x:c>
      <x:c r="C8" s="47" t="str">
        <x:f>'04 Demand'!C8</x:f>
        <x:v>Emergency / resuscitation</x:v>
      </x:c>
      <x:c r="D8" s="47" t="n">
        <x:f>'04 Demand'!I8</x:f>
        <x:v>46</x:v>
      </x:c>
      <x:c r="E8" s="47" t="n">
        <x:f>ROUNDUP(D8/'01 Controls'!$D$9,0)</x:f>
        <x:v>12</x:v>
      </x:c>
      <x:c r="F8" s="47" t="n">
        <x:f>E8*('01 Controls'!$D$9+'01 Controls'!$D$10)</x:f>
        <x:v>60</x:v>
      </x:c>
      <x:c r="G8" s="47" t="n">
        <x:f>E8*'01 Controls'!$D$9</x:f>
        <x:v>48</x:v>
      </x:c>
      <x:c r="H8" s="47" t="n">
        <x:f>G8-D8</x:f>
        <x:v>2</x:v>
      </x:c>
      <x:c r="I8" s="47"/>
      <x:c r="J8" s="47"/>
      <x:c r="K8" s="47"/>
      <x:c r="L8" s="47"/>
    </x:row>
    <x:row r="9" ht="15" hidden="0" customHeight="1">
      <x:c r="B9" s="47" t="n">
        <x:f>'04 Demand'!B9</x:f>
        <x:v>3</x:v>
      </x:c>
      <x:c r="C9" s="47" t="str">
        <x:f>'04 Demand'!C9</x:f>
        <x:v>Observation</x:v>
      </x:c>
      <x:c r="D9" s="47" t="n">
        <x:f>'04 Demand'!I9</x:f>
        <x:v>83</x:v>
      </x:c>
      <x:c r="E9" s="47" t="n">
        <x:f>ROUNDUP(D9/'01 Controls'!$D$9,0)</x:f>
        <x:v>21</x:v>
      </x:c>
      <x:c r="F9" s="47" t="n">
        <x:f>E9*('01 Controls'!$D$9+'01 Controls'!$D$10)</x:f>
        <x:v>105</x:v>
      </x:c>
      <x:c r="G9" s="47" t="n">
        <x:f>E9*'01 Controls'!$D$9</x:f>
        <x:v>84</x:v>
      </x:c>
      <x:c r="H9" s="47" t="n">
        <x:f>G9-D9</x:f>
        <x:v>1</x:v>
      </x:c>
      <x:c r="I9" s="47"/>
      <x:c r="J9" s="47"/>
      <x:c r="K9" s="47"/>
      <x:c r="L9" s="47"/>
    </x:row>
    <x:row r="10" ht="15" hidden="0" customHeight="1">
      <x:c r="B10" s="47" t="n">
        <x:f>'04 Demand'!B10</x:f>
        <x:v>4</x:v>
      </x:c>
      <x:c r="C10" s="47" t="str">
        <x:f>'04 Demand'!C10</x:f>
        <x:v>Ward inpatient</x:v>
      </x:c>
      <x:c r="D10" s="47" t="n">
        <x:f>'04 Demand'!I10</x:f>
        <x:v>424</x:v>
      </x:c>
      <x:c r="E10" s="47" t="n">
        <x:f>ROUNDUP(D10/'01 Controls'!$D$9,0)</x:f>
        <x:v>106</x:v>
      </x:c>
      <x:c r="F10" s="47" t="n">
        <x:f>E10*('01 Controls'!$D$9+'01 Controls'!$D$10)</x:f>
        <x:v>530</x:v>
      </x:c>
      <x:c r="G10" s="47" t="n">
        <x:f>E10*'01 Controls'!$D$9</x:f>
        <x:v>424</x:v>
      </x:c>
      <x:c r="H10" s="47" t="n">
        <x:f>G10-D10</x:f>
        <x:v>0</x:v>
      </x:c>
      <x:c r="I10" s="47"/>
      <x:c r="J10" s="47"/>
      <x:c r="K10" s="47"/>
      <x:c r="L10" s="47"/>
    </x:row>
    <x:row r="11" ht="15" hidden="0" customHeight="1">
      <x:c r="B11" s="47" t="n">
        <x:f>'04 Demand'!B11</x:f>
        <x:v>5</x:v>
      </x:c>
      <x:c r="C11" s="47" t="str">
        <x:f>'04 Demand'!C11</x:f>
        <x:v>Critical care</x:v>
      </x:c>
      <x:c r="D11" s="47" t="n">
        <x:f>'04 Demand'!I11</x:f>
        <x:v>140</x:v>
      </x:c>
      <x:c r="E11" s="47" t="n">
        <x:f>ROUNDUP(D11/'01 Controls'!$D$9,0)</x:f>
        <x:v>35</x:v>
      </x:c>
      <x:c r="F11" s="47" t="n">
        <x:f>E11*('01 Controls'!$D$9+'01 Controls'!$D$10)</x:f>
        <x:v>175</x:v>
      </x:c>
      <x:c r="G11" s="47" t="n">
        <x:f>E11*'01 Controls'!$D$9</x:f>
        <x:v>140</x:v>
      </x:c>
      <x:c r="H11" s="47" t="n">
        <x:f>G11-D11</x:f>
        <x:v>0</x:v>
      </x:c>
      <x:c r="I11" s="47"/>
      <x:c r="J11" s="47"/>
      <x:c r="K11" s="47"/>
      <x:c r="L11" s="47"/>
    </x:row>
    <x:row r="12" ht="15" hidden="0" customHeight="1">
      <x:c r="B12" s="47" t="n">
        <x:f>'04 Demand'!B12</x:f>
        <x:v>6</x:v>
      </x:c>
      <x:c r="C12" s="47" t="str">
        <x:f>'04 Demand'!C12</x:f>
        <x:v>Surgery</x:v>
      </x:c>
      <x:c r="D12" s="47" t="n">
        <x:f>'04 Demand'!I12</x:f>
        <x:v>10</x:v>
      </x:c>
      <x:c r="E12" s="47" t="n">
        <x:f>ROUNDUP(D12/'01 Controls'!$D$9,0)</x:f>
        <x:v>3</x:v>
      </x:c>
      <x:c r="F12" s="47" t="n">
        <x:f>E12*('01 Controls'!$D$9+'01 Controls'!$D$10)</x:f>
        <x:v>15</x:v>
      </x:c>
      <x:c r="G12" s="47" t="n">
        <x:f>E12*'01 Controls'!$D$9</x:f>
        <x:v>12</x:v>
      </x:c>
      <x:c r="H12" s="47" t="n">
        <x:f>G12-D12</x:f>
        <x:v>2</x:v>
      </x:c>
      <x:c r="I12" s="47"/>
      <x:c r="J12" s="47"/>
      <x:c r="K12" s="47"/>
      <x:c r="L12" s="47"/>
    </x:row>
    <x:row r="13" ht="15" hidden="0" customHeight="1">
      <x:c r="B13" s="47" t="n">
        <x:f>'04 Demand'!B13</x:f>
        <x:v>7</x:v>
      </x:c>
      <x:c r="C13" s="47" t="str">
        <x:f>'04 Demand'!C13</x:f>
        <x:v>Maternal / neonatal</x:v>
      </x:c>
      <x:c r="D13" s="47" t="n">
        <x:f>'04 Demand'!I13</x:f>
        <x:v>4</x:v>
      </x:c>
      <x:c r="E13" s="47" t="n">
        <x:f>ROUNDUP(D13/'01 Controls'!$D$9,0)</x:f>
        <x:v>1</x:v>
      </x:c>
      <x:c r="F13" s="47" t="n">
        <x:f>E13*('01 Controls'!$D$9+'01 Controls'!$D$10)</x:f>
        <x:v>5</x:v>
      </x:c>
      <x:c r="G13" s="47" t="n">
        <x:f>E13*'01 Controls'!$D$9</x:f>
        <x:v>4</x:v>
      </x:c>
      <x:c r="H13" s="47" t="n">
        <x:f>G13-D13</x:f>
        <x:v>0</x:v>
      </x:c>
      <x:c r="I13" s="47"/>
      <x:c r="J13" s="47"/>
      <x:c r="K13" s="47"/>
      <x:c r="L13" s="47"/>
    </x:row>
    <x:row r="14" ht="15" hidden="0" customHeight="1">
      <x:c r="B14" s="47" t="n">
        <x:f>'04 Demand'!B14</x:f>
        <x:v>8</x:v>
      </x:c>
      <x:c r="C14" s="47" t="str">
        <x:f>'04 Demand'!C14</x:f>
        <x:v>Dialysis</x:v>
      </x:c>
      <x:c r="D14" s="47" t="n">
        <x:f>'04 Demand'!I14</x:f>
        <x:v>9</x:v>
      </x:c>
      <x:c r="E14" s="47" t="n">
        <x:f>ROUNDUP(D14/'01 Controls'!$D$9,0)</x:f>
        <x:v>3</x:v>
      </x:c>
      <x:c r="F14" s="47" t="n">
        <x:f>E14*('01 Controls'!$D$9+'01 Controls'!$D$10)</x:f>
        <x:v>15</x:v>
      </x:c>
      <x:c r="G14" s="47" t="n">
        <x:f>E14*'01 Controls'!$D$9</x:f>
        <x:v>12</x:v>
      </x:c>
      <x:c r="H14" s="47" t="n">
        <x:f>G14-D14</x:f>
        <x:v>3</x:v>
      </x:c>
      <x:c r="I14" s="47"/>
      <x:c r="J14" s="47"/>
      <x:c r="K14" s="47"/>
      <x:c r="L14" s="47"/>
    </x:row>
    <x:row r="15" ht="15" hidden="0" customHeight="1">
      <x:c r="B15" s="47" t="n">
        <x:f>'04 Demand'!B15</x:f>
        <x:v>9</x:v>
      </x:c>
      <x:c r="C15" s="47" t="str">
        <x:f>'04 Demand'!C15</x:f>
        <x:v>Isolation / infectious</x:v>
      </x:c>
      <x:c r="D15" s="47" t="n">
        <x:f>'04 Demand'!I15</x:f>
        <x:v>144</x:v>
      </x:c>
      <x:c r="E15" s="47" t="n">
        <x:f>ROUNDUP(D15/'01 Controls'!$D$9,0)</x:f>
        <x:v>36</x:v>
      </x:c>
      <x:c r="F15" s="47" t="n">
        <x:f>E15*('01 Controls'!$D$9+'01 Controls'!$D$10)</x:f>
        <x:v>180</x:v>
      </x:c>
      <x:c r="G15" s="47" t="n">
        <x:f>E15*'01 Controls'!$D$9</x:f>
        <x:v>144</x:v>
      </x:c>
      <x:c r="H15" s="47" t="n">
        <x:f>G15-D15</x:f>
        <x:v>0</x:v>
      </x:c>
      <x:c r="I15" s="47"/>
      <x:c r="J15" s="47"/>
      <x:c r="K15" s="47"/>
      <x:c r="L15" s="47"/>
    </x:row>
    <x:row r="16" ht="15" hidden="0" customHeight="1">
      <x:c r="B16" s="47" t="n">
        <x:f>'04 Demand'!B16</x:f>
        <x:v>10</x:v>
      </x:c>
      <x:c r="C16" s="47" t="str">
        <x:f>'04 Demand'!C16</x:f>
        <x:v>Behavioral health</x:v>
      </x:c>
      <x:c r="D16" s="47" t="n">
        <x:f>'04 Demand'!I16</x:f>
        <x:v>15</x:v>
      </x:c>
      <x:c r="E16" s="47" t="n">
        <x:f>ROUNDUP(D16/'01 Controls'!$D$9,0)</x:f>
        <x:v>4</x:v>
      </x:c>
      <x:c r="F16" s="47" t="n">
        <x:f>E16*('01 Controls'!$D$9+'01 Controls'!$D$10)</x:f>
        <x:v>20</x:v>
      </x:c>
      <x:c r="G16" s="47" t="n">
        <x:f>E16*'01 Controls'!$D$9</x:f>
        <x:v>16</x:v>
      </x:c>
      <x:c r="H16" s="47" t="n">
        <x:f>G16-D16</x:f>
        <x:v>1</x:v>
      </x:c>
      <x:c r="I16" s="47"/>
      <x:c r="J16" s="47"/>
      <x:c r="K16" s="47"/>
      <x:c r="L16" s="47"/>
    </x:row>
    <x:row r="17" ht="15" hidden="0" customHeight="1">
      <x:c r="B17" s="53" t="str">
        <x:v>TOTAL</x:v>
      </x:c>
      <x:c r="C17" s="53" t="str">
        <x:v>All care lines</x:v>
      </x:c>
      <x:c r="D17" s="53" t="n">
        <x:f>SUM(D7:D16)</x:f>
        <x:v>951</x:v>
      </x:c>
      <x:c r="E17" s="53" t="n">
        <x:f>SUM(E7:E16)</x:f>
        <x:v>240</x:v>
      </x:c>
      <x:c r="F17" s="53" t="n">
        <x:f>SUM(F7:F16)</x:f>
        <x:v>1200</x:v>
      </x:c>
      <x:c r="G17" s="53" t="n">
        <x:f>SUM(G7:G16)</x:f>
        <x:v>960</x:v>
      </x:c>
      <x:c r="H17" s="53" t="n">
        <x:f>SUM(H7:H16)</x:f>
        <x:v>9</x:v>
      </x:c>
      <x:c r="I17" s="47"/>
      <x:c r="J17" s="47"/>
      <x:c r="K17" s="47"/>
      <x:c r="L17" s="47"/>
    </x:row>
    <x:row r="18" ht="15" hidden="0" customHeight="1"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</x:row>
    <x:row r="19" ht="15" hidden="0" customHeight="1"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</x:row>
    <x:row r="20" ht="15" hidden="0" customHeight="1">
      <x:c r="B20" s="51" t="str">
        <x:v>Interpretation</x:v>
      </x:c>
      <x:c r="C20" s="51"/>
      <x:c r="D20" s="51"/>
      <x:c r="E20" s="51"/>
      <x:c r="F20" s="51"/>
      <x:c r="G20" s="51"/>
      <x:c r="H20" s="51"/>
      <x:c r="I20" s="47"/>
      <x:c r="J20" s="47"/>
      <x:c r="K20" s="47"/>
      <x:c r="L20" s="47"/>
    </x:row>
    <x:row r="21" ht="15" hidden="0" customHeight="1">
      <x:c r="B21" s="47" t="str">
        <x:v>Rule</x:v>
      </x:c>
      <x:c r="C21" s="47" t="str">
        <x:v>No care line may be sacrificed to keep the aggregate position count positive.</x:v>
      </x:c>
      <x:c r="D21" s="47"/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47" t="str">
        <x:v>Planning result</x:v>
      </x:c>
      <x:c r="C22" s="47" t="str">
        <x:v>1,200 installed positions; 960 remain after one complete island loss against 951 required.</x:v>
      </x:c>
      <x:c r="D22" s="47"/>
      <x:c r="E22" s="47"/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 t="str">
        <x:v>Evidence status</x:v>
      </x:c>
      <x:c r="C23" s="47" t="str">
        <x:v>Arithmetic only; no physical, clinical, staffing, infection-control or deployment proof is admitted.</x:v>
      </x:c>
      <x:c r="D23" s="47"/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20:H20"/>
    <x:mergeCell ref="C21:H21"/>
    <x:mergeCell ref="C22:H22"/>
    <x:mergeCell ref="C23:H2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8" hidden="0" customWidth="1"/>
    <x:col min="4" max="4" width="45" hidden="0" customWidth="1"/>
    <x:col min="5" max="5" width="24" hidden="0" customWidth="1"/>
    <x:col min="6" max="6" width="24" hidden="0" customWidth="1"/>
    <x:col min="1" max="1" width="3" hidden="0" customWidth="1"/>
  </x:cols>
  <x:sheetData>
    <x:row r="2" ht="18" hidden="0" customHeight="1">
      <x:c r="B2" s="50" t="str">
        <x:v>Workforce constitution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Direct clinical work-hours generate a deployed roster; support roles and an establishment multiple expose the larger human system.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ID</x:v>
      </x:c>
      <x:c r="C6" s="45" t="str">
        <x:v>Care line</x:v>
      </x:c>
      <x:c r="D6" s="45" t="str">
        <x:v>Direct staff h/day</x:v>
      </x:c>
      <x:c r="E6" s="45" t="str">
        <x:v>Source</x:v>
      </x:c>
      <x:c r="F6" s="47"/>
      <x:c r="G6" s="47"/>
      <x:c r="H6" s="47"/>
      <x:c r="I6" s="47"/>
      <x:c r="J6" s="47"/>
      <x:c r="K6" s="47"/>
      <x:c r="L6" s="47"/>
    </x:row>
    <x:row r="7" ht="15" hidden="0" customHeight="1">
      <x:c r="B7" s="47" t="n">
        <x:f>'04 Demand'!B7</x:f>
        <x:v>1</x:v>
      </x:c>
      <x:c r="C7" s="47" t="str">
        <x:f>'04 Demand'!C7</x:f>
        <x:v>Community continuity</x:v>
      </x:c>
      <x:c r="D7" s="47" t="n">
        <x:f>'04 Demand'!J7</x:f>
        <x:v>1540</x:v>
      </x:c>
      <x:c r="E7" s="47" t="str">
        <x:v>Care-line formula</x:v>
      </x:c>
      <x:c r="F7" s="47"/>
      <x:c r="G7" s="47"/>
      <x:c r="H7" s="47"/>
      <x:c r="I7" s="47"/>
      <x:c r="J7" s="47"/>
      <x:c r="K7" s="47"/>
      <x:c r="L7" s="47"/>
    </x:row>
    <x:row r="8" ht="15" hidden="0" customHeight="1">
      <x:c r="B8" s="47" t="n">
        <x:f>'04 Demand'!B8</x:f>
        <x:v>2</x:v>
      </x:c>
      <x:c r="C8" s="47" t="str">
        <x:f>'04 Demand'!C8</x:f>
        <x:v>Emergency / resuscitation</x:v>
      </x:c>
      <x:c r="D8" s="47" t="n">
        <x:f>'04 Demand'!J8</x:f>
        <x:v>1443.75</x:v>
      </x:c>
      <x:c r="E8" s="47" t="str">
        <x:v>Care-line formula</x:v>
      </x:c>
      <x:c r="F8" s="47"/>
      <x:c r="G8" s="47"/>
      <x:c r="H8" s="47"/>
      <x:c r="I8" s="47"/>
      <x:c r="J8" s="47"/>
      <x:c r="K8" s="47"/>
      <x:c r="L8" s="47"/>
    </x:row>
    <x:row r="9" ht="15" hidden="0" customHeight="1">
      <x:c r="B9" s="47" t="n">
        <x:f>'04 Demand'!B9</x:f>
        <x:v>3</x:v>
      </x:c>
      <x:c r="C9" s="47" t="str">
        <x:f>'04 Demand'!C9</x:f>
        <x:v>Observation</x:v>
      </x:c>
      <x:c r="D9" s="47" t="n">
        <x:f>'04 Demand'!J9</x:f>
        <x:v>592</x:v>
      </x:c>
      <x:c r="E9" s="47" t="str">
        <x:v>Care-line formula</x:v>
      </x:c>
      <x:c r="F9" s="47"/>
      <x:c r="G9" s="47"/>
      <x:c r="H9" s="47"/>
      <x:c r="I9" s="47"/>
      <x:c r="J9" s="47"/>
      <x:c r="K9" s="47"/>
      <x:c r="L9" s="47"/>
    </x:row>
    <x:row r="10" ht="15" hidden="0" customHeight="1">
      <x:c r="B10" s="47" t="n">
        <x:f>'04 Demand'!B10</x:f>
        <x:v>4</x:v>
      </x:c>
      <x:c r="C10" s="47" t="str">
        <x:f>'04 Demand'!C10</x:f>
        <x:v>Ward inpatient</x:v>
      </x:c>
      <x:c r="D10" s="47" t="n">
        <x:f>'04 Demand'!J10</x:f>
        <x:v>2520</x:v>
      </x:c>
      <x:c r="E10" s="47" t="str">
        <x:v>Care-line formula</x:v>
      </x:c>
      <x:c r="F10" s="47"/>
      <x:c r="G10" s="47"/>
      <x:c r="H10" s="47"/>
      <x:c r="I10" s="47"/>
      <x:c r="J10" s="47"/>
      <x:c r="K10" s="47"/>
      <x:c r="L10" s="47"/>
    </x:row>
    <x:row r="11" ht="15" hidden="0" customHeight="1">
      <x:c r="B11" s="47" t="n">
        <x:f>'04 Demand'!B11</x:f>
        <x:v>5</x:v>
      </x:c>
      <x:c r="C11" s="47" t="str">
        <x:f>'04 Demand'!C11</x:f>
        <x:v>Critical care</x:v>
      </x:c>
      <x:c r="D11" s="47" t="n">
        <x:f>'04 Demand'!J11</x:f>
        <x:v>2688</x:v>
      </x:c>
      <x:c r="E11" s="47" t="str">
        <x:v>Care-line formula</x:v>
      </x:c>
      <x:c r="F11" s="47"/>
      <x:c r="G11" s="47"/>
      <x:c r="H11" s="47"/>
      <x:c r="I11" s="47"/>
      <x:c r="J11" s="47"/>
      <x:c r="K11" s="47"/>
      <x:c r="L11" s="47"/>
    </x:row>
    <x:row r="12" ht="15" hidden="0" customHeight="1">
      <x:c r="B12" s="47" t="n">
        <x:f>'04 Demand'!B12</x:f>
        <x:v>6</x:v>
      </x:c>
      <x:c r="C12" s="47" t="str">
        <x:f>'04 Demand'!C12</x:f>
        <x:v>Surgery</x:v>
      </x:c>
      <x:c r="D12" s="47" t="n">
        <x:f>'04 Demand'!J12</x:f>
        <x:v>742.5</x:v>
      </x:c>
      <x:c r="E12" s="47" t="str">
        <x:v>Care-line formula</x:v>
      </x:c>
      <x:c r="F12" s="47"/>
      <x:c r="G12" s="47"/>
      <x:c r="H12" s="47"/>
      <x:c r="I12" s="47"/>
      <x:c r="J12" s="47"/>
      <x:c r="K12" s="47"/>
      <x:c r="L12" s="47"/>
    </x:row>
    <x:row r="13" ht="15" hidden="0" customHeight="1">
      <x:c r="B13" s="47" t="n">
        <x:f>'04 Demand'!B13</x:f>
        <x:v>7</x:v>
      </x:c>
      <x:c r="C13" s="47" t="str">
        <x:f>'04 Demand'!C13</x:f>
        <x:v>Maternal / neonatal</x:v>
      </x:c>
      <x:c r="D13" s="47" t="n">
        <x:f>'04 Demand'!J13</x:f>
        <x:v>216</x:v>
      </x:c>
      <x:c r="E13" s="47" t="str">
        <x:v>Care-line formula</x:v>
      </x:c>
      <x:c r="F13" s="47"/>
      <x:c r="G13" s="47"/>
      <x:c r="H13" s="47"/>
      <x:c r="I13" s="47"/>
      <x:c r="J13" s="47"/>
      <x:c r="K13" s="47"/>
      <x:c r="L13" s="47"/>
    </x:row>
    <x:row r="14" ht="15" hidden="0" customHeight="1">
      <x:c r="B14" s="47" t="n">
        <x:f>'04 Demand'!B14</x:f>
        <x:v>8</x:v>
      </x:c>
      <x:c r="C14" s="47" t="str">
        <x:f>'04 Demand'!C14</x:f>
        <x:v>Dialysis</x:v>
      </x:c>
      <x:c r="D14" s="47" t="n">
        <x:f>'04 Demand'!J14</x:f>
        <x:v>150</x:v>
      </x:c>
      <x:c r="E14" s="47" t="str">
        <x:v>Care-line formula</x:v>
      </x:c>
      <x:c r="F14" s="47"/>
      <x:c r="G14" s="47"/>
      <x:c r="H14" s="47"/>
      <x:c r="I14" s="47"/>
      <x:c r="J14" s="47"/>
      <x:c r="K14" s="47"/>
      <x:c r="L14" s="47"/>
    </x:row>
    <x:row r="15" ht="15" hidden="0" customHeight="1">
      <x:c r="B15" s="47" t="n">
        <x:f>'04 Demand'!B15</x:f>
        <x:v>9</x:v>
      </x:c>
      <x:c r="C15" s="47" t="str">
        <x:f>'04 Demand'!C15</x:f>
        <x:v>Isolation / infectious</x:v>
      </x:c>
      <x:c r="D15" s="47" t="n">
        <x:f>'04 Demand'!J15</x:f>
        <x:v>1150</x:v>
      </x:c>
      <x:c r="E15" s="47" t="str">
        <x:v>Care-line formula</x:v>
      </x:c>
      <x:c r="F15" s="47"/>
      <x:c r="G15" s="47"/>
      <x:c r="H15" s="47"/>
      <x:c r="I15" s="47"/>
      <x:c r="J15" s="47"/>
      <x:c r="K15" s="47"/>
      <x:c r="L15" s="47"/>
    </x:row>
    <x:row r="16" ht="15" hidden="0" customHeight="1">
      <x:c r="B16" s="47" t="n">
        <x:f>'04 Demand'!B16</x:f>
        <x:v>10</x:v>
      </x:c>
      <x:c r="C16" s="47" t="str">
        <x:f>'04 Demand'!C16</x:f>
        <x:v>Behavioral health</x:v>
      </x:c>
      <x:c r="D16" s="47" t="n">
        <x:f>'04 Demand'!J16</x:f>
        <x:v>173.25</x:v>
      </x:c>
      <x:c r="E16" s="47" t="str">
        <x:v>Care-line formula</x:v>
      </x:c>
      <x:c r="F16" s="47"/>
      <x:c r="G16" s="47"/>
      <x:c r="H16" s="47"/>
      <x:c r="I16" s="47"/>
      <x:c r="J16" s="47"/>
      <x:c r="K16" s="47"/>
      <x:c r="L16" s="47"/>
    </x:row>
    <x:row r="17" ht="15" hidden="0" customHeight="1">
      <x:c r="B17" s="53" t="str">
        <x:v>TOTAL</x:v>
      </x:c>
      <x:c r="C17" s="53" t="str">
        <x:v>Direct clinical</x:v>
      </x:c>
      <x:c r="D17" s="53" t="n">
        <x:f>SUM(D7:D16)</x:f>
        <x:v>11215.5</x:v>
      </x:c>
      <x:c r="E17" s="53"/>
      <x:c r="F17" s="47"/>
      <x:c r="G17" s="47"/>
      <x:c r="H17" s="47"/>
      <x:c r="I17" s="47"/>
      <x:c r="J17" s="47"/>
      <x:c r="K17" s="47"/>
      <x:c r="L17" s="47"/>
    </x:row>
    <x:row r="18" ht="15" hidden="0" customHeight="1"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</x:row>
    <x:row r="19" ht="15" hidden="0" customHeight="1"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</x:row>
    <x:row r="20" ht="15" hidden="0" customHeight="1">
      <x:c r="B20" s="51" t="str">
        <x:v>Roster conversion</x:v>
      </x:c>
      <x:c r="C20" s="51"/>
      <x:c r="D20" s="51"/>
      <x:c r="E20" s="51"/>
      <x:c r="F20" s="51"/>
      <x:c r="G20" s="47"/>
      <x:c r="H20" s="47"/>
      <x:c r="I20" s="47"/>
      <x:c r="J20" s="47"/>
      <x:c r="K20" s="47"/>
      <x:c r="L20" s="47"/>
    </x:row>
    <x:row r="21" ht="15" hidden="0" customHeight="1">
      <x:c r="B21" s="47" t="str">
        <x:v>Direct clinical work-hours/day</x:v>
      </x:c>
      <x:c r="C21" s="47"/>
      <x:c r="D21" s="47" t="n">
        <x:f>D17</x:f>
        <x:v>11215.5</x:v>
      </x:c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47" t="str">
        <x:v>Effective clinical hours/person/day</x:v>
      </x:c>
      <x:c r="C22" s="47"/>
      <x:c r="D22" s="47" t="n">
        <x:f>'01 Controls'!D11</x:f>
        <x:v>8</x:v>
      </x:c>
      <x:c r="E22" s="47"/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 t="str">
        <x:v>Direct roster resilience</x:v>
      </x:c>
      <x:c r="C23" s="47"/>
      <x:c r="D23" s="72" t="n">
        <x:f>'01 Controls'!D12</x:f>
        <x:v>0.15</x:v>
      </x:c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53" t="str">
        <x:v>Direct clinical roster</x:v>
      </x:c>
      <x:c r="C24" s="53"/>
      <x:c r="D24" s="53" t="n">
        <x:f>ROUNDUP(D21/D22*(1+D23),0)</x:f>
        <x:v>1613</x:v>
      </x:c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 t="str">
        <x:v>Support deployed roster</x:v>
      </x:c>
      <x:c r="C25" s="47"/>
      <x:c r="D25" s="47" t="n">
        <x:f>SUM(C33:C40)</x:f>
        <x:v>2787</x:v>
      </x:c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53" t="str">
        <x:v>Total deployed roster</x:v>
      </x:c>
      <x:c r="C26" s="53"/>
      <x:c r="D26" s="53" t="n">
        <x:f>D24+D25</x:f>
        <x:v>4400</x:v>
      </x:c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 t="str">
        <x:v>Establishment multiple</x:v>
      </x:c>
      <x:c r="C27" s="47"/>
      <x:c r="D27" s="47" t="n">
        <x:f>'01 Controls'!D14</x:f>
        <x:v>3.5</x:v>
      </x:c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53" t="str">
        <x:v>Total establishment</x:v>
      </x:c>
      <x:c r="C28" s="53"/>
      <x:c r="D28" s="53" t="n">
        <x:f>D26*D27</x:f>
        <x:v>15400</x:v>
      </x:c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51" t="str">
        <x:v>Support roster</x:v>
      </x:c>
      <x:c r="C31" s="51"/>
      <x:c r="D31" s="51"/>
      <x:c r="E31" s="51"/>
      <x:c r="F31" s="51"/>
      <x:c r="G31" s="47"/>
      <x:c r="H31" s="47"/>
      <x:c r="I31" s="47"/>
      <x:c r="J31" s="47"/>
      <x:c r="K31" s="47"/>
      <x:c r="L31" s="47"/>
    </x:row>
    <x:row r="32" ht="15" hidden="0" customHeight="1">
      <x:c r="B32" s="45" t="str">
        <x:v>Support group</x:v>
      </x:c>
      <x:c r="C32" s="45" t="str">
        <x:v>Deployed positions</x:v>
      </x:c>
      <x:c r="D32" s="45" t="str">
        <x:v>Scope</x:v>
      </x:c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 t="str">
        <x:v>Clinical support</x:v>
      </x:c>
      <x:c r="C33" s="57" t="n">
        <x:v>700</x:v>
      </x:c>
      <x:c r="D33" s="47" t="str">
        <x:v>pharmacy, diagnostics, respiratory, sterile</x:v>
      </x:c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 t="str">
        <x:v>Facilities and utilities</x:v>
      </x:c>
      <x:c r="C34" s="57" t="n">
        <x:v>500</x:v>
      </x:c>
      <x:c r="D34" s="47" t="str">
        <x:v>power, oxygen, water, waste, environment</x:v>
      </x:c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 t="str">
        <x:v>Medical logistics</x:v>
      </x:c>
      <x:c r="C35" s="57" t="n">
        <x:v>450</x:v>
      </x:c>
      <x:c r="D35" s="47" t="str">
        <x:v>cold chain, inventory, replenishment</x:v>
      </x:c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 t="str">
        <x:v>Command, quality and evidence</x:v>
      </x:c>
      <x:c r="C36" s="57" t="n">
        <x:v>250</x:v>
      </x:c>
      <x:c r="D36" s="47" t="str">
        <x:v>authority, ethics, records, assurance</x:v>
      </x:c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 t="str">
        <x:v>Community and public health</x:v>
      </x:c>
      <x:c r="C37" s="57" t="n">
        <x:v>250</x:v>
      </x:c>
      <x:c r="D37" s="47" t="str">
        <x:v>surveillance, continuity, outreach</x:v>
      </x:c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 t="str">
        <x:v>Patient transfer and discharge</x:v>
      </x:c>
      <x:c r="C38" s="57" t="n">
        <x:v>200</x:v>
      </x:c>
      <x:c r="D38" s="47" t="str">
        <x:v>regulation, transport, receiving</x:v>
      </x:c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 t="str">
        <x:v>Access and safety</x:v>
      </x:c>
      <x:c r="C39" s="57" t="n">
        <x:v>150</x:v>
      </x:c>
      <x:c r="D39" s="47" t="str">
        <x:v>site access, protection, traffic</x:v>
      </x:c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 t="str">
        <x:v>Staff services and regeneration</x:v>
      </x:c>
      <x:c r="C40" s="57" t="n">
        <x:v>287</x:v>
      </x:c>
      <x:c r="D40" s="47" t="str">
        <x:v>food, shelter, rest, replacement</x:v>
      </x:c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53" t="str">
        <x:v>TOTAL</x:v>
      </x:c>
      <x:c r="C41" s="53" t="n">
        <x:f>SUM(C33:C40)</x:f>
        <x:v>2787</x:v>
      </x:c>
      <x:c r="D41" s="53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20:F20"/>
    <x:mergeCell ref="B31:F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8" hidden="0" customWidth="1"/>
    <x:col min="10" max="10" width="14" hidden="0" customWidth="1"/>
    <x:col min="1" max="1" width="3" hidden="0" customWidth="1"/>
  </x:cols>
  <x:sheetData>
    <x:row r="2" ht="18" hidden="0" customHeight="1">
      <x:c r="B2" s="50" t="str">
        <x:v>Patient transfer and discharge closure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The care service is incomplete until the force can regulate transfers and support accepted discharge destinations.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Flow</x:v>
      </x:c>
      <x:c r="C6" s="45" t="str">
        <x:v>Required/day</x:v>
      </x:c>
      <x:c r="D6" s="45" t="str">
        <x:v>Cell rating/day</x:v>
      </x:c>
      <x:c r="E6" s="45" t="str">
        <x:v>Cells</x:v>
      </x:c>
      <x:c r="F6" s="45" t="str">
        <x:v>Installed/day</x:v>
      </x:c>
      <x:c r="G6" s="45" t="str">
        <x:v>After one-cell loss</x:v>
      </x:c>
      <x:c r="H6" s="45" t="str">
        <x:v>Margin after loss</x:v>
      </x:c>
      <x:c r="I6" s="45" t="str">
        <x:v>Acceptance object</x:v>
      </x:c>
      <x:c r="J6" s="45" t="str">
        <x:v>Status</x:v>
      </x:c>
      <x:c r="K6" s="47"/>
      <x:c r="L6" s="47"/>
    </x:row>
    <x:row r="7" ht="15" hidden="0" customHeight="1">
      <x:c r="B7" s="47" t="str">
        <x:v>Clinical transfer journeys</x:v>
      </x:c>
      <x:c r="C7" s="47" t="n">
        <x:f>'04 Demand'!R17</x:f>
        <x:v>51.9275</x:v>
      </x:c>
      <x:c r="D7" s="47" t="n">
        <x:f>'01 Controls'!D58</x:f>
        <x:v>15</x:v>
      </x:c>
      <x:c r="E7" s="47" t="n">
        <x:f>'01 Controls'!D59</x:f>
        <x:v>5</x:v>
      </x:c>
      <x:c r="F7" s="47" t="n">
        <x:f>D7*E7</x:f>
        <x:v>75</x:v>
      </x:c>
      <x:c r="G7" s="47" t="n">
        <x:f>(E7-1)*D7</x:f>
        <x:v>60</x:v>
      </x:c>
      <x:c r="H7" s="47" t="n">
        <x:f>G7-C7</x:f>
        <x:v>8.072499999999998</x:v>
      </x:c>
      <x:c r="I7" s="47" t="str">
        <x:f>"Named receiver + custody"</x:f>
        <x:v>Named receiver + custody</x:v>
      </x:c>
      <x:c r="J7" s="47" t="str">
        <x:f>"PLANNING"</x:f>
        <x:v>PLANNING</x:v>
      </x:c>
      <x:c r="K7" s="47"/>
      <x:c r="L7" s="47"/>
    </x:row>
    <x:row r="8" ht="15" hidden="0" customHeight="1">
      <x:c r="B8" s="47" t="str">
        <x:v>Supported discharge handoffs</x:v>
      </x:c>
      <x:c r="C8" s="47" t="n">
        <x:f>'04 Demand'!S17</x:f>
        <x:v>529.1700000000001</x:v>
      </x:c>
      <x:c r="D8" s="47" t="n">
        <x:f>'01 Controls'!D60</x:f>
        <x:v>120</x:v>
      </x:c>
      <x:c r="E8" s="47" t="n">
        <x:f>'01 Controls'!D61</x:f>
        <x:v>6</x:v>
      </x:c>
      <x:c r="F8" s="47" t="n">
        <x:f>D8*E8</x:f>
        <x:v>720</x:v>
      </x:c>
      <x:c r="G8" s="47" t="n">
        <x:f>(E8-1)*D8</x:f>
        <x:v>600</x:v>
      </x:c>
      <x:c r="H8" s="47" t="n">
        <x:f>G8-C8</x:f>
        <x:v>70.82999999999993</x:v>
      </x:c>
      <x:c r="I8" s="47" t="str">
        <x:f>"Utility-viable destination"</x:f>
        <x:v>Utility-viable destination</x:v>
      </x:c>
      <x:c r="J8" s="47" t="str">
        <x:f>"PLANNING"</x:f>
        <x:v>PLANNING</x:v>
      </x:c>
      <x:c r="K8" s="47"/>
      <x:c r="L8" s="47"/>
    </x:row>
    <x:row r="9" ht="15" hidden="0" customHeight="1">
      <x:c r="B9" s="47"/>
      <x:c r="C9" s="47"/>
      <x:c r="D9" s="47"/>
      <x:c r="E9" s="47"/>
      <x:c r="F9" s="47"/>
      <x:c r="G9" s="47"/>
      <x:c r="H9" s="47"/>
      <x:c r="I9" s="47"/>
      <x:c r="J9" s="47"/>
      <x:c r="K9" s="47"/>
      <x:c r="L9" s="47"/>
    </x:row>
    <x:row r="10" ht="15" hidden="0" customHeight="1"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</x:row>
    <x:row r="11" ht="15" hidden="0" customHeight="1">
      <x:c r="B11" s="51" t="str">
        <x:v>Non-substitution rules</x:v>
      </x:c>
      <x:c r="C11" s="51"/>
      <x:c r="D11" s="51"/>
      <x:c r="E11" s="51"/>
      <x:c r="F11" s="51"/>
      <x:c r="G11" s="51"/>
      <x:c r="H11" s="51"/>
      <x:c r="I11" s="51"/>
      <x:c r="J11" s="51"/>
      <x:c r="K11" s="47"/>
      <x:c r="L11" s="47"/>
    </x:row>
    <x:row r="12" ht="15" hidden="0" customHeight="1">
      <x:c r="B12" s="47" t="str">
        <x:v>1</x:v>
      </x:c>
      <x:c r="C12" s="47" t="str">
        <x:v>A transport seat is not an accepted clinical destination.</x:v>
      </x:c>
      <x:c r="D12" s="47"/>
      <x:c r="E12" s="47"/>
      <x:c r="F12" s="47"/>
      <x:c r="G12" s="47"/>
      <x:c r="H12" s="47"/>
      <x:c r="I12" s="47"/>
      <x:c r="J12" s="47"/>
      <x:c r="K12" s="47"/>
      <x:c r="L12" s="47"/>
    </x:row>
    <x:row r="13" ht="15" hidden="0" customHeight="1">
      <x:c r="B13" s="47" t="str">
        <x:v>2</x:v>
      </x:c>
      <x:c r="C13" s="47" t="str">
        <x:v>A discharge count is not closure unless food, water, power, medicines and follow-up are viable.</x:v>
      </x:c>
      <x:c r="D13" s="47"/>
      <x:c r="E13" s="47"/>
      <x:c r="F13" s="47"/>
      <x:c r="G13" s="47"/>
      <x:c r="H13" s="47"/>
      <x:c r="I13" s="47"/>
      <x:c r="J13" s="47"/>
      <x:c r="K13" s="47"/>
      <x:c r="L13" s="47"/>
    </x:row>
    <x:row r="14" ht="15" hidden="0" customHeight="1">
      <x:c r="B14" s="47" t="str">
        <x:v>3</x:v>
      </x:c>
      <x:c r="C14" s="47" t="str">
        <x:v>Patient identity, acuity, custody, record and adverse state remain bound through every handoff.</x:v>
      </x:c>
      <x:c r="D14" s="47"/>
      <x:c r="E14" s="47"/>
      <x:c r="F14" s="47"/>
      <x:c r="G14" s="47"/>
      <x:c r="H14" s="47"/>
      <x:c r="I14" s="47"/>
      <x:c r="J14" s="47"/>
      <x:c r="K14" s="47"/>
      <x:c r="L14" s="47"/>
    </x:row>
    <x:row r="15" ht="15" hidden="0" customHeight="1">
      <x:c r="B15" s="47" t="str">
        <x:v>4</x:v>
      </x:c>
      <x:c r="C15" s="47" t="str">
        <x:v>Local and national networks must work; route existence alone does not prove receiver acceptance.</x:v>
      </x:c>
      <x:c r="D15" s="47"/>
      <x:c r="E15" s="47"/>
      <x:c r="F15" s="47"/>
      <x:c r="G15" s="47"/>
      <x:c r="H15" s="47"/>
      <x:c r="I15" s="47"/>
      <x:c r="J15" s="47"/>
      <x:c r="K15" s="47"/>
      <x:c r="L15" s="47"/>
    </x:row>
    <x:row r="16" ht="15" hidden="0" customHeight="1">
      <x:c r="B16" s="47" t="str">
        <x:v>5</x:v>
      </x:c>
      <x:c r="C16" s="47" t="str">
        <x:v>No flow quantity earns force credit until representative operations demonstrate complete journeys and handoffs.</x:v>
      </x:c>
      <x:c r="D16" s="47"/>
      <x:c r="E16" s="47"/>
      <x:c r="F16" s="47"/>
      <x:c r="G16" s="47"/>
      <x:c r="H16" s="47"/>
      <x:c r="I16" s="47"/>
      <x:c r="J16" s="47"/>
      <x:c r="K16" s="47"/>
      <x:c r="L16" s="47"/>
    </x:row>
    <x:row r="17" ht="15" hidden="0" customHeight="1"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</x:row>
    <x:row r="18" ht="15" hidden="0" customHeight="1"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</x:row>
    <x:row r="19" ht="15" hidden="0" customHeight="1"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</x:row>
    <x:row r="20" ht="15" hidden="0" customHeight="1"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</x:row>
    <x:row r="21" ht="15" hidden="0" customHeight="1"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11:J11"/>
    <x:mergeCell ref="C12:J12"/>
    <x:mergeCell ref="C13:J13"/>
    <x:mergeCell ref="C14:J14"/>
    <x:mergeCell ref="C15:J15"/>
    <x:mergeCell ref="C16:J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8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1" max="1" width="3" hidden="0" customWidth="1"/>
  </x:cols>
  <x:sheetData>
    <x:row r="2" ht="18" hidden="0" customHeight="1">
      <x:c r="B2" s="50" t="str">
        <x:v>Service-derived electrical requirement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Clinical positions create direct load; supporting clinical infrastructure is added separately before source, protection and control quantities are screened.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ID</x:v>
      </x:c>
      <x:c r="C6" s="45" t="str">
        <x:v>Care line</x:v>
      </x:c>
      <x:c r="D6" s="45" t="str">
        <x:v>Direct MW</x:v>
      </x:c>
      <x:c r="E6" s="45" t="str">
        <x:v>No-break MW</x:v>
      </x:c>
      <x:c r="F6" s="47"/>
      <x:c r="G6" s="47"/>
      <x:c r="H6" s="47"/>
      <x:c r="I6" s="47"/>
      <x:c r="J6" s="47"/>
      <x:c r="K6" s="47"/>
      <x:c r="L6" s="47"/>
    </x:row>
    <x:row r="7" ht="15" hidden="0" customHeight="1">
      <x:c r="B7" s="47" t="n">
        <x:f>'04 Demand'!B7</x:f>
        <x:v>1</x:v>
      </x:c>
      <x:c r="C7" s="47" t="str">
        <x:f>'04 Demand'!C7</x:f>
        <x:v>Community continuity</x:v>
      </x:c>
      <x:c r="D7" s="47" t="n">
        <x:f>'04 Demand'!K7</x:f>
        <x:v>0.06080000000000001</x:v>
      </x:c>
      <x:c r="E7" s="47" t="n">
        <x:f>'04 Demand'!L7</x:f>
        <x:v>0</x:v>
      </x:c>
      <x:c r="F7" s="47"/>
      <x:c r="G7" s="47"/>
      <x:c r="H7" s="47"/>
      <x:c r="I7" s="47"/>
      <x:c r="J7" s="47"/>
      <x:c r="K7" s="47"/>
      <x:c r="L7" s="47"/>
    </x:row>
    <x:row r="8" ht="15" hidden="0" customHeight="1">
      <x:c r="B8" s="47" t="n">
        <x:f>'04 Demand'!B8</x:f>
        <x:v>2</x:v>
      </x:c>
      <x:c r="C8" s="47" t="str">
        <x:f>'04 Demand'!C8</x:f>
        <x:v>Emergency / resuscitation</x:v>
      </x:c>
      <x:c r="D8" s="47" t="n">
        <x:f>'04 Demand'!K8</x:f>
        <x:v>0.46</x:v>
      </x:c>
      <x:c r="E8" s="47" t="n">
        <x:f>'04 Demand'!L8</x:f>
        <x:v>0.322</x:v>
      </x:c>
      <x:c r="F8" s="47"/>
      <x:c r="G8" s="47"/>
      <x:c r="H8" s="47"/>
      <x:c r="I8" s="47"/>
      <x:c r="J8" s="47"/>
      <x:c r="K8" s="47"/>
      <x:c r="L8" s="47"/>
    </x:row>
    <x:row r="9" ht="15" hidden="0" customHeight="1">
      <x:c r="B9" s="47" t="n">
        <x:f>'04 Demand'!B9</x:f>
        <x:v>3</x:v>
      </x:c>
      <x:c r="C9" s="47" t="str">
        <x:f>'04 Demand'!C9</x:f>
        <x:v>Observation</x:v>
      </x:c>
      <x:c r="D9" s="47" t="n">
        <x:f>'04 Demand'!K9</x:f>
        <x:v>0.332</x:v>
      </x:c>
      <x:c r="E9" s="47" t="n">
        <x:f>'04 Demand'!L9</x:f>
        <x:v>0.19920000000000002</x:v>
      </x:c>
      <x:c r="F9" s="47"/>
      <x:c r="G9" s="47"/>
      <x:c r="H9" s="47"/>
      <x:c r="I9" s="47"/>
      <x:c r="J9" s="47"/>
      <x:c r="K9" s="47"/>
      <x:c r="L9" s="47"/>
    </x:row>
    <x:row r="10" ht="15" hidden="0" customHeight="1">
      <x:c r="B10" s="47" t="n">
        <x:f>'04 Demand'!B10</x:f>
        <x:v>4</x:v>
      </x:c>
      <x:c r="C10" s="47" t="str">
        <x:f>'04 Demand'!C10</x:f>
        <x:v>Ward inpatient</x:v>
      </x:c>
      <x:c r="D10" s="47" t="n">
        <x:f>'04 Demand'!K10</x:f>
        <x:v>1.272</x:v>
      </x:c>
      <x:c r="E10" s="47" t="n">
        <x:f>'04 Demand'!L10</x:f>
        <x:v>0.4452</x:v>
      </x:c>
      <x:c r="F10" s="47"/>
      <x:c r="G10" s="47"/>
      <x:c r="H10" s="47"/>
      <x:c r="I10" s="47"/>
      <x:c r="J10" s="47"/>
      <x:c r="K10" s="47"/>
      <x:c r="L10" s="47"/>
    </x:row>
    <x:row r="11" ht="15" hidden="0" customHeight="1">
      <x:c r="B11" s="47" t="n">
        <x:f>'04 Demand'!B11</x:f>
        <x:v>5</x:v>
      </x:c>
      <x:c r="C11" s="47" t="str">
        <x:f>'04 Demand'!C11</x:f>
        <x:v>Critical care</x:v>
      </x:c>
      <x:c r="D11" s="47" t="n">
        <x:f>'04 Demand'!K11</x:f>
        <x:v>2.1</x:v>
      </x:c>
      <x:c r="E11" s="47" t="n">
        <x:f>'04 Demand'!L11</x:f>
        <x:v>2.1</x:v>
      </x:c>
      <x:c r="F11" s="47"/>
      <x:c r="G11" s="47"/>
      <x:c r="H11" s="47"/>
      <x:c r="I11" s="47"/>
      <x:c r="J11" s="47"/>
      <x:c r="K11" s="47"/>
      <x:c r="L11" s="47"/>
    </x:row>
    <x:row r="12" ht="15" hidden="0" customHeight="1">
      <x:c r="B12" s="47" t="n">
        <x:f>'04 Demand'!B12</x:f>
        <x:v>6</x:v>
      </x:c>
      <x:c r="C12" s="47" t="str">
        <x:f>'04 Demand'!C12</x:f>
        <x:v>Surgery</x:v>
      </x:c>
      <x:c r="D12" s="47" t="n">
        <x:f>'04 Demand'!K12</x:f>
        <x:v>0.8</x:v>
      </x:c>
      <x:c r="E12" s="47" t="n">
        <x:f>'04 Demand'!L12</x:f>
        <x:v>0.8</x:v>
      </x:c>
      <x:c r="F12" s="47"/>
      <x:c r="G12" s="47"/>
      <x:c r="H12" s="47"/>
      <x:c r="I12" s="47"/>
      <x:c r="J12" s="47"/>
      <x:c r="K12" s="47"/>
      <x:c r="L12" s="47"/>
    </x:row>
    <x:row r="13" ht="15" hidden="0" customHeight="1">
      <x:c r="B13" s="47" t="n">
        <x:f>'04 Demand'!B13</x:f>
        <x:v>7</x:v>
      </x:c>
      <x:c r="C13" s="47" t="str">
        <x:f>'04 Demand'!C13</x:f>
        <x:v>Maternal / neonatal</x:v>
      </x:c>
      <x:c r="D13" s="47" t="n">
        <x:f>'04 Demand'!K13</x:f>
        <x:v>0.16</x:v>
      </x:c>
      <x:c r="E13" s="47" t="n">
        <x:f>'04 Demand'!L13</x:f>
        <x:v>0.128</x:v>
      </x:c>
      <x:c r="F13" s="47"/>
      <x:c r="G13" s="47"/>
      <x:c r="H13" s="47"/>
      <x:c r="I13" s="47"/>
      <x:c r="J13" s="47"/>
      <x:c r="K13" s="47"/>
      <x:c r="L13" s="47"/>
    </x:row>
    <x:row r="14" ht="15" hidden="0" customHeight="1">
      <x:c r="B14" s="47" t="n">
        <x:f>'04 Demand'!B14</x:f>
        <x:v>8</x:v>
      </x:c>
      <x:c r="C14" s="47" t="str">
        <x:f>'04 Demand'!C14</x:f>
        <x:v>Dialysis</x:v>
      </x:c>
      <x:c r="D14" s="47" t="n">
        <x:f>'04 Demand'!K14</x:f>
        <x:v>0.108</x:v>
      </x:c>
      <x:c r="E14" s="47" t="n">
        <x:f>'04 Demand'!L14</x:f>
        <x:v>0.0864</x:v>
      </x:c>
      <x:c r="F14" s="47"/>
      <x:c r="G14" s="47"/>
      <x:c r="H14" s="47"/>
      <x:c r="I14" s="47"/>
      <x:c r="J14" s="47"/>
      <x:c r="K14" s="47"/>
      <x:c r="L14" s="47"/>
    </x:row>
    <x:row r="15" ht="15" hidden="0" customHeight="1">
      <x:c r="B15" s="47" t="n">
        <x:f>'04 Demand'!B15</x:f>
        <x:v>9</x:v>
      </x:c>
      <x:c r="C15" s="47" t="str">
        <x:f>'04 Demand'!C15</x:f>
        <x:v>Isolation / infectious</x:v>
      </x:c>
      <x:c r="D15" s="47" t="n">
        <x:f>'04 Demand'!K15</x:f>
        <x:v>1.152</x:v>
      </x:c>
      <x:c r="E15" s="47" t="n">
        <x:f>'04 Demand'!L15</x:f>
        <x:v>0.8063999999999999</x:v>
      </x:c>
      <x:c r="F15" s="47"/>
      <x:c r="G15" s="47"/>
      <x:c r="H15" s="47"/>
      <x:c r="I15" s="47"/>
      <x:c r="J15" s="47"/>
      <x:c r="K15" s="47"/>
      <x:c r="L15" s="47"/>
    </x:row>
    <x:row r="16" ht="15" hidden="0" customHeight="1">
      <x:c r="B16" s="47" t="n">
        <x:f>'04 Demand'!B16</x:f>
        <x:v>10</x:v>
      </x:c>
      <x:c r="C16" s="47" t="str">
        <x:f>'04 Demand'!C16</x:f>
        <x:v>Behavioral health</x:v>
      </x:c>
      <x:c r="D16" s="47" t="n">
        <x:f>'04 Demand'!K16</x:f>
        <x:v>0.015</x:v>
      </x:c>
      <x:c r="E16" s="47" t="n">
        <x:f>'04 Demand'!L16</x:f>
        <x:v>0.0015</x:v>
      </x:c>
      <x:c r="F16" s="47"/>
      <x:c r="G16" s="47"/>
      <x:c r="H16" s="47"/>
      <x:c r="I16" s="47"/>
      <x:c r="J16" s="47"/>
      <x:c r="K16" s="47"/>
      <x:c r="L16" s="47"/>
    </x:row>
    <x:row r="17" ht="15" hidden="0" customHeight="1">
      <x:c r="B17" s="53" t="str">
        <x:v>TOTAL</x:v>
      </x:c>
      <x:c r="C17" s="53" t="str">
        <x:v>Direct care</x:v>
      </x:c>
      <x:c r="D17" s="53" t="n">
        <x:f>SUM(D7:D16)</x:f>
        <x:v>6.4597999999999995</x:v>
      </x:c>
      <x:c r="E17" s="53" t="n">
        <x:f>SUM(E7:E16)</x:f>
        <x:v>4.8887</x:v>
      </x:c>
      <x:c r="F17" s="47"/>
      <x:c r="G17" s="47"/>
      <x:c r="H17" s="47"/>
      <x:c r="I17" s="47"/>
      <x:c r="J17" s="47"/>
      <x:c r="K17" s="47"/>
      <x:c r="L17" s="47"/>
    </x:row>
    <x:row r="18" ht="15" hidden="0" customHeight="1"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</x:row>
    <x:row r="19" ht="15" hidden="0" customHeight="1"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</x:row>
    <x:row r="20" ht="15" hidden="0" customHeight="1">
      <x:c r="B20" s="51" t="str">
        <x:v>Supporting clinical power</x:v>
      </x:c>
      <x:c r="C20" s="51"/>
      <x:c r="D20" s="51"/>
      <x:c r="E20" s="51"/>
      <x:c r="F20" s="47"/>
      <x:c r="G20" s="47"/>
      <x:c r="H20" s="47"/>
      <x:c r="I20" s="47"/>
      <x:c r="J20" s="47"/>
      <x:c r="K20" s="47"/>
      <x:c r="L20" s="47"/>
    </x:row>
    <x:row r="21" ht="15" hidden="0" customHeight="1">
      <x:c r="B21" s="45" t="str">
        <x:v>Support load</x:v>
      </x:c>
      <x:c r="C21" s="45" t="str">
        <x:v>Continuous MW</x:v>
      </x:c>
      <x:c r="D21" s="45" t="str">
        <x:v>Basis</x:v>
      </x:c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47" t="str">
        <x:v>HVAC and clinical environment</x:v>
      </x:c>
      <x:c r="C22" s="57" t="n">
        <x:v>4.8</x:v>
      </x:c>
      <x:c r="D22" s="47" t="str">
        <x:v>zoning + thermal control</x:v>
      </x:c>
      <x:c r="E22" s="47"/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 t="str">
        <x:v>Imaging</x:v>
      </x:c>
      <x:c r="C23" s="57" t="n">
        <x:v>1.5</x:v>
      </x:c>
      <x:c r="D23" s="47" t="str">
        <x:v>diagnostic service</x:v>
      </x:c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 t="str">
        <x:v>Lab, pharmacy, blood and cold chain</x:v>
      </x:c>
      <x:c r="C24" s="57" t="n">
        <x:v>0.8</x:v>
      </x:c>
      <x:c r="D24" s="47" t="str">
        <x:v>specialty support</x:v>
      </x:c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 t="str">
        <x:v>Oxygen and medical gas</x:v>
      </x:c>
      <x:c r="C25" s="57" t="n">
        <x:v>0.65</x:v>
      </x:c>
      <x:c r="D25" s="47" t="str">
        <x:v>generation + compression</x:v>
      </x:c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 t="str">
        <x:v>Sterile processing and laundry</x:v>
      </x:c>
      <x:c r="C26" s="57" t="n">
        <x:v>1</x:v>
      </x:c>
      <x:c r="D26" s="47" t="str">
        <x:v>clinical turnover</x:v>
      </x:c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 t="str">
        <x:v>Water and wastewater</x:v>
      </x:c>
      <x:c r="C27" s="57" t="n">
        <x:v>0.55</x:v>
      </x:c>
      <x:c r="D27" s="47" t="str">
        <x:v>production + treatment</x:v>
      </x:c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 t="str">
        <x:v>Records and communications</x:v>
      </x:c>
      <x:c r="C28" s="57" t="n">
        <x:v>0.35</x:v>
      </x:c>
      <x:c r="D28" s="47" t="str">
        <x:v>identity + clinical record</x:v>
      </x:c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 t="str">
        <x:v>Staff and administration</x:v>
      </x:c>
      <x:c r="C29" s="57" t="n">
        <x:v>0.75</x:v>
      </x:c>
      <x:c r="D29" s="47" t="str">
        <x:v>service support</x:v>
      </x:c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 t="str">
        <x:v>Maintenance and biomedicine</x:v>
      </x:c>
      <x:c r="C30" s="57" t="n">
        <x:v>0.35</x:v>
      </x:c>
      <x:c r="D30" s="47" t="str">
        <x:v>repair + calibration</x:v>
      </x:c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 t="str">
        <x:v>Mortuary, forensics and environmental health</x:v>
      </x:c>
      <x:c r="C31" s="57" t="n">
        <x:v>0.2</x:v>
      </x:c>
      <x:c r="D31" s="47" t="str">
        <x:v>continuity + public health</x:v>
      </x:c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53" t="str">
        <x:v>TOTAL</x:v>
      </x:c>
      <x:c r="C32" s="53" t="n">
        <x:f>SUM(C22:C31)</x:f>
        <x:v>10.95</x:v>
      </x:c>
      <x:c r="D32" s="53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51" t="str">
        <x:v>Electrical article screen</x:v>
      </x:c>
      <x:c r="C35" s="51"/>
      <x:c r="D35" s="51"/>
      <x:c r="E35" s="51"/>
      <x:c r="F35" s="51"/>
      <x:c r="G35" s="47"/>
      <x:c r="H35" s="47"/>
      <x:c r="I35" s="47"/>
      <x:c r="J35" s="47"/>
      <x:c r="K35" s="47"/>
      <x:c r="L35" s="47"/>
    </x:row>
    <x:row r="36" ht="15" hidden="0" customHeight="1">
      <x:c r="B36" s="53" t="str">
        <x:v>Continuous demand</x:v>
      </x:c>
      <x:c r="C36" s="53"/>
      <x:c r="D36" s="69" t="n">
        <x:f>D17+C32</x:f>
        <x:v>17.409799999999997</x:v>
      </x:c>
      <x:c r="E36" s="53" t="str">
        <x:v>MW</x:v>
      </x:c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54" t="str">
        <x:v>Peak demand</x:v>
      </x:c>
      <x:c r="C37" s="54"/>
      <x:c r="D37" s="74" t="n">
        <x:f>D36*'01 Controls'!D16</x:f>
        <x:v>20.021269999999994</x:v>
      </x:c>
      <x:c r="E37" s="54" t="str">
        <x:v>MW</x:v>
      </x:c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53" t="str">
        <x:v>SPC source clusters</x:v>
      </x:c>
      <x:c r="C38" s="53"/>
      <x:c r="D38" s="69" t="n">
        <x:f>MAX(ROUNDUP(D36*(1+'01 Controls'!D19)/('01 Controls'!D18*'01 Controls'!D21),0),ROUNDUP(D36/('01 Controls'!D18*'01 Controls'!D21),0)+'01 Controls'!D20,ROUNDUP(D37/('01 Controls'!D18*'01 Controls'!D22),0)+'01 Controls'!D20)</x:f>
        <x:v>5</x:v>
      </x:c>
      <x:c r="E38" s="53" t="str">
        <x:v>articles</x:v>
      </x:c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 t="str">
        <x:v>Installed continuous</x:v>
      </x:c>
      <x:c r="C39" s="47"/>
      <x:c r="D39" s="66" t="n">
        <x:f>D38*'01 Controls'!D21</x:f>
        <x:v>25</x:v>
      </x:c>
      <x:c r="E39" s="47" t="str">
        <x:v>MW</x:v>
      </x:c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 t="str">
        <x:v>After-loss continuous</x:v>
      </x:c>
      <x:c r="C40" s="47"/>
      <x:c r="D40" s="66" t="n">
        <x:f>(D38-'01 Controls'!D20)*'01 Controls'!D21*'01 Controls'!D18</x:f>
        <x:v>18</x:v>
      </x:c>
      <x:c r="E40" s="47" t="str">
        <x:v>MW</x:v>
      </x:c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 t="str">
        <x:v>After-loss continuous margin</x:v>
      </x:c>
      <x:c r="C41" s="47"/>
      <x:c r="D41" s="66" t="n">
        <x:f>D40-D36</x:f>
        <x:v>0.590200000000003</x:v>
      </x:c>
      <x:c r="E41" s="47" t="str">
        <x:v>MW</x:v>
      </x:c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 t="str">
        <x:v>After-loss peak</x:v>
      </x:c>
      <x:c r="C42" s="47"/>
      <x:c r="D42" s="66" t="n">
        <x:f>(D38-'01 Controls'!D20)*'01 Controls'!D22*'01 Controls'!D18</x:f>
        <x:v>25.2</x:v>
      </x:c>
      <x:c r="E42" s="47" t="str">
        <x:v>MW</x:v>
      </x:c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 t="str">
        <x:v>After-loss peak margin</x:v>
      </x:c>
      <x:c r="C43" s="47"/>
      <x:c r="D43" s="66" t="n">
        <x:f>D42-D37</x:f>
        <x:v>5.178730000000005</x:v>
      </x:c>
      <x:c r="E43" s="47" t="str">
        <x:v>MW</x:v>
      </x:c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 t="str">
        <x:v>Inherited diagnostic allocation</x:v>
      </x:c>
      <x:c r="C44" s="47"/>
      <x:c r="D44" s="66" t="n">
        <x:f>'01 Controls'!D25</x:f>
        <x:v>22</x:v>
      </x:c>
      <x:c r="E44" s="47" t="str">
        <x:v>MW</x:v>
      </x:c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 t="str">
        <x:v>Inherited less derived</x:v>
      </x:c>
      <x:c r="C45" s="47"/>
      <x:c r="D45" s="66" t="n">
        <x:f>D44-D36</x:f>
        <x:v>4.590200000000003</x:v>
      </x:c>
      <x:c r="E45" s="47" t="str">
        <x:v>MW</x:v>
      </x:c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 t="str">
        <x:v>Protection nodes</x:v>
      </x:c>
      <x:c r="C46" s="47"/>
      <x:c r="D46" s="47" t="n">
        <x:f>ROUNDUP(MAX(D39,D37)/('01 Controls'!D34*'01 Controls'!D17),0)+1</x:f>
        <x:v>7</x:v>
      </x:c>
      <x:c r="E46" s="47" t="str">
        <x:v>nodes</x:v>
      </x:c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 t="str">
        <x:v>Control cells</x:v>
      </x:c>
      <x:c r="C47" s="47"/>
      <x:c r="D47" s="47" t="n">
        <x:f>6</x:f>
        <x:v>6</x:v>
      </x:c>
      <x:c r="E47" s="47" t="str">
        <x:v>cells</x:v>
      </x:c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53" t="str">
        <x:v>Electrical subset articles</x:v>
      </x:c>
      <x:c r="C48" s="53"/>
      <x:c r="D48" s="53" t="n">
        <x:f>D38+'09 No-break'!D35+D46+D47</x:f>
        <x:v>21</x:v>
      </x:c>
      <x:c r="E48" s="53" t="str">
        <x:v>articles</x:v>
      </x:c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20:E20"/>
    <x:mergeCell ref="B35:F3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7" hidden="0" customWidth="1"/>
    <x:col min="3" max="3" width="22" hidden="0" customWidth="1"/>
    <x:col min="4" max="4" width="18" hidden="0" customWidth="1"/>
    <x:col min="5" max="5" width="14" hidden="0" customWidth="1"/>
    <x:col min="1" max="1" width="3" hidden="0" customWidth="1"/>
  </x:cols>
  <x:sheetData>
    <x:row r="2" ht="18" hidden="0" customHeight="1">
      <x:c r="B2" s="50" t="str">
        <x:v>No-break electrical service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The storage screen protects only the declared half-hour no-break slice; it is not a substitute for source adequacy or longer-duration energy.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ID</x:v>
      </x:c>
      <x:c r="C6" s="45" t="str">
        <x:v>Care line</x:v>
      </x:c>
      <x:c r="D6" s="45" t="str">
        <x:v>No-break MW</x:v>
      </x:c>
      <x:c r="E6" s="47"/>
      <x:c r="F6" s="47"/>
      <x:c r="G6" s="47"/>
      <x:c r="H6" s="47"/>
      <x:c r="I6" s="47"/>
      <x:c r="J6" s="47"/>
      <x:c r="K6" s="47"/>
      <x:c r="L6" s="47"/>
    </x:row>
    <x:row r="7" ht="15" hidden="0" customHeight="1">
      <x:c r="B7" s="47" t="n">
        <x:f>'04 Demand'!B7</x:f>
        <x:v>1</x:v>
      </x:c>
      <x:c r="C7" s="47" t="str">
        <x:f>'04 Demand'!C7</x:f>
        <x:v>Community continuity</x:v>
      </x:c>
      <x:c r="D7" s="47" t="n">
        <x:f>'04 Demand'!L7</x:f>
        <x:v>0</x:v>
      </x:c>
      <x:c r="E7" s="47"/>
      <x:c r="F7" s="47"/>
      <x:c r="G7" s="47"/>
      <x:c r="H7" s="47"/>
      <x:c r="I7" s="47"/>
      <x:c r="J7" s="47"/>
      <x:c r="K7" s="47"/>
      <x:c r="L7" s="47"/>
    </x:row>
    <x:row r="8" ht="15" hidden="0" customHeight="1">
      <x:c r="B8" s="47" t="n">
        <x:f>'04 Demand'!B8</x:f>
        <x:v>2</x:v>
      </x:c>
      <x:c r="C8" s="47" t="str">
        <x:f>'04 Demand'!C8</x:f>
        <x:v>Emergency / resuscitation</x:v>
      </x:c>
      <x:c r="D8" s="47" t="n">
        <x:f>'04 Demand'!L8</x:f>
        <x:v>0.322</x:v>
      </x:c>
      <x:c r="E8" s="47"/>
      <x:c r="F8" s="47"/>
      <x:c r="G8" s="47"/>
      <x:c r="H8" s="47"/>
      <x:c r="I8" s="47"/>
      <x:c r="J8" s="47"/>
      <x:c r="K8" s="47"/>
      <x:c r="L8" s="47"/>
    </x:row>
    <x:row r="9" ht="15" hidden="0" customHeight="1">
      <x:c r="B9" s="47" t="n">
        <x:f>'04 Demand'!B9</x:f>
        <x:v>3</x:v>
      </x:c>
      <x:c r="C9" s="47" t="str">
        <x:f>'04 Demand'!C9</x:f>
        <x:v>Observation</x:v>
      </x:c>
      <x:c r="D9" s="47" t="n">
        <x:f>'04 Demand'!L9</x:f>
        <x:v>0.19920000000000002</x:v>
      </x:c>
      <x:c r="E9" s="47"/>
      <x:c r="F9" s="47"/>
      <x:c r="G9" s="47"/>
      <x:c r="H9" s="47"/>
      <x:c r="I9" s="47"/>
      <x:c r="J9" s="47"/>
      <x:c r="K9" s="47"/>
      <x:c r="L9" s="47"/>
    </x:row>
    <x:row r="10" ht="15" hidden="0" customHeight="1">
      <x:c r="B10" s="47" t="n">
        <x:f>'04 Demand'!B10</x:f>
        <x:v>4</x:v>
      </x:c>
      <x:c r="C10" s="47" t="str">
        <x:f>'04 Demand'!C10</x:f>
        <x:v>Ward inpatient</x:v>
      </x:c>
      <x:c r="D10" s="47" t="n">
        <x:f>'04 Demand'!L10</x:f>
        <x:v>0.4452</x:v>
      </x:c>
      <x:c r="E10" s="47"/>
      <x:c r="F10" s="47"/>
      <x:c r="G10" s="47"/>
      <x:c r="H10" s="47"/>
      <x:c r="I10" s="47"/>
      <x:c r="J10" s="47"/>
      <x:c r="K10" s="47"/>
      <x:c r="L10" s="47"/>
    </x:row>
    <x:row r="11" ht="15" hidden="0" customHeight="1">
      <x:c r="B11" s="47" t="n">
        <x:f>'04 Demand'!B11</x:f>
        <x:v>5</x:v>
      </x:c>
      <x:c r="C11" s="47" t="str">
        <x:f>'04 Demand'!C11</x:f>
        <x:v>Critical care</x:v>
      </x:c>
      <x:c r="D11" s="47" t="n">
        <x:f>'04 Demand'!L11</x:f>
        <x:v>2.1</x:v>
      </x:c>
      <x:c r="E11" s="47"/>
      <x:c r="F11" s="47"/>
      <x:c r="G11" s="47"/>
      <x:c r="H11" s="47"/>
      <x:c r="I11" s="47"/>
      <x:c r="J11" s="47"/>
      <x:c r="K11" s="47"/>
      <x:c r="L11" s="47"/>
    </x:row>
    <x:row r="12" ht="15" hidden="0" customHeight="1">
      <x:c r="B12" s="47" t="n">
        <x:f>'04 Demand'!B12</x:f>
        <x:v>6</x:v>
      </x:c>
      <x:c r="C12" s="47" t="str">
        <x:f>'04 Demand'!C12</x:f>
        <x:v>Surgery</x:v>
      </x:c>
      <x:c r="D12" s="47" t="n">
        <x:f>'04 Demand'!L12</x:f>
        <x:v>0.8</x:v>
      </x:c>
      <x:c r="E12" s="47"/>
      <x:c r="F12" s="47"/>
      <x:c r="G12" s="47"/>
      <x:c r="H12" s="47"/>
      <x:c r="I12" s="47"/>
      <x:c r="J12" s="47"/>
      <x:c r="K12" s="47"/>
      <x:c r="L12" s="47"/>
    </x:row>
    <x:row r="13" ht="15" hidden="0" customHeight="1">
      <x:c r="B13" s="47" t="n">
        <x:f>'04 Demand'!B13</x:f>
        <x:v>7</x:v>
      </x:c>
      <x:c r="C13" s="47" t="str">
        <x:f>'04 Demand'!C13</x:f>
        <x:v>Maternal / neonatal</x:v>
      </x:c>
      <x:c r="D13" s="47" t="n">
        <x:f>'04 Demand'!L13</x:f>
        <x:v>0.128</x:v>
      </x:c>
      <x:c r="E13" s="47"/>
      <x:c r="F13" s="47"/>
      <x:c r="G13" s="47"/>
      <x:c r="H13" s="47"/>
      <x:c r="I13" s="47"/>
      <x:c r="J13" s="47"/>
      <x:c r="K13" s="47"/>
      <x:c r="L13" s="47"/>
    </x:row>
    <x:row r="14" ht="15" hidden="0" customHeight="1">
      <x:c r="B14" s="47" t="n">
        <x:f>'04 Demand'!B14</x:f>
        <x:v>8</x:v>
      </x:c>
      <x:c r="C14" s="47" t="str">
        <x:f>'04 Demand'!C14</x:f>
        <x:v>Dialysis</x:v>
      </x:c>
      <x:c r="D14" s="47" t="n">
        <x:f>'04 Demand'!L14</x:f>
        <x:v>0.0864</x:v>
      </x:c>
      <x:c r="E14" s="47"/>
      <x:c r="F14" s="47"/>
      <x:c r="G14" s="47"/>
      <x:c r="H14" s="47"/>
      <x:c r="I14" s="47"/>
      <x:c r="J14" s="47"/>
      <x:c r="K14" s="47"/>
      <x:c r="L14" s="47"/>
    </x:row>
    <x:row r="15" ht="15" hidden="0" customHeight="1">
      <x:c r="B15" s="47" t="n">
        <x:f>'04 Demand'!B15</x:f>
        <x:v>9</x:v>
      </x:c>
      <x:c r="C15" s="47" t="str">
        <x:f>'04 Demand'!C15</x:f>
        <x:v>Isolation / infectious</x:v>
      </x:c>
      <x:c r="D15" s="47" t="n">
        <x:f>'04 Demand'!L15</x:f>
        <x:v>0.8063999999999999</x:v>
      </x:c>
      <x:c r="E15" s="47"/>
      <x:c r="F15" s="47"/>
      <x:c r="G15" s="47"/>
      <x:c r="H15" s="47"/>
      <x:c r="I15" s="47"/>
      <x:c r="J15" s="47"/>
      <x:c r="K15" s="47"/>
      <x:c r="L15" s="47"/>
    </x:row>
    <x:row r="16" ht="15" hidden="0" customHeight="1">
      <x:c r="B16" s="47" t="n">
        <x:f>'04 Demand'!B16</x:f>
        <x:v>10</x:v>
      </x:c>
      <x:c r="C16" s="47" t="str">
        <x:f>'04 Demand'!C16</x:f>
        <x:v>Behavioral health</x:v>
      </x:c>
      <x:c r="D16" s="47" t="n">
        <x:f>'04 Demand'!L16</x:f>
        <x:v>0.0015</x:v>
      </x:c>
      <x:c r="E16" s="47"/>
      <x:c r="F16" s="47"/>
      <x:c r="G16" s="47"/>
      <x:c r="H16" s="47"/>
      <x:c r="I16" s="47"/>
      <x:c r="J16" s="47"/>
      <x:c r="K16" s="47"/>
      <x:c r="L16" s="47"/>
    </x:row>
    <x:row r="17" ht="15" hidden="0" customHeight="1">
      <x:c r="B17" s="53" t="str">
        <x:v>TOTAL</x:v>
      </x:c>
      <x:c r="C17" s="53" t="str">
        <x:v>Direct care</x:v>
      </x:c>
      <x:c r="D17" s="53" t="n">
        <x:f>SUM(D7:D16)</x:f>
        <x:v>4.8887</x:v>
      </x:c>
      <x:c r="E17" s="47"/>
      <x:c r="F17" s="47"/>
      <x:c r="G17" s="47"/>
      <x:c r="H17" s="47"/>
      <x:c r="I17" s="47"/>
      <x:c r="J17" s="47"/>
      <x:c r="K17" s="47"/>
      <x:c r="L17" s="47"/>
    </x:row>
    <x:row r="18" ht="15" hidden="0" customHeight="1"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</x:row>
    <x:row r="19" ht="15" hidden="0" customHeight="1"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</x:row>
    <x:row r="20" ht="15" hidden="0" customHeight="1">
      <x:c r="B20" s="51" t="str">
        <x:v>Support no-break slice</x:v>
      </x:c>
      <x:c r="C20" s="51"/>
      <x:c r="D20" s="51"/>
      <x:c r="E20" s="47"/>
      <x:c r="F20" s="47"/>
      <x:c r="G20" s="47"/>
      <x:c r="H20" s="47"/>
      <x:c r="I20" s="47"/>
      <x:c r="J20" s="47"/>
      <x:c r="K20" s="47"/>
      <x:c r="L20" s="47"/>
    </x:row>
    <x:row r="21" ht="15" hidden="0" customHeight="1">
      <x:c r="B21" s="45" t="str">
        <x:v>Support load</x:v>
      </x:c>
      <x:c r="C21" s="45" t="str">
        <x:v>No-break MW</x:v>
      </x:c>
      <x:c r="D21" s="47"/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47" t="str">
        <x:v>Critical environmental control</x:v>
      </x:c>
      <x:c r="C22" s="57" t="n">
        <x:v>2.5</x:v>
      </x:c>
      <x:c r="D22" s="47"/>
      <x:c r="E22" s="47"/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 t="str">
        <x:v>Imaging and diagnostics</x:v>
      </x:c>
      <x:c r="C23" s="57" t="n">
        <x:v>0.5</x:v>
      </x:c>
      <x:c r="D23" s="47"/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 t="str">
        <x:v>Lab, pharmacy, blood, cold chain</x:v>
      </x:c>
      <x:c r="C24" s="57" t="n">
        <x:v>0.5</x:v>
      </x:c>
      <x:c r="D24" s="47"/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 t="str">
        <x:v>Oxygen and medical gas</x:v>
      </x:c>
      <x:c r="C25" s="57" t="n">
        <x:v>0.65</x:v>
      </x:c>
      <x:c r="D25" s="47"/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 t="str">
        <x:v>Sterile processing</x:v>
      </x:c>
      <x:c r="C26" s="57" t="n">
        <x:v>0.2</x:v>
      </x:c>
      <x:c r="D26" s="47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 t="str">
        <x:v>Water and wastewater controls</x:v>
      </x:c>
      <x:c r="C27" s="57" t="n">
        <x:v>0.15</x:v>
      </x:c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 t="str">
        <x:v>Records and communications</x:v>
      </x:c>
      <x:c r="C28" s="57" t="n">
        <x:v>0.35</x:v>
      </x:c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 t="str">
        <x:v>Staff and command continuity</x:v>
      </x:c>
      <x:c r="C29" s="57" t="n">
        <x:v>0.05</x:v>
      </x:c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53" t="str">
        <x:v>TOTAL</x:v>
      </x:c>
      <x:c r="C30" s="53" t="n">
        <x:f>SUM(C22:C29)</x:f>
        <x:v>4.9</x:v>
      </x:c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51" t="str">
        <x:v>Storage article screen</x:v>
      </x:c>
      <x:c r="C33" s="51"/>
      <x:c r="D33" s="51"/>
      <x:c r="E33" s="51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53" t="str">
        <x:v>Total no-break MW</x:v>
      </x:c>
      <x:c r="C34" s="53"/>
      <x:c r="D34" s="53" t="n">
        <x:f>D17+C30</x:f>
        <x:v>9.7887</x:v>
      </x:c>
      <x:c r="E34" s="53" t="str">
        <x:v>MW</x:v>
      </x:c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54" t="str">
        <x:v>BSS articles</x:v>
      </x:c>
      <x:c r="C35" s="54"/>
      <x:c r="D35" s="54" t="n">
        <x:f>MAX(ROUNDUP(D34/'01 Controls'!D30,0)+1,ROUNDUP(D36/'01 Controls'!D31,0)+1)</x:f>
        <x:v>3</x:v>
      </x:c>
      <x:c r="E35" s="54" t="str">
        <x:v>articles</x:v>
      </x:c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54" t="str">
        <x:v>Required usable energy</x:v>
      </x:c>
      <x:c r="C36" s="54"/>
      <x:c r="D36" s="54" t="n">
        <x:f>D34*'01 Controls'!D29*(1+'01 Controls'!D28)/('01 Controls'!D26*'01 Controls'!D27)</x:f>
        <x:v>7.979918478260869</x:v>
      </x:c>
      <x:c r="E36" s="54" t="str">
        <x:v>MWh</x:v>
      </x:c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 t="str">
        <x:v>After-loss power</x:v>
      </x:c>
      <x:c r="C37" s="47"/>
      <x:c r="D37" s="47" t="n">
        <x:f>(D35-1)*'01 Controls'!D30</x:f>
        <x:v>20</x:v>
      </x:c>
      <x:c r="E37" s="47" t="str">
        <x:v>MW</x:v>
      </x:c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 t="str">
        <x:v>After-loss energy</x:v>
      </x:c>
      <x:c r="C38" s="47"/>
      <x:c r="D38" s="47" t="n">
        <x:f>(D35-1)*'01 Controls'!D31</x:f>
        <x:v>10</x:v>
      </x:c>
      <x:c r="E38" s="47" t="str">
        <x:v>MWh</x:v>
      </x:c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 t="str">
        <x:v>Power margin</x:v>
      </x:c>
      <x:c r="C39" s="47"/>
      <x:c r="D39" s="47" t="n">
        <x:f>D37-D34</x:f>
        <x:v>10.2113</x:v>
      </x:c>
      <x:c r="E39" s="47" t="str">
        <x:v>MW</x:v>
      </x:c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 t="str">
        <x:v>Energy margin</x:v>
      </x:c>
      <x:c r="C40" s="47"/>
      <x:c r="D40" s="47" t="n">
        <x:f>D38-D36</x:f>
        <x:v>2.0200815217391312</x:v>
      </x:c>
      <x:c r="E40" s="47" t="str">
        <x:v>MWh</x:v>
      </x:c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20:D20"/>
    <x:mergeCell ref="B33:E3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9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" max="1" width="3" hidden="0" customWidth="1"/>
  </x:cols>
  <x:sheetData>
    <x:row r="2" ht="18" hidden="0" customHeight="1">
      <x:c r="B2" s="50" t="str">
        <x:v>Clinical utility balances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Independent balances preserve oxygen, water, wastewater, medical waste, laboratory and blood obligations after one article loss.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Service</x:v>
      </x:c>
      <x:c r="C6" s="45" t="str">
        <x:v>Base demand</x:v>
      </x:c>
      <x:c r="D6" s="45" t="str">
        <x:v>Reserve / duration</x:v>
      </x:c>
      <x:c r="E6" s="45" t="str">
        <x:v>Required capacity</x:v>
      </x:c>
      <x:c r="F6" s="45" t="str">
        <x:v>Article</x:v>
      </x:c>
      <x:c r="G6" s="45" t="str">
        <x:v>Unit capacity</x:v>
      </x:c>
      <x:c r="H6" s="45" t="str">
        <x:v>Count</x:v>
      </x:c>
      <x:c r="I6" s="45" t="str">
        <x:v>After-loss capacity</x:v>
      </x:c>
      <x:c r="J6" s="45" t="str">
        <x:v>Margin</x:v>
      </x:c>
      <x:c r="K6" s="45" t="str">
        <x:v>Unit</x:v>
      </x:c>
      <x:c r="L6" s="47"/>
    </x:row>
    <x:row r="7" ht="15" hidden="0" customHeight="1">
      <x:c r="B7" s="47" t="str">
        <x:v>Oxygen production</x:v>
      </x:c>
      <x:c r="C7" s="47" t="n">
        <x:f>'04 Demand'!M17</x:f>
        <x:v>6157</x:v>
      </x:c>
      <x:c r="D7" s="58" t="n">
        <x:f>'01 Controls'!D39</x:f>
        <x:v>0.25</x:v>
      </x:c>
      <x:c r="E7" s="47" t="n">
        <x:f>C7*(1+D7)</x:f>
        <x:v>7696.25</x:v>
      </x:c>
      <x:c r="F7" s="47" t="str">
        <x:f>"OGN-4K"</x:f>
        <x:v>OGN-4K</x:v>
      </x:c>
      <x:c r="G7" s="47" t="n">
        <x:f>'01 Controls'!D41</x:f>
        <x:v>4000</x:v>
      </x:c>
      <x:c r="H7" s="47" t="n">
        <x:f>ROUNDUP(E7/G7,0)+1</x:f>
        <x:v>3</x:v>
      </x:c>
      <x:c r="I7" s="47" t="n">
        <x:f>(H7-1)*G7</x:f>
        <x:v>8000</x:v>
      </x:c>
      <x:c r="J7" s="47" t="n">
        <x:f>I7-E7</x:f>
        <x:v>303.75</x:v>
      </x:c>
      <x:c r="K7" s="47" t="str">
        <x:f>"m3/day"</x:f>
        <x:v>m3/day</x:v>
      </x:c>
      <x:c r="L7" s="47"/>
    </x:row>
    <x:row r="8" ht="15" hidden="0" customHeight="1">
      <x:c r="B8" s="47" t="str">
        <x:v>Oxygen reserve storage</x:v>
      </x:c>
      <x:c r="C8" s="47" t="n">
        <x:f>E7</x:f>
        <x:v>7696.25</x:v>
      </x:c>
      <x:c r="D8" s="57" t="n">
        <x:f>'01 Controls'!D40</x:f>
        <x:v>48</x:v>
      </x:c>
      <x:c r="E8" s="47" t="n">
        <x:f>C8*D8/24</x:f>
        <x:v>15392.5</x:v>
      </x:c>
      <x:c r="F8" s="47" t="str">
        <x:f>"OXR-4K"</x:f>
        <x:v>OXR-4K</x:v>
      </x:c>
      <x:c r="G8" s="47" t="n">
        <x:f>'01 Controls'!D42</x:f>
        <x:v>4000</x:v>
      </x:c>
      <x:c r="H8" s="47" t="n">
        <x:f>ROUNDUP(E8/G8,0)+1</x:f>
        <x:v>5</x:v>
      </x:c>
      <x:c r="I8" s="47" t="n">
        <x:f>(H8-1)*G8</x:f>
        <x:v>16000</x:v>
      </x:c>
      <x:c r="J8" s="47" t="n">
        <x:f>I8-E8</x:f>
        <x:v>607.5</x:v>
      </x:c>
      <x:c r="K8" s="47" t="str">
        <x:f>"m3"</x:f>
        <x:v>m3</x:v>
      </x:c>
      <x:c r="L8" s="47"/>
    </x:row>
    <x:row r="9" ht="15" hidden="0" customHeight="1">
      <x:c r="B9" s="47" t="str">
        <x:v>Clinical water</x:v>
      </x:c>
      <x:c r="C9" s="47" t="n">
        <x:f>'04 Demand'!N17</x:f>
        <x:v>191.08999999999997</x:v>
      </x:c>
      <x:c r="D9" s="57" t="n">
        <x:f>0</x:f>
        <x:v>0</x:v>
      </x:c>
      <x:c r="E9" s="47" t="n">
        <x:f>C9</x:f>
        <x:v>191.08999999999997</x:v>
      </x:c>
      <x:c r="F9" s="47" t="str">
        <x:f>"care demand"</x:f>
        <x:v>care demand</x:v>
      </x:c>
      <x:c r="G9" s="47" t="n">
        <x:f>0</x:f>
        <x:v>0</x:v>
      </x:c>
      <x:c r="H9" s="47" t="n">
        <x:f>0</x:f>
        <x:v>0</x:v>
      </x:c>
      <x:c r="I9" s="47" t="n">
        <x:f>0</x:f>
        <x:v>0</x:v>
      </x:c>
      <x:c r="J9" s="47" t="n">
        <x:f>0</x:f>
        <x:v>0</x:v>
      </x:c>
      <x:c r="K9" s="47" t="str">
        <x:f>"m3/day"</x:f>
        <x:v>m3/day</x:v>
      </x:c>
      <x:c r="L9" s="47"/>
    </x:row>
    <x:row r="10" ht="15" hidden="0" customHeight="1">
      <x:c r="B10" s="47" t="str">
        <x:v>Staff water</x:v>
      </x:c>
      <x:c r="C10" s="47" t="n">
        <x:f>'06 Workforce'!D26*'01 Controls'!D44/1000</x:f>
        <x:v>352</x:v>
      </x:c>
      <x:c r="D10" s="57" t="n">
        <x:f>0</x:f>
        <x:v>0</x:v>
      </x:c>
      <x:c r="E10" s="47" t="n">
        <x:f>C10</x:f>
        <x:v>352</x:v>
      </x:c>
      <x:c r="F10" s="47" t="str">
        <x:f>"staff demand"</x:f>
        <x:v>staff demand</x:v>
      </x:c>
      <x:c r="G10" s="47" t="n">
        <x:f>0</x:f>
        <x:v>0</x:v>
      </x:c>
      <x:c r="H10" s="47" t="n">
        <x:f>0</x:f>
        <x:v>0</x:v>
      </x:c>
      <x:c r="I10" s="47" t="n">
        <x:f>0</x:f>
        <x:v>0</x:v>
      </x:c>
      <x:c r="J10" s="47" t="n">
        <x:f>0</x:f>
        <x:v>0</x:v>
      </x:c>
      <x:c r="K10" s="47" t="str">
        <x:f>"m3/day"</x:f>
        <x:v>m3/day</x:v>
      </x:c>
      <x:c r="L10" s="47"/>
    </x:row>
    <x:row r="11" ht="15" hidden="0" customHeight="1">
      <x:c r="B11" s="47" t="str">
        <x:v>Process water</x:v>
      </x:c>
      <x:c r="C11" s="47" t="n">
        <x:f>'01 Controls'!D45</x:f>
        <x:v>300</x:v>
      </x:c>
      <x:c r="D11" s="57" t="n">
        <x:f>0</x:f>
        <x:v>0</x:v>
      </x:c>
      <x:c r="E11" s="47" t="n">
        <x:f>C11</x:f>
        <x:v>300</x:v>
      </x:c>
      <x:c r="F11" s="47" t="str">
        <x:f>"process demand"</x:f>
        <x:v>process demand</x:v>
      </x:c>
      <x:c r="G11" s="47" t="n">
        <x:f>0</x:f>
        <x:v>0</x:v>
      </x:c>
      <x:c r="H11" s="47" t="n">
        <x:f>0</x:f>
        <x:v>0</x:v>
      </x:c>
      <x:c r="I11" s="47" t="n">
        <x:f>0</x:f>
        <x:v>0</x:v>
      </x:c>
      <x:c r="J11" s="47" t="n">
        <x:f>0</x:f>
        <x:v>0</x:v>
      </x:c>
      <x:c r="K11" s="47" t="str">
        <x:f>"m3/day"</x:f>
        <x:v>m3/day</x:v>
      </x:c>
      <x:c r="L11" s="47"/>
    </x:row>
    <x:row r="12" ht="15" hidden="0" customHeight="1">
      <x:c r="B12" s="47" t="str">
        <x:v>Base water</x:v>
      </x:c>
      <x:c r="C12" s="47" t="n">
        <x:f>SUM(C9:C11)</x:f>
        <x:v>843.0899999999999</x:v>
      </x:c>
      <x:c r="D12" s="58" t="n">
        <x:f>'01 Controls'!D43</x:f>
        <x:v>0.25</x:v>
      </x:c>
      <x:c r="E12" s="47" t="n">
        <x:f>C12*(1+D12)</x:f>
        <x:v>1053.8625</x:v>
      </x:c>
      <x:c r="F12" s="47" t="str">
        <x:f>"water total"</x:f>
        <x:v>water total</x:v>
      </x:c>
      <x:c r="G12" s="47" t="n">
        <x:f>0</x:f>
        <x:v>0</x:v>
      </x:c>
      <x:c r="H12" s="47" t="n">
        <x:f>0</x:f>
        <x:v>0</x:v>
      </x:c>
      <x:c r="I12" s="47" t="n">
        <x:f>0</x:f>
        <x:v>0</x:v>
      </x:c>
      <x:c r="J12" s="47" t="n">
        <x:f>0</x:f>
        <x:v>0</x:v>
      </x:c>
      <x:c r="K12" s="47" t="str">
        <x:f>"m3/day"</x:f>
        <x:v>m3/day</x:v>
      </x:c>
      <x:c r="L12" s="47"/>
    </x:row>
    <x:row r="13" ht="15" hidden="0" customHeight="1">
      <x:c r="B13" s="47" t="str">
        <x:v>Water production</x:v>
      </x:c>
      <x:c r="C13" s="47" t="n">
        <x:f>E12</x:f>
        <x:v>1053.8625</x:v>
      </x:c>
      <x:c r="D13" s="58" t="n">
        <x:f>'01 Controls'!D43</x:f>
        <x:v>0.25</x:v>
      </x:c>
      <x:c r="E13" s="47" t="n">
        <x:f>C13</x:f>
        <x:v>1053.8625</x:v>
      </x:c>
      <x:c r="F13" s="47" t="str">
        <x:f>"WGN-400"</x:f>
        <x:v>WGN-400</x:v>
      </x:c>
      <x:c r="G13" s="47" t="n">
        <x:f>'01 Controls'!D47</x:f>
        <x:v>400</x:v>
      </x:c>
      <x:c r="H13" s="47" t="n">
        <x:f>ROUNDUP(E13/G13,0)+1</x:f>
        <x:v>4</x:v>
      </x:c>
      <x:c r="I13" s="47" t="n">
        <x:f>(H13-1)*G13</x:f>
        <x:v>1200</x:v>
      </x:c>
      <x:c r="J13" s="47" t="n">
        <x:f>I13-E13</x:f>
        <x:v>146.13750000000005</x:v>
      </x:c>
      <x:c r="K13" s="47" t="str">
        <x:f>"m3/day"</x:f>
        <x:v>m3/day</x:v>
      </x:c>
      <x:c r="L13" s="47"/>
    </x:row>
    <x:row r="14" ht="15" hidden="0" customHeight="1">
      <x:c r="B14" s="47" t="str">
        <x:v>Water reserve storage</x:v>
      </x:c>
      <x:c r="C14" s="47" t="n">
        <x:f>E12</x:f>
        <x:v>1053.8625</x:v>
      </x:c>
      <x:c r="D14" s="57" t="n">
        <x:f>'01 Controls'!D46</x:f>
        <x:v>48</x:v>
      </x:c>
      <x:c r="E14" s="47" t="n">
        <x:f>C14*D14/24</x:f>
        <x:v>2107.725</x:v>
      </x:c>
      <x:c r="F14" s="47" t="str">
        <x:f>"WST-720"</x:f>
        <x:v>WST-720</x:v>
      </x:c>
      <x:c r="G14" s="47" t="n">
        <x:f>'01 Controls'!D48</x:f>
        <x:v>720</x:v>
      </x:c>
      <x:c r="H14" s="47" t="n">
        <x:f>ROUNDUP(E14/G14,0)+1</x:f>
        <x:v>4</x:v>
      </x:c>
      <x:c r="I14" s="47" t="n">
        <x:f>(H14-1)*G14</x:f>
        <x:v>2160</x:v>
      </x:c>
      <x:c r="J14" s="47" t="n">
        <x:f>I14-E14</x:f>
        <x:v>52.27500000000009</x:v>
      </x:c>
      <x:c r="K14" s="47" t="str">
        <x:f>"m3"</x:f>
        <x:v>m3</x:v>
      </x:c>
      <x:c r="L14" s="47"/>
    </x:row>
    <x:row r="15" ht="15" hidden="0" customHeight="1">
      <x:c r="B15" s="47" t="str">
        <x:v>Wastewater treatment</x:v>
      </x:c>
      <x:c r="C15" s="47" t="n">
        <x:f>E12</x:f>
        <x:v>1053.8625</x:v>
      </x:c>
      <x:c r="D15" s="58" t="n">
        <x:f>'01 Controls'!D49</x:f>
        <x:v>0.9</x:v>
      </x:c>
      <x:c r="E15" s="47" t="n">
        <x:f>C15*D15</x:f>
        <x:v>948.4762499999999</x:v>
      </x:c>
      <x:c r="F15" s="47" t="str">
        <x:f>"WWT-350"</x:f>
        <x:v>WWT-350</x:v>
      </x:c>
      <x:c r="G15" s="47" t="n">
        <x:f>'01 Controls'!D50</x:f>
        <x:v>350</x:v>
      </x:c>
      <x:c r="H15" s="47" t="n">
        <x:f>ROUNDUP(E15/G15,0)+1</x:f>
        <x:v>4</x:v>
      </x:c>
      <x:c r="I15" s="47" t="n">
        <x:f>(H15-1)*G15</x:f>
        <x:v>1050</x:v>
      </x:c>
      <x:c r="J15" s="47" t="n">
        <x:f>I15-E15</x:f>
        <x:v>101.52375000000006</x:v>
      </x:c>
      <x:c r="K15" s="47" t="str">
        <x:f>"m3/day"</x:f>
        <x:v>m3/day</x:v>
      </x:c>
      <x:c r="L15" s="47"/>
    </x:row>
    <x:row r="16" ht="15" hidden="0" customHeight="1">
      <x:c r="B16" s="47" t="str">
        <x:v>Medical-waste treatment</x:v>
      </x:c>
      <x:c r="C16" s="47" t="n">
        <x:f>'04 Demand'!O17</x:f>
        <x:v>3.553025</x:v>
      </x:c>
      <x:c r="D16" s="58" t="n">
        <x:f>'01 Controls'!D51</x:f>
        <x:v>0.25</x:v>
      </x:c>
      <x:c r="E16" s="47" t="n">
        <x:f>C16*(1+D16)</x:f>
        <x:v>4.441281249999999</x:v>
      </x:c>
      <x:c r="F16" s="47" t="str">
        <x:f>"MWT-2.5"</x:f>
        <x:v>MWT-2.5</x:v>
      </x:c>
      <x:c r="G16" s="47" t="n">
        <x:f>'01 Controls'!D52</x:f>
        <x:v>2.5</x:v>
      </x:c>
      <x:c r="H16" s="47" t="n">
        <x:f>ROUNDUP(E16/G16,0)+1</x:f>
        <x:v>3</x:v>
      </x:c>
      <x:c r="I16" s="47" t="n">
        <x:f>(H16-1)*G16</x:f>
        <x:v>5</x:v>
      </x:c>
      <x:c r="J16" s="47" t="n">
        <x:f>I16-E16</x:f>
        <x:v>0.5587187500000006</x:v>
      </x:c>
      <x:c r="K16" s="47" t="str">
        <x:f>"t/day"</x:f>
        <x:v>t/day</x:v>
      </x:c>
      <x:c r="L16" s="47"/>
    </x:row>
    <x:row r="17" ht="15" hidden="0" customHeight="1">
      <x:c r="B17" s="47" t="str">
        <x:v>Laboratory throughput</x:v>
      </x:c>
      <x:c r="C17" s="47" t="n">
        <x:f>'04 Demand'!P17</x:f>
        <x:v>3089.6</x:v>
      </x:c>
      <x:c r="D17" s="58" t="n">
        <x:f>'01 Controls'!D53</x:f>
        <x:v>0.2</x:v>
      </x:c>
      <x:c r="E17" s="47" t="n">
        <x:f>C17*(1+D17)</x:f>
        <x:v>3707.5199999999995</x:v>
      </x:c>
      <x:c r="F17" s="47" t="str">
        <x:f>"SSN lab"</x:f>
        <x:v>SSN lab</x:v>
      </x:c>
      <x:c r="G17" s="47" t="n">
        <x:f>'01 Controls'!D54</x:f>
        <x:v>2000</x:v>
      </x:c>
      <x:c r="H17" s="47" t="n">
        <x:f>ROUNDUP(E17/G17,0)+1</x:f>
        <x:v>3</x:v>
      </x:c>
      <x:c r="I17" s="47" t="n">
        <x:f>(H17-1)*G17</x:f>
        <x:v>4000</x:v>
      </x:c>
      <x:c r="J17" s="47" t="n">
        <x:f>I17-E17</x:f>
        <x:v>292.4800000000005</x:v>
      </x:c>
      <x:c r="K17" s="47" t="str">
        <x:f>"tests/day"</x:f>
        <x:v>tests/day</x:v>
      </x:c>
      <x:c r="L17" s="47"/>
    </x:row>
    <x:row r="18" ht="15" hidden="0" customHeight="1">
      <x:c r="B18" s="47" t="str">
        <x:v>Blood daily demand</x:v>
      </x:c>
      <x:c r="C18" s="47" t="n">
        <x:f>'04 Demand'!Q17</x:f>
        <x:v>145.275</x:v>
      </x:c>
      <x:c r="D18" s="58" t="n">
        <x:f>'01 Controls'!D55</x:f>
        <x:v>0.2</x:v>
      </x:c>
      <x:c r="E18" s="47" t="n">
        <x:f>C18*(1+D18)</x:f>
        <x:v>174.33</x:v>
      </x:c>
      <x:c r="F18" s="47" t="str">
        <x:f>"blood/day"</x:f>
        <x:v>blood/day</x:v>
      </x:c>
      <x:c r="G18" s="47" t="n">
        <x:f>0</x:f>
        <x:v>0</x:v>
      </x:c>
      <x:c r="H18" s="47" t="n">
        <x:f>0</x:f>
        <x:v>0</x:v>
      </x:c>
      <x:c r="I18" s="47" t="n">
        <x:f>0</x:f>
        <x:v>0</x:v>
      </x:c>
      <x:c r="J18" s="47" t="n">
        <x:f>0</x:f>
        <x:v>0</x:v>
      </x:c>
      <x:c r="K18" s="47" t="str">
        <x:f>"units/day"</x:f>
        <x:v>units/day</x:v>
      </x:c>
      <x:c r="L18" s="47"/>
    </x:row>
    <x:row r="19" ht="15" hidden="0" customHeight="1">
      <x:c r="B19" s="47" t="str">
        <x:v>Blood seven-day stock</x:v>
      </x:c>
      <x:c r="C19" s="47" t="n">
        <x:f>E18</x:f>
        <x:v>174.33</x:v>
      </x:c>
      <x:c r="D19" s="57" t="n">
        <x:f>'01 Controls'!D56</x:f>
        <x:v>7</x:v>
      </x:c>
      <x:c r="E19" s="47" t="n">
        <x:f>C19*D19</x:f>
        <x:v>1220.3100000000002</x:v>
      </x:c>
      <x:c r="F19" s="47" t="str">
        <x:f>"SSN blood"</x:f>
        <x:v>SSN blood</x:v>
      </x:c>
      <x:c r="G19" s="47" t="n">
        <x:f>'01 Controls'!D57</x:f>
        <x:v>800</x:v>
      </x:c>
      <x:c r="H19" s="47" t="n">
        <x:f>ROUNDUP(E19/G19,0)+1</x:f>
        <x:v>3</x:v>
      </x:c>
      <x:c r="I19" s="47" t="n">
        <x:f>(H19-1)*G19</x:f>
        <x:v>1600</x:v>
      </x:c>
      <x:c r="J19" s="47" t="n">
        <x:f>I19-E19</x:f>
        <x:v>379.6899999999998</x:v>
      </x:c>
      <x:c r="K19" s="47" t="str">
        <x:f>"units"</x:f>
        <x:v>units</x:v>
      </x:c>
      <x:c r="L19" s="47"/>
    </x:row>
    <x:row r="20" ht="15" hidden="0" customHeight="1"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</x:row>
    <x:row r="21" ht="15" hidden="0" customHeight="1"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51" t="str">
        <x:v>Boundary</x:v>
      </x:c>
      <x:c r="C22" s="51"/>
      <x:c r="D22" s="51"/>
      <x:c r="E22" s="51"/>
      <x:c r="F22" s="51"/>
      <x:c r="G22" s="51"/>
      <x:c r="H22" s="51"/>
      <x:c r="I22" s="51"/>
      <x:c r="J22" s="51"/>
      <x:c r="K22" s="51"/>
      <x:c r="L22" s="47"/>
    </x:row>
    <x:row r="23" ht="15" hidden="0" customHeight="1">
      <x:c r="B23" s="47" t="str">
        <x:v>SSN convention</x:v>
      </x:c>
      <x:c r="C23" s="47" t="str">
        <x:v>Laboratory and blood nodes are capacity screens within the three specialty-support nodes; they are not additional formation-bill articles.</x:v>
      </x:c>
      <x:c r="D23" s="47"/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 t="str">
        <x:v>Loss convention</x:v>
      </x:c>
      <x:c r="C24" s="47" t="str">
        <x:v>Every dedicated production, treatment or reserve family is sized to retain required capacity after one article loss.</x:v>
      </x:c>
      <x:c r="D24" s="47"/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 t="str">
        <x:v>Evidence</x:v>
      </x:c>
      <x:c r="C25" s="47" t="str">
        <x:v>Rates and coefficients remain explicit research assumptions; no clinical or environmental proof is admitted.</x:v>
      </x:c>
      <x:c r="D25" s="47"/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22:K22"/>
    <x:mergeCell ref="C23:K23"/>
    <x:mergeCell ref="C24:K24"/>
    <x:mergeCell ref="C25:K2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1" max="1" width="3" hidden="0" customWidth="1"/>
  </x:cols>
  <x:sheetData>
    <x:row r="2" ht="18" hidden="0" customHeight="1">
      <x:c r="B2" s="50" t="str">
        <x:v>Architecture competition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Fourteen conjunctive screens reject attractive fragments. A2 is the planning reference, not a winner with admitted evidence.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Conjunctive screen</x:v>
      </x:c>
      <x:c r="C6" s="45" t="str">
        <x:v>A1 Central megacampus</x:v>
      </x:c>
      <x:c r="D6" s="45" t="str">
        <x:v>A2 Federated clinical lattice</x:v>
      </x:c>
      <x:c r="E6" s="45" t="str">
        <x:v>A3 Fixed-facility reinforcement</x:v>
      </x:c>
      <x:c r="F6" s="45" t="str">
        <x:v>A4 Littoral clinical platform</x:v>
      </x:c>
      <x:c r="G6" s="45" t="str">
        <x:v>A5 Patient export network</x:v>
      </x:c>
      <x:c r="H6" s="47"/>
      <x:c r="I6" s="47"/>
      <x:c r="J6" s="47"/>
      <x:c r="K6" s="47"/>
      <x:c r="L6" s="47"/>
    </x:row>
    <x:row r="7" ht="15" hidden="0" customHeight="1">
      <x:c r="B7" s="47" t="str">
        <x:v>complete care pathway</x:v>
      </x:c>
      <x:c r="C7" s="47" t="str">
        <x:v>YES</x:v>
      </x:c>
      <x:c r="D7" s="47" t="str">
        <x:v>YES</x:v>
      </x:c>
      <x:c r="E7" s="47" t="str">
        <x:v>NO</x:v>
      </x:c>
      <x:c r="F7" s="47" t="str">
        <x:v>YES</x:v>
      </x:c>
      <x:c r="G7" s="47" t="str">
        <x:v>NO</x:v>
      </x:c>
      <x:c r="H7" s="47"/>
      <x:c r="I7" s="47"/>
      <x:c r="J7" s="47"/>
      <x:c r="K7" s="47"/>
      <x:c r="L7" s="47"/>
    </x:row>
    <x:row r="8" ht="15" hidden="0" customHeight="1">
      <x:c r="B8" s="47" t="str">
        <x:v>one-island loss</x:v>
      </x:c>
      <x:c r="C8" s="47" t="str">
        <x:v>NO</x:v>
      </x:c>
      <x:c r="D8" s="47" t="str">
        <x:v>YES</x:v>
      </x:c>
      <x:c r="E8" s="47" t="str">
        <x:v>YES</x:v>
      </x:c>
      <x:c r="F8" s="47" t="str">
        <x:v>NO</x:v>
      </x:c>
      <x:c r="G8" s="47" t="str">
        <x:v>YES</x:v>
      </x:c>
      <x:c r="H8" s="47"/>
      <x:c r="I8" s="47"/>
      <x:c r="J8" s="47"/>
      <x:c r="K8" s="47"/>
      <x:c r="L8" s="47"/>
    </x:row>
    <x:row r="9" ht="15" hidden="0" customHeight="1">
      <x:c r="B9" s="47" t="str">
        <x:v>care-line closure</x:v>
      </x:c>
      <x:c r="C9" s="47" t="str">
        <x:v>NO</x:v>
      </x:c>
      <x:c r="D9" s="47" t="str">
        <x:v>YES</x:v>
      </x:c>
      <x:c r="E9" s="47" t="str">
        <x:v>NO</x:v>
      </x:c>
      <x:c r="F9" s="47" t="str">
        <x:v>YES</x:v>
      </x:c>
      <x:c r="G9" s="47" t="str">
        <x:v>NO</x:v>
      </x:c>
      <x:c r="H9" s="47"/>
      <x:c r="I9" s="47"/>
      <x:c r="J9" s="47"/>
      <x:c r="K9" s="47"/>
      <x:c r="L9" s="47"/>
    </x:row>
    <x:row r="10" ht="15" hidden="0" customHeight="1">
      <x:c r="B10" s="47" t="str">
        <x:v>12–24 h acute path</x:v>
      </x:c>
      <x:c r="C10" s="47" t="str">
        <x:v>NO</x:v>
      </x:c>
      <x:c r="D10" s="47" t="str">
        <x:v>YES</x:v>
      </x:c>
      <x:c r="E10" s="47" t="str">
        <x:v>YES</x:v>
      </x:c>
      <x:c r="F10" s="47" t="str">
        <x:v>NO</x:v>
      </x:c>
      <x:c r="G10" s="47" t="str">
        <x:v>YES</x:v>
      </x:c>
      <x:c r="H10" s="47"/>
      <x:c r="I10" s="47"/>
      <x:c r="J10" s="47"/>
      <x:c r="K10" s="47"/>
      <x:c r="L10" s="47"/>
    </x:row>
    <x:row r="11" ht="15" hidden="0" customHeight="1">
      <x:c r="B11" s="47" t="str">
        <x:v>30-day continuity</x:v>
      </x:c>
      <x:c r="C11" s="47" t="str">
        <x:v>YES</x:v>
      </x:c>
      <x:c r="D11" s="47" t="str">
        <x:v>YES</x:v>
      </x:c>
      <x:c r="E11" s="47" t="str">
        <x:v>YES</x:v>
      </x:c>
      <x:c r="F11" s="47" t="str">
        <x:v>YES</x:v>
      </x:c>
      <x:c r="G11" s="47" t="str">
        <x:v>NO</x:v>
      </x:c>
      <x:c r="H11" s="47"/>
      <x:c r="I11" s="47"/>
      <x:c r="J11" s="47"/>
      <x:c r="K11" s="47"/>
      <x:c r="L11" s="47"/>
    </x:row>
    <x:row r="12" ht="15" hidden="0" customHeight="1">
      <x:c r="B12" s="47" t="str">
        <x:v>oxygen independence</x:v>
      </x:c>
      <x:c r="C12" s="47" t="str">
        <x:v>YES</x:v>
      </x:c>
      <x:c r="D12" s="47" t="str">
        <x:v>YES</x:v>
      </x:c>
      <x:c r="E12" s="47" t="str">
        <x:v>NO</x:v>
      </x:c>
      <x:c r="F12" s="47" t="str">
        <x:v>YES</x:v>
      </x:c>
      <x:c r="G12" s="47" t="str">
        <x:v>NO</x:v>
      </x:c>
      <x:c r="H12" s="47"/>
      <x:c r="I12" s="47"/>
      <x:c r="J12" s="47"/>
      <x:c r="K12" s="47"/>
      <x:c r="L12" s="47"/>
    </x:row>
    <x:row r="13" ht="15" hidden="0" customHeight="1">
      <x:c r="B13" s="47" t="str">
        <x:v>water independence</x:v>
      </x:c>
      <x:c r="C13" s="47" t="str">
        <x:v>YES</x:v>
      </x:c>
      <x:c r="D13" s="47" t="str">
        <x:v>YES</x:v>
      </x:c>
      <x:c r="E13" s="47" t="str">
        <x:v>NO</x:v>
      </x:c>
      <x:c r="F13" s="47" t="str">
        <x:v>YES</x:v>
      </x:c>
      <x:c r="G13" s="47" t="str">
        <x:v>NO</x:v>
      </x:c>
      <x:c r="H13" s="47"/>
      <x:c r="I13" s="47"/>
      <x:c r="J13" s="47"/>
      <x:c r="K13" s="47"/>
      <x:c r="L13" s="47"/>
    </x:row>
    <x:row r="14" ht="15" hidden="0" customHeight="1">
      <x:c r="B14" s="47" t="str">
        <x:v>no-break power</x:v>
      </x:c>
      <x:c r="C14" s="47" t="str">
        <x:v>YES</x:v>
      </x:c>
      <x:c r="D14" s="47" t="str">
        <x:v>YES</x:v>
      </x:c>
      <x:c r="E14" s="47" t="str">
        <x:v>NO</x:v>
      </x:c>
      <x:c r="F14" s="47" t="str">
        <x:v>YES</x:v>
      </x:c>
      <x:c r="G14" s="47" t="str">
        <x:v>NO</x:v>
      </x:c>
      <x:c r="H14" s="47"/>
      <x:c r="I14" s="47"/>
      <x:c r="J14" s="47"/>
      <x:c r="K14" s="47"/>
      <x:c r="L14" s="47"/>
    </x:row>
    <x:row r="15" ht="15" hidden="0" customHeight="1">
      <x:c r="B15" s="47" t="str">
        <x:v>infection-zone separation</x:v>
      </x:c>
      <x:c r="C15" s="47" t="str">
        <x:v>NO</x:v>
      </x:c>
      <x:c r="D15" s="47" t="str">
        <x:v>YES</x:v>
      </x:c>
      <x:c r="E15" s="47" t="str">
        <x:v>YES</x:v>
      </x:c>
      <x:c r="F15" s="47" t="str">
        <x:v>YES</x:v>
      </x:c>
      <x:c r="G15" s="47" t="str">
        <x:v>NO</x:v>
      </x:c>
      <x:c r="H15" s="47"/>
      <x:c r="I15" s="47"/>
      <x:c r="J15" s="47"/>
      <x:c r="K15" s="47"/>
      <x:c r="L15" s="47"/>
    </x:row>
    <x:row r="16" ht="15" hidden="0" customHeight="1">
      <x:c r="B16" s="47" t="str">
        <x:v>patient transfer closure</x:v>
      </x:c>
      <x:c r="C16" s="47" t="str">
        <x:v>YES</x:v>
      </x:c>
      <x:c r="D16" s="47" t="str">
        <x:v>YES</x:v>
      </x:c>
      <x:c r="E16" s="47" t="str">
        <x:v>NO</x:v>
      </x:c>
      <x:c r="F16" s="47" t="str">
        <x:v>YES</x:v>
      </x:c>
      <x:c r="G16" s="47" t="str">
        <x:v>YES</x:v>
      </x:c>
      <x:c r="H16" s="47"/>
      <x:c r="I16" s="47"/>
      <x:c r="J16" s="47"/>
      <x:c r="K16" s="47"/>
      <x:c r="L16" s="47"/>
    </x:row>
    <x:row r="17" ht="15" hidden="0" customHeight="1">
      <x:c r="B17" s="47" t="str">
        <x:v>supported discharge</x:v>
      </x:c>
      <x:c r="C17" s="47" t="str">
        <x:v>NO</x:v>
      </x:c>
      <x:c r="D17" s="47" t="str">
        <x:v>YES</x:v>
      </x:c>
      <x:c r="E17" s="47" t="str">
        <x:v>NO</x:v>
      </x:c>
      <x:c r="F17" s="47" t="str">
        <x:v>NO</x:v>
      </x:c>
      <x:c r="G17" s="47" t="str">
        <x:v>NO</x:v>
      </x:c>
      <x:c r="H17" s="47"/>
      <x:c r="I17" s="47"/>
      <x:c r="J17" s="47"/>
      <x:c r="K17" s="47"/>
      <x:c r="L17" s="47"/>
    </x:row>
    <x:row r="18" ht="15" hidden="0" customHeight="1">
      <x:c r="B18" s="47" t="str">
        <x:v>staff regeneration</x:v>
      </x:c>
      <x:c r="C18" s="47" t="str">
        <x:v>NO</x:v>
      </x:c>
      <x:c r="D18" s="47" t="str">
        <x:v>YES</x:v>
      </x:c>
      <x:c r="E18" s="47" t="str">
        <x:v>NO</x:v>
      </x:c>
      <x:c r="F18" s="47" t="str">
        <x:v>NO</x:v>
      </x:c>
      <x:c r="G18" s="47" t="str">
        <x:v>NO</x:v>
      </x:c>
      <x:c r="H18" s="47"/>
      <x:c r="I18" s="47"/>
      <x:c r="J18" s="47"/>
      <x:c r="K18" s="47"/>
      <x:c r="L18" s="47"/>
    </x:row>
    <x:row r="19" ht="15" hidden="0" customHeight="1">
      <x:c r="B19" s="47" t="str">
        <x:v>multi-geography use</x:v>
      </x:c>
      <x:c r="C19" s="47" t="str">
        <x:v>NO</x:v>
      </x:c>
      <x:c r="D19" s="47" t="str">
        <x:v>YES</x:v>
      </x:c>
      <x:c r="E19" s="47" t="str">
        <x:v>NO</x:v>
      </x:c>
      <x:c r="F19" s="47" t="str">
        <x:v>NO</x:v>
      </x:c>
      <x:c r="G19" s="47" t="str">
        <x:v>YES</x:v>
      </x:c>
      <x:c r="H19" s="47"/>
      <x:c r="I19" s="47"/>
      <x:c r="J19" s="47"/>
      <x:c r="K19" s="47"/>
      <x:c r="L19" s="47"/>
    </x:row>
    <x:row r="20" ht="15" hidden="0" customHeight="1">
      <x:c r="B20" s="47" t="str">
        <x:v>independent evidence surface</x:v>
      </x:c>
      <x:c r="C20" s="47" t="str">
        <x:v>YES</x:v>
      </x:c>
      <x:c r="D20" s="47" t="str">
        <x:v>YES</x:v>
      </x:c>
      <x:c r="E20" s="47" t="str">
        <x:v>YES</x:v>
      </x:c>
      <x:c r="F20" s="47" t="str">
        <x:v>YES</x:v>
      </x:c>
      <x:c r="G20" s="47" t="str">
        <x:v>YES</x:v>
      </x:c>
      <x:c r="H20" s="47"/>
      <x:c r="I20" s="47"/>
      <x:c r="J20" s="47"/>
      <x:c r="K20" s="47"/>
      <x:c r="L20" s="47"/>
    </x:row>
    <x:row r="21" ht="15" hidden="0" customHeight="1">
      <x:c r="B21" s="53" t="str">
        <x:v>Screens passed</x:v>
      </x:c>
      <x:c r="C21" s="53" t="n">
        <x:f>COUNTIF(C7:C20,"YES")</x:f>
        <x:v>7</x:v>
      </x:c>
      <x:c r="D21" s="53" t="n">
        <x:f>COUNTIF(D7:D20,"YES")</x:f>
        <x:v>14</x:v>
      </x:c>
      <x:c r="E21" s="53" t="n">
        <x:f>COUNTIF(E7:E20,"YES")</x:f>
        <x:v>5</x:v>
      </x:c>
      <x:c r="F21" s="53" t="n">
        <x:f>COUNTIF(F7:F20,"YES")</x:f>
        <x:v>9</x:v>
      </x:c>
      <x:c r="G21" s="53" t="n">
        <x:f>COUNTIF(G7:G20,"YES")</x:f>
        <x:v>5</x:v>
      </x:c>
      <x:c r="H21" s="47"/>
      <x:c r="I21" s="47"/>
      <x:c r="J21" s="47"/>
      <x:c r="K21" s="47"/>
      <x:c r="L21" s="47"/>
    </x:row>
    <x:row r="22" ht="15" hidden="0" customHeight="1"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51" t="str">
        <x:v>Selection boundary</x:v>
      </x:c>
      <x:c r="C24" s="51"/>
      <x:c r="D24" s="51"/>
      <x:c r="E24" s="51"/>
      <x:c r="F24" s="51"/>
      <x:c r="G24" s="51"/>
      <x:c r="H24" s="47"/>
      <x:c r="I24" s="47"/>
      <x:c r="J24" s="47"/>
      <x:c r="K24" s="47"/>
      <x:c r="L24" s="47"/>
    </x:row>
    <x:row r="25" ht="15" hidden="0" customHeight="1">
      <x:c r="B25" s="47" t="str">
        <x:v>Planning reference</x:v>
      </x:c>
      <x:c r="C25" s="47" t="str">
        <x:v>A2 Federated clinical lattice</x:v>
      </x:c>
      <x:c r="D25" s="47"/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 t="str">
        <x:v>Reason</x:v>
      </x:c>
      <x:c r="C26" s="47" t="str">
        <x:v>Only candidate that closes all fourteen planning screens under declared assumptions.</x:v>
      </x:c>
      <x:c r="D26" s="47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 t="str">
        <x:v>Admission</x:v>
      </x:c>
      <x:c r="C27" s="47" t="str">
        <x:v>No architecture earns fielding, quantity or substitution credit before representative evidence.</x:v>
      </x:c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24:G24"/>
    <x:mergeCell ref="C25:G25"/>
    <x:mergeCell ref="C26:G26"/>
    <x:mergeCell ref="C27:G2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3" hidden="0" customWidth="1"/>
    <x:col min="4" max="4" width="3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5" hidden="0" customWidth="1"/>
    <x:col min="11" max="11" width="15" hidden="0" customWidth="1"/>
    <x:col min="1" max="1" width="3" hidden="0" customWidth="1"/>
  </x:cols>
  <x:sheetData>
    <x:row r="2" ht="18" hidden="0" customHeight="1">
      <x:c r="B2" s="50" t="str">
        <x:v>HCSG-100 first-unit formation screen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Twenty article families express the complete planning configuration. Mass and capital are research estimates, not bids or appropriations.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Category</x:v>
      </x:c>
      <x:c r="C6" s="45" t="str">
        <x:v>ID</x:v>
      </x:c>
      <x:c r="D6" s="45" t="str">
        <x:v>Article family</x:v>
      </x:c>
      <x:c r="E6" s="45" t="str">
        <x:v>Count</x:v>
      </x:c>
      <x:c r="F6" s="45" t="str">
        <x:v>Unit dry mass t</x:v>
      </x:c>
      <x:c r="G6" s="45" t="str">
        <x:v>Total dry mass t</x:v>
      </x:c>
      <x:c r="H6" s="45" t="str">
        <x:v>Unit capital USD m</x:v>
      </x:c>
      <x:c r="I6" s="45" t="str">
        <x:v>Total capital USD m</x:v>
      </x:c>
      <x:c r="J6" s="45" t="str">
        <x:v>Boundary basis</x:v>
      </x:c>
      <x:c r="K6" s="45" t="str">
        <x:v>Status</x:v>
      </x:c>
      <x:c r="L6" s="47"/>
    </x:row>
    <x:row r="7" ht="15" hidden="0" customHeight="1">
      <x:c r="B7" s="47" t="str">
        <x:v>Care</x:v>
      </x:c>
      <x:c r="C7" s="47" t="str">
        <x:v>CSI-25</x:v>
      </x:c>
      <x:c r="D7" s="47" t="str">
        <x:v>Clinical service island</x:v>
      </x:c>
      <x:c r="E7" s="57" t="n">
        <x:v>5</x:v>
      </x:c>
      <x:c r="F7" s="57" t="n">
        <x:v>2400</x:v>
      </x:c>
      <x:c r="G7" s="47" t="n">
        <x:f>E7*F7</x:f>
        <x:v>12000</x:v>
      </x:c>
      <x:c r="H7" s="57" t="n">
        <x:v>2200</x:v>
      </x:c>
      <x:c r="I7" s="47" t="n">
        <x:f>E7*H7</x:f>
        <x:v>11000</x:v>
      </x:c>
      <x:c r="J7" s="47" t="str">
        <x:v>first-unit planning screen</x:v>
      </x:c>
      <x:c r="K7" s="47" t="str">
        <x:v>ASSUMPTION</x:v>
      </x:c>
      <x:c r="L7" s="47"/>
    </x:row>
    <x:row r="8" ht="15" hidden="0" customHeight="1">
      <x:c r="B8" s="47" t="str">
        <x:v>Care</x:v>
      </x:c>
      <x:c r="C8" s="47" t="str">
        <x:v>CCU-12.5</x:v>
      </x:c>
      <x:c r="D8" s="47" t="str">
        <x:v>Community continuity unit</x:v>
      </x:c>
      <x:c r="E8" s="57" t="n">
        <x:v>10</x:v>
      </x:c>
      <x:c r="F8" s="57" t="n">
        <x:v>120</x:v>
      </x:c>
      <x:c r="G8" s="47" t="n">
        <x:f>E8*F8</x:f>
        <x:v>1200</x:v>
      </x:c>
      <x:c r="H8" s="57" t="n">
        <x:v>80</x:v>
      </x:c>
      <x:c r="I8" s="47" t="n">
        <x:f>E8*H8</x:f>
        <x:v>800</x:v>
      </x:c>
      <x:c r="J8" s="47" t="str">
        <x:v>first-unit planning screen</x:v>
      </x:c>
      <x:c r="K8" s="47" t="str">
        <x:v>ASSUMPTION</x:v>
      </x:c>
      <x:c r="L8" s="47"/>
    </x:row>
    <x:row r="9" ht="15" hidden="0" customHeight="1">
      <x:c r="B9" s="47" t="str">
        <x:v>Care</x:v>
      </x:c>
      <x:c r="C9" s="47" t="str">
        <x:v>SSN-50</x:v>
      </x:c>
      <x:c r="D9" s="47" t="str">
        <x:v>Specialty-support node</x:v>
      </x:c>
      <x:c r="E9" s="57" t="n">
        <x:v>3</x:v>
      </x:c>
      <x:c r="F9" s="57" t="n">
        <x:v>900</x:v>
      </x:c>
      <x:c r="G9" s="47" t="n">
        <x:f>E9*F9</x:f>
        <x:v>2700</x:v>
      </x:c>
      <x:c r="H9" s="57" t="n">
        <x:v>1200</x:v>
      </x:c>
      <x:c r="I9" s="47" t="n">
        <x:f>E9*H9</x:f>
        <x:v>3600</x:v>
      </x:c>
      <x:c r="J9" s="47" t="str">
        <x:v>first-unit planning screen</x:v>
      </x:c>
      <x:c r="K9" s="47" t="str">
        <x:v>ASSUMPTION</x:v>
      </x:c>
      <x:c r="L9" s="47"/>
    </x:row>
    <x:row r="10" ht="15" hidden="0" customHeight="1">
      <x:c r="B10" s="47" t="str">
        <x:v>Patient flow</x:v>
      </x:c>
      <x:c r="C10" s="47" t="str">
        <x:v>PRM-15</x:v>
      </x:c>
      <x:c r="D10" s="47" t="str">
        <x:v>Patient-regulation and movement cell</x:v>
      </x:c>
      <x:c r="E10" s="57" t="n">
        <x:v>5</x:v>
      </x:c>
      <x:c r="F10" s="57" t="n">
        <x:v>600</x:v>
      </x:c>
      <x:c r="G10" s="47" t="n">
        <x:f>E10*F10</x:f>
        <x:v>3000</x:v>
      </x:c>
      <x:c r="H10" s="57" t="n">
        <x:v>450</x:v>
      </x:c>
      <x:c r="I10" s="47" t="n">
        <x:f>E10*H10</x:f>
        <x:v>2250</x:v>
      </x:c>
      <x:c r="J10" s="47" t="str">
        <x:v>first-unit planning screen</x:v>
      </x:c>
      <x:c r="K10" s="47" t="str">
        <x:v>ASSUMPTION</x:v>
      </x:c>
      <x:c r="L10" s="47"/>
    </x:row>
    <x:row r="11" ht="15" hidden="0" customHeight="1">
      <x:c r="B11" s="47" t="str">
        <x:v>Patient flow</x:v>
      </x:c>
      <x:c r="C11" s="47" t="str">
        <x:v>DCC-120</x:v>
      </x:c>
      <x:c r="D11" s="47" t="str">
        <x:v>Discharge-continuity cell</x:v>
      </x:c>
      <x:c r="E11" s="57" t="n">
        <x:v>6</x:v>
      </x:c>
      <x:c r="F11" s="57" t="n">
        <x:v>100</x:v>
      </x:c>
      <x:c r="G11" s="47" t="n">
        <x:f>E11*F11</x:f>
        <x:v>600</x:v>
      </x:c>
      <x:c r="H11" s="57" t="n">
        <x:v>50</x:v>
      </x:c>
      <x:c r="I11" s="47" t="n">
        <x:f>E11*H11</x:f>
        <x:v>300</x:v>
      </x:c>
      <x:c r="J11" s="47" t="str">
        <x:v>first-unit planning screen</x:v>
      </x:c>
      <x:c r="K11" s="47" t="str">
        <x:v>ASSUMPTION</x:v>
      </x:c>
      <x:c r="L11" s="47"/>
    </x:row>
    <x:row r="12" ht="15" hidden="0" customHeight="1">
      <x:c r="B12" s="47" t="str">
        <x:v>Utilities</x:v>
      </x:c>
      <x:c r="C12" s="47" t="str">
        <x:v>OGN-4K</x:v>
      </x:c>
      <x:c r="D12" s="47" t="str">
        <x:v>Oxygen generation</x:v>
      </x:c>
      <x:c r="E12" s="57" t="n">
        <x:v>3</x:v>
      </x:c>
      <x:c r="F12" s="57" t="n">
        <x:v>150</x:v>
      </x:c>
      <x:c r="G12" s="47" t="n">
        <x:f>E12*F12</x:f>
        <x:v>450</x:v>
      </x:c>
      <x:c r="H12" s="57" t="n">
        <x:v>200</x:v>
      </x:c>
      <x:c r="I12" s="47" t="n">
        <x:f>E12*H12</x:f>
        <x:v>600</x:v>
      </x:c>
      <x:c r="J12" s="47" t="str">
        <x:v>first-unit planning screen</x:v>
      </x:c>
      <x:c r="K12" s="47" t="str">
        <x:v>ASSUMPTION</x:v>
      </x:c>
      <x:c r="L12" s="47"/>
    </x:row>
    <x:row r="13" ht="15" hidden="0" customHeight="1">
      <x:c r="B13" s="47" t="str">
        <x:v>Utilities</x:v>
      </x:c>
      <x:c r="C13" s="47" t="str">
        <x:v>OXR-4K</x:v>
      </x:c>
      <x:c r="D13" s="47" t="str">
        <x:v>Oxygen reserve</x:v>
      </x:c>
      <x:c r="E13" s="57" t="n">
        <x:v>5</x:v>
      </x:c>
      <x:c r="F13" s="57" t="n">
        <x:v>50</x:v>
      </x:c>
      <x:c r="G13" s="47" t="n">
        <x:f>E13*F13</x:f>
        <x:v>250</x:v>
      </x:c>
      <x:c r="H13" s="57" t="n">
        <x:v>60</x:v>
      </x:c>
      <x:c r="I13" s="47" t="n">
        <x:f>E13*H13</x:f>
        <x:v>300</x:v>
      </x:c>
      <x:c r="J13" s="47" t="str">
        <x:v>first-unit planning screen</x:v>
      </x:c>
      <x:c r="K13" s="47" t="str">
        <x:v>ASSUMPTION</x:v>
      </x:c>
      <x:c r="L13" s="47"/>
    </x:row>
    <x:row r="14" ht="15" hidden="0" customHeight="1">
      <x:c r="B14" s="47" t="str">
        <x:v>Utilities</x:v>
      </x:c>
      <x:c r="C14" s="47" t="str">
        <x:v>WGN-400</x:v>
      </x:c>
      <x:c r="D14" s="47" t="str">
        <x:v>Water generation</x:v>
      </x:c>
      <x:c r="E14" s="57" t="n">
        <x:v>4</x:v>
      </x:c>
      <x:c r="F14" s="57" t="n">
        <x:v>400</x:v>
      </x:c>
      <x:c r="G14" s="47" t="n">
        <x:f>E14*F14</x:f>
        <x:v>1600</x:v>
      </x:c>
      <x:c r="H14" s="57" t="n">
        <x:v>150</x:v>
      </x:c>
      <x:c r="I14" s="47" t="n">
        <x:f>E14*H14</x:f>
        <x:v>600</x:v>
      </x:c>
      <x:c r="J14" s="47" t="str">
        <x:v>first-unit planning screen</x:v>
      </x:c>
      <x:c r="K14" s="47" t="str">
        <x:v>ASSUMPTION</x:v>
      </x:c>
      <x:c r="L14" s="47"/>
    </x:row>
    <x:row r="15" ht="15" hidden="0" customHeight="1">
      <x:c r="B15" s="47" t="str">
        <x:v>Utilities</x:v>
      </x:c>
      <x:c r="C15" s="47" t="str">
        <x:v>WST-720</x:v>
      </x:c>
      <x:c r="D15" s="47" t="str">
        <x:v>Water reserve</x:v>
      </x:c>
      <x:c r="E15" s="57" t="n">
        <x:v>4</x:v>
      </x:c>
      <x:c r="F15" s="57" t="n">
        <x:v>80</x:v>
      </x:c>
      <x:c r="G15" s="47" t="n">
        <x:f>E15*F15</x:f>
        <x:v>320</x:v>
      </x:c>
      <x:c r="H15" s="57" t="n">
        <x:v>50</x:v>
      </x:c>
      <x:c r="I15" s="47" t="n">
        <x:f>E15*H15</x:f>
        <x:v>200</x:v>
      </x:c>
      <x:c r="J15" s="47" t="str">
        <x:v>first-unit planning screen</x:v>
      </x:c>
      <x:c r="K15" s="47" t="str">
        <x:v>ASSUMPTION</x:v>
      </x:c>
      <x:c r="L15" s="47"/>
    </x:row>
    <x:row r="16" ht="15" hidden="0" customHeight="1">
      <x:c r="B16" s="47" t="str">
        <x:v>Utilities</x:v>
      </x:c>
      <x:c r="C16" s="47" t="str">
        <x:v>WWT-350</x:v>
      </x:c>
      <x:c r="D16" s="47" t="str">
        <x:v>Wastewater treatment</x:v>
      </x:c>
      <x:c r="E16" s="57" t="n">
        <x:v>4</x:v>
      </x:c>
      <x:c r="F16" s="57" t="n">
        <x:v>300</x:v>
      </x:c>
      <x:c r="G16" s="47" t="n">
        <x:f>E16*F16</x:f>
        <x:v>1200</x:v>
      </x:c>
      <x:c r="H16" s="57" t="n">
        <x:v>200</x:v>
      </x:c>
      <x:c r="I16" s="47" t="n">
        <x:f>E16*H16</x:f>
        <x:v>800</x:v>
      </x:c>
      <x:c r="J16" s="47" t="str">
        <x:v>first-unit planning screen</x:v>
      </x:c>
      <x:c r="K16" s="47" t="str">
        <x:v>ASSUMPTION</x:v>
      </x:c>
      <x:c r="L16" s="47"/>
    </x:row>
    <x:row r="17" ht="15" hidden="0" customHeight="1">
      <x:c r="B17" s="47" t="str">
        <x:v>Utilities</x:v>
      </x:c>
      <x:c r="C17" s="47" t="str">
        <x:v>MWT-2.5</x:v>
      </x:c>
      <x:c r="D17" s="47" t="str">
        <x:v>Medical-waste treatment</x:v>
      </x:c>
      <x:c r="E17" s="57" t="n">
        <x:v>3</x:v>
      </x:c>
      <x:c r="F17" s="57" t="n">
        <x:v>80</x:v>
      </x:c>
      <x:c r="G17" s="47" t="n">
        <x:f>E17*F17</x:f>
        <x:v>240</x:v>
      </x:c>
      <x:c r="H17" s="57" t="n">
        <x:v>100</x:v>
      </x:c>
      <x:c r="I17" s="47" t="n">
        <x:f>E17*H17</x:f>
        <x:v>300</x:v>
      </x:c>
      <x:c r="J17" s="47" t="str">
        <x:v>first-unit planning screen</x:v>
      </x:c>
      <x:c r="K17" s="47" t="str">
        <x:v>ASSUMPTION</x:v>
      </x:c>
      <x:c r="L17" s="47"/>
    </x:row>
    <x:row r="18" ht="15" hidden="0" customHeight="1">
      <x:c r="B18" s="47" t="str">
        <x:v>Utilities</x:v>
      </x:c>
      <x:c r="C18" s="47" t="str">
        <x:v>SPC-5</x:v>
      </x:c>
      <x:c r="D18" s="47" t="str">
        <x:v>Source cluster</x:v>
      </x:c>
      <x:c r="E18" s="57" t="n">
        <x:v>5</x:v>
      </x:c>
      <x:c r="F18" s="57" t="n">
        <x:v>110</x:v>
      </x:c>
      <x:c r="G18" s="47" t="n">
        <x:f>E18*F18</x:f>
        <x:v>550</x:v>
      </x:c>
      <x:c r="H18" s="57" t="n">
        <x:v>180</x:v>
      </x:c>
      <x:c r="I18" s="47" t="n">
        <x:f>E18*H18</x:f>
        <x:v>900</x:v>
      </x:c>
      <x:c r="J18" s="47" t="str">
        <x:v>first-unit planning screen</x:v>
      </x:c>
      <x:c r="K18" s="47" t="str">
        <x:v>ASSUMPTION</x:v>
      </x:c>
      <x:c r="L18" s="47"/>
    </x:row>
    <x:row r="19" ht="15" hidden="0" customHeight="1">
      <x:c r="B19" s="47" t="str">
        <x:v>Utilities</x:v>
      </x:c>
      <x:c r="C19" s="47" t="str">
        <x:v>BSS-10/5</x:v>
      </x:c>
      <x:c r="D19" s="47" t="str">
        <x:v>No-break storage</x:v>
      </x:c>
      <x:c r="E19" s="57" t="n">
        <x:v>3</x:v>
      </x:c>
      <x:c r="F19" s="57" t="n">
        <x:v>80</x:v>
      </x:c>
      <x:c r="G19" s="47" t="n">
        <x:f>E19*F19</x:f>
        <x:v>240</x:v>
      </x:c>
      <x:c r="H19" s="57" t="n">
        <x:v>55</x:v>
      </x:c>
      <x:c r="I19" s="47" t="n">
        <x:f>E19*H19</x:f>
        <x:v>165</x:v>
      </x:c>
      <x:c r="J19" s="47" t="str">
        <x:v>first-unit planning screen</x:v>
      </x:c>
      <x:c r="K19" s="47" t="str">
        <x:v>ASSUMPTION</x:v>
      </x:c>
      <x:c r="L19" s="47"/>
    </x:row>
    <x:row r="20" ht="15" hidden="0" customHeight="1">
      <x:c r="B20" s="47" t="str">
        <x:v>Utilities</x:v>
      </x:c>
      <x:c r="C20" s="47" t="str">
        <x:v>PTN-5</x:v>
      </x:c>
      <x:c r="D20" s="47" t="str">
        <x:v>Protection node</x:v>
      </x:c>
      <x:c r="E20" s="57" t="n">
        <x:v>7</x:v>
      </x:c>
      <x:c r="F20" s="57" t="n">
        <x:v>35</x:v>
      </x:c>
      <x:c r="G20" s="47" t="n">
        <x:f>E20*F20</x:f>
        <x:v>245</x:v>
      </x:c>
      <x:c r="H20" s="57" t="n">
        <x:v>20</x:v>
      </x:c>
      <x:c r="I20" s="47" t="n">
        <x:f>E20*H20</x:f>
        <x:v>140</x:v>
      </x:c>
      <x:c r="J20" s="47" t="str">
        <x:v>first-unit planning screen</x:v>
      </x:c>
      <x:c r="K20" s="47" t="str">
        <x:v>ASSUMPTION</x:v>
      </x:c>
      <x:c r="L20" s="47"/>
    </x:row>
    <x:row r="21" ht="15" hidden="0" customHeight="1">
      <x:c r="B21" s="47" t="str">
        <x:v>Utilities</x:v>
      </x:c>
      <x:c r="C21" s="47" t="str">
        <x:v>CLC-1</x:v>
      </x:c>
      <x:c r="D21" s="47" t="str">
        <x:v>Control cell</x:v>
      </x:c>
      <x:c r="E21" s="57" t="n">
        <x:v>6</x:v>
      </x:c>
      <x:c r="F21" s="57" t="n">
        <x:v>12</x:v>
      </x:c>
      <x:c r="G21" s="47" t="n">
        <x:f>E21*F21</x:f>
        <x:v>72</x:v>
      </x:c>
      <x:c r="H21" s="57" t="n">
        <x:v>12</x:v>
      </x:c>
      <x:c r="I21" s="47" t="n">
        <x:f>E21*H21</x:f>
        <x:v>72</x:v>
      </x:c>
      <x:c r="J21" s="47" t="str">
        <x:v>first-unit planning screen</x:v>
      </x:c>
      <x:c r="K21" s="47" t="str">
        <x:v>ASSUMPTION</x:v>
      </x:c>
      <x:c r="L21" s="47"/>
    </x:row>
    <x:row r="22" ht="15" hidden="0" customHeight="1">
      <x:c r="B22" s="47" t="str">
        <x:v>Support</x:v>
      </x:c>
      <x:c r="C22" s="47" t="str">
        <x:v>MLC</x:v>
      </x:c>
      <x:c r="D22" s="47" t="str">
        <x:v>Medical logistics and cold chain</x:v>
      </x:c>
      <x:c r="E22" s="57" t="n">
        <x:v>30</x:v>
      </x:c>
      <x:c r="F22" s="57" t="n">
        <x:v>30</x:v>
      </x:c>
      <x:c r="G22" s="47" t="n">
        <x:f>E22*F22</x:f>
        <x:v>900</x:v>
      </x:c>
      <x:c r="H22" s="57" t="n">
        <x:v>20</x:v>
      </x:c>
      <x:c r="I22" s="47" t="n">
        <x:f>E22*H22</x:f>
        <x:v>600</x:v>
      </x:c>
      <x:c r="J22" s="47" t="str">
        <x:v>first-unit planning screen</x:v>
      </x:c>
      <x:c r="K22" s="47" t="str">
        <x:v>ASSUMPTION</x:v>
      </x:c>
      <x:c r="L22" s="47"/>
    </x:row>
    <x:row r="23" ht="15" hidden="0" customHeight="1">
      <x:c r="B23" s="47" t="str">
        <x:v>Support</x:v>
      </x:c>
      <x:c r="C23" s="47" t="str">
        <x:v>SLN</x:v>
      </x:c>
      <x:c r="D23" s="47" t="str">
        <x:v>Sterile processing and laundry</x:v>
      </x:c>
      <x:c r="E23" s="57" t="n">
        <x:v>6</x:v>
      </x:c>
      <x:c r="F23" s="57" t="n">
        <x:v>100</x:v>
      </x:c>
      <x:c r="G23" s="47" t="n">
        <x:f>E23*F23</x:f>
        <x:v>600</x:v>
      </x:c>
      <x:c r="H23" s="57" t="n">
        <x:v>75</x:v>
      </x:c>
      <x:c r="I23" s="47" t="n">
        <x:f>E23*H23</x:f>
        <x:v>450</x:v>
      </x:c>
      <x:c r="J23" s="47" t="str">
        <x:v>first-unit planning screen</x:v>
      </x:c>
      <x:c r="K23" s="47" t="str">
        <x:v>ASSUMPTION</x:v>
      </x:c>
      <x:c r="L23" s="47"/>
    </x:row>
    <x:row r="24" ht="15" hidden="0" customHeight="1">
      <x:c r="B24" s="47" t="str">
        <x:v>Support</x:v>
      </x:c>
      <x:c r="C24" s="47" t="str">
        <x:v>SSV</x:v>
      </x:c>
      <x:c r="D24" s="47" t="str">
        <x:v>Staff-service module</x:v>
      </x:c>
      <x:c r="E24" s="57" t="n">
        <x:v>20</x:v>
      </x:c>
      <x:c r="F24" s="57" t="n">
        <x:v>200</x:v>
      </x:c>
      <x:c r="G24" s="47" t="n">
        <x:f>E24*F24</x:f>
        <x:v>4000</x:v>
      </x:c>
      <x:c r="H24" s="57" t="n">
        <x:v>60</x:v>
      </x:c>
      <x:c r="I24" s="47" t="n">
        <x:f>E24*H24</x:f>
        <x:v>1200</x:v>
      </x:c>
      <x:c r="J24" s="47" t="str">
        <x:v>first-unit planning screen</x:v>
      </x:c>
      <x:c r="K24" s="47" t="str">
        <x:v>ASSUMPTION</x:v>
      </x:c>
      <x:c r="L24" s="47"/>
    </x:row>
    <x:row r="25" ht="15" hidden="0" customHeight="1">
      <x:c r="B25" s="47" t="str">
        <x:v>Support</x:v>
      </x:c>
      <x:c r="C25" s="47" t="str">
        <x:v>BPR</x:v>
      </x:c>
      <x:c r="D25" s="47" t="str">
        <x:v>Biomedical, pharmacy and repair</x:v>
      </x:c>
      <x:c r="E25" s="57" t="n">
        <x:v>10</x:v>
      </x:c>
      <x:c r="F25" s="57" t="n">
        <x:v>80</x:v>
      </x:c>
      <x:c r="G25" s="47" t="n">
        <x:f>E25*F25</x:f>
        <x:v>800</x:v>
      </x:c>
      <x:c r="H25" s="57" t="n">
        <x:v>50</x:v>
      </x:c>
      <x:c r="I25" s="47" t="n">
        <x:f>E25*H25</x:f>
        <x:v>500</x:v>
      </x:c>
      <x:c r="J25" s="47" t="str">
        <x:v>first-unit planning screen</x:v>
      </x:c>
      <x:c r="K25" s="47" t="str">
        <x:v>ASSUMPTION</x:v>
      </x:c>
      <x:c r="L25" s="47"/>
    </x:row>
    <x:row r="26" ht="15" hidden="0" customHeight="1">
      <x:c r="B26" s="47" t="str">
        <x:v>Support</x:v>
      </x:c>
      <x:c r="C26" s="47" t="str">
        <x:v>CQE</x:v>
      </x:c>
      <x:c r="D26" s="47" t="str">
        <x:v>Command, quality and evidence</x:v>
      </x:c>
      <x:c r="E26" s="57" t="n">
        <x:v>5</x:v>
      </x:c>
      <x:c r="F26" s="57" t="n">
        <x:v>50</x:v>
      </x:c>
      <x:c r="G26" s="47" t="n">
        <x:f>E26*F26</x:f>
        <x:v>250</x:v>
      </x:c>
      <x:c r="H26" s="57" t="n">
        <x:v>60</x:v>
      </x:c>
      <x:c r="I26" s="47" t="n">
        <x:f>E26*H26</x:f>
        <x:v>300</x:v>
      </x:c>
      <x:c r="J26" s="47" t="str">
        <x:v>first-unit planning screen</x:v>
      </x:c>
      <x:c r="K26" s="47" t="str">
        <x:v>ASSUMPTION</x:v>
      </x:c>
      <x:c r="L26" s="47"/>
    </x:row>
    <x:row r="27" ht="15" hidden="0" customHeight="1">
      <x:c r="B27" s="53" t="str">
        <x:v>TOTAL</x:v>
      </x:c>
      <x:c r="C27" s="53" t="str">
        <x:v>HCSG-100</x:v>
      </x:c>
      <x:c r="D27" s="53" t="str">
        <x:v>Complete planning configuration</x:v>
      </x:c>
      <x:c r="E27" s="53" t="n">
        <x:f>SUM(E7:E26)</x:f>
        <x:v>144</x:v>
      </x:c>
      <x:c r="F27" s="53"/>
      <x:c r="G27" s="53" t="n">
        <x:f>SUM(G7:G26)</x:f>
        <x:v>31217</x:v>
      </x:c>
      <x:c r="H27" s="53"/>
      <x:c r="I27" s="53" t="n">
        <x:f>SUM(I7:I26)</x:f>
        <x:v>25077</x:v>
      </x:c>
      <x:c r="J27" s="53"/>
      <x:c r="K27" s="53"/>
      <x:c r="L27" s="47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22" hidden="0" customWidth="1"/>
    <x:col min="8" max="8" width="18" hidden="0" customWidth="1"/>
    <x:col min="1" max="1" width="3" hidden="0" customWidth="1"/>
  </x:cols>
  <x:sheetData>
    <x:row r="2" ht="18" hidden="0" customHeight="1">
      <x:c r="B2" s="50" t="str">
        <x:v>Capital boundary and category structure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This sheet separates a first-unit production target from the inherited technology allocation and from all excluded national-system costs.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Category</x:v>
      </x:c>
      <x:c r="C6" s="45" t="str">
        <x:v>Articles</x:v>
      </x:c>
      <x:c r="D6" s="45" t="str">
        <x:v>Dry mass t</x:v>
      </x:c>
      <x:c r="E6" s="45" t="str">
        <x:v>Capital USD m</x:v>
      </x:c>
      <x:c r="F6" s="47"/>
      <x:c r="G6" s="45" t="str">
        <x:v>Category</x:v>
      </x:c>
      <x:c r="H6" s="45" t="str">
        <x:v>Capital USD m</x:v>
      </x:c>
      <x:c r="I6" s="47"/>
      <x:c r="J6" s="47"/>
      <x:c r="K6" s="47"/>
      <x:c r="L6" s="47"/>
    </x:row>
    <x:row r="7" ht="15" hidden="0" customHeight="1">
      <x:c r="B7" s="47" t="str">
        <x:v>Care</x:v>
      </x:c>
      <x:c r="C7" s="79" t="n">
        <x:f>SUM('12 Formation bill'!E7:E9)</x:f>
        <x:v>18</x:v>
      </x:c>
      <x:c r="D7" s="79" t="n">
        <x:f>SUM('12 Formation bill'!G7:G9)</x:f>
        <x:v>15900</x:v>
      </x:c>
      <x:c r="E7" s="79" t="n">
        <x:f>SUM('12 Formation bill'!I7:I9)</x:f>
        <x:v>15400</x:v>
      </x:c>
      <x:c r="F7" s="47"/>
      <x:c r="G7" s="47" t="str">
        <x:f>B7</x:f>
        <x:v>Care</x:v>
      </x:c>
      <x:c r="H7" s="47" t="n">
        <x:f>E7</x:f>
        <x:v>15400</x:v>
      </x:c>
      <x:c r="I7" s="47"/>
      <x:c r="J7" s="47"/>
      <x:c r="K7" s="47"/>
      <x:c r="L7" s="47"/>
    </x:row>
    <x:row r="8" ht="15" hidden="0" customHeight="1">
      <x:c r="B8" s="47" t="str">
        <x:v>Patient flow</x:v>
      </x:c>
      <x:c r="C8" s="79" t="n">
        <x:f>SUM('12 Formation bill'!E10:E11)</x:f>
        <x:v>11</x:v>
      </x:c>
      <x:c r="D8" s="79" t="n">
        <x:f>SUM('12 Formation bill'!G10:G11)</x:f>
        <x:v>3600</x:v>
      </x:c>
      <x:c r="E8" s="79" t="n">
        <x:f>SUM('12 Formation bill'!I10:I11)</x:f>
        <x:v>2550</x:v>
      </x:c>
      <x:c r="F8" s="47"/>
      <x:c r="G8" s="47" t="str">
        <x:f>B8</x:f>
        <x:v>Patient flow</x:v>
      </x:c>
      <x:c r="H8" s="47" t="n">
        <x:f>E8</x:f>
        <x:v>2550</x:v>
      </x:c>
      <x:c r="I8" s="47"/>
      <x:c r="J8" s="47"/>
      <x:c r="K8" s="47"/>
      <x:c r="L8" s="47"/>
    </x:row>
    <x:row r="9" ht="15" hidden="0" customHeight="1">
      <x:c r="B9" s="47" t="str">
        <x:v>Utilities</x:v>
      </x:c>
      <x:c r="C9" s="79" t="n">
        <x:f>SUM('12 Formation bill'!E12:E21)</x:f>
        <x:v>44</x:v>
      </x:c>
      <x:c r="D9" s="79" t="n">
        <x:f>SUM('12 Formation bill'!G12:G21)</x:f>
        <x:v>5167</x:v>
      </x:c>
      <x:c r="E9" s="79" t="n">
        <x:f>SUM('12 Formation bill'!I12:I21)</x:f>
        <x:v>4077</x:v>
      </x:c>
      <x:c r="F9" s="47"/>
      <x:c r="G9" s="47" t="str">
        <x:f>B9</x:f>
        <x:v>Utilities</x:v>
      </x:c>
      <x:c r="H9" s="47" t="n">
        <x:f>E9</x:f>
        <x:v>4077</x:v>
      </x:c>
      <x:c r="I9" s="47"/>
      <x:c r="J9" s="47"/>
      <x:c r="K9" s="47"/>
      <x:c r="L9" s="47"/>
    </x:row>
    <x:row r="10" ht="15" hidden="0" customHeight="1">
      <x:c r="B10" s="47" t="str">
        <x:v>Support</x:v>
      </x:c>
      <x:c r="C10" s="79" t="n">
        <x:f>SUM('12 Formation bill'!E22:E26)</x:f>
        <x:v>71</x:v>
      </x:c>
      <x:c r="D10" s="79" t="n">
        <x:f>SUM('12 Formation bill'!G22:G26)</x:f>
        <x:v>6550</x:v>
      </x:c>
      <x:c r="E10" s="79" t="n">
        <x:f>SUM('12 Formation bill'!I22:I26)</x:f>
        <x:v>3050</x:v>
      </x:c>
      <x:c r="F10" s="47"/>
      <x:c r="G10" s="47" t="str">
        <x:f>B10</x:f>
        <x:v>Support</x:v>
      </x:c>
      <x:c r="H10" s="47" t="n">
        <x:f>E10</x:f>
        <x:v>3050</x:v>
      </x:c>
      <x:c r="I10" s="47"/>
      <x:c r="J10" s="47"/>
      <x:c r="K10" s="47"/>
      <x:c r="L10" s="47"/>
    </x:row>
    <x:row r="11" ht="15" hidden="0" customHeight="1">
      <x:c r="B11" s="53" t="str">
        <x:v>TOTAL</x:v>
      </x:c>
      <x:c r="C11" s="80" t="n">
        <x:f>SUM(C7:C10)</x:f>
        <x:v>144</x:v>
      </x:c>
      <x:c r="D11" s="80" t="n">
        <x:f>SUM(D7:D10)</x:f>
        <x:v>31217</x:v>
      </x:c>
      <x:c r="E11" s="80" t="n">
        <x:f>SUM(E7:E10)</x:f>
        <x:v>25077</x:v>
      </x:c>
      <x:c r="F11" s="47"/>
      <x:c r="G11" s="47"/>
      <x:c r="H11" s="47"/>
      <x:c r="I11" s="47"/>
      <x:c r="J11" s="47"/>
      <x:c r="K11" s="47"/>
      <x:c r="L11" s="47"/>
    </x:row>
    <x:row r="12" ht="15" hidden="0" customHeight="1"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</x:row>
    <x:row r="13" ht="15" hidden="0" customHeight="1"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</x:row>
    <x:row r="14" ht="15" hidden="0" customHeight="1">
      <x:c r="B14" s="51" t="str">
        <x:v>Boundary ledger</x:v>
      </x:c>
      <x:c r="C14" s="51"/>
      <x:c r="D14" s="51"/>
      <x:c r="E14" s="51"/>
      <x:c r="F14" s="51"/>
      <x:c r="G14" s="51"/>
      <x:c r="H14" s="51"/>
      <x:c r="I14" s="47"/>
      <x:c r="J14" s="47"/>
      <x:c r="K14" s="47"/>
      <x:c r="L14" s="47"/>
    </x:row>
    <x:row r="15" ht="15" hidden="0" customHeight="1">
      <x:c r="B15" s="45" t="str">
        <x:v>Ledger</x:v>
      </x:c>
      <x:c r="C15" s="45" t="str">
        <x:v>Amount</x:v>
      </x:c>
      <x:c r="D15" s="45" t="str">
        <x:v>Unit</x:v>
      </x:c>
      <x:c r="E15" s="45" t="str">
        <x:v>Treatment</x:v>
      </x:c>
      <x:c r="F15" s="45" t="str">
        <x:v>Reason</x:v>
      </x:c>
      <x:c r="G15" s="47"/>
      <x:c r="H15" s="47"/>
      <x:c r="I15" s="47"/>
      <x:c r="J15" s="47"/>
      <x:c r="K15" s="47"/>
      <x:c r="L15" s="47"/>
    </x:row>
    <x:row r="16" ht="15" hidden="0" customHeight="1">
      <x:c r="B16" s="47" t="str">
        <x:v>HCSG-100 first-unit screen</x:v>
      </x:c>
      <x:c r="C16" s="81" t="n">
        <x:f>E11/1000</x:f>
        <x:v>25.077</x:v>
      </x:c>
      <x:c r="D16" s="47" t="str">
        <x:v>USD b</x:v>
      </x:c>
      <x:c r="E16" s="47" t="str">
        <x:v>production target</x:v>
      </x:c>
      <x:c r="F16" s="47" t="str">
        <x:v>formation bill / 1,000</x:v>
      </x:c>
      <x:c r="G16" s="47"/>
      <x:c r="H16" s="47"/>
      <x:c r="I16" s="47"/>
      <x:c r="J16" s="47"/>
      <x:c r="K16" s="47"/>
      <x:c r="L16" s="47"/>
    </x:row>
    <x:row r="17" ht="24" hidden="0" customHeight="1">
      <x:c r="B17" s="47" t="str">
        <x:v>TCP-06 technology allocation</x:v>
      </x:c>
      <x:c r="C17" s="81" t="n">
        <x:f>'01 Controls'!D62</x:f>
        <x:v>75</x:v>
      </x:c>
      <x:c r="D17" s="47" t="str">
        <x:v>USD b</x:v>
      </x:c>
      <x:c r="E17" s="47" t="str">
        <x:v>separate inherited allocation</x:v>
      </x:c>
      <x:c r="F17" s="47" t="str">
        <x:v>research, invention and proving</x:v>
      </x:c>
      <x:c r="G17" s="47"/>
      <x:c r="H17" s="47"/>
      <x:c r="I17" s="47"/>
      <x:c r="J17" s="47"/>
      <x:c r="K17" s="47"/>
      <x:c r="L17" s="47"/>
    </x:row>
    <x:row r="18" ht="15" hidden="0" customHeight="1">
      <x:c r="B18" s="47" t="str">
        <x:v>Consumable inventory</x:v>
      </x:c>
      <x:c r="C18" s="82" t="n">
        <x:v>0</x:v>
      </x:c>
      <x:c r="D18" s="47" t="str">
        <x:v>USD b</x:v>
      </x:c>
      <x:c r="E18" s="47" t="str">
        <x:v>excluded</x:v>
      </x:c>
      <x:c r="F18" s="47" t="str">
        <x:v>no stock policy yet</x:v>
      </x:c>
      <x:c r="G18" s="47"/>
      <x:c r="H18" s="47"/>
      <x:c r="I18" s="47"/>
      <x:c r="J18" s="47"/>
      <x:c r="K18" s="47"/>
      <x:c r="L18" s="47"/>
    </x:row>
    <x:row r="19" ht="15" hidden="0" customHeight="1">
      <x:c r="B19" s="47" t="str">
        <x:v>Strategic transport</x:v>
      </x:c>
      <x:c r="C19" s="82" t="n">
        <x:v>0</x:v>
      </x:c>
      <x:c r="D19" s="47" t="str">
        <x:v>USD b</x:v>
      </x:c>
      <x:c r="E19" s="47" t="str">
        <x:v>excluded</x:v>
      </x:c>
      <x:c r="F19" s="47" t="str">
        <x:v>common lift not allocated</x:v>
      </x:c>
      <x:c r="G19" s="47"/>
      <x:c r="H19" s="47"/>
      <x:c r="I19" s="47"/>
      <x:c r="J19" s="47"/>
      <x:c r="K19" s="47"/>
      <x:c r="L19" s="47"/>
    </x:row>
    <x:row r="20" ht="15" hidden="0" customHeight="1">
      <x:c r="B20" s="47" t="str">
        <x:v>Bases and receivers</x:v>
      </x:c>
      <x:c r="C20" s="82" t="n">
        <x:v>0</x:v>
      </x:c>
      <x:c r="D20" s="47" t="str">
        <x:v>USD b</x:v>
      </x:c>
      <x:c r="E20" s="47" t="str">
        <x:v>excluded</x:v>
      </x:c>
      <x:c r="F20" s="47" t="str">
        <x:v>national geography unresolved</x:v>
      </x:c>
      <x:c r="G20" s="47"/>
      <x:c r="H20" s="47"/>
      <x:c r="I20" s="47"/>
      <x:c r="J20" s="47"/>
      <x:c r="K20" s="47"/>
      <x:c r="L20" s="47"/>
    </x:row>
    <x:row r="21" ht="15" hidden="0" customHeight="1">
      <x:c r="B21" s="47" t="str">
        <x:v>Mature operations</x:v>
      </x:c>
      <x:c r="C21" s="82" t="n">
        <x:v>0</x:v>
      </x:c>
      <x:c r="D21" s="47" t="str">
        <x:v>USD b/year</x:v>
      </x:c>
      <x:c r="E21" s="47" t="str">
        <x:v>excluded</x:v>
      </x:c>
      <x:c r="F21" s="47" t="str">
        <x:v>tempo and lifecycle unresolved</x:v>
      </x:c>
      <x:c r="G21" s="47"/>
      <x:c r="H21" s="47"/>
      <x:c r="I21" s="47"/>
      <x:c r="J21" s="47"/>
      <x:c r="K21" s="47"/>
      <x:c r="L21" s="47"/>
    </x:row>
    <x:row r="22" ht="15" hidden="0" customHeight="1"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14:H14"/>
  </x:mergeCells>
  <x:pageMargins left="0.7" right="0.7" top="0.75" bottom="0.75" header="0.3" footer="0.3"/>
  <x:drawing xmlns:r="http://schemas.openxmlformats.org/officeDocument/2006/relationships" r:id="Rf562a5d6691247a1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9" hidden="0" customWidth="1"/>
    <x:col min="3" max="3" width="37" hidden="0" customWidth="1"/>
    <x:col min="4" max="4" width="19" hidden="0" customWidth="1"/>
    <x:col min="5" max="5" width="35" hidden="0" customWidth="1"/>
    <x:col min="6" max="6" width="38" hidden="0" customWidth="1"/>
    <x:col min="7" max="7" width="16" hidden="0" customWidth="1"/>
    <x:col min="8" max="8" width="10" hidden="0" customWidth="1"/>
    <x:col min="1" max="1" width="3" hidden="0" customWidth="1"/>
  </x:cols>
  <x:sheetData>
    <x:row r="2" ht="18" hidden="0" customHeight="1">
      <x:c r="B2" s="50" t="str">
        <x:v>Clinical failure-world register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Scalar arithmetic is only one layer. Physical, clinical, human, receiver, contamination and timing closures remain open until evidence is admitted.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ID</x:v>
      </x:c>
      <x:c r="C6" s="45" t="str">
        <x:v>Failure world</x:v>
      </x:c>
      <x:c r="D6" s="45" t="str">
        <x:v>Planning arithmetic</x:v>
      </x:c>
      <x:c r="E6" s="45" t="str">
        <x:v>Conservative effect</x:v>
      </x:c>
      <x:c r="F6" s="45" t="str">
        <x:v>Required closure</x:v>
      </x:c>
      <x:c r="G6" s="45" t="str">
        <x:v>Evidence maturity</x:v>
      </x:c>
      <x:c r="H6" s="45" t="str">
        <x:v>Credit</x:v>
      </x:c>
      <x:c r="I6" s="47"/>
      <x:c r="J6" s="47"/>
      <x:c r="K6" s="47"/>
      <x:c r="L6" s="47"/>
    </x:row>
    <x:row r="7" ht="15" hidden="0" customHeight="1">
      <x:c r="B7" s="47" t="str">
        <x:v>CW0</x:v>
      </x:c>
      <x:c r="C7" s="47" t="str">
        <x:v>Reference mission</x:v>
      </x:c>
      <x:c r="D7" s="47" t="str">
        <x:v>REFERENCE</x:v>
      </x:c>
      <x:c r="E7" s="47" t="str">
        <x:v>all systems nominal</x:v>
      </x:c>
      <x:c r="F7" s="47" t="str">
        <x:v>complete service demonstration</x:v>
      </x:c>
      <x:c r="G7" s="47" t="str">
        <x:v>G2 planning</x:v>
      </x:c>
      <x:c r="H7" s="47" t="str">
        <x:v>0</x:v>
      </x:c>
      <x:c r="I7" s="47"/>
      <x:c r="J7" s="47"/>
      <x:c r="K7" s="47"/>
      <x:c r="L7" s="47"/>
    </x:row>
    <x:row r="8" ht="15" hidden="0" customHeight="1">
      <x:c r="B8" s="47" t="str">
        <x:v>CW1</x:v>
      </x:c>
      <x:c r="C8" s="47" t="str">
        <x:v>One clinical island unavailable</x:v>
      </x:c>
      <x:c r="D8" s="47" t="str">
        <x:v>CLOSED</x:v>
      </x:c>
      <x:c r="E8" s="47" t="str">
        <x:v>four islands remain</x:v>
      </x:c>
      <x:c r="F8" s="47" t="str">
        <x:v>care-line capacity + zoning proof</x:v>
      </x:c>
      <x:c r="G8" s="47" t="str">
        <x:v>G2 planning</x:v>
      </x:c>
      <x:c r="H8" s="47" t="str">
        <x:v>0</x:v>
      </x:c>
      <x:c r="I8" s="47"/>
      <x:c r="J8" s="47"/>
      <x:c r="K8" s="47"/>
      <x:c r="L8" s="47"/>
    </x:row>
    <x:row r="9" ht="15" hidden="0" customHeight="1">
      <x:c r="B9" s="47" t="str">
        <x:v>CW2</x:v>
      </x:c>
      <x:c r="C9" s="47" t="str">
        <x:v>One SPC unavailable</x:v>
      </x:c>
      <x:c r="D9" s="47" t="str">
        <x:v>CLOSED</x:v>
      </x:c>
      <x:c r="E9" s="47" t="str">
        <x:v>18 MW continuous remains</x:v>
      </x:c>
      <x:c r="F9" s="47" t="str">
        <x:v>representative power proof</x:v>
      </x:c>
      <x:c r="G9" s="47" t="str">
        <x:v>G2 planning</x:v>
      </x:c>
      <x:c r="H9" s="47" t="str">
        <x:v>0</x:v>
      </x:c>
      <x:c r="I9" s="47"/>
      <x:c r="J9" s="47"/>
      <x:c r="K9" s="47"/>
      <x:c r="L9" s="47"/>
    </x:row>
    <x:row r="10" ht="15" hidden="0" customHeight="1">
      <x:c r="B10" s="47" t="str">
        <x:v>CW3</x:v>
      </x:c>
      <x:c r="C10" s="47" t="str">
        <x:v>One BSS unavailable</x:v>
      </x:c>
      <x:c r="D10" s="47" t="str">
        <x:v>CLOSED</x:v>
      </x:c>
      <x:c r="E10" s="47" t="str">
        <x:v>20 MW / 10 MWh remains</x:v>
      </x:c>
      <x:c r="F10" s="47" t="str">
        <x:v>no-break transition proof</x:v>
      </x:c>
      <x:c r="G10" s="47" t="str">
        <x:v>G2 planning</x:v>
      </x:c>
      <x:c r="H10" s="47" t="str">
        <x:v>0</x:v>
      </x:c>
      <x:c r="I10" s="47"/>
      <x:c r="J10" s="47"/>
      <x:c r="K10" s="47"/>
      <x:c r="L10" s="47"/>
    </x:row>
    <x:row r="11" ht="15" hidden="0" customHeight="1">
      <x:c r="B11" s="47" t="str">
        <x:v>CW4</x:v>
      </x:c>
      <x:c r="C11" s="47" t="str">
        <x:v>One oxygen generator unavailable</x:v>
      </x:c>
      <x:c r="D11" s="47" t="str">
        <x:v>CLOSED</x:v>
      </x:c>
      <x:c r="E11" s="47" t="str">
        <x:v>8,000 m3/day remains</x:v>
      </x:c>
      <x:c r="F11" s="47" t="str">
        <x:v>purity + clinical interface proof</x:v>
      </x:c>
      <x:c r="G11" s="47" t="str">
        <x:v>G2 planning</x:v>
      </x:c>
      <x:c r="H11" s="47" t="str">
        <x:v>0</x:v>
      </x:c>
      <x:c r="I11" s="47"/>
      <x:c r="J11" s="47"/>
      <x:c r="K11" s="47"/>
      <x:c r="L11" s="47"/>
    </x:row>
    <x:row r="12" ht="15" hidden="0" customHeight="1">
      <x:c r="B12" s="47" t="str">
        <x:v>CW5</x:v>
      </x:c>
      <x:c r="C12" s="47" t="str">
        <x:v>One oxygen reserve unavailable</x:v>
      </x:c>
      <x:c r="D12" s="47" t="str">
        <x:v>CLOSED</x:v>
      </x:c>
      <x:c r="E12" s="47" t="str">
        <x:v>16,000 m3 remains</x:v>
      </x:c>
      <x:c r="F12" s="47" t="str">
        <x:v>storage + distribution proof</x:v>
      </x:c>
      <x:c r="G12" s="47" t="str">
        <x:v>G2 planning</x:v>
      </x:c>
      <x:c r="H12" s="47" t="str">
        <x:v>0</x:v>
      </x:c>
      <x:c r="I12" s="47"/>
      <x:c r="J12" s="47"/>
      <x:c r="K12" s="47"/>
      <x:c r="L12" s="47"/>
    </x:row>
    <x:row r="13" ht="15" hidden="0" customHeight="1">
      <x:c r="B13" s="47" t="str">
        <x:v>CW6</x:v>
      </x:c>
      <x:c r="C13" s="47" t="str">
        <x:v>One water-production article unavailable</x:v>
      </x:c>
      <x:c r="D13" s="47" t="str">
        <x:v>CLOSED</x:v>
      </x:c>
      <x:c r="E13" s="47" t="str">
        <x:v>1,200 m3/day remains</x:v>
      </x:c>
      <x:c r="F13" s="47" t="str">
        <x:v>source-quality proof</x:v>
      </x:c>
      <x:c r="G13" s="47" t="str">
        <x:v>G2 planning</x:v>
      </x:c>
      <x:c r="H13" s="47" t="str">
        <x:v>0</x:v>
      </x:c>
      <x:c r="I13" s="47"/>
      <x:c r="J13" s="47"/>
      <x:c r="K13" s="47"/>
      <x:c r="L13" s="47"/>
    </x:row>
    <x:row r="14" ht="15" hidden="0" customHeight="1">
      <x:c r="B14" s="47" t="str">
        <x:v>CW7</x:v>
      </x:c>
      <x:c r="C14" s="47" t="str">
        <x:v>One water-reserve article unavailable</x:v>
      </x:c>
      <x:c r="D14" s="47" t="str">
        <x:v>CLOSED</x:v>
      </x:c>
      <x:c r="E14" s="47" t="str">
        <x:v>2,160 m3 remains</x:v>
      </x:c>
      <x:c r="F14" s="47" t="str">
        <x:v>sanitary storage proof</x:v>
      </x:c>
      <x:c r="G14" s="47" t="str">
        <x:v>G2 planning</x:v>
      </x:c>
      <x:c r="H14" s="47" t="str">
        <x:v>0</x:v>
      </x:c>
      <x:c r="I14" s="47"/>
      <x:c r="J14" s="47"/>
      <x:c r="K14" s="47"/>
      <x:c r="L14" s="47"/>
    </x:row>
    <x:row r="15" ht="15" hidden="0" customHeight="1">
      <x:c r="B15" s="47" t="str">
        <x:v>CW8</x:v>
      </x:c>
      <x:c r="C15" s="47" t="str">
        <x:v>One wastewater or med-waste article unavailable</x:v>
      </x:c>
      <x:c r="D15" s="47" t="str">
        <x:v>CLOSED</x:v>
      </x:c>
      <x:c r="E15" s="47" t="str">
        <x:v>required treatment remains</x:v>
      </x:c>
      <x:c r="F15" s="47" t="str">
        <x:v>environmental closure proof</x:v>
      </x:c>
      <x:c r="G15" s="47" t="str">
        <x:v>G2 planning</x:v>
      </x:c>
      <x:c r="H15" s="47" t="str">
        <x:v>0</x:v>
      </x:c>
      <x:c r="I15" s="47"/>
      <x:c r="J15" s="47"/>
      <x:c r="K15" s="47"/>
      <x:c r="L15" s="47"/>
    </x:row>
    <x:row r="16" ht="15" hidden="0" customHeight="1">
      <x:c r="B16" s="47" t="str">
        <x:v>CW9</x:v>
      </x:c>
      <x:c r="C16" s="47" t="str">
        <x:v>One specialty-support node unavailable</x:v>
      </x:c>
      <x:c r="D16" s="47" t="str">
        <x:v>CLOSED</x:v>
      </x:c>
      <x:c r="E16" s="47" t="str">
        <x:v>two SSN remain</x:v>
      </x:c>
      <x:c r="F16" s="47" t="str">
        <x:v>lab + blood service proof</x:v>
      </x:c>
      <x:c r="G16" s="47" t="str">
        <x:v>G2 planning</x:v>
      </x:c>
      <x:c r="H16" s="47" t="str">
        <x:v>0</x:v>
      </x:c>
      <x:c r="I16" s="47"/>
      <x:c r="J16" s="47"/>
      <x:c r="K16" s="47"/>
      <x:c r="L16" s="47"/>
    </x:row>
    <x:row r="17" ht="15" hidden="0" customHeight="1">
      <x:c r="B17" s="47" t="str">
        <x:v>CW10</x:v>
      </x:c>
      <x:c r="C17" s="47" t="str">
        <x:v>One patient-flow or discharge cell unavailable</x:v>
      </x:c>
      <x:c r="D17" s="47" t="str">
        <x:v>CLOSED</x:v>
      </x:c>
      <x:c r="E17" s="47" t="str">
        <x:v>required daily capacity remains</x:v>
      </x:c>
      <x:c r="F17" s="47" t="str">
        <x:v>complete journey proof</x:v>
      </x:c>
      <x:c r="G17" s="47" t="str">
        <x:v>G2 planning</x:v>
      </x:c>
      <x:c r="H17" s="47" t="str">
        <x:v>0</x:v>
      </x:c>
      <x:c r="I17" s="47"/>
      <x:c r="J17" s="47"/>
      <x:c r="K17" s="47"/>
      <x:c r="L17" s="47"/>
    </x:row>
    <x:row r="18" ht="15" hidden="0" customHeight="1">
      <x:c r="B18" s="47" t="str">
        <x:v>CW11</x:v>
      </x:c>
      <x:c r="C18" s="47" t="str">
        <x:v>Contamination crosses an island</x:v>
      </x:c>
      <x:c r="D18" s="47" t="str">
        <x:v>OPEN</x:v>
      </x:c>
      <x:c r="E18" s="47" t="str">
        <x:v>clinical lattice may fail</x:v>
      </x:c>
      <x:c r="F18" s="47" t="str">
        <x:v>clean / controlled / contaminated proof</x:v>
      </x:c>
      <x:c r="G18" s="47" t="str">
        <x:v>G1 question</x:v>
      </x:c>
      <x:c r="H18" s="47" t="str">
        <x:v>0</x:v>
      </x:c>
      <x:c r="I18" s="47"/>
      <x:c r="J18" s="47"/>
      <x:c r="K18" s="47"/>
      <x:c r="L18" s="47"/>
    </x:row>
    <x:row r="19" ht="15" hidden="0" customHeight="1">
      <x:c r="B19" s="47" t="str">
        <x:v>CW12</x:v>
      </x:c>
      <x:c r="C19" s="47" t="str">
        <x:v>National network or time source absent</x:v>
      </x:c>
      <x:c r="D19" s="47" t="str">
        <x:v>OPEN</x:v>
      </x:c>
      <x:c r="E19" s="47" t="str">
        <x:v>identity and receiver state stale</x:v>
      </x:c>
      <x:c r="F19" s="47" t="str">
        <x:v>degraded-network proof</x:v>
      </x:c>
      <x:c r="G19" s="47" t="str">
        <x:v>G1 question</x:v>
      </x:c>
      <x:c r="H19" s="47" t="str">
        <x:v>0</x:v>
      </x:c>
      <x:c r="I19" s="47"/>
      <x:c r="J19" s="47"/>
      <x:c r="K19" s="47"/>
      <x:c r="L19" s="47"/>
    </x:row>
    <x:row r="20" ht="15" hidden="0" customHeight="1">
      <x:c r="B20" s="47" t="str">
        <x:v>CW13</x:v>
      </x:c>
      <x:c r="C20" s="47" t="str">
        <x:v>Staff cohort unavailable</x:v>
      </x:c>
      <x:c r="D20" s="47" t="str">
        <x:v>OPEN</x:v>
      </x:c>
      <x:c r="E20" s="47" t="str">
        <x:v>qualified roster may fail</x:v>
      </x:c>
      <x:c r="F20" s="47" t="str">
        <x:v>replacement and fatigue proof</x:v>
      </x:c>
      <x:c r="G20" s="47" t="str">
        <x:v>G1 question</x:v>
      </x:c>
      <x:c r="H20" s="47" t="str">
        <x:v>0</x:v>
      </x:c>
      <x:c r="I20" s="47"/>
      <x:c r="J20" s="47"/>
      <x:c r="K20" s="47"/>
      <x:c r="L20" s="47"/>
    </x:row>
    <x:row r="21" ht="15" hidden="0" customHeight="1">
      <x:c r="B21" s="47" t="str">
        <x:v>CW14</x:v>
      </x:c>
      <x:c r="C21" s="47" t="str">
        <x:v>Cold chain or blood custody fails</x:v>
      </x:c>
      <x:c r="D21" s="47" t="str">
        <x:v>OPEN</x:v>
      </x:c>
      <x:c r="E21" s="47" t="str">
        <x:v>clinical pathways may fail</x:v>
      </x:c>
      <x:c r="F21" s="47" t="str">
        <x:v>end-to-end custody proof</x:v>
      </x:c>
      <x:c r="G21" s="47" t="str">
        <x:v>G1 question</x:v>
      </x:c>
      <x:c r="H21" s="47" t="str">
        <x:v>0</x:v>
      </x:c>
      <x:c r="I21" s="47"/>
      <x:c r="J21" s="47"/>
      <x:c r="K21" s="47"/>
      <x:c r="L21" s="47"/>
    </x:row>
    <x:row r="22" ht="15" hidden="0" customHeight="1">
      <x:c r="B22" s="47" t="str">
        <x:v>CW15</x:v>
      </x:c>
      <x:c r="C22" s="47" t="str">
        <x:v>Receivers refuse transfer</x:v>
      </x:c>
      <x:c r="D22" s="47" t="str">
        <x:v>OPEN</x:v>
      </x:c>
      <x:c r="E22" s="47" t="str">
        <x:v>acute pathway remains occupied</x:v>
      </x:c>
      <x:c r="F22" s="47" t="str">
        <x:v>receiver-acceptance proof</x:v>
      </x:c>
      <x:c r="G22" s="47" t="str">
        <x:v>G1 question</x:v>
      </x:c>
      <x:c r="H22" s="47" t="str">
        <x:v>0</x:v>
      </x:c>
      <x:c r="I22" s="47"/>
      <x:c r="J22" s="47"/>
      <x:c r="K22" s="47"/>
      <x:c r="L22" s="47"/>
    </x:row>
    <x:row r="23" ht="15" hidden="0" customHeight="1">
      <x:c r="B23" s="47" t="str">
        <x:v>CW16</x:v>
      </x:c>
      <x:c r="C23" s="47" t="str">
        <x:v>Discharge destination loses utilities</x:v>
      </x:c>
      <x:c r="D23" s="47" t="str">
        <x:v>OPEN</x:v>
      </x:c>
      <x:c r="E23" s="47" t="str">
        <x:v>release becomes unsafe</x:v>
      </x:c>
      <x:c r="F23" s="47" t="str">
        <x:v>destination-continuity proof</x:v>
      </x:c>
      <x:c r="G23" s="47" t="str">
        <x:v>G1 question</x:v>
      </x:c>
      <x:c r="H23" s="47" t="str">
        <x:v>0</x:v>
      </x:c>
      <x:c r="I23" s="47"/>
      <x:c r="J23" s="47"/>
      <x:c r="K23" s="47"/>
      <x:c r="L23" s="47"/>
    </x:row>
    <x:row r="24" ht="15" hidden="0" customHeight="1">
      <x:c r="B24" s="47" t="str">
        <x:v>CW17</x:v>
      </x:c>
      <x:c r="C24" s="47" t="str">
        <x:v>Second region activates before reset</x:v>
      </x:c>
      <x:c r="D24" s="47" t="str">
        <x:v>OPEN</x:v>
      </x:c>
      <x:c r="E24" s="47" t="str">
        <x:v>reserve and workforce overrun</x:v>
      </x:c>
      <x:c r="F24" s="47" t="str">
        <x:v>multi-region campaign proof</x:v>
      </x:c>
      <x:c r="G24" s="47" t="str">
        <x:v>G1 question</x:v>
      </x:c>
      <x:c r="H24" s="47" t="str">
        <x:v>0</x:v>
      </x:c>
      <x:c r="I24" s="47"/>
      <x:c r="J24" s="47"/>
      <x:c r="K24" s="47"/>
      <x:c r="L24" s="47"/>
    </x:row>
    <x:row r="25" ht="15" hidden="0" customHeight="1"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7" hidden="0" customWidth="1"/>
    <x:col min="3" max="3" width="18" hidden="0" customWidth="1"/>
    <x:col min="4" max="4" width="40" hidden="0" customWidth="1"/>
    <x:col min="5" max="5" width="40" hidden="0" customWidth="1"/>
    <x:col min="6" max="6" width="40" hidden="0" customWidth="1"/>
    <x:col min="1" max="1" width="3" hidden="0" customWidth="1"/>
  </x:cols>
  <x:sheetData>
    <x:row r="2" ht="18" hidden="0" customHeight="1">
      <x:c r="B2" s="50" t="str">
        <x:v>TCP-06 clinical technology and proving allocation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Mission-led invention is organized around service gaps rather than current product categories. The USD 75B line is inherited and fully allocated here.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Program line</x:v>
      </x:c>
      <x:c r="C6" s="45" t="str">
        <x:v>Allocation USD b</x:v>
      </x:c>
      <x:c r="D6" s="45" t="str">
        <x:v>Primary invention</x:v>
      </x:c>
      <x:c r="E6" s="45" t="str">
        <x:v>Required demonstration</x:v>
      </x:c>
      <x:c r="F6" s="45" t="str">
        <x:v>Boundary</x:v>
      </x:c>
      <x:c r="G6" s="47"/>
      <x:c r="H6" s="47"/>
      <x:c r="I6" s="47"/>
      <x:c r="J6" s="47"/>
      <x:c r="K6" s="47"/>
      <x:c r="L6" s="47"/>
    </x:row>
    <x:row r="7" ht="15" hidden="0" customHeight="1">
      <x:c r="B7" s="47" t="str">
        <x:v>Clinical-service-island systems</x:v>
      </x:c>
      <x:c r="C7" s="57" t="n">
        <x:v>8</x:v>
      </x:c>
      <x:c r="D7" s="47" t="str">
        <x:v>rapid clinical zoning + deployable utility interfaces</x:v>
      </x:c>
      <x:c r="E7" s="47" t="str">
        <x:v>complete island operations</x:v>
      </x:c>
      <x:c r="F7" s="47" t="str">
        <x:v>technology / proving</x:v>
      </x:c>
      <x:c r="G7" s="47"/>
      <x:c r="H7" s="47"/>
      <x:c r="I7" s="47"/>
      <x:c r="J7" s="47"/>
      <x:c r="K7" s="47"/>
      <x:c r="L7" s="47"/>
    </x:row>
    <x:row r="8" ht="15" hidden="0" customHeight="1">
      <x:c r="B8" s="47" t="str">
        <x:v>Autonomous clinical logistics</x:v>
      </x:c>
      <x:c r="C8" s="57" t="n">
        <x:v>15</x:v>
      </x:c>
      <x:c r="D8" s="47" t="str">
        <x:v>closed-loop supply, pharmacy and cold-chain custody</x:v>
      </x:c>
      <x:c r="E8" s="47" t="str">
        <x:v>30-day replenishment</x:v>
      </x:c>
      <x:c r="F8" s="47" t="str">
        <x:v>technology / proving</x:v>
      </x:c>
      <x:c r="G8" s="47"/>
      <x:c r="H8" s="47"/>
      <x:c r="I8" s="47"/>
      <x:c r="J8" s="47"/>
      <x:c r="K8" s="47"/>
      <x:c r="L8" s="47"/>
    </x:row>
    <x:row r="9" ht="15" hidden="0" customHeight="1">
      <x:c r="B9" s="47" t="str">
        <x:v>Oxygen and medical-gas systems</x:v>
      </x:c>
      <x:c r="C9" s="57" t="n">
        <x:v>7</x:v>
      </x:c>
      <x:c r="D9" s="47" t="str">
        <x:v>modular generation, purity sensing and distribution</x:v>
      </x:c>
      <x:c r="E9" s="47" t="str">
        <x:v>loss + contamination operations</x:v>
      </x:c>
      <x:c r="F9" s="47" t="str">
        <x:v>technology / proving</x:v>
      </x:c>
      <x:c r="G9" s="47"/>
      <x:c r="H9" s="47"/>
      <x:c r="I9" s="47"/>
      <x:c r="J9" s="47"/>
      <x:c r="K9" s="47"/>
      <x:c r="L9" s="47"/>
    </x:row>
    <x:row r="10" ht="15" hidden="0" customHeight="1">
      <x:c r="B10" s="47" t="str">
        <x:v>Water, sterile and waste systems</x:v>
      </x:c>
      <x:c r="C10" s="57" t="n">
        <x:v>8</x:v>
      </x:c>
      <x:c r="D10" s="47" t="str">
        <x:v>medical-grade water and segregated waste treatment</x:v>
      </x:c>
      <x:c r="E10" s="47" t="str">
        <x:v>closed clinical utility cycle</x:v>
      </x:c>
      <x:c r="F10" s="47" t="str">
        <x:v>technology / proving</x:v>
      </x:c>
      <x:c r="G10" s="47"/>
      <x:c r="H10" s="47"/>
      <x:c r="I10" s="47"/>
      <x:c r="J10" s="47"/>
      <x:c r="K10" s="47"/>
      <x:c r="L10" s="47"/>
    </x:row>
    <x:row r="11" ht="15" hidden="0" customHeight="1">
      <x:c r="B11" s="47" t="str">
        <x:v>Patient identity and care records</x:v>
      </x:c>
      <x:c r="C11" s="57" t="n">
        <x:v>7</x:v>
      </x:c>
      <x:c r="D11" s="47" t="str">
        <x:v>offline-first identity, consent and adverse-state binding</x:v>
      </x:c>
      <x:c r="E11" s="47" t="str">
        <x:v>degraded-network care</x:v>
      </x:c>
      <x:c r="F11" s="47" t="str">
        <x:v>technology / proving</x:v>
      </x:c>
      <x:c r="G11" s="47"/>
      <x:c r="H11" s="47"/>
      <x:c r="I11" s="47"/>
      <x:c r="J11" s="47"/>
      <x:c r="K11" s="47"/>
      <x:c r="L11" s="47"/>
    </x:row>
    <x:row r="12" ht="15" hidden="0" customHeight="1">
      <x:c r="B12" s="47" t="str">
        <x:v>Clinical automation and decision support</x:v>
      </x:c>
      <x:c r="C12" s="57" t="n">
        <x:v>8</x:v>
      </x:c>
      <x:c r="D12" s="47" t="str">
        <x:v>safe workload reduction under constrained staffing</x:v>
      </x:c>
      <x:c r="E12" s="47" t="str">
        <x:v>supervised clinical operations</x:v>
      </x:c>
      <x:c r="F12" s="47" t="str">
        <x:v>technology / proving</x:v>
      </x:c>
      <x:c r="G12" s="47"/>
      <x:c r="H12" s="47"/>
      <x:c r="I12" s="47"/>
      <x:c r="J12" s="47"/>
      <x:c r="K12" s="47"/>
      <x:c r="L12" s="47"/>
    </x:row>
    <x:row r="13" ht="15" hidden="0" customHeight="1">
      <x:c r="B13" s="47" t="str">
        <x:v>Patient transfer and discharge systems</x:v>
      </x:c>
      <x:c r="C13" s="57" t="n">
        <x:v>7</x:v>
      </x:c>
      <x:c r="D13" s="47" t="str">
        <x:v>receiver-aware routing and destination continuity</x:v>
      </x:c>
      <x:c r="E13" s="47" t="str">
        <x:v>complete journeys and handoffs</x:v>
      </x:c>
      <x:c r="F13" s="47" t="str">
        <x:v>technology / proving</x:v>
      </x:c>
      <x:c r="G13" s="47"/>
      <x:c r="H13" s="47"/>
      <x:c r="I13" s="47"/>
      <x:c r="J13" s="47"/>
      <x:c r="K13" s="47"/>
      <x:c r="L13" s="47"/>
    </x:row>
    <x:row r="14" ht="15" hidden="0" customHeight="1">
      <x:c r="B14" s="47" t="str">
        <x:v>Workforce regeneration</x:v>
      </x:c>
      <x:c r="C14" s="57" t="n">
        <x:v>6</x:v>
      </x:c>
      <x:c r="D14" s="47" t="str">
        <x:v>accelerated credentialing, replacement and fatigue control</x:v>
      </x:c>
      <x:c r="E14" s="47" t="str">
        <x:v>multi-cohort campaign</x:v>
      </x:c>
      <x:c r="F14" s="47" t="str">
        <x:v>technology / proving</x:v>
      </x:c>
      <x:c r="G14" s="47"/>
      <x:c r="H14" s="47"/>
      <x:c r="I14" s="47"/>
      <x:c r="J14" s="47"/>
      <x:c r="K14" s="47"/>
      <x:c r="L14" s="47"/>
    </x:row>
    <x:row r="15" ht="15" hidden="0" customHeight="1">
      <x:c r="B15" s="47" t="str">
        <x:v>Independent evidence infrastructure</x:v>
      </x:c>
      <x:c r="C15" s="57" t="n">
        <x:v>9</x:v>
      </x:c>
      <x:c r="D15" s="47" t="str">
        <x:v>instrumented trials, safety cases and rights audits</x:v>
      </x:c>
      <x:c r="E15" s="47" t="str">
        <x:v>representative evidence</x:v>
      </x:c>
      <x:c r="F15" s="47" t="str">
        <x:v>technology / proving</x:v>
      </x:c>
      <x:c r="G15" s="47"/>
      <x:c r="H15" s="47"/>
      <x:c r="I15" s="47"/>
      <x:c r="J15" s="47"/>
      <x:c r="K15" s="47"/>
      <x:c r="L15" s="47"/>
    </x:row>
    <x:row r="16" ht="15" hidden="0" customHeight="1">
      <x:c r="B16" s="53" t="str">
        <x:v>TOTAL</x:v>
      </x:c>
      <x:c r="C16" s="53" t="n">
        <x:f>SUM(C7:C15)</x:f>
        <x:v>75</x:v>
      </x:c>
      <x:c r="D16" s="53"/>
      <x:c r="E16" s="53"/>
      <x:c r="F16" s="53"/>
      <x:c r="G16" s="47"/>
      <x:c r="H16" s="47"/>
      <x:c r="I16" s="47"/>
      <x:c r="J16" s="47"/>
      <x:c r="K16" s="47"/>
      <x:c r="L16" s="47"/>
    </x:row>
    <x:row r="17" ht="15" hidden="0" customHeight="1"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</x:row>
    <x:row r="18" ht="15" hidden="0" customHeight="1"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</x:row>
    <x:row r="19" ht="15" hidden="0" customHeight="1"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</x:row>
    <x:row r="20" ht="15" hidden="0" customHeight="1"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</x:row>
    <x:row r="21" ht="15" hidden="0" customHeight="1"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8" hidden="0" customWidth="1"/>
    <x:col min="3" max="3" width="19" hidden="0" customWidth="1"/>
    <x:col min="4" max="4" width="42" hidden="0" customWidth="1"/>
    <x:col min="5" max="5" width="12" hidden="0" customWidth="1"/>
    <x:col min="1" max="1" width="3" hidden="0" customWidth="1"/>
  </x:cols>
  <x:sheetData>
    <x:row r="2" ht="18" hidden="0" customHeight="1">
      <x:c r="B2" s="50" t="str">
        <x:v>Representative 160-article campaign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Campaign quantities are experiment articles across six complete configurations. They are not fielded-force quantities.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Article family</x:v>
      </x:c>
      <x:c r="C6" s="45" t="str">
        <x:v>Campaign articles</x:v>
      </x:c>
      <x:c r="D6" s="45" t="str">
        <x:v>Dominant experiment</x:v>
      </x:c>
      <x:c r="E6" s="45" t="str">
        <x:v>Credit</x:v>
      </x:c>
      <x:c r="F6" s="47"/>
      <x:c r="G6" s="47"/>
      <x:c r="H6" s="47"/>
      <x:c r="I6" s="47"/>
      <x:c r="J6" s="47"/>
      <x:c r="K6" s="47"/>
      <x:c r="L6" s="47"/>
    </x:row>
    <x:row r="7" ht="15" hidden="0" customHeight="1">
      <x:c r="B7" s="47" t="str">
        <x:v>Clinical islands</x:v>
      </x:c>
      <x:c r="C7" s="57" t="n">
        <x:v>8</x:v>
      </x:c>
      <x:c r="D7" s="47" t="str">
        <x:v>care-line closure, zoning, loss</x:v>
      </x:c>
      <x:c r="E7" s="47" t="str">
        <x:v>0</x:v>
      </x:c>
      <x:c r="F7" s="47"/>
      <x:c r="G7" s="47"/>
      <x:c r="H7" s="47"/>
      <x:c r="I7" s="47"/>
      <x:c r="J7" s="47"/>
      <x:c r="K7" s="47"/>
      <x:c r="L7" s="47"/>
    </x:row>
    <x:row r="8" ht="15" hidden="0" customHeight="1">
      <x:c r="B8" s="47" t="str">
        <x:v>Community continuity units</x:v>
      </x:c>
      <x:c r="C8" s="57" t="n">
        <x:v>12</x:v>
      </x:c>
      <x:c r="D8" s="47" t="str">
        <x:v>access and medication continuity</x:v>
      </x:c>
      <x:c r="E8" s="47" t="str">
        <x:v>0</x:v>
      </x:c>
      <x:c r="F8" s="47"/>
      <x:c r="G8" s="47"/>
      <x:c r="H8" s="47"/>
      <x:c r="I8" s="47"/>
      <x:c r="J8" s="47"/>
      <x:c r="K8" s="47"/>
      <x:c r="L8" s="47"/>
    </x:row>
    <x:row r="9" ht="15" hidden="0" customHeight="1">
      <x:c r="B9" s="47" t="str">
        <x:v>Specialty-support nodes</x:v>
      </x:c>
      <x:c r="C9" s="57" t="n">
        <x:v>6</x:v>
      </x:c>
      <x:c r="D9" s="47" t="str">
        <x:v>lab, blood, imaging and pharmacy</x:v>
      </x:c>
      <x:c r="E9" s="47" t="str">
        <x:v>0</x:v>
      </x:c>
      <x:c r="F9" s="47"/>
      <x:c r="G9" s="47"/>
      <x:c r="H9" s="47"/>
      <x:c r="I9" s="47"/>
      <x:c r="J9" s="47"/>
      <x:c r="K9" s="47"/>
      <x:c r="L9" s="47"/>
    </x:row>
    <x:row r="10" ht="15" hidden="0" customHeight="1">
      <x:c r="B10" s="47" t="str">
        <x:v>Patient-regulation cells</x:v>
      </x:c>
      <x:c r="C10" s="57" t="n">
        <x:v>8</x:v>
      </x:c>
      <x:c r="D10" s="47" t="str">
        <x:v>accepted transfer journey</x:v>
      </x:c>
      <x:c r="E10" s="47" t="str">
        <x:v>0</x:v>
      </x:c>
      <x:c r="F10" s="47"/>
      <x:c r="G10" s="47"/>
      <x:c r="H10" s="47"/>
      <x:c r="I10" s="47"/>
      <x:c r="J10" s="47"/>
      <x:c r="K10" s="47"/>
      <x:c r="L10" s="47"/>
    </x:row>
    <x:row r="11" ht="15" hidden="0" customHeight="1">
      <x:c r="B11" s="47" t="str">
        <x:v>Discharge-continuity cells</x:v>
      </x:c>
      <x:c r="C11" s="57" t="n">
        <x:v>6</x:v>
      </x:c>
      <x:c r="D11" s="47" t="str">
        <x:v>destination handoff</x:v>
      </x:c>
      <x:c r="E11" s="47" t="str">
        <x:v>0</x:v>
      </x:c>
      <x:c r="F11" s="47"/>
      <x:c r="G11" s="47"/>
      <x:c r="H11" s="47"/>
      <x:c r="I11" s="47"/>
      <x:c r="J11" s="47"/>
      <x:c r="K11" s="47"/>
      <x:c r="L11" s="47"/>
    </x:row>
    <x:row r="12" ht="15" hidden="0" customHeight="1">
      <x:c r="B12" s="47" t="str">
        <x:v>Oxygen generation</x:v>
      </x:c>
      <x:c r="C12" s="57" t="n">
        <x:v>6</x:v>
      </x:c>
      <x:c r="D12" s="47" t="str">
        <x:v>purity, distribution and loss</x:v>
      </x:c>
      <x:c r="E12" s="47" t="str">
        <x:v>0</x:v>
      </x:c>
      <x:c r="F12" s="47"/>
      <x:c r="G12" s="47"/>
      <x:c r="H12" s="47"/>
      <x:c r="I12" s="47"/>
      <x:c r="J12" s="47"/>
      <x:c r="K12" s="47"/>
      <x:c r="L12" s="47"/>
    </x:row>
    <x:row r="13" ht="15" hidden="0" customHeight="1">
      <x:c r="B13" s="47" t="str">
        <x:v>Oxygen reserve</x:v>
      </x:c>
      <x:c r="C13" s="57" t="n">
        <x:v>8</x:v>
      </x:c>
      <x:c r="D13" s="47" t="str">
        <x:v>48-hour storage and distribution</x:v>
      </x:c>
      <x:c r="E13" s="47" t="str">
        <x:v>0</x:v>
      </x:c>
      <x:c r="F13" s="47"/>
      <x:c r="G13" s="47"/>
      <x:c r="H13" s="47"/>
      <x:c r="I13" s="47"/>
      <x:c r="J13" s="47"/>
      <x:c r="K13" s="47"/>
      <x:c r="L13" s="47"/>
    </x:row>
    <x:row r="14" ht="15" hidden="0" customHeight="1">
      <x:c r="B14" s="47" t="str">
        <x:v>Water systems</x:v>
      </x:c>
      <x:c r="C14" s="57" t="n">
        <x:v>6</x:v>
      </x:c>
      <x:c r="D14" s="47" t="str">
        <x:v>source, production and quality</x:v>
      </x:c>
      <x:c r="E14" s="47" t="str">
        <x:v>0</x:v>
      </x:c>
      <x:c r="F14" s="47"/>
      <x:c r="G14" s="47"/>
      <x:c r="H14" s="47"/>
      <x:c r="I14" s="47"/>
      <x:c r="J14" s="47"/>
      <x:c r="K14" s="47"/>
      <x:c r="L14" s="47"/>
    </x:row>
    <x:row r="15" ht="15" hidden="0" customHeight="1">
      <x:c r="B15" s="47" t="str">
        <x:v>Wastewater systems</x:v>
      </x:c>
      <x:c r="C15" s="57" t="n">
        <x:v>6</x:v>
      </x:c>
      <x:c r="D15" s="47" t="str">
        <x:v>segregated treatment</x:v>
      </x:c>
      <x:c r="E15" s="47" t="str">
        <x:v>0</x:v>
      </x:c>
      <x:c r="F15" s="47"/>
      <x:c r="G15" s="47"/>
      <x:c r="H15" s="47"/>
      <x:c r="I15" s="47"/>
      <x:c r="J15" s="47"/>
      <x:c r="K15" s="47"/>
      <x:c r="L15" s="47"/>
    </x:row>
    <x:row r="16" ht="15" hidden="0" customHeight="1">
      <x:c r="B16" s="47" t="str">
        <x:v>Medical-waste systems</x:v>
      </x:c>
      <x:c r="C16" s="57" t="n">
        <x:v>6</x:v>
      </x:c>
      <x:c r="D16" s="47" t="str">
        <x:v>clinical waste custody</x:v>
      </x:c>
      <x:c r="E16" s="47" t="str">
        <x:v>0</x:v>
      </x:c>
      <x:c r="F16" s="47"/>
      <x:c r="G16" s="47"/>
      <x:c r="H16" s="47"/>
      <x:c r="I16" s="47"/>
      <x:c r="J16" s="47"/>
      <x:c r="K16" s="47"/>
      <x:c r="L16" s="47"/>
    </x:row>
    <x:row r="17" ht="15" hidden="0" customHeight="1">
      <x:c r="B17" s="47" t="str">
        <x:v>Source clusters</x:v>
      </x:c>
      <x:c r="C17" s="57" t="n">
        <x:v>12</x:v>
      </x:c>
      <x:c r="D17" s="47" t="str">
        <x:v>medical power lattice</x:v>
      </x:c>
      <x:c r="E17" s="47" t="str">
        <x:v>0</x:v>
      </x:c>
      <x:c r="F17" s="47"/>
      <x:c r="G17" s="47"/>
      <x:c r="H17" s="47"/>
      <x:c r="I17" s="47"/>
      <x:c r="J17" s="47"/>
      <x:c r="K17" s="47"/>
      <x:c r="L17" s="47"/>
    </x:row>
    <x:row r="18" ht="15" hidden="0" customHeight="1">
      <x:c r="B18" s="47" t="str">
        <x:v>No-break storage</x:v>
      </x:c>
      <x:c r="C18" s="57" t="n">
        <x:v>8</x:v>
      </x:c>
      <x:c r="D18" s="47" t="str">
        <x:v>transition and half-hour service</x:v>
      </x:c>
      <x:c r="E18" s="47" t="str">
        <x:v>0</x:v>
      </x:c>
      <x:c r="F18" s="47"/>
      <x:c r="G18" s="47"/>
      <x:c r="H18" s="47"/>
      <x:c r="I18" s="47"/>
      <x:c r="J18" s="47"/>
      <x:c r="K18" s="47"/>
      <x:c r="L18" s="47"/>
    </x:row>
    <x:row r="19" ht="15" hidden="0" customHeight="1">
      <x:c r="B19" s="47" t="str">
        <x:v>Protection nodes</x:v>
      </x:c>
      <x:c r="C19" s="57" t="n">
        <x:v>12</x:v>
      </x:c>
      <x:c r="D19" s="47" t="str">
        <x:v>selective isolation</x:v>
      </x:c>
      <x:c r="E19" s="47" t="str">
        <x:v>0</x:v>
      </x:c>
      <x:c r="F19" s="47"/>
      <x:c r="G19" s="47"/>
      <x:c r="H19" s="47"/>
      <x:c r="I19" s="47"/>
      <x:c r="J19" s="47"/>
      <x:c r="K19" s="47"/>
      <x:c r="L19" s="47"/>
    </x:row>
    <x:row r="20" ht="15" hidden="0" customHeight="1">
      <x:c r="B20" s="47" t="str">
        <x:v>Control cells</x:v>
      </x:c>
      <x:c r="C20" s="57" t="n">
        <x:v>8</x:v>
      </x:c>
      <x:c r="D20" s="47" t="str">
        <x:v>degraded-network control</x:v>
      </x:c>
      <x:c r="E20" s="47" t="str">
        <x:v>0</x:v>
      </x:c>
      <x:c r="F20" s="47"/>
      <x:c r="G20" s="47"/>
      <x:c r="H20" s="47"/>
      <x:c r="I20" s="47"/>
      <x:c r="J20" s="47"/>
      <x:c r="K20" s="47"/>
      <x:c r="L20" s="47"/>
    </x:row>
    <x:row r="21" ht="15" hidden="0" customHeight="1">
      <x:c r="B21" s="47" t="str">
        <x:v>Logistics and cold chain</x:v>
      </x:c>
      <x:c r="C21" s="57" t="n">
        <x:v>20</x:v>
      </x:c>
      <x:c r="D21" s="47" t="str">
        <x:v>30-day replenishment</x:v>
      </x:c>
      <x:c r="E21" s="47" t="str">
        <x:v>0</x:v>
      </x:c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47" t="str">
        <x:v>Sterile and laundry</x:v>
      </x:c>
      <x:c r="C22" s="57" t="n">
        <x:v>8</x:v>
      </x:c>
      <x:c r="D22" s="47" t="str">
        <x:v>turnover and contamination</x:v>
      </x:c>
      <x:c r="E22" s="47" t="str">
        <x:v>0</x:v>
      </x:c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 t="str">
        <x:v>Staff services and regeneration</x:v>
      </x:c>
      <x:c r="C23" s="57" t="n">
        <x:v>10</x:v>
      </x:c>
      <x:c r="D23" s="47" t="str">
        <x:v>fatigue and replacement</x:v>
      </x:c>
      <x:c r="E23" s="47" t="str">
        <x:v>0</x:v>
      </x:c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 t="str">
        <x:v>Command, quality and evidence</x:v>
      </x:c>
      <x:c r="C24" s="57" t="n">
        <x:v>10</x:v>
      </x:c>
      <x:c r="D24" s="47" t="str">
        <x:v>authority and independent record</x:v>
      </x:c>
      <x:c r="E24" s="47" t="str">
        <x:v>0</x:v>
      </x:c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53" t="str">
        <x:v>TOTAL</x:v>
      </x:c>
      <x:c r="C25" s="53" t="n">
        <x:f>SUM(C7:C24)</x:f>
        <x:v>160</x:v>
      </x:c>
      <x:c r="D25" s="53"/>
      <x:c r="E25" s="53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3" hidden="0" customWidth="1"/>
    <x:col min="3" max="3" width="20" hidden="0" customWidth="1"/>
    <x:col min="4" max="4" width="20" hidden="0" customWidth="1"/>
    <x:col min="5" max="5" width="35" hidden="0" customWidth="1"/>
    <x:col min="6" max="6" width="38" hidden="0" customWidth="1"/>
    <x:col min="1" max="1" width="3" hidden="0" customWidth="1"/>
  </x:cols>
  <x:sheetData>
    <x:row r="2" ht="18" hidden="0" customHeight="1">
      <x:c r="B2" s="50" t="str">
        <x:v>Six-configuration representative campaign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Sequential months are a conservative planning convention; successful evidence could later justify overlap.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Configuration</x:v>
      </x:c>
      <x:c r="C6" s="45" t="str">
        <x:v>Months</x:v>
      </x:c>
      <x:c r="D6" s="45" t="str">
        <x:v>Cumulative months</x:v>
      </x:c>
      <x:c r="E6" s="45" t="str">
        <x:v>Environment</x:v>
      </x:c>
      <x:c r="F6" s="45" t="str">
        <x:v>Closure objective</x:v>
      </x:c>
      <x:c r="G6" s="47"/>
      <x:c r="H6" s="47"/>
      <x:c r="I6" s="47"/>
      <x:c r="J6" s="47"/>
      <x:c r="K6" s="47"/>
      <x:c r="L6" s="47"/>
    </x:row>
    <x:row r="7" ht="15" hidden="0" customHeight="1">
      <x:c r="B7" s="47" t="str">
        <x:v>Prepared land</x:v>
      </x:c>
      <x:c r="C7" s="47" t="n">
        <x:v>18</x:v>
      </x:c>
      <x:c r="D7" s="47" t="n">
        <x:f>C7</x:f>
        <x:v>18</x:v>
      </x:c>
      <x:c r="E7" s="47" t="str">
        <x:v>instrumented prepared site</x:v>
      </x:c>
      <x:c r="F7" s="47" t="str">
        <x:v>service integration</x:v>
      </x:c>
      <x:c r="G7" s="47"/>
      <x:c r="H7" s="47"/>
      <x:c r="I7" s="47"/>
      <x:c r="J7" s="47"/>
      <x:c r="K7" s="47"/>
      <x:c r="L7" s="47"/>
    </x:row>
    <x:row r="8" ht="15" hidden="0" customHeight="1">
      <x:c r="B8" s="47" t="str">
        <x:v>Bare land</x:v>
      </x:c>
      <x:c r="C8" s="47" t="n">
        <x:v>30</x:v>
      </x:c>
      <x:c r="D8" s="47" t="n">
        <x:f>D7+C8</x:f>
        <x:v>48</x:v>
      </x:c>
      <x:c r="E8" s="47" t="str">
        <x:v>no prepared clinical infrastructure</x:v>
      </x:c>
      <x:c r="F8" s="47" t="str">
        <x:v>deployment + utility autonomy</x:v>
      </x:c>
      <x:c r="G8" s="47"/>
      <x:c r="H8" s="47"/>
      <x:c r="I8" s="47"/>
      <x:c r="J8" s="47"/>
      <x:c r="K8" s="47"/>
      <x:c r="L8" s="47"/>
    </x:row>
    <x:row r="9" ht="15" hidden="0" customHeight="1">
      <x:c r="B9" s="47" t="str">
        <x:v>Fixed-facility reinforcement</x:v>
      </x:c>
      <x:c r="C9" s="47" t="n">
        <x:v>36</x:v>
      </x:c>
      <x:c r="D9" s="47" t="n">
        <x:f>D8+C9</x:f>
        <x:v>84</x:v>
      </x:c>
      <x:c r="E9" s="47" t="str">
        <x:v>damaged or overloaded hospital</x:v>
      </x:c>
      <x:c r="F9" s="47" t="str">
        <x:v>interface + continuity</x:v>
      </x:c>
      <x:c r="G9" s="47"/>
      <x:c r="H9" s="47"/>
      <x:c r="I9" s="47"/>
      <x:c r="J9" s="47"/>
      <x:c r="K9" s="47"/>
      <x:c r="L9" s="47"/>
    </x:row>
    <x:row r="10" ht="15" hidden="0" customHeight="1">
      <x:c r="B10" s="47" t="str">
        <x:v>Inland water</x:v>
      </x:c>
      <x:c r="C10" s="47" t="n">
        <x:v>30</x:v>
      </x:c>
      <x:c r="D10" s="47" t="n">
        <x:f>D9+C10</x:f>
        <x:v>114</x:v>
      </x:c>
      <x:c r="E10" s="47" t="str">
        <x:v>river / lake reception</x:v>
      </x:c>
      <x:c r="F10" s="47" t="str">
        <x:v>shore interface + access</x:v>
      </x:c>
      <x:c r="G10" s="47"/>
      <x:c r="H10" s="47"/>
      <x:c r="I10" s="47"/>
      <x:c r="J10" s="47"/>
      <x:c r="K10" s="47"/>
      <x:c r="L10" s="47"/>
    </x:row>
    <x:row r="11" ht="15" hidden="0" customHeight="1">
      <x:c r="B11" s="47" t="str">
        <x:v>Littoral</x:v>
      </x:c>
      <x:c r="C11" s="47" t="n">
        <x:v>36</x:v>
      </x:c>
      <x:c r="D11" s="47" t="n">
        <x:f>D10+C11</x:f>
        <x:v>150</x:v>
      </x:c>
      <x:c r="E11" s="47" t="str">
        <x:v>coastal reception</x:v>
      </x:c>
      <x:c r="F11" s="47" t="str">
        <x:v>sea-base / shore service</x:v>
      </x:c>
      <x:c r="G11" s="47"/>
      <x:c r="H11" s="47"/>
      <x:c r="I11" s="47"/>
      <x:c r="J11" s="47"/>
      <x:c r="K11" s="47"/>
      <x:c r="L11" s="47"/>
    </x:row>
    <x:row r="12" ht="15" hidden="0" customHeight="1">
      <x:c r="B12" s="47" t="str">
        <x:v>Dispersed multi-receiver</x:v>
      </x:c>
      <x:c r="C12" s="47" t="n">
        <x:v>30</x:v>
      </x:c>
      <x:c r="D12" s="47" t="n">
        <x:f>D11+C12</x:f>
        <x:v>180</x:v>
      </x:c>
      <x:c r="E12" s="47" t="str">
        <x:v>multiple receiving jurisdictions</x:v>
      </x:c>
      <x:c r="F12" s="47" t="str">
        <x:v>national regulation + discharge</x:v>
      </x:c>
      <x:c r="G12" s="47"/>
      <x:c r="H12" s="47"/>
      <x:c r="I12" s="47"/>
      <x:c r="J12" s="47"/>
      <x:c r="K12" s="47"/>
      <x:c r="L12" s="47"/>
    </x:row>
    <x:row r="13" ht="15" hidden="0" customHeight="1">
      <x:c r="B13" s="53" t="str">
        <x:v>TOTAL</x:v>
      </x:c>
      <x:c r="C13" s="53" t="n">
        <x:f>SUM(C7:C12)</x:f>
        <x:v>180</x:v>
      </x:c>
      <x:c r="D13" s="53" t="n">
        <x:f>D12</x:f>
        <x:v>180</x:v>
      </x:c>
      <x:c r="E13" s="53"/>
      <x:c r="F13" s="53"/>
      <x:c r="G13" s="47"/>
      <x:c r="H13" s="47"/>
      <x:c r="I13" s="47"/>
      <x:c r="J13" s="47"/>
      <x:c r="K13" s="47"/>
      <x:c r="L13" s="47"/>
    </x:row>
    <x:row r="14" ht="15" hidden="0" customHeight="1"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</x:row>
    <x:row r="15" ht="15" hidden="0" customHeight="1"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</x:row>
    <x:row r="16" ht="15" hidden="0" customHeight="1">
      <x:c r="B16" s="51" t="str">
        <x:v>Peak campaign workforce</x:v>
      </x:c>
      <x:c r="C16" s="51"/>
      <x:c r="D16" s="51"/>
      <x:c r="E16" s="51"/>
      <x:c r="F16" s="51"/>
      <x:c r="G16" s="47"/>
      <x:c r="H16" s="47"/>
      <x:c r="I16" s="47"/>
      <x:c r="J16" s="47"/>
      <x:c r="K16" s="47"/>
      <x:c r="L16" s="47"/>
    </x:row>
    <x:row r="17" ht="15" hidden="0" customHeight="1">
      <x:c r="B17" s="45" t="str">
        <x:v>Workforce family</x:v>
      </x:c>
      <x:c r="C17" s="45" t="str">
        <x:v>Positions</x:v>
      </x:c>
      <x:c r="D17" s="45" t="str">
        <x:v>Role</x:v>
      </x:c>
      <x:c r="E17" s="47"/>
      <x:c r="F17" s="47"/>
      <x:c r="G17" s="47"/>
      <x:c r="H17" s="47"/>
      <x:c r="I17" s="47"/>
      <x:c r="J17" s="47"/>
      <x:c r="K17" s="47"/>
      <x:c r="L17" s="47"/>
    </x:row>
    <x:row r="18" ht="24" hidden="0" customHeight="1">
      <x:c r="B18" s="47" t="str">
        <x:v>Clinical design and operations</x:v>
      </x:c>
      <x:c r="C18" s="47" t="n">
        <x:v>8000</x:v>
      </x:c>
      <x:c r="D18" s="47" t="str">
        <x:v>service definition + operations</x:v>
      </x:c>
      <x:c r="E18" s="47"/>
      <x:c r="F18" s="47"/>
      <x:c r="G18" s="47"/>
      <x:c r="H18" s="47"/>
      <x:c r="I18" s="47"/>
      <x:c r="J18" s="47"/>
      <x:c r="K18" s="47"/>
      <x:c r="L18" s="47"/>
    </x:row>
    <x:row r="19" ht="15" hidden="0" customHeight="1">
      <x:c r="B19" s="47" t="str">
        <x:v>Nursing, allied health and workforce science</x:v>
      </x:c>
      <x:c r="C19" s="47" t="n">
        <x:v>6000</x:v>
      </x:c>
      <x:c r="D19" s="47" t="str">
        <x:v>roster + clinical systems</x:v>
      </x:c>
      <x:c r="E19" s="47"/>
      <x:c r="F19" s="47"/>
      <x:c r="G19" s="47"/>
      <x:c r="H19" s="47"/>
      <x:c r="I19" s="47"/>
      <x:c r="J19" s="47"/>
      <x:c r="K19" s="47"/>
      <x:c r="L19" s="47"/>
    </x:row>
    <x:row r="20" ht="15" hidden="0" customHeight="1">
      <x:c r="B20" s="47" t="str">
        <x:v>Biomedical and utility engineering</x:v>
      </x:c>
      <x:c r="C20" s="47" t="n">
        <x:v>5000</x:v>
      </x:c>
      <x:c r="D20" s="47" t="str">
        <x:v>clinical equipment + utilities</x:v>
      </x:c>
      <x:c r="E20" s="47"/>
      <x:c r="F20" s="47"/>
      <x:c r="G20" s="47"/>
      <x:c r="H20" s="47"/>
      <x:c r="I20" s="47"/>
      <x:c r="J20" s="47"/>
      <x:c r="K20" s="47"/>
      <x:c r="L20" s="47"/>
    </x:row>
    <x:row r="21" ht="15" hidden="0" customHeight="1">
      <x:c r="B21" s="47" t="str">
        <x:v>Infection, public health and environmental</x:v>
      </x:c>
      <x:c r="C21" s="47" t="n">
        <x:v>4000</x:v>
      </x:c>
      <x:c r="D21" s="47" t="str">
        <x:v>zoning + population health</x:v>
      </x:c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47" t="str">
        <x:v>Medical logistics and patient transfer</x:v>
      </x:c>
      <x:c r="C22" s="47" t="n">
        <x:v>3500</x:v>
      </x:c>
      <x:c r="D22" s="47" t="str">
        <x:v>supply + journeys</x:v>
      </x:c>
      <x:c r="E22" s="47"/>
      <x:c r="F22" s="47"/>
      <x:c r="G22" s="47"/>
      <x:c r="H22" s="47"/>
      <x:c r="I22" s="47"/>
      <x:c r="J22" s="47"/>
      <x:c r="K22" s="47"/>
      <x:c r="L22" s="47"/>
    </x:row>
    <x:row r="23" ht="24" hidden="0" customHeight="1">
      <x:c r="B23" s="47" t="str">
        <x:v>Manufacturing, depots and receiving sites</x:v>
      </x:c>
      <x:c r="C23" s="47" t="n">
        <x:v>5000</x:v>
      </x:c>
      <x:c r="D23" s="47" t="str">
        <x:v>article production + integration</x:v>
      </x:c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 t="str">
        <x:v>Independent proving, quality, ethics and evidence</x:v>
      </x:c>
      <x:c r="C24" s="47" t="n">
        <x:v>2500</x:v>
      </x:c>
      <x:c r="D24" s="47" t="str">
        <x:v>assurance + rights</x:v>
      </x:c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 t="str">
        <x:v>Schools and credentialing</x:v>
      </x:c>
      <x:c r="C25" s="47" t="n">
        <x:v>2000</x:v>
      </x:c>
      <x:c r="D25" s="47" t="str">
        <x:v>training + replacement</x:v>
      </x:c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53" t="str">
        <x:v>TOTAL</x:v>
      </x:c>
      <x:c r="C26" s="53" t="n">
        <x:f>SUM(C18:C25)</x:f>
        <x:v>36000</x:v>
      </x:c>
      <x:c r="D26" s="53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16:F16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3" hidden="0" customWidth="1"/>
    <x:col min="3" max="3" width="15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  <x:col min="11" max="11" width="23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" max="1" width="3" hidden="0" customWidth="1"/>
  </x:cols>
  <x:sheetData>
    <x:row r="2" ht="18" hidden="0" customHeight="1">
      <x:c r="B2" s="50" t="str">
        <x:v>Population, hazard and local-capacity sensitivity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60"/>
      <x:c r="N2" s="60"/>
      <x:c r="O2" s="60"/>
      <x:c r="P2" s="60"/>
    </x:row>
    <x:row r="3" ht="15" hidden="0" customHeight="1">
      <x:c r="B3" s="42" t="str">
        <x:v>Six declared cases recalculate care positions and service-derived electricity. Support power scales linearly with population for this bounded screen.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60"/>
      <x:c r="N3" s="60"/>
      <x:c r="O3" s="60"/>
      <x:c r="P3" s="60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60"/>
      <x:c r="N4" s="60"/>
      <x:c r="O4" s="60"/>
      <x:c r="P4" s="60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60"/>
      <x:c r="N5" s="60"/>
      <x:c r="O5" s="60"/>
      <x:c r="P5" s="60"/>
    </x:row>
    <x:row r="6" ht="15" hidden="0" customHeight="1">
      <x:c r="B6" s="45" t="str">
        <x:v>Case</x:v>
      </x:c>
      <x:c r="C6" s="45" t="str">
        <x:v>Population</x:v>
      </x:c>
      <x:c r="D6" s="45" t="str">
        <x:v>Hazard scale</x:v>
      </x:c>
      <x:c r="E6" s="45" t="str">
        <x:v>Retained-capacity scale</x:v>
      </x:c>
      <x:c r="F6" s="45" t="str">
        <x:v>Support MW /100k</x:v>
      </x:c>
      <x:c r="G6" s="47"/>
      <x:c r="H6" s="47"/>
      <x:c r="I6" s="47"/>
      <x:c r="J6" s="47"/>
      <x:c r="K6" s="45" t="str">
        <x:v>Case</x:v>
      </x:c>
      <x:c r="L6" s="45" t="str">
        <x:v>Required positions</x:v>
      </x:c>
      <x:c r="M6" s="45" t="str">
        <x:v>Direct MW</x:v>
      </x:c>
      <x:c r="N6" s="45" t="str">
        <x:v>Continuous MW</x:v>
      </x:c>
      <x:c r="O6" s="45" t="str">
        <x:v>Peak MW</x:v>
      </x:c>
      <x:c r="P6" s="45" t="str">
        <x:v>SPC count</x:v>
      </x:c>
    </x:row>
    <x:row r="7" ht="15" hidden="0" customHeight="1">
      <x:c r="B7" s="47" t="str">
        <x:v>75k reference</x:v>
      </x:c>
      <x:c r="C7" s="57" t="n">
        <x:v>75000</x:v>
      </x:c>
      <x:c r="D7" s="84" t="n">
        <x:v>1</x:v>
      </x:c>
      <x:c r="E7" s="84" t="n">
        <x:v>1</x:v>
      </x:c>
      <x:c r="F7" s="57" t="n">
        <x:v>10.95</x:v>
      </x:c>
      <x:c r="G7" s="47"/>
      <x:c r="H7" s="47"/>
      <x:c r="I7" s="47"/>
      <x:c r="J7" s="47"/>
      <x:c r="K7" s="47" t="str">
        <x:f>$B$7</x:f>
        <x:v>75k reference</x:v>
      </x:c>
      <x:c r="L7" s="47" t="n">
        <x:f>SUM(H17:H26)</x:f>
        <x:v>713</x:v>
      </x:c>
      <x:c r="M7" s="68" t="n">
        <x:f>SUM(I17:I26)</x:f>
        <x:v>4.8116</x:v>
      </x:c>
      <x:c r="N7" s="68" t="n">
        <x:f>M7+$C$7/100000*$F$7</x:f>
        <x:v>13.024099999999999</x:v>
      </x:c>
      <x:c r="O7" s="68" t="n">
        <x:f>N7*'01 Controls'!D16</x:f>
        <x:v>14.977714999999998</x:v>
      </x:c>
      <x:c r="P7" s="60" t="n">
        <x:f>MAX(ROUNDUP(N7*(1+'01 Controls'!D19)/('01 Controls'!D18*'01 Controls'!D21),0),ROUNDUP(N7/('01 Controls'!D18*'01 Controls'!D21),0)+1)</x:f>
        <x:v>4</x:v>
      </x:c>
    </x:row>
    <x:row r="8" ht="15" hidden="0" customHeight="1">
      <x:c r="B8" s="47" t="str">
        <x:v>100k reference</x:v>
      </x:c>
      <x:c r="C8" s="57" t="n">
        <x:v>100000</x:v>
      </x:c>
      <x:c r="D8" s="84" t="n">
        <x:v>1</x:v>
      </x:c>
      <x:c r="E8" s="84" t="n">
        <x:v>1</x:v>
      </x:c>
      <x:c r="F8" s="57" t="n">
        <x:v>10.95</x:v>
      </x:c>
      <x:c r="G8" s="47"/>
      <x:c r="H8" s="47"/>
      <x:c r="I8" s="47"/>
      <x:c r="J8" s="47"/>
      <x:c r="K8" s="47" t="str">
        <x:f>$B$8</x:f>
        <x:v>100k reference</x:v>
      </x:c>
      <x:c r="L8" s="47" t="n">
        <x:f>SUM(H27:H36)</x:f>
        <x:v>951</x:v>
      </x:c>
      <x:c r="M8" s="68" t="n">
        <x:f>SUM(I27:I36)</x:f>
        <x:v>6.4597999999999995</x:v>
      </x:c>
      <x:c r="N8" s="68" t="n">
        <x:f>M8+$C$8/100000*$F$8</x:f>
        <x:v>17.409799999999997</x:v>
      </x:c>
      <x:c r="O8" s="68" t="n">
        <x:f>N8*'01 Controls'!D16</x:f>
        <x:v>20.021269999999994</x:v>
      </x:c>
      <x:c r="P8" s="60" t="n">
        <x:f>MAX(ROUNDUP(N8*(1+'01 Controls'!D19)/('01 Controls'!D18*'01 Controls'!D21),0),ROUNDUP(N8/('01 Controls'!D18*'01 Controls'!D21),0)+1)</x:f>
        <x:v>5</x:v>
      </x:c>
    </x:row>
    <x:row r="9" ht="15" hidden="0" customHeight="1">
      <x:c r="B9" s="47" t="str">
        <x:v>125k reference</x:v>
      </x:c>
      <x:c r="C9" s="57" t="n">
        <x:v>125000</x:v>
      </x:c>
      <x:c r="D9" s="84" t="n">
        <x:v>1</x:v>
      </x:c>
      <x:c r="E9" s="84" t="n">
        <x:v>1</x:v>
      </x:c>
      <x:c r="F9" s="57" t="n">
        <x:v>10.95</x:v>
      </x:c>
      <x:c r="G9" s="47"/>
      <x:c r="H9" s="47"/>
      <x:c r="I9" s="47"/>
      <x:c r="J9" s="47"/>
      <x:c r="K9" s="47" t="str">
        <x:f>$B$9</x:f>
        <x:v>125k reference</x:v>
      </x:c>
      <x:c r="L9" s="47" t="n">
        <x:f>SUM(H37:H46)</x:f>
        <x:v>1188</x:v>
      </x:c>
      <x:c r="M9" s="68" t="n">
        <x:f>SUM(I37:I46)</x:f>
        <x:v>8.0452</x:v>
      </x:c>
      <x:c r="N9" s="68" t="n">
        <x:f>M9+$C$9/100000*$F$9</x:f>
        <x:v>21.7327</x:v>
      </x:c>
      <x:c r="O9" s="68" t="n">
        <x:f>N9*'01 Controls'!D16</x:f>
        <x:v>24.992605</x:v>
      </x:c>
      <x:c r="P9" s="60" t="n">
        <x:f>MAX(ROUNDUP(N9*(1+'01 Controls'!D19)/('01 Controls'!D18*'01 Controls'!D21),0),ROUNDUP(N9/('01 Controls'!D18*'01 Controls'!D21),0)+1)</x:f>
        <x:v>6</x:v>
      </x:c>
    </x:row>
    <x:row r="10" ht="15" hidden="0" customHeight="1">
      <x:c r="B10" s="47" t="str">
        <x:v>150k reference</x:v>
      </x:c>
      <x:c r="C10" s="57" t="n">
        <x:v>150000</x:v>
      </x:c>
      <x:c r="D10" s="84" t="n">
        <x:v>1</x:v>
      </x:c>
      <x:c r="E10" s="84" t="n">
        <x:v>1</x:v>
      </x:c>
      <x:c r="F10" s="57" t="n">
        <x:v>10.95</x:v>
      </x:c>
      <x:c r="G10" s="47"/>
      <x:c r="H10" s="47"/>
      <x:c r="I10" s="47"/>
      <x:c r="J10" s="47"/>
      <x:c r="K10" s="47" t="str">
        <x:f>$B$10</x:f>
        <x:v>150k reference</x:v>
      </x:c>
      <x:c r="L10" s="47" t="n">
        <x:f>SUM(H47:H56)</x:f>
        <x:v>1424</x:v>
      </x:c>
      <x:c r="M10" s="68" t="n">
        <x:f>SUM(I47:I56)</x:f>
        <x:v>9.612400000000001</x:v>
      </x:c>
      <x:c r="N10" s="68" t="n">
        <x:f>M10+$C$10/100000*$F$10</x:f>
        <x:v>26.037399999999998</x:v>
      </x:c>
      <x:c r="O10" s="68" t="n">
        <x:f>N10*'01 Controls'!D16</x:f>
        <x:v>29.943009999999994</x:v>
      </x:c>
      <x:c r="P10" s="60" t="n">
        <x:f>MAX(ROUNDUP(N10*(1+'01 Controls'!D19)/('01 Controls'!D18*'01 Controls'!D21),0),ROUNDUP(N10/('01 Controls'!D18*'01 Controls'!D21),0)+1)</x:f>
        <x:v>7</x:v>
      </x:c>
    </x:row>
    <x:row r="11" ht="15" hidden="0" customHeight="1">
      <x:c r="B11" s="47" t="str">
        <x:v>100k severe</x:v>
      </x:c>
      <x:c r="C11" s="57" t="n">
        <x:v>100000</x:v>
      </x:c>
      <x:c r="D11" s="84" t="n">
        <x:v>1.25</x:v>
      </x:c>
      <x:c r="E11" s="84" t="n">
        <x:v>0.75</x:v>
      </x:c>
      <x:c r="F11" s="57" t="n">
        <x:v>10.95</x:v>
      </x:c>
      <x:c r="G11" s="47"/>
      <x:c r="H11" s="47"/>
      <x:c r="I11" s="47"/>
      <x:c r="J11" s="47"/>
      <x:c r="K11" s="47" t="str">
        <x:f>$B$11</x:f>
        <x:v>100k severe</x:v>
      </x:c>
      <x:c r="L11" s="47" t="n">
        <x:f>SUM(H57:H66)</x:f>
        <x:v>1252</x:v>
      </x:c>
      <x:c r="M11" s="68" t="n">
        <x:f>SUM(I57:I66)</x:f>
        <x:v>8.3834</x:v>
      </x:c>
      <x:c r="N11" s="68" t="n">
        <x:f>M11+$C$11/100000*$F$11</x:f>
        <x:v>19.333399999999997</x:v>
      </x:c>
      <x:c r="O11" s="68" t="n">
        <x:f>N11*'01 Controls'!D16</x:f>
        <x:v>22.233409999999996</x:v>
      </x:c>
      <x:c r="P11" s="60" t="n">
        <x:f>MAX(ROUNDUP(N11*(1+'01 Controls'!D19)/('01 Controls'!D18*'01 Controls'!D21),0),ROUNDUP(N11/('01 Controls'!D18*'01 Controls'!D21),0)+1)</x:f>
        <x:v>6</x:v>
      </x:c>
    </x:row>
    <x:row r="12" ht="15" hidden="0" customHeight="1">
      <x:c r="B12" s="47" t="str">
        <x:v>100k improved local</x:v>
      </x:c>
      <x:c r="C12" s="57" t="n">
        <x:v>100000</x:v>
      </x:c>
      <x:c r="D12" s="84" t="n">
        <x:v>1</x:v>
      </x:c>
      <x:c r="E12" s="84" t="n">
        <x:v>1.5</x:v>
      </x:c>
      <x:c r="F12" s="57" t="n">
        <x:v>10.95</x:v>
      </x:c>
      <x:c r="G12" s="47"/>
      <x:c r="H12" s="47"/>
      <x:c r="I12" s="47"/>
      <x:c r="J12" s="47"/>
      <x:c r="K12" s="47" t="str">
        <x:f>$B$12</x:f>
        <x:v>100k improved local</x:v>
      </x:c>
      <x:c r="L12" s="47" t="n">
        <x:f>SUM(H67:H76)</x:f>
        <x:v>885</x:v>
      </x:c>
      <x:c r="M12" s="68" t="n">
        <x:f>SUM(I67:I76)</x:f>
        <x:v>6.0776</x:v>
      </x:c>
      <x:c r="N12" s="68" t="n">
        <x:f>M12+$C$12/100000*$F$12</x:f>
        <x:v>17.0276</x:v>
      </x:c>
      <x:c r="O12" s="68" t="n">
        <x:f>N12*'01 Controls'!D16</x:f>
        <x:v>19.581739999999996</x:v>
      </x:c>
      <x:c r="P12" s="60" t="n">
        <x:f>MAX(ROUNDUP(N12*(1+'01 Controls'!D19)/('01 Controls'!D18*'01 Controls'!D21),0),ROUNDUP(N12/('01 Controls'!D18*'01 Controls'!D21),0)+1)</x:f>
        <x:v>5</x:v>
      </x:c>
    </x:row>
    <x:row r="13" ht="15" hidden="0" customHeight="1"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60"/>
      <x:c r="N13" s="60"/>
      <x:c r="O13" s="60"/>
      <x:c r="P13" s="60"/>
    </x:row>
    <x:row r="14" ht="15" hidden="0" customHeight="1"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60"/>
      <x:c r="N14" s="60"/>
      <x:c r="O14" s="60"/>
      <x:c r="P14" s="60"/>
    </x:row>
    <x:row r="15" ht="15" hidden="0" customHeight="1">
      <x:c r="B15" s="51" t="str">
        <x:v>Care-line calculations</x:v>
      </x:c>
      <x:c r="C15" s="51"/>
      <x:c r="D15" s="51"/>
      <x:c r="E15" s="51"/>
      <x:c r="F15" s="51"/>
      <x:c r="G15" s="51"/>
      <x:c r="H15" s="51"/>
      <x:c r="I15" s="51"/>
      <x:c r="J15" s="47"/>
      <x:c r="K15" s="47"/>
      <x:c r="L15" s="47"/>
      <x:c r="M15" s="60"/>
      <x:c r="N15" s="60"/>
      <x:c r="O15" s="60"/>
      <x:c r="P15" s="60"/>
    </x:row>
    <x:row r="16" ht="15" hidden="0" customHeight="1">
      <x:c r="B16" s="45" t="str">
        <x:v>Case</x:v>
      </x:c>
      <x:c r="C16" s="45" t="str">
        <x:v>Care ID</x:v>
      </x:c>
      <x:c r="D16" s="45" t="str">
        <x:v>Mode</x:v>
      </x:c>
      <x:c r="E16" s="45" t="str">
        <x:v>Gross/day</x:v>
      </x:c>
      <x:c r="F16" s="45" t="str">
        <x:v>Local/day</x:v>
      </x:c>
      <x:c r="G16" s="45" t="str">
        <x:v>Force/day</x:v>
      </x:c>
      <x:c r="H16" s="45" t="str">
        <x:v>Positions</x:v>
      </x:c>
      <x:c r="I16" s="45" t="str">
        <x:v>Direct MW</x:v>
      </x:c>
      <x:c r="J16" s="47"/>
      <x:c r="K16" s="47"/>
      <x:c r="L16" s="47"/>
      <x:c r="M16" s="60"/>
      <x:c r="N16" s="60"/>
      <x:c r="O16" s="60"/>
      <x:c r="P16" s="60"/>
    </x:row>
    <x:row r="17" ht="15" hidden="0" customHeight="1">
      <x:c r="B17" s="47" t="str">
        <x:f>$B$7</x:f>
        <x:v>75k reference</x:v>
      </x:c>
      <x:c r="C17" s="47" t="n">
        <x:f>'03 Care inputs'!B7</x:f>
        <x:v>1</x:v>
      </x:c>
      <x:c r="D17" s="47" t="str">
        <x:f>'03 Care inputs'!D7</x:f>
        <x:v>FLOW</x:v>
      </x:c>
      <x:c r="E17" s="47" t="n">
        <x:f>$C$7/1000*'03 Care inputs'!E7*'03 Care inputs'!F7*$D$7</x:f>
        <x:v>3937.5</x:v>
      </x:c>
      <x:c r="F17" s="47" t="n">
        <x:f>$C$7/1000*'03 Care inputs'!E7*MIN(1,'03 Care inputs'!G7*$E$7)</x:f>
        <x:v>1050</x:v>
      </x:c>
      <x:c r="G17" s="47" t="n">
        <x:f>MAX(0,E17-F17)</x:f>
        <x:v>2887.5</x:v>
      </x:c>
      <x:c r="H17" s="47" t="n">
        <x:f>IF(D17="CENSUS",ROUNDUP(G17*'03 Care inputs'!H7/'03 Care inputs'!J7,0),ROUNDUP(G17*'03 Care inputs'!H7/('03 Care inputs'!I7*'03 Care inputs'!J7),0))</x:f>
        <x:v>57</x:v>
      </x:c>
      <x:c r="I17" s="47" t="n">
        <x:f>H17*'03 Care inputs'!L7/1000</x:f>
        <x:v>0.0456</x:v>
      </x:c>
      <x:c r="J17" s="47"/>
      <x:c r="K17" s="47"/>
      <x:c r="L17" s="47"/>
      <x:c r="M17" s="60"/>
      <x:c r="N17" s="60"/>
      <x:c r="O17" s="60"/>
      <x:c r="P17" s="60"/>
    </x:row>
    <x:row r="18" ht="15" hidden="0" customHeight="1">
      <x:c r="B18" s="47" t="str">
        <x:f>$B$7</x:f>
        <x:v>75k reference</x:v>
      </x:c>
      <x:c r="C18" s="47" t="n">
        <x:f>'03 Care inputs'!B8</x:f>
        <x:v>2</x:v>
      </x:c>
      <x:c r="D18" s="47" t="str">
        <x:f>'03 Care inputs'!D8</x:f>
        <x:v>FLOW</x:v>
      </x:c>
      <x:c r="E18" s="47" t="n">
        <x:f>$C$7/1000*'03 Care inputs'!E8*'03 Care inputs'!F8*$D$7</x:f>
        <x:v>375</x:v>
      </x:c>
      <x:c r="F18" s="47" t="n">
        <x:f>$C$7/1000*'03 Care inputs'!E8*MIN(1,'03 Care inputs'!G8*$E$7)</x:f>
        <x:v>65.625</x:v>
      </x:c>
      <x:c r="G18" s="47" t="n">
        <x:f>MAX(0,E18-F18)</x:f>
        <x:v>309.375</x:v>
      </x:c>
      <x:c r="H18" s="47" t="n">
        <x:f>IF(D18="CENSUS",ROUNDUP(G18*'03 Care inputs'!H8/'03 Care inputs'!J8,0),ROUNDUP(G18*'03 Care inputs'!H8/('03 Care inputs'!I8*'03 Care inputs'!J8),0))</x:f>
        <x:v>35</x:v>
      </x:c>
      <x:c r="I18" s="47" t="n">
        <x:f>H18*'03 Care inputs'!L8/1000</x:f>
        <x:v>0.35</x:v>
      </x:c>
      <x:c r="J18" s="47"/>
      <x:c r="K18" s="47"/>
      <x:c r="L18" s="47"/>
      <x:c r="M18" s="60"/>
      <x:c r="N18" s="60"/>
      <x:c r="O18" s="60"/>
      <x:c r="P18" s="60"/>
    </x:row>
    <x:row r="19" ht="15" hidden="0" customHeight="1">
      <x:c r="B19" s="47" t="str">
        <x:f>$B$7</x:f>
        <x:v>75k reference</x:v>
      </x:c>
      <x:c r="C19" s="47" t="n">
        <x:f>'03 Care inputs'!B9</x:f>
        <x:v>3</x:v>
      </x:c>
      <x:c r="D19" s="47" t="str">
        <x:f>'03 Care inputs'!D9</x:f>
        <x:v>CENSUS</x:v>
      </x:c>
      <x:c r="E19" s="47" t="n">
        <x:f>$C$7/1000*'03 Care inputs'!E9*'03 Care inputs'!F9*$D$7</x:f>
        <x:v>132</x:v>
      </x:c>
      <x:c r="F19" s="47" t="n">
        <x:f>$C$7/1000*'03 Care inputs'!E9*MIN(1,'03 Care inputs'!G9*$E$7)</x:f>
        <x:v>21</x:v>
      </x:c>
      <x:c r="G19" s="47" t="n">
        <x:f>MAX(0,E19-F19)</x:f>
        <x:v>111</x:v>
      </x:c>
      <x:c r="H19" s="47" t="n">
        <x:f>IF(D19="CENSUS",ROUNDUP(G19*'03 Care inputs'!H9/'03 Care inputs'!J9,0),ROUNDUP(G19*'03 Care inputs'!H9/('03 Care inputs'!I9*'03 Care inputs'!J9),0))</x:f>
        <x:v>62</x:v>
      </x:c>
      <x:c r="I19" s="47" t="n">
        <x:f>H19*'03 Care inputs'!L9/1000</x:f>
        <x:v>0.248</x:v>
      </x:c>
      <x:c r="J19" s="47"/>
      <x:c r="K19" s="47"/>
      <x:c r="L19" s="47"/>
      <x:c r="M19" s="60"/>
      <x:c r="N19" s="60"/>
      <x:c r="O19" s="60"/>
      <x:c r="P19" s="60"/>
    </x:row>
    <x:row r="20" ht="15" hidden="0" customHeight="1">
      <x:c r="B20" s="47" t="str">
        <x:f>$B$7</x:f>
        <x:v>75k reference</x:v>
      </x:c>
      <x:c r="C20" s="47" t="n">
        <x:f>'03 Care inputs'!B10</x:f>
        <x:v>4</x:v>
      </x:c>
      <x:c r="D20" s="47" t="str">
        <x:f>'03 Care inputs'!D10</x:f>
        <x:v>CENSUS</x:v>
      </x:c>
      <x:c r="E20" s="47" t="n">
        <x:f>$C$7/1000*'03 Care inputs'!E10*'03 Care inputs'!F10*$D$7</x:f>
        <x:v>75</x:v>
      </x:c>
      <x:c r="F20" s="47" t="n">
        <x:f>$C$7/1000*'03 Care inputs'!E10*MIN(1,'03 Care inputs'!G10*$E$7)</x:f>
        <x:v>7.5</x:v>
      </x:c>
      <x:c r="G20" s="47" t="n">
        <x:f>MAX(0,E20-F20)</x:f>
        <x:v>67.5</x:v>
      </x:c>
      <x:c r="H20" s="47" t="n">
        <x:f>IF(D20="CENSUS",ROUNDUP(G20*'03 Care inputs'!H10/'03 Care inputs'!J10,0),ROUNDUP(G20*'03 Care inputs'!H10/('03 Care inputs'!I10*'03 Care inputs'!J10),0))</x:f>
        <x:v>318</x:v>
      </x:c>
      <x:c r="I20" s="47" t="n">
        <x:f>H20*'03 Care inputs'!L10/1000</x:f>
        <x:v>0.954</x:v>
      </x:c>
      <x:c r="J20" s="47"/>
      <x:c r="K20" s="47"/>
      <x:c r="L20" s="47"/>
      <x:c r="M20" s="60"/>
      <x:c r="N20" s="60"/>
      <x:c r="O20" s="60"/>
      <x:c r="P20" s="60"/>
    </x:row>
    <x:row r="21" ht="15" hidden="0" customHeight="1">
      <x:c r="B21" s="47" t="str">
        <x:f>$B$7</x:f>
        <x:v>75k reference</x:v>
      </x:c>
      <x:c r="C21" s="47" t="n">
        <x:f>'03 Care inputs'!B11</x:f>
        <x:v>5</x:v>
      </x:c>
      <x:c r="D21" s="47" t="str">
        <x:f>'03 Care inputs'!D11</x:f>
        <x:v>CENSUS</x:v>
      </x:c>
      <x:c r="E21" s="47" t="n">
        <x:f>$C$7/1000*'03 Care inputs'!E11*'03 Care inputs'!F11*$D$7</x:f>
        <x:v>18</x:v>
      </x:c>
      <x:c r="F21" s="47" t="n">
        <x:f>$C$7/1000*'03 Care inputs'!E11*MIN(1,'03 Care inputs'!G11*$E$7)</x:f>
        <x:v>1.2000000000000002</x:v>
      </x:c>
      <x:c r="G21" s="47" t="n">
        <x:f>MAX(0,E21-F21)</x:f>
        <x:v>16.8</x:v>
      </x:c>
      <x:c r="H21" s="47" t="n">
        <x:f>IF(D21="CENSUS",ROUNDUP(G21*'03 Care inputs'!H11/'03 Care inputs'!J11,0),ROUNDUP(G21*'03 Care inputs'!H11/('03 Care inputs'!I11*'03 Care inputs'!J11),0))</x:f>
        <x:v>105</x:v>
      </x:c>
      <x:c r="I21" s="47" t="n">
        <x:f>H21*'03 Care inputs'!L11/1000</x:f>
        <x:v>1.575</x:v>
      </x:c>
      <x:c r="J21" s="47"/>
      <x:c r="K21" s="47"/>
      <x:c r="L21" s="47"/>
      <x:c r="M21" s="60"/>
      <x:c r="N21" s="60"/>
      <x:c r="O21" s="60"/>
      <x:c r="P21" s="60"/>
    </x:row>
    <x:row r="22" ht="15" hidden="0" customHeight="1">
      <x:c r="B22" s="47" t="str">
        <x:f>$B$7</x:f>
        <x:v>75k reference</x:v>
      </x:c>
      <x:c r="C22" s="47" t="n">
        <x:f>'03 Care inputs'!B12</x:f>
        <x:v>6</x:v>
      </x:c>
      <x:c r="D22" s="47" t="str">
        <x:f>'03 Care inputs'!D12</x:f>
        <x:v>FLOW</x:v>
      </x:c>
      <x:c r="E22" s="47" t="n">
        <x:f>$C$7/1000*'03 Care inputs'!E12*'03 Care inputs'!F12*$D$7</x:f>
        <x:v>33.75</x:v>
      </x:c>
      <x:c r="F22" s="47" t="n">
        <x:f>$C$7/1000*'03 Care inputs'!E12*MIN(1,'03 Care inputs'!G12*$E$7)</x:f>
        <x:v>2.8125</x:v>
      </x:c>
      <x:c r="G22" s="47" t="n">
        <x:f>MAX(0,E22-F22)</x:f>
        <x:v>30.9375</x:v>
      </x:c>
      <x:c r="H22" s="47" t="n">
        <x:f>IF(D22="CENSUS",ROUNDUP(G22*'03 Care inputs'!H12/'03 Care inputs'!J12,0),ROUNDUP(G22*'03 Care inputs'!H12/('03 Care inputs'!I12*'03 Care inputs'!J12),0))</x:f>
        <x:v>7</x:v>
      </x:c>
      <x:c r="I22" s="47" t="n">
        <x:f>H22*'03 Care inputs'!L12/1000</x:f>
        <x:v>0.56</x:v>
      </x:c>
      <x:c r="J22" s="47"/>
      <x:c r="K22" s="47"/>
      <x:c r="L22" s="47"/>
      <x:c r="M22" s="60"/>
      <x:c r="N22" s="60"/>
      <x:c r="O22" s="60"/>
      <x:c r="P22" s="60"/>
    </x:row>
    <x:row r="23" ht="15" hidden="0" customHeight="1">
      <x:c r="B23" s="47" t="str">
        <x:f>$B$7</x:f>
        <x:v>75k reference</x:v>
      </x:c>
      <x:c r="C23" s="47" t="n">
        <x:f>'03 Care inputs'!B13</x:f>
        <x:v>7</x:v>
      </x:c>
      <x:c r="D23" s="47" t="str">
        <x:f>'03 Care inputs'!D13</x:f>
        <x:v>FLOW</x:v>
      </x:c>
      <x:c r="E23" s="47" t="n">
        <x:f>$C$7/1000*'03 Care inputs'!E13*'03 Care inputs'!F13*$D$7</x:f>
        <x:v>12.6</x:v>
      </x:c>
      <x:c r="F23" s="47" t="n">
        <x:f>$C$7/1000*'03 Care inputs'!E13*MIN(1,'03 Care inputs'!G13*$E$7)</x:f>
        <x:v>3.6</x:v>
      </x:c>
      <x:c r="G23" s="47" t="n">
        <x:f>MAX(0,E23-F23)</x:f>
        <x:v>9</x:v>
      </x:c>
      <x:c r="H23" s="47" t="n">
        <x:f>IF(D23="CENSUS",ROUNDUP(G23*'03 Care inputs'!H13/'03 Care inputs'!J13,0),ROUNDUP(G23*'03 Care inputs'!H13/('03 Care inputs'!I13*'03 Care inputs'!J13),0))</x:f>
        <x:v>3</x:v>
      </x:c>
      <x:c r="I23" s="47" t="n">
        <x:f>H23*'03 Care inputs'!L13/1000</x:f>
        <x:v>0.12</x:v>
      </x:c>
      <x:c r="J23" s="47"/>
      <x:c r="K23" s="47"/>
      <x:c r="L23" s="47"/>
      <x:c r="M23" s="60"/>
      <x:c r="N23" s="60"/>
      <x:c r="O23" s="60"/>
      <x:c r="P23" s="60"/>
    </x:row>
    <x:row r="24" ht="15" hidden="0" customHeight="1">
      <x:c r="B24" s="47" t="str">
        <x:f>$B$7</x:f>
        <x:v>75k reference</x:v>
      </x:c>
      <x:c r="C24" s="47" t="n">
        <x:f>'03 Care inputs'!B14</x:f>
        <x:v>8</x:v>
      </x:c>
      <x:c r="D24" s="47" t="str">
        <x:f>'03 Care inputs'!D14</x:f>
        <x:v>FLOW</x:v>
      </x:c>
      <x:c r="E24" s="47" t="n">
        <x:f>$C$7/1000*'03 Care inputs'!E14*'03 Care inputs'!F14*$D$7</x:f>
        <x:v>28.125</x:v>
      </x:c>
      <x:c r="F24" s="47" t="n">
        <x:f>$C$7/1000*'03 Care inputs'!E14*MIN(1,'03 Care inputs'!G14*$E$7)</x:f>
        <x:v>5.625</x:v>
      </x:c>
      <x:c r="G24" s="47" t="n">
        <x:f>MAX(0,E24-F24)</x:f>
        <x:v>22.5</x:v>
      </x:c>
      <x:c r="H24" s="47" t="n">
        <x:f>IF(D24="CENSUS",ROUNDUP(G24*'03 Care inputs'!H14/'03 Care inputs'!J14,0),ROUNDUP(G24*'03 Care inputs'!H14/('03 Care inputs'!I14*'03 Care inputs'!J14),0))</x:f>
        <x:v>7</x:v>
      </x:c>
      <x:c r="I24" s="47" t="n">
        <x:f>H24*'03 Care inputs'!L14/1000</x:f>
        <x:v>0.084</x:v>
      </x:c>
      <x:c r="J24" s="47"/>
      <x:c r="K24" s="47"/>
      <x:c r="L24" s="47"/>
      <x:c r="M24" s="60"/>
      <x:c r="N24" s="60"/>
      <x:c r="O24" s="60"/>
      <x:c r="P24" s="60"/>
    </x:row>
    <x:row r="25" ht="15" hidden="0" customHeight="1">
      <x:c r="B25" s="47" t="str">
        <x:f>$B$7</x:f>
        <x:v>75k reference</x:v>
      </x:c>
      <x:c r="C25" s="47" t="n">
        <x:f>'03 Care inputs'!B15</x:f>
        <x:v>9</x:v>
      </x:c>
      <x:c r="D25" s="47" t="str">
        <x:f>'03 Care inputs'!D15</x:f>
        <x:v>CENSUS</x:v>
      </x:c>
      <x:c r="E25" s="47" t="n">
        <x:f>$C$7/1000*'03 Care inputs'!E15*'03 Care inputs'!F15*$D$7</x:f>
        <x:v>18.75</x:v>
      </x:c>
      <x:c r="F25" s="47" t="n">
        <x:f>$C$7/1000*'03 Care inputs'!E15*MIN(1,'03 Care inputs'!G15*$E$7)</x:f>
        <x:v>1.5</x:v>
      </x:c>
      <x:c r="G25" s="47" t="n">
        <x:f>MAX(0,E25-F25)</x:f>
        <x:v>17.25</x:v>
      </x:c>
      <x:c r="H25" s="47" t="n">
        <x:f>IF(D25="CENSUS",ROUNDUP(G25*'03 Care inputs'!H15/'03 Care inputs'!J15,0),ROUNDUP(G25*'03 Care inputs'!H15/('03 Care inputs'!I15*'03 Care inputs'!J15),0))</x:f>
        <x:v>108</x:v>
      </x:c>
      <x:c r="I25" s="47" t="n">
        <x:f>H25*'03 Care inputs'!L15/1000</x:f>
        <x:v>0.864</x:v>
      </x:c>
      <x:c r="J25" s="47"/>
      <x:c r="K25" s="47"/>
      <x:c r="L25" s="47"/>
      <x:c r="M25" s="60"/>
      <x:c r="N25" s="60"/>
      <x:c r="O25" s="60"/>
      <x:c r="P25" s="60"/>
    </x:row>
    <x:row r="26" ht="15" hidden="0" customHeight="1">
      <x:c r="B26" s="47" t="str">
        <x:f>$B$7</x:f>
        <x:v>75k reference</x:v>
      </x:c>
      <x:c r="C26" s="47" t="n">
        <x:f>'03 Care inputs'!B16</x:f>
        <x:v>10</x:v>
      </x:c>
      <x:c r="D26" s="47" t="str">
        <x:f>'03 Care inputs'!D16</x:f>
        <x:v>FLOW</x:v>
      </x:c>
      <x:c r="E26" s="47" t="n">
        <x:f>$C$7/1000*'03 Care inputs'!E16*'03 Care inputs'!F16*$D$7</x:f>
        <x:v>105</x:v>
      </x:c>
      <x:c r="F26" s="47" t="n">
        <x:f>$C$7/1000*'03 Care inputs'!E16*MIN(1,'03 Care inputs'!G16*$E$7)</x:f>
        <x:v>18.375</x:v>
      </x:c>
      <x:c r="G26" s="47" t="n">
        <x:f>MAX(0,E26-F26)</x:f>
        <x:v>86.625</x:v>
      </x:c>
      <x:c r="H26" s="47" t="n">
        <x:f>IF(D26="CENSUS",ROUNDUP(G26*'03 Care inputs'!H16/'03 Care inputs'!J16,0),ROUNDUP(G26*'03 Care inputs'!H16/('03 Care inputs'!I16*'03 Care inputs'!J16),0))</x:f>
        <x:v>11</x:v>
      </x:c>
      <x:c r="I26" s="47" t="n">
        <x:f>H26*'03 Care inputs'!L16/1000</x:f>
        <x:v>0.011</x:v>
      </x:c>
      <x:c r="J26" s="47"/>
      <x:c r="K26" s="47"/>
      <x:c r="L26" s="47"/>
      <x:c r="M26" s="60"/>
      <x:c r="N26" s="60"/>
      <x:c r="O26" s="60"/>
      <x:c r="P26" s="60"/>
    </x:row>
    <x:row r="27" ht="15" hidden="0" customHeight="1">
      <x:c r="B27" s="47" t="str">
        <x:f>$B$8</x:f>
        <x:v>100k reference</x:v>
      </x:c>
      <x:c r="C27" s="47" t="n">
        <x:f>'03 Care inputs'!B7</x:f>
        <x:v>1</x:v>
      </x:c>
      <x:c r="D27" s="47" t="str">
        <x:f>'03 Care inputs'!D7</x:f>
        <x:v>FLOW</x:v>
      </x:c>
      <x:c r="E27" s="47" t="n">
        <x:f>$C$8/1000*'03 Care inputs'!E7*'03 Care inputs'!F7*$D$8</x:f>
        <x:v>5250</x:v>
      </x:c>
      <x:c r="F27" s="47" t="n">
        <x:f>$C$8/1000*'03 Care inputs'!E7*MIN(1,'03 Care inputs'!G7*$E$8)</x:f>
        <x:v>1400</x:v>
      </x:c>
      <x:c r="G27" s="47" t="n">
        <x:f>MAX(0,E27-F27)</x:f>
        <x:v>3850</x:v>
      </x:c>
      <x:c r="H27" s="47" t="n">
        <x:f>IF(D27="CENSUS",ROUNDUP(G27*'03 Care inputs'!H7/'03 Care inputs'!J7,0),ROUNDUP(G27*'03 Care inputs'!H7/('03 Care inputs'!I7*'03 Care inputs'!J7),0))</x:f>
        <x:v>76</x:v>
      </x:c>
      <x:c r="I27" s="47" t="n">
        <x:f>H27*'03 Care inputs'!L7/1000</x:f>
        <x:v>0.06080000000000001</x:v>
      </x:c>
      <x:c r="J27" s="47"/>
      <x:c r="K27" s="47"/>
      <x:c r="L27" s="47"/>
      <x:c r="M27" s="60"/>
      <x:c r="N27" s="60"/>
      <x:c r="O27" s="60"/>
      <x:c r="P27" s="60"/>
    </x:row>
    <x:row r="28" ht="15" hidden="0" customHeight="1">
      <x:c r="B28" s="47" t="str">
        <x:f>$B$8</x:f>
        <x:v>100k reference</x:v>
      </x:c>
      <x:c r="C28" s="47" t="n">
        <x:f>'03 Care inputs'!B8</x:f>
        <x:v>2</x:v>
      </x:c>
      <x:c r="D28" s="47" t="str">
        <x:f>'03 Care inputs'!D8</x:f>
        <x:v>FLOW</x:v>
      </x:c>
      <x:c r="E28" s="47" t="n">
        <x:f>$C$8/1000*'03 Care inputs'!E8*'03 Care inputs'!F8*$D$8</x:f>
        <x:v>500</x:v>
      </x:c>
      <x:c r="F28" s="47" t="n">
        <x:f>$C$8/1000*'03 Care inputs'!E8*MIN(1,'03 Care inputs'!G8*$E$8)</x:f>
        <x:v>87.5</x:v>
      </x:c>
      <x:c r="G28" s="47" t="n">
        <x:f>MAX(0,E28-F28)</x:f>
        <x:v>412.5</x:v>
      </x:c>
      <x:c r="H28" s="47" t="n">
        <x:f>IF(D28="CENSUS",ROUNDUP(G28*'03 Care inputs'!H8/'03 Care inputs'!J8,0),ROUNDUP(G28*'03 Care inputs'!H8/('03 Care inputs'!I8*'03 Care inputs'!J8),0))</x:f>
        <x:v>46</x:v>
      </x:c>
      <x:c r="I28" s="47" t="n">
        <x:f>H28*'03 Care inputs'!L8/1000</x:f>
        <x:v>0.46</x:v>
      </x:c>
      <x:c r="J28" s="47"/>
      <x:c r="K28" s="47"/>
      <x:c r="L28" s="47"/>
      <x:c r="M28" s="60"/>
      <x:c r="N28" s="60"/>
      <x:c r="O28" s="60"/>
      <x:c r="P28" s="60"/>
    </x:row>
    <x:row r="29" ht="15" hidden="0" customHeight="1">
      <x:c r="B29" s="47" t="str">
        <x:f>$B$8</x:f>
        <x:v>100k reference</x:v>
      </x:c>
      <x:c r="C29" s="47" t="n">
        <x:f>'03 Care inputs'!B9</x:f>
        <x:v>3</x:v>
      </x:c>
      <x:c r="D29" s="47" t="str">
        <x:f>'03 Care inputs'!D9</x:f>
        <x:v>CENSUS</x:v>
      </x:c>
      <x:c r="E29" s="47" t="n">
        <x:f>$C$8/1000*'03 Care inputs'!E9*'03 Care inputs'!F9*$D$8</x:f>
        <x:v>176</x:v>
      </x:c>
      <x:c r="F29" s="47" t="n">
        <x:f>$C$8/1000*'03 Care inputs'!E9*MIN(1,'03 Care inputs'!G9*$E$8)</x:f>
        <x:v>28</x:v>
      </x:c>
      <x:c r="G29" s="47" t="n">
        <x:f>MAX(0,E29-F29)</x:f>
        <x:v>148</x:v>
      </x:c>
      <x:c r="H29" s="47" t="n">
        <x:f>IF(D29="CENSUS",ROUNDUP(G29*'03 Care inputs'!H9/'03 Care inputs'!J9,0),ROUNDUP(G29*'03 Care inputs'!H9/('03 Care inputs'!I9*'03 Care inputs'!J9),0))</x:f>
        <x:v>83</x:v>
      </x:c>
      <x:c r="I29" s="47" t="n">
        <x:f>H29*'03 Care inputs'!L9/1000</x:f>
        <x:v>0.332</x:v>
      </x:c>
      <x:c r="J29" s="47"/>
      <x:c r="K29" s="47"/>
      <x:c r="L29" s="47"/>
      <x:c r="M29" s="60"/>
      <x:c r="N29" s="60"/>
      <x:c r="O29" s="60"/>
      <x:c r="P29" s="60"/>
    </x:row>
    <x:row r="30" ht="15" hidden="0" customHeight="1">
      <x:c r="B30" s="47" t="str">
        <x:f>$B$8</x:f>
        <x:v>100k reference</x:v>
      </x:c>
      <x:c r="C30" s="47" t="n">
        <x:f>'03 Care inputs'!B10</x:f>
        <x:v>4</x:v>
      </x:c>
      <x:c r="D30" s="47" t="str">
        <x:f>'03 Care inputs'!D10</x:f>
        <x:v>CENSUS</x:v>
      </x:c>
      <x:c r="E30" s="47" t="n">
        <x:f>$C$8/1000*'03 Care inputs'!E10*'03 Care inputs'!F10*$D$8</x:f>
        <x:v>100</x:v>
      </x:c>
      <x:c r="F30" s="47" t="n">
        <x:f>$C$8/1000*'03 Care inputs'!E10*MIN(1,'03 Care inputs'!G10*$E$8)</x:f>
        <x:v>10</x:v>
      </x:c>
      <x:c r="G30" s="47" t="n">
        <x:f>MAX(0,E30-F30)</x:f>
        <x:v>90</x:v>
      </x:c>
      <x:c r="H30" s="47" t="n">
        <x:f>IF(D30="CENSUS",ROUNDUP(G30*'03 Care inputs'!H10/'03 Care inputs'!J10,0),ROUNDUP(G30*'03 Care inputs'!H10/('03 Care inputs'!I10*'03 Care inputs'!J10),0))</x:f>
        <x:v>424</x:v>
      </x:c>
      <x:c r="I30" s="47" t="n">
        <x:f>H30*'03 Care inputs'!L10/1000</x:f>
        <x:v>1.272</x:v>
      </x:c>
      <x:c r="J30" s="47"/>
      <x:c r="K30" s="47"/>
      <x:c r="L30" s="47"/>
      <x:c r="M30" s="60"/>
      <x:c r="N30" s="60"/>
      <x:c r="O30" s="60"/>
      <x:c r="P30" s="60"/>
    </x:row>
    <x:row r="31" ht="15" hidden="0" customHeight="1">
      <x:c r="B31" s="47" t="str">
        <x:f>$B$8</x:f>
        <x:v>100k reference</x:v>
      </x:c>
      <x:c r="C31" s="47" t="n">
        <x:f>'03 Care inputs'!B11</x:f>
        <x:v>5</x:v>
      </x:c>
      <x:c r="D31" s="47" t="str">
        <x:f>'03 Care inputs'!D11</x:f>
        <x:v>CENSUS</x:v>
      </x:c>
      <x:c r="E31" s="47" t="n">
        <x:f>$C$8/1000*'03 Care inputs'!E11*'03 Care inputs'!F11*$D$8</x:f>
        <x:v>24</x:v>
      </x:c>
      <x:c r="F31" s="47" t="n">
        <x:f>$C$8/1000*'03 Care inputs'!E11*MIN(1,'03 Care inputs'!G11*$E$8)</x:f>
        <x:v>1.6</x:v>
      </x:c>
      <x:c r="G31" s="47" t="n">
        <x:f>MAX(0,E31-F31)</x:f>
        <x:v>22.4</x:v>
      </x:c>
      <x:c r="H31" s="47" t="n">
        <x:f>IF(D31="CENSUS",ROUNDUP(G31*'03 Care inputs'!H11/'03 Care inputs'!J11,0),ROUNDUP(G31*'03 Care inputs'!H11/('03 Care inputs'!I11*'03 Care inputs'!J11),0))</x:f>
        <x:v>140</x:v>
      </x:c>
      <x:c r="I31" s="47" t="n">
        <x:f>H31*'03 Care inputs'!L11/1000</x:f>
        <x:v>2.1</x:v>
      </x:c>
      <x:c r="J31" s="47"/>
      <x:c r="K31" s="47"/>
      <x:c r="L31" s="47"/>
      <x:c r="M31" s="60"/>
      <x:c r="N31" s="60"/>
      <x:c r="O31" s="60"/>
      <x:c r="P31" s="60"/>
    </x:row>
    <x:row r="32" ht="15" hidden="0" customHeight="1">
      <x:c r="B32" s="47" t="str">
        <x:f>$B$8</x:f>
        <x:v>100k reference</x:v>
      </x:c>
      <x:c r="C32" s="47" t="n">
        <x:f>'03 Care inputs'!B12</x:f>
        <x:v>6</x:v>
      </x:c>
      <x:c r="D32" s="47" t="str">
        <x:f>'03 Care inputs'!D12</x:f>
        <x:v>FLOW</x:v>
      </x:c>
      <x:c r="E32" s="47" t="n">
        <x:f>$C$8/1000*'03 Care inputs'!E12*'03 Care inputs'!F12*$D$8</x:f>
        <x:v>45</x:v>
      </x:c>
      <x:c r="F32" s="47" t="n">
        <x:f>$C$8/1000*'03 Care inputs'!E12*MIN(1,'03 Care inputs'!G12*$E$8)</x:f>
        <x:v>3.75</x:v>
      </x:c>
      <x:c r="G32" s="47" t="n">
        <x:f>MAX(0,E32-F32)</x:f>
        <x:v>41.25</x:v>
      </x:c>
      <x:c r="H32" s="47" t="n">
        <x:f>IF(D32="CENSUS",ROUNDUP(G32*'03 Care inputs'!H12/'03 Care inputs'!J12,0),ROUNDUP(G32*'03 Care inputs'!H12/('03 Care inputs'!I12*'03 Care inputs'!J12),0))</x:f>
        <x:v>10</x:v>
      </x:c>
      <x:c r="I32" s="47" t="n">
        <x:f>H32*'03 Care inputs'!L12/1000</x:f>
        <x:v>0.8</x:v>
      </x:c>
      <x:c r="J32" s="47"/>
      <x:c r="K32" s="47"/>
      <x:c r="L32" s="47"/>
      <x:c r="M32" s="60"/>
      <x:c r="N32" s="60"/>
      <x:c r="O32" s="60"/>
      <x:c r="P32" s="60"/>
    </x:row>
    <x:row r="33" ht="15" hidden="0" customHeight="1">
      <x:c r="B33" s="47" t="str">
        <x:f>$B$8</x:f>
        <x:v>100k reference</x:v>
      </x:c>
      <x:c r="C33" s="47" t="n">
        <x:f>'03 Care inputs'!B13</x:f>
        <x:v>7</x:v>
      </x:c>
      <x:c r="D33" s="47" t="str">
        <x:f>'03 Care inputs'!D13</x:f>
        <x:v>FLOW</x:v>
      </x:c>
      <x:c r="E33" s="47" t="n">
        <x:f>$C$8/1000*'03 Care inputs'!E13*'03 Care inputs'!F13*$D$8</x:f>
        <x:v>16.799999999999997</x:v>
      </x:c>
      <x:c r="F33" s="47" t="n">
        <x:f>$C$8/1000*'03 Care inputs'!E13*MIN(1,'03 Care inputs'!G13*$E$8)</x:f>
        <x:v>4.800000000000001</x:v>
      </x:c>
      <x:c r="G33" s="47" t="n">
        <x:f>MAX(0,E33-F33)</x:f>
        <x:v>11.999999999999996</x:v>
      </x:c>
      <x:c r="H33" s="47" t="n">
        <x:f>IF(D33="CENSUS",ROUNDUP(G33*'03 Care inputs'!H13/'03 Care inputs'!J13,0),ROUNDUP(G33*'03 Care inputs'!H13/('03 Care inputs'!I13*'03 Care inputs'!J13),0))</x:f>
        <x:v>4</x:v>
      </x:c>
      <x:c r="I33" s="47" t="n">
        <x:f>H33*'03 Care inputs'!L13/1000</x:f>
        <x:v>0.16</x:v>
      </x:c>
      <x:c r="J33" s="47"/>
      <x:c r="K33" s="47"/>
      <x:c r="L33" s="47"/>
      <x:c r="M33" s="60"/>
      <x:c r="N33" s="60"/>
      <x:c r="O33" s="60"/>
      <x:c r="P33" s="60"/>
    </x:row>
    <x:row r="34" ht="15" hidden="0" customHeight="1">
      <x:c r="B34" s="47" t="str">
        <x:f>$B$8</x:f>
        <x:v>100k reference</x:v>
      </x:c>
      <x:c r="C34" s="47" t="n">
        <x:f>'03 Care inputs'!B14</x:f>
        <x:v>8</x:v>
      </x:c>
      <x:c r="D34" s="47" t="str">
        <x:f>'03 Care inputs'!D14</x:f>
        <x:v>FLOW</x:v>
      </x:c>
      <x:c r="E34" s="47" t="n">
        <x:f>$C$8/1000*'03 Care inputs'!E14*'03 Care inputs'!F14*$D$8</x:f>
        <x:v>37.5</x:v>
      </x:c>
      <x:c r="F34" s="47" t="n">
        <x:f>$C$8/1000*'03 Care inputs'!E14*MIN(1,'03 Care inputs'!G14*$E$8)</x:f>
        <x:v>7.5</x:v>
      </x:c>
      <x:c r="G34" s="47" t="n">
        <x:f>MAX(0,E34-F34)</x:f>
        <x:v>30</x:v>
      </x:c>
      <x:c r="H34" s="47" t="n">
        <x:f>IF(D34="CENSUS",ROUNDUP(G34*'03 Care inputs'!H14/'03 Care inputs'!J14,0),ROUNDUP(G34*'03 Care inputs'!H14/('03 Care inputs'!I14*'03 Care inputs'!J14),0))</x:f>
        <x:v>9</x:v>
      </x:c>
      <x:c r="I34" s="47" t="n">
        <x:f>H34*'03 Care inputs'!L14/1000</x:f>
        <x:v>0.108</x:v>
      </x:c>
      <x:c r="J34" s="47"/>
      <x:c r="K34" s="47"/>
      <x:c r="L34" s="47"/>
      <x:c r="M34" s="60"/>
      <x:c r="N34" s="60"/>
      <x:c r="O34" s="60"/>
      <x:c r="P34" s="60"/>
    </x:row>
    <x:row r="35" ht="15" hidden="0" customHeight="1">
      <x:c r="B35" s="47" t="str">
        <x:f>$B$8</x:f>
        <x:v>100k reference</x:v>
      </x:c>
      <x:c r="C35" s="47" t="n">
        <x:f>'03 Care inputs'!B15</x:f>
        <x:v>9</x:v>
      </x:c>
      <x:c r="D35" s="47" t="str">
        <x:f>'03 Care inputs'!D15</x:f>
        <x:v>CENSUS</x:v>
      </x:c>
      <x:c r="E35" s="47" t="n">
        <x:f>$C$8/1000*'03 Care inputs'!E15*'03 Care inputs'!F15*$D$8</x:f>
        <x:v>25</x:v>
      </x:c>
      <x:c r="F35" s="47" t="n">
        <x:f>$C$8/1000*'03 Care inputs'!E15*MIN(1,'03 Care inputs'!G15*$E$8)</x:f>
        <x:v>2</x:v>
      </x:c>
      <x:c r="G35" s="47" t="n">
        <x:f>MAX(0,E35-F35)</x:f>
        <x:v>23</x:v>
      </x:c>
      <x:c r="H35" s="47" t="n">
        <x:f>IF(D35="CENSUS",ROUNDUP(G35*'03 Care inputs'!H15/'03 Care inputs'!J15,0),ROUNDUP(G35*'03 Care inputs'!H15/('03 Care inputs'!I15*'03 Care inputs'!J15),0))</x:f>
        <x:v>144</x:v>
      </x:c>
      <x:c r="I35" s="47" t="n">
        <x:f>H35*'03 Care inputs'!L15/1000</x:f>
        <x:v>1.152</x:v>
      </x:c>
      <x:c r="J35" s="47"/>
      <x:c r="K35" s="47"/>
      <x:c r="L35" s="47"/>
      <x:c r="M35" s="60"/>
      <x:c r="N35" s="60"/>
      <x:c r="O35" s="60"/>
      <x:c r="P35" s="60"/>
    </x:row>
    <x:row r="36" ht="15" hidden="0" customHeight="1">
      <x:c r="B36" s="47" t="str">
        <x:f>$B$8</x:f>
        <x:v>100k reference</x:v>
      </x:c>
      <x:c r="C36" s="47" t="n">
        <x:f>'03 Care inputs'!B16</x:f>
        <x:v>10</x:v>
      </x:c>
      <x:c r="D36" s="47" t="str">
        <x:f>'03 Care inputs'!D16</x:f>
        <x:v>FLOW</x:v>
      </x:c>
      <x:c r="E36" s="47" t="n">
        <x:f>$C$8/1000*'03 Care inputs'!E16*'03 Care inputs'!F16*$D$8</x:f>
        <x:v>140</x:v>
      </x:c>
      <x:c r="F36" s="47" t="n">
        <x:f>$C$8/1000*'03 Care inputs'!E16*MIN(1,'03 Care inputs'!G16*$E$8)</x:f>
        <x:v>24.5</x:v>
      </x:c>
      <x:c r="G36" s="47" t="n">
        <x:f>MAX(0,E36-F36)</x:f>
        <x:v>115.5</x:v>
      </x:c>
      <x:c r="H36" s="47" t="n">
        <x:f>IF(D36="CENSUS",ROUNDUP(G36*'03 Care inputs'!H16/'03 Care inputs'!J16,0),ROUNDUP(G36*'03 Care inputs'!H16/('03 Care inputs'!I16*'03 Care inputs'!J16),0))</x:f>
        <x:v>15</x:v>
      </x:c>
      <x:c r="I36" s="47" t="n">
        <x:f>H36*'03 Care inputs'!L16/1000</x:f>
        <x:v>0.015</x:v>
      </x:c>
      <x:c r="J36" s="47"/>
      <x:c r="K36" s="47"/>
      <x:c r="L36" s="47"/>
      <x:c r="M36" s="60"/>
      <x:c r="N36" s="60"/>
      <x:c r="O36" s="60"/>
      <x:c r="P36" s="60"/>
    </x:row>
    <x:row r="37" ht="15" hidden="0" customHeight="1">
      <x:c r="B37" s="47" t="str">
        <x:f>$B$9</x:f>
        <x:v>125k reference</x:v>
      </x:c>
      <x:c r="C37" s="47" t="n">
        <x:f>'03 Care inputs'!B7</x:f>
        <x:v>1</x:v>
      </x:c>
      <x:c r="D37" s="47" t="str">
        <x:f>'03 Care inputs'!D7</x:f>
        <x:v>FLOW</x:v>
      </x:c>
      <x:c r="E37" s="47" t="n">
        <x:f>$C$9/1000*'03 Care inputs'!E7*'03 Care inputs'!F7*$D$9</x:f>
        <x:v>6562.5</x:v>
      </x:c>
      <x:c r="F37" s="47" t="n">
        <x:f>$C$9/1000*'03 Care inputs'!E7*MIN(1,'03 Care inputs'!G7*$E$9)</x:f>
        <x:v>1750</x:v>
      </x:c>
      <x:c r="G37" s="47" t="n">
        <x:f>MAX(0,E37-F37)</x:f>
        <x:v>4812.5</x:v>
      </x:c>
      <x:c r="H37" s="47" t="n">
        <x:f>IF(D37="CENSUS",ROUNDUP(G37*'03 Care inputs'!H7/'03 Care inputs'!J7,0),ROUNDUP(G37*'03 Care inputs'!H7/('03 Care inputs'!I7*'03 Care inputs'!J7),0))</x:f>
        <x:v>94</x:v>
      </x:c>
      <x:c r="I37" s="47" t="n">
        <x:f>H37*'03 Care inputs'!L7/1000</x:f>
        <x:v>0.0752</x:v>
      </x:c>
      <x:c r="J37" s="47"/>
      <x:c r="K37" s="47"/>
      <x:c r="L37" s="47"/>
      <x:c r="M37" s="60"/>
      <x:c r="N37" s="60"/>
      <x:c r="O37" s="60"/>
      <x:c r="P37" s="60"/>
    </x:row>
    <x:row r="38" ht="15" hidden="0" customHeight="1">
      <x:c r="B38" s="47" t="str">
        <x:f>$B$9</x:f>
        <x:v>125k reference</x:v>
      </x:c>
      <x:c r="C38" s="47" t="n">
        <x:f>'03 Care inputs'!B8</x:f>
        <x:v>2</x:v>
      </x:c>
      <x:c r="D38" s="47" t="str">
        <x:f>'03 Care inputs'!D8</x:f>
        <x:v>FLOW</x:v>
      </x:c>
      <x:c r="E38" s="47" t="n">
        <x:f>$C$9/1000*'03 Care inputs'!E8*'03 Care inputs'!F8*$D$9</x:f>
        <x:v>625</x:v>
      </x:c>
      <x:c r="F38" s="47" t="n">
        <x:f>$C$9/1000*'03 Care inputs'!E8*MIN(1,'03 Care inputs'!G8*$E$9)</x:f>
        <x:v>109.375</x:v>
      </x:c>
      <x:c r="G38" s="47" t="n">
        <x:f>MAX(0,E38-F38)</x:f>
        <x:v>515.625</x:v>
      </x:c>
      <x:c r="H38" s="47" t="n">
        <x:f>IF(D38="CENSUS",ROUNDUP(G38*'03 Care inputs'!H8/'03 Care inputs'!J8,0),ROUNDUP(G38*'03 Care inputs'!H8/('03 Care inputs'!I8*'03 Care inputs'!J8),0))</x:f>
        <x:v>58</x:v>
      </x:c>
      <x:c r="I38" s="47" t="n">
        <x:f>H38*'03 Care inputs'!L8/1000</x:f>
        <x:v>0.58</x:v>
      </x:c>
      <x:c r="J38" s="47"/>
      <x:c r="K38" s="47"/>
      <x:c r="L38" s="47"/>
      <x:c r="M38" s="60"/>
      <x:c r="N38" s="60"/>
      <x:c r="O38" s="60"/>
      <x:c r="P38" s="60"/>
    </x:row>
    <x:row r="39" ht="15" hidden="0" customHeight="1">
      <x:c r="B39" s="47" t="str">
        <x:f>$B$9</x:f>
        <x:v>125k reference</x:v>
      </x:c>
      <x:c r="C39" s="47" t="n">
        <x:f>'03 Care inputs'!B9</x:f>
        <x:v>3</x:v>
      </x:c>
      <x:c r="D39" s="47" t="str">
        <x:f>'03 Care inputs'!D9</x:f>
        <x:v>CENSUS</x:v>
      </x:c>
      <x:c r="E39" s="47" t="n">
        <x:f>$C$9/1000*'03 Care inputs'!E9*'03 Care inputs'!F9*$D$9</x:f>
        <x:v>220.00000000000003</x:v>
      </x:c>
      <x:c r="F39" s="47" t="n">
        <x:f>$C$9/1000*'03 Care inputs'!E9*MIN(1,'03 Care inputs'!G9*$E$9)</x:f>
        <x:v>35</x:v>
      </x:c>
      <x:c r="G39" s="47" t="n">
        <x:f>MAX(0,E39-F39)</x:f>
        <x:v>185.00000000000003</x:v>
      </x:c>
      <x:c r="H39" s="47" t="n">
        <x:f>IF(D39="CENSUS",ROUNDUP(G39*'03 Care inputs'!H9/'03 Care inputs'!J9,0),ROUNDUP(G39*'03 Care inputs'!H9/('03 Care inputs'!I9*'03 Care inputs'!J9),0))</x:f>
        <x:v>103</x:v>
      </x:c>
      <x:c r="I39" s="47" t="n">
        <x:f>H39*'03 Care inputs'!L9/1000</x:f>
        <x:v>0.412</x:v>
      </x:c>
      <x:c r="J39" s="47"/>
      <x:c r="K39" s="47"/>
      <x:c r="L39" s="47"/>
      <x:c r="M39" s="60"/>
      <x:c r="N39" s="60"/>
      <x:c r="O39" s="60"/>
      <x:c r="P39" s="60"/>
    </x:row>
    <x:row r="40" ht="15" hidden="0" customHeight="1">
      <x:c r="B40" s="47" t="str">
        <x:f>$B$9</x:f>
        <x:v>125k reference</x:v>
      </x:c>
      <x:c r="C40" s="47" t="n">
        <x:f>'03 Care inputs'!B10</x:f>
        <x:v>4</x:v>
      </x:c>
      <x:c r="D40" s="47" t="str">
        <x:f>'03 Care inputs'!D10</x:f>
        <x:v>CENSUS</x:v>
      </x:c>
      <x:c r="E40" s="47" t="n">
        <x:f>$C$9/1000*'03 Care inputs'!E10*'03 Care inputs'!F10*$D$9</x:f>
        <x:v>125</x:v>
      </x:c>
      <x:c r="F40" s="47" t="n">
        <x:f>$C$9/1000*'03 Care inputs'!E10*MIN(1,'03 Care inputs'!G10*$E$9)</x:f>
        <x:v>12.5</x:v>
      </x:c>
      <x:c r="G40" s="47" t="n">
        <x:f>MAX(0,E40-F40)</x:f>
        <x:v>112.5</x:v>
      </x:c>
      <x:c r="H40" s="47" t="n">
        <x:f>IF(D40="CENSUS",ROUNDUP(G40*'03 Care inputs'!H10/'03 Care inputs'!J10,0),ROUNDUP(G40*'03 Care inputs'!H10/('03 Care inputs'!I10*'03 Care inputs'!J10),0))</x:f>
        <x:v>530</x:v>
      </x:c>
      <x:c r="I40" s="47" t="n">
        <x:f>H40*'03 Care inputs'!L10/1000</x:f>
        <x:v>1.59</x:v>
      </x:c>
      <x:c r="J40" s="47"/>
      <x:c r="K40" s="47"/>
      <x:c r="L40" s="47"/>
      <x:c r="M40" s="60"/>
      <x:c r="N40" s="60"/>
      <x:c r="O40" s="60"/>
      <x:c r="P40" s="60"/>
    </x:row>
    <x:row r="41" ht="15" hidden="0" customHeight="1">
      <x:c r="B41" s="47" t="str">
        <x:f>$B$9</x:f>
        <x:v>125k reference</x:v>
      </x:c>
      <x:c r="C41" s="47" t="n">
        <x:f>'03 Care inputs'!B11</x:f>
        <x:v>5</x:v>
      </x:c>
      <x:c r="D41" s="47" t="str">
        <x:f>'03 Care inputs'!D11</x:f>
        <x:v>CENSUS</x:v>
      </x:c>
      <x:c r="E41" s="47" t="n">
        <x:f>$C$9/1000*'03 Care inputs'!E11*'03 Care inputs'!F11*$D$9</x:f>
        <x:v>30</x:v>
      </x:c>
      <x:c r="F41" s="47" t="n">
        <x:f>$C$9/1000*'03 Care inputs'!E11*MIN(1,'03 Care inputs'!G11*$E$9)</x:f>
        <x:v>2</x:v>
      </x:c>
      <x:c r="G41" s="47" t="n">
        <x:f>MAX(0,E41-F41)</x:f>
        <x:v>28</x:v>
      </x:c>
      <x:c r="H41" s="47" t="n">
        <x:f>IF(D41="CENSUS",ROUNDUP(G41*'03 Care inputs'!H11/'03 Care inputs'!J11,0),ROUNDUP(G41*'03 Care inputs'!H11/('03 Care inputs'!I11*'03 Care inputs'!J11),0))</x:f>
        <x:v>175</x:v>
      </x:c>
      <x:c r="I41" s="47" t="n">
        <x:f>H41*'03 Care inputs'!L11/1000</x:f>
        <x:v>2.625</x:v>
      </x:c>
      <x:c r="J41" s="47"/>
      <x:c r="K41" s="47"/>
      <x:c r="L41" s="47"/>
      <x:c r="M41" s="60"/>
      <x:c r="N41" s="60"/>
      <x:c r="O41" s="60"/>
      <x:c r="P41" s="60"/>
    </x:row>
    <x:row r="42" ht="15" hidden="0" customHeight="1">
      <x:c r="B42" s="47" t="str">
        <x:f>$B$9</x:f>
        <x:v>125k reference</x:v>
      </x:c>
      <x:c r="C42" s="47" t="n">
        <x:f>'03 Care inputs'!B12</x:f>
        <x:v>6</x:v>
      </x:c>
      <x:c r="D42" s="47" t="str">
        <x:f>'03 Care inputs'!D12</x:f>
        <x:v>FLOW</x:v>
      </x:c>
      <x:c r="E42" s="47" t="n">
        <x:f>$C$9/1000*'03 Care inputs'!E12*'03 Care inputs'!F12*$D$9</x:f>
        <x:v>56.25</x:v>
      </x:c>
      <x:c r="F42" s="47" t="n">
        <x:f>$C$9/1000*'03 Care inputs'!E12*MIN(1,'03 Care inputs'!G12*$E$9)</x:f>
        <x:v>4.6875</x:v>
      </x:c>
      <x:c r="G42" s="47" t="n">
        <x:f>MAX(0,E42-F42)</x:f>
        <x:v>51.5625</x:v>
      </x:c>
      <x:c r="H42" s="47" t="n">
        <x:f>IF(D42="CENSUS",ROUNDUP(G42*'03 Care inputs'!H12/'03 Care inputs'!J12,0),ROUNDUP(G42*'03 Care inputs'!H12/('03 Care inputs'!I12*'03 Care inputs'!J12),0))</x:f>
        <x:v>12</x:v>
      </x:c>
      <x:c r="I42" s="47" t="n">
        <x:f>H42*'03 Care inputs'!L12/1000</x:f>
        <x:v>0.96</x:v>
      </x:c>
      <x:c r="J42" s="47"/>
      <x:c r="K42" s="47"/>
      <x:c r="L42" s="47"/>
      <x:c r="M42" s="60"/>
      <x:c r="N42" s="60"/>
      <x:c r="O42" s="60"/>
      <x:c r="P42" s="60"/>
    </x:row>
    <x:row r="43" ht="15" hidden="0" customHeight="1">
      <x:c r="B43" s="47" t="str">
        <x:f>$B$9</x:f>
        <x:v>125k reference</x:v>
      </x:c>
      <x:c r="C43" s="47" t="n">
        <x:f>'03 Care inputs'!B13</x:f>
        <x:v>7</x:v>
      </x:c>
      <x:c r="D43" s="47" t="str">
        <x:f>'03 Care inputs'!D13</x:f>
        <x:v>FLOW</x:v>
      </x:c>
      <x:c r="E43" s="47" t="n">
        <x:f>$C$9/1000*'03 Care inputs'!E13*'03 Care inputs'!F13*$D$9</x:f>
        <x:v>21</x:v>
      </x:c>
      <x:c r="F43" s="47" t="n">
        <x:f>$C$9/1000*'03 Care inputs'!E13*MIN(1,'03 Care inputs'!G13*$E$9)</x:f>
        <x:v>6</x:v>
      </x:c>
      <x:c r="G43" s="47" t="n">
        <x:f>MAX(0,E43-F43)</x:f>
        <x:v>15</x:v>
      </x:c>
      <x:c r="H43" s="47" t="n">
        <x:f>IF(D43="CENSUS",ROUNDUP(G43*'03 Care inputs'!H13/'03 Care inputs'!J13,0),ROUNDUP(G43*'03 Care inputs'!H13/('03 Care inputs'!I13*'03 Care inputs'!J13),0))</x:f>
        <x:v>5</x:v>
      </x:c>
      <x:c r="I43" s="47" t="n">
        <x:f>H43*'03 Care inputs'!L13/1000</x:f>
        <x:v>0.2</x:v>
      </x:c>
      <x:c r="J43" s="47"/>
      <x:c r="K43" s="47"/>
      <x:c r="L43" s="47"/>
      <x:c r="M43" s="60"/>
      <x:c r="N43" s="60"/>
      <x:c r="O43" s="60"/>
      <x:c r="P43" s="60"/>
    </x:row>
    <x:row r="44" ht="15" hidden="0" customHeight="1">
      <x:c r="B44" s="47" t="str">
        <x:f>$B$9</x:f>
        <x:v>125k reference</x:v>
      </x:c>
      <x:c r="C44" s="47" t="n">
        <x:f>'03 Care inputs'!B14</x:f>
        <x:v>8</x:v>
      </x:c>
      <x:c r="D44" s="47" t="str">
        <x:f>'03 Care inputs'!D14</x:f>
        <x:v>FLOW</x:v>
      </x:c>
      <x:c r="E44" s="47" t="n">
        <x:f>$C$9/1000*'03 Care inputs'!E14*'03 Care inputs'!F14*$D$9</x:f>
        <x:v>46.875</x:v>
      </x:c>
      <x:c r="F44" s="47" t="n">
        <x:f>$C$9/1000*'03 Care inputs'!E14*MIN(1,'03 Care inputs'!G14*$E$9)</x:f>
        <x:v>9.375</x:v>
      </x:c>
      <x:c r="G44" s="47" t="n">
        <x:f>MAX(0,E44-F44)</x:f>
        <x:v>37.5</x:v>
      </x:c>
      <x:c r="H44" s="47" t="n">
        <x:f>IF(D44="CENSUS",ROUNDUP(G44*'03 Care inputs'!H14/'03 Care inputs'!J14,0),ROUNDUP(G44*'03 Care inputs'!H14/('03 Care inputs'!I14*'03 Care inputs'!J14),0))</x:f>
        <x:v>12</x:v>
      </x:c>
      <x:c r="I44" s="47" t="n">
        <x:f>H44*'03 Care inputs'!L14/1000</x:f>
        <x:v>0.144</x:v>
      </x:c>
      <x:c r="J44" s="47"/>
      <x:c r="K44" s="47"/>
      <x:c r="L44" s="47"/>
      <x:c r="M44" s="60"/>
      <x:c r="N44" s="60"/>
      <x:c r="O44" s="60"/>
      <x:c r="P44" s="60"/>
    </x:row>
    <x:row r="45" ht="15" hidden="0" customHeight="1">
      <x:c r="B45" s="47" t="str">
        <x:f>$B$9</x:f>
        <x:v>125k reference</x:v>
      </x:c>
      <x:c r="C45" s="47" t="n">
        <x:f>'03 Care inputs'!B15</x:f>
        <x:v>9</x:v>
      </x:c>
      <x:c r="D45" s="47" t="str">
        <x:f>'03 Care inputs'!D15</x:f>
        <x:v>CENSUS</x:v>
      </x:c>
      <x:c r="E45" s="47" t="n">
        <x:f>$C$9/1000*'03 Care inputs'!E15*'03 Care inputs'!F15*$D$9</x:f>
        <x:v>31.25</x:v>
      </x:c>
      <x:c r="F45" s="47" t="n">
        <x:f>$C$9/1000*'03 Care inputs'!E15*MIN(1,'03 Care inputs'!G15*$E$9)</x:f>
        <x:v>2.5</x:v>
      </x:c>
      <x:c r="G45" s="47" t="n">
        <x:f>MAX(0,E45-F45)</x:f>
        <x:v>28.75</x:v>
      </x:c>
      <x:c r="H45" s="47" t="n">
        <x:f>IF(D45="CENSUS",ROUNDUP(G45*'03 Care inputs'!H15/'03 Care inputs'!J15,0),ROUNDUP(G45*'03 Care inputs'!H15/('03 Care inputs'!I15*'03 Care inputs'!J15),0))</x:f>
        <x:v>180</x:v>
      </x:c>
      <x:c r="I45" s="47" t="n">
        <x:f>H45*'03 Care inputs'!L15/1000</x:f>
        <x:v>1.44</x:v>
      </x:c>
      <x:c r="J45" s="47"/>
      <x:c r="K45" s="47"/>
      <x:c r="L45" s="47"/>
      <x:c r="M45" s="60"/>
      <x:c r="N45" s="60"/>
      <x:c r="O45" s="60"/>
      <x:c r="P45" s="60"/>
    </x:row>
    <x:row r="46" ht="15" hidden="0" customHeight="1">
      <x:c r="B46" s="47" t="str">
        <x:f>$B$9</x:f>
        <x:v>125k reference</x:v>
      </x:c>
      <x:c r="C46" s="47" t="n">
        <x:f>'03 Care inputs'!B16</x:f>
        <x:v>10</x:v>
      </x:c>
      <x:c r="D46" s="47" t="str">
        <x:f>'03 Care inputs'!D16</x:f>
        <x:v>FLOW</x:v>
      </x:c>
      <x:c r="E46" s="47" t="n">
        <x:f>$C$9/1000*'03 Care inputs'!E16*'03 Care inputs'!F16*$D$9</x:f>
        <x:v>175</x:v>
      </x:c>
      <x:c r="F46" s="47" t="n">
        <x:f>$C$9/1000*'03 Care inputs'!E16*MIN(1,'03 Care inputs'!G16*$E$9)</x:f>
        <x:v>30.624999999999996</x:v>
      </x:c>
      <x:c r="G46" s="47" t="n">
        <x:f>MAX(0,E46-F46)</x:f>
        <x:v>144.375</x:v>
      </x:c>
      <x:c r="H46" s="47" t="n">
        <x:f>IF(D46="CENSUS",ROUNDUP(G46*'03 Care inputs'!H16/'03 Care inputs'!J16,0),ROUNDUP(G46*'03 Care inputs'!H16/('03 Care inputs'!I16*'03 Care inputs'!J16),0))</x:f>
        <x:v>19</x:v>
      </x:c>
      <x:c r="I46" s="47" t="n">
        <x:f>H46*'03 Care inputs'!L16/1000</x:f>
        <x:v>0.019</x:v>
      </x:c>
      <x:c r="J46" s="47"/>
      <x:c r="K46" s="47"/>
      <x:c r="L46" s="47"/>
      <x:c r="M46" s="60"/>
      <x:c r="N46" s="60"/>
      <x:c r="O46" s="60"/>
      <x:c r="P46" s="60"/>
    </x:row>
    <x:row r="47" ht="15" hidden="0" customHeight="1">
      <x:c r="B47" s="47" t="str">
        <x:f>$B$10</x:f>
        <x:v>150k reference</x:v>
      </x:c>
      <x:c r="C47" s="47" t="n">
        <x:f>'03 Care inputs'!B7</x:f>
        <x:v>1</x:v>
      </x:c>
      <x:c r="D47" s="47" t="str">
        <x:f>'03 Care inputs'!D7</x:f>
        <x:v>FLOW</x:v>
      </x:c>
      <x:c r="E47" s="47" t="n">
        <x:f>$C$10/1000*'03 Care inputs'!E7*'03 Care inputs'!F7*$D$10</x:f>
        <x:v>7875</x:v>
      </x:c>
      <x:c r="F47" s="47" t="n">
        <x:f>$C$10/1000*'03 Care inputs'!E7*MIN(1,'03 Care inputs'!G7*$E$10)</x:f>
        <x:v>2100</x:v>
      </x:c>
      <x:c r="G47" s="47" t="n">
        <x:f>MAX(0,E47-F47)</x:f>
        <x:v>5775</x:v>
      </x:c>
      <x:c r="H47" s="47" t="n">
        <x:f>IF(D47="CENSUS",ROUNDUP(G47*'03 Care inputs'!H7/'03 Care inputs'!J7,0),ROUNDUP(G47*'03 Care inputs'!H7/('03 Care inputs'!I7*'03 Care inputs'!J7),0))</x:f>
        <x:v>113</x:v>
      </x:c>
      <x:c r="I47" s="47" t="n">
        <x:f>H47*'03 Care inputs'!L7/1000</x:f>
        <x:v>0.09040000000000001</x:v>
      </x:c>
      <x:c r="J47" s="47"/>
      <x:c r="K47" s="47"/>
      <x:c r="L47" s="47"/>
      <x:c r="M47" s="60"/>
      <x:c r="N47" s="60"/>
      <x:c r="O47" s="60"/>
      <x:c r="P47" s="60"/>
    </x:row>
    <x:row r="48" ht="15" hidden="0" customHeight="1">
      <x:c r="B48" s="47" t="str">
        <x:f>$B$10</x:f>
        <x:v>150k reference</x:v>
      </x:c>
      <x:c r="C48" s="47" t="n">
        <x:f>'03 Care inputs'!B8</x:f>
        <x:v>2</x:v>
      </x:c>
      <x:c r="D48" s="47" t="str">
        <x:f>'03 Care inputs'!D8</x:f>
        <x:v>FLOW</x:v>
      </x:c>
      <x:c r="E48" s="47" t="n">
        <x:f>$C$10/1000*'03 Care inputs'!E8*'03 Care inputs'!F8*$D$10</x:f>
        <x:v>750</x:v>
      </x:c>
      <x:c r="F48" s="47" t="n">
        <x:f>$C$10/1000*'03 Care inputs'!E8*MIN(1,'03 Care inputs'!G8*$E$10)</x:f>
        <x:v>131.25</x:v>
      </x:c>
      <x:c r="G48" s="47" t="n">
        <x:f>MAX(0,E48-F48)</x:f>
        <x:v>618.75</x:v>
      </x:c>
      <x:c r="H48" s="47" t="n">
        <x:f>IF(D48="CENSUS",ROUNDUP(G48*'03 Care inputs'!H8/'03 Care inputs'!J8,0),ROUNDUP(G48*'03 Care inputs'!H8/('03 Care inputs'!I8*'03 Care inputs'!J8),0))</x:f>
        <x:v>69</x:v>
      </x:c>
      <x:c r="I48" s="47" t="n">
        <x:f>H48*'03 Care inputs'!L8/1000</x:f>
        <x:v>0.69</x:v>
      </x:c>
      <x:c r="J48" s="47"/>
      <x:c r="K48" s="47"/>
      <x:c r="L48" s="47"/>
      <x:c r="M48" s="60"/>
      <x:c r="N48" s="60"/>
      <x:c r="O48" s="60"/>
      <x:c r="P48" s="60"/>
    </x:row>
    <x:row r="49" ht="15" hidden="0" customHeight="1">
      <x:c r="B49" s="47" t="str">
        <x:f>$B$10</x:f>
        <x:v>150k reference</x:v>
      </x:c>
      <x:c r="C49" s="47" t="n">
        <x:f>'03 Care inputs'!B9</x:f>
        <x:v>3</x:v>
      </x:c>
      <x:c r="D49" s="47" t="str">
        <x:f>'03 Care inputs'!D9</x:f>
        <x:v>CENSUS</x:v>
      </x:c>
      <x:c r="E49" s="47" t="n">
        <x:f>$C$10/1000*'03 Care inputs'!E9*'03 Care inputs'!F9*$D$10</x:f>
        <x:v>264</x:v>
      </x:c>
      <x:c r="F49" s="47" t="n">
        <x:f>$C$10/1000*'03 Care inputs'!E9*MIN(1,'03 Care inputs'!G9*$E$10)</x:f>
        <x:v>42</x:v>
      </x:c>
      <x:c r="G49" s="47" t="n">
        <x:f>MAX(0,E49-F49)</x:f>
        <x:v>222</x:v>
      </x:c>
      <x:c r="H49" s="47" t="n">
        <x:f>IF(D49="CENSUS",ROUNDUP(G49*'03 Care inputs'!H9/'03 Care inputs'!J9,0),ROUNDUP(G49*'03 Care inputs'!H9/('03 Care inputs'!I9*'03 Care inputs'!J9),0))</x:f>
        <x:v>124</x:v>
      </x:c>
      <x:c r="I49" s="47" t="n">
        <x:f>H49*'03 Care inputs'!L9/1000</x:f>
        <x:v>0.496</x:v>
      </x:c>
      <x:c r="J49" s="47"/>
      <x:c r="K49" s="47"/>
      <x:c r="L49" s="47"/>
      <x:c r="M49" s="60"/>
      <x:c r="N49" s="60"/>
      <x:c r="O49" s="60"/>
      <x:c r="P49" s="60"/>
    </x:row>
    <x:row r="50" ht="15" hidden="0" customHeight="1">
      <x:c r="B50" s="47" t="str">
        <x:f>$B$10</x:f>
        <x:v>150k reference</x:v>
      </x:c>
      <x:c r="C50" s="47" t="n">
        <x:f>'03 Care inputs'!B10</x:f>
        <x:v>4</x:v>
      </x:c>
      <x:c r="D50" s="47" t="str">
        <x:f>'03 Care inputs'!D10</x:f>
        <x:v>CENSUS</x:v>
      </x:c>
      <x:c r="E50" s="47" t="n">
        <x:f>$C$10/1000*'03 Care inputs'!E10*'03 Care inputs'!F10*$D$10</x:f>
        <x:v>150</x:v>
      </x:c>
      <x:c r="F50" s="47" t="n">
        <x:f>$C$10/1000*'03 Care inputs'!E10*MIN(1,'03 Care inputs'!G10*$E$10)</x:f>
        <x:v>15</x:v>
      </x:c>
      <x:c r="G50" s="47" t="n">
        <x:f>MAX(0,E50-F50)</x:f>
        <x:v>135</x:v>
      </x:c>
      <x:c r="H50" s="47" t="n">
        <x:f>IF(D50="CENSUS",ROUNDUP(G50*'03 Care inputs'!H10/'03 Care inputs'!J10,0),ROUNDUP(G50*'03 Care inputs'!H10/('03 Care inputs'!I10*'03 Care inputs'!J10),0))</x:f>
        <x:v>636</x:v>
      </x:c>
      <x:c r="I50" s="47" t="n">
        <x:f>H50*'03 Care inputs'!L10/1000</x:f>
        <x:v>1.908</x:v>
      </x:c>
      <x:c r="J50" s="47"/>
      <x:c r="K50" s="47"/>
      <x:c r="L50" s="47"/>
      <x:c r="M50" s="60"/>
      <x:c r="N50" s="60"/>
      <x:c r="O50" s="60"/>
      <x:c r="P50" s="60"/>
    </x:row>
    <x:row r="51" ht="15" hidden="0" customHeight="1">
      <x:c r="B51" s="47" t="str">
        <x:f>$B$10</x:f>
        <x:v>150k reference</x:v>
      </x:c>
      <x:c r="C51" s="47" t="n">
        <x:f>'03 Care inputs'!B11</x:f>
        <x:v>5</x:v>
      </x:c>
      <x:c r="D51" s="47" t="str">
        <x:f>'03 Care inputs'!D11</x:f>
        <x:v>CENSUS</x:v>
      </x:c>
      <x:c r="E51" s="47" t="n">
        <x:f>$C$10/1000*'03 Care inputs'!E11*'03 Care inputs'!F11*$D$10</x:f>
        <x:v>36</x:v>
      </x:c>
      <x:c r="F51" s="47" t="n">
        <x:f>$C$10/1000*'03 Care inputs'!E11*MIN(1,'03 Care inputs'!G11*$E$10)</x:f>
        <x:v>2.4000000000000004</x:v>
      </x:c>
      <x:c r="G51" s="47" t="n">
        <x:f>MAX(0,E51-F51)</x:f>
        <x:v>33.6</x:v>
      </x:c>
      <x:c r="H51" s="47" t="n">
        <x:f>IF(D51="CENSUS",ROUNDUP(G51*'03 Care inputs'!H11/'03 Care inputs'!J11,0),ROUNDUP(G51*'03 Care inputs'!H11/('03 Care inputs'!I11*'03 Care inputs'!J11),0))</x:f>
        <x:v>210</x:v>
      </x:c>
      <x:c r="I51" s="47" t="n">
        <x:f>H51*'03 Care inputs'!L11/1000</x:f>
        <x:v>3.15</x:v>
      </x:c>
      <x:c r="J51" s="47"/>
      <x:c r="K51" s="47"/>
      <x:c r="L51" s="47"/>
      <x:c r="M51" s="60"/>
      <x:c r="N51" s="60"/>
      <x:c r="O51" s="60"/>
      <x:c r="P51" s="60"/>
    </x:row>
    <x:row r="52" ht="15" hidden="0" customHeight="1">
      <x:c r="B52" s="47" t="str">
        <x:f>$B$10</x:f>
        <x:v>150k reference</x:v>
      </x:c>
      <x:c r="C52" s="47" t="n">
        <x:f>'03 Care inputs'!B12</x:f>
        <x:v>6</x:v>
      </x:c>
      <x:c r="D52" s="47" t="str">
        <x:f>'03 Care inputs'!D12</x:f>
        <x:v>FLOW</x:v>
      </x:c>
      <x:c r="E52" s="47" t="n">
        <x:f>$C$10/1000*'03 Care inputs'!E12*'03 Care inputs'!F12*$D$10</x:f>
        <x:v>67.5</x:v>
      </x:c>
      <x:c r="F52" s="47" t="n">
        <x:f>$C$10/1000*'03 Care inputs'!E12*MIN(1,'03 Care inputs'!G12*$E$10)</x:f>
        <x:v>5.625</x:v>
      </x:c>
      <x:c r="G52" s="47" t="n">
        <x:f>MAX(0,E52-F52)</x:f>
        <x:v>61.875</x:v>
      </x:c>
      <x:c r="H52" s="47" t="n">
        <x:f>IF(D52="CENSUS",ROUNDUP(G52*'03 Care inputs'!H12/'03 Care inputs'!J12,0),ROUNDUP(G52*'03 Care inputs'!H12/('03 Care inputs'!I12*'03 Care inputs'!J12),0))</x:f>
        <x:v>14</x:v>
      </x:c>
      <x:c r="I52" s="47" t="n">
        <x:f>H52*'03 Care inputs'!L12/1000</x:f>
        <x:v>1.12</x:v>
      </x:c>
      <x:c r="J52" s="47"/>
      <x:c r="K52" s="47"/>
      <x:c r="L52" s="47"/>
      <x:c r="M52" s="60"/>
      <x:c r="N52" s="60"/>
      <x:c r="O52" s="60"/>
      <x:c r="P52" s="60"/>
    </x:row>
    <x:row r="53" ht="15" hidden="0" customHeight="1">
      <x:c r="B53" s="47" t="str">
        <x:f>$B$10</x:f>
        <x:v>150k reference</x:v>
      </x:c>
      <x:c r="C53" s="47" t="n">
        <x:f>'03 Care inputs'!B13</x:f>
        <x:v>7</x:v>
      </x:c>
      <x:c r="D53" s="47" t="str">
        <x:f>'03 Care inputs'!D13</x:f>
        <x:v>FLOW</x:v>
      </x:c>
      <x:c r="E53" s="47" t="n">
        <x:f>$C$10/1000*'03 Care inputs'!E13*'03 Care inputs'!F13*$D$10</x:f>
        <x:v>25.2</x:v>
      </x:c>
      <x:c r="F53" s="47" t="n">
        <x:f>$C$10/1000*'03 Care inputs'!E13*MIN(1,'03 Care inputs'!G13*$E$10)</x:f>
        <x:v>7.2</x:v>
      </x:c>
      <x:c r="G53" s="47" t="n">
        <x:f>MAX(0,E53-F53)</x:f>
        <x:v>18</x:v>
      </x:c>
      <x:c r="H53" s="47" t="n">
        <x:f>IF(D53="CENSUS",ROUNDUP(G53*'03 Care inputs'!H13/'03 Care inputs'!J13,0),ROUNDUP(G53*'03 Care inputs'!H13/('03 Care inputs'!I13*'03 Care inputs'!J13),0))</x:f>
        <x:v>6</x:v>
      </x:c>
      <x:c r="I53" s="47" t="n">
        <x:f>H53*'03 Care inputs'!L13/1000</x:f>
        <x:v>0.24</x:v>
      </x:c>
      <x:c r="J53" s="47"/>
      <x:c r="K53" s="47"/>
      <x:c r="L53" s="47"/>
      <x:c r="M53" s="60"/>
      <x:c r="N53" s="60"/>
      <x:c r="O53" s="60"/>
      <x:c r="P53" s="60"/>
    </x:row>
    <x:row r="54" ht="15" hidden="0" customHeight="1">
      <x:c r="B54" s="47" t="str">
        <x:f>$B$10</x:f>
        <x:v>150k reference</x:v>
      </x:c>
      <x:c r="C54" s="47" t="n">
        <x:f>'03 Care inputs'!B14</x:f>
        <x:v>8</x:v>
      </x:c>
      <x:c r="D54" s="47" t="str">
        <x:f>'03 Care inputs'!D14</x:f>
        <x:v>FLOW</x:v>
      </x:c>
      <x:c r="E54" s="47" t="n">
        <x:f>$C$10/1000*'03 Care inputs'!E14*'03 Care inputs'!F14*$D$10</x:f>
        <x:v>56.25</x:v>
      </x:c>
      <x:c r="F54" s="47" t="n">
        <x:f>$C$10/1000*'03 Care inputs'!E14*MIN(1,'03 Care inputs'!G14*$E$10)</x:f>
        <x:v>11.25</x:v>
      </x:c>
      <x:c r="G54" s="47" t="n">
        <x:f>MAX(0,E54-F54)</x:f>
        <x:v>45</x:v>
      </x:c>
      <x:c r="H54" s="47" t="n">
        <x:f>IF(D54="CENSUS",ROUNDUP(G54*'03 Care inputs'!H14/'03 Care inputs'!J14,0),ROUNDUP(G54*'03 Care inputs'!H14/('03 Care inputs'!I14*'03 Care inputs'!J14),0))</x:f>
        <x:v>14</x:v>
      </x:c>
      <x:c r="I54" s="47" t="n">
        <x:f>H54*'03 Care inputs'!L14/1000</x:f>
        <x:v>0.168</x:v>
      </x:c>
      <x:c r="J54" s="47"/>
      <x:c r="K54" s="47"/>
      <x:c r="L54" s="47"/>
      <x:c r="M54" s="60"/>
      <x:c r="N54" s="60"/>
      <x:c r="O54" s="60"/>
      <x:c r="P54" s="60"/>
    </x:row>
    <x:row r="55" ht="15" hidden="0" customHeight="1">
      <x:c r="B55" s="47" t="str">
        <x:f>$B$10</x:f>
        <x:v>150k reference</x:v>
      </x:c>
      <x:c r="C55" s="47" t="n">
        <x:f>'03 Care inputs'!B15</x:f>
        <x:v>9</x:v>
      </x:c>
      <x:c r="D55" s="47" t="str">
        <x:f>'03 Care inputs'!D15</x:f>
        <x:v>CENSUS</x:v>
      </x:c>
      <x:c r="E55" s="47" t="n">
        <x:f>$C$10/1000*'03 Care inputs'!E15*'03 Care inputs'!F15*$D$10</x:f>
        <x:v>37.5</x:v>
      </x:c>
      <x:c r="F55" s="47" t="n">
        <x:f>$C$10/1000*'03 Care inputs'!E15*MIN(1,'03 Care inputs'!G15*$E$10)</x:f>
        <x:v>3</x:v>
      </x:c>
      <x:c r="G55" s="47" t="n">
        <x:f>MAX(0,E55-F55)</x:f>
        <x:v>34.5</x:v>
      </x:c>
      <x:c r="H55" s="47" t="n">
        <x:f>IF(D55="CENSUS",ROUNDUP(G55*'03 Care inputs'!H15/'03 Care inputs'!J15,0),ROUNDUP(G55*'03 Care inputs'!H15/('03 Care inputs'!I15*'03 Care inputs'!J15),0))</x:f>
        <x:v>216</x:v>
      </x:c>
      <x:c r="I55" s="47" t="n">
        <x:f>H55*'03 Care inputs'!L15/1000</x:f>
        <x:v>1.728</x:v>
      </x:c>
      <x:c r="J55" s="47"/>
      <x:c r="K55" s="47"/>
      <x:c r="L55" s="47"/>
      <x:c r="M55" s="60"/>
      <x:c r="N55" s="60"/>
      <x:c r="O55" s="60"/>
      <x:c r="P55" s="60"/>
    </x:row>
    <x:row r="56" ht="15" hidden="0" customHeight="1">
      <x:c r="B56" s="47" t="str">
        <x:f>$B$10</x:f>
        <x:v>150k reference</x:v>
      </x:c>
      <x:c r="C56" s="47" t="n">
        <x:f>'03 Care inputs'!B16</x:f>
        <x:v>10</x:v>
      </x:c>
      <x:c r="D56" s="47" t="str">
        <x:f>'03 Care inputs'!D16</x:f>
        <x:v>FLOW</x:v>
      </x:c>
      <x:c r="E56" s="47" t="n">
        <x:f>$C$10/1000*'03 Care inputs'!E16*'03 Care inputs'!F16*$D$10</x:f>
        <x:v>210</x:v>
      </x:c>
      <x:c r="F56" s="47" t="n">
        <x:f>$C$10/1000*'03 Care inputs'!E16*MIN(1,'03 Care inputs'!G16*$E$10)</x:f>
        <x:v>36.75</x:v>
      </x:c>
      <x:c r="G56" s="47" t="n">
        <x:f>MAX(0,E56-F56)</x:f>
        <x:v>173.25</x:v>
      </x:c>
      <x:c r="H56" s="47" t="n">
        <x:f>IF(D56="CENSUS",ROUNDUP(G56*'03 Care inputs'!H16/'03 Care inputs'!J16,0),ROUNDUP(G56*'03 Care inputs'!H16/('03 Care inputs'!I16*'03 Care inputs'!J16),0))</x:f>
        <x:v>22</x:v>
      </x:c>
      <x:c r="I56" s="47" t="n">
        <x:f>H56*'03 Care inputs'!L16/1000</x:f>
        <x:v>0.022</x:v>
      </x:c>
      <x:c r="J56" s="47"/>
      <x:c r="K56" s="47"/>
      <x:c r="L56" s="47"/>
      <x:c r="M56" s="60"/>
      <x:c r="N56" s="60"/>
      <x:c r="O56" s="60"/>
      <x:c r="P56" s="60"/>
    </x:row>
    <x:row r="57" ht="15" hidden="0" customHeight="1">
      <x:c r="B57" s="47" t="str">
        <x:f>$B$11</x:f>
        <x:v>100k severe</x:v>
      </x:c>
      <x:c r="C57" s="47" t="n">
        <x:f>'03 Care inputs'!B7</x:f>
        <x:v>1</x:v>
      </x:c>
      <x:c r="D57" s="47" t="str">
        <x:f>'03 Care inputs'!D7</x:f>
        <x:v>FLOW</x:v>
      </x:c>
      <x:c r="E57" s="47" t="n">
        <x:f>$C$11/1000*'03 Care inputs'!E7*'03 Care inputs'!F7*$D$11</x:f>
        <x:v>6562.5</x:v>
      </x:c>
      <x:c r="F57" s="47" t="n">
        <x:f>$C$11/1000*'03 Care inputs'!E7*MIN(1,'03 Care inputs'!G7*$E$11)</x:f>
        <x:v>1050.0000000000002</x:v>
      </x:c>
      <x:c r="G57" s="47" t="n">
        <x:f>MAX(0,E57-F57)</x:f>
        <x:v>5512.5</x:v>
      </x:c>
      <x:c r="H57" s="47" t="n">
        <x:f>IF(D57="CENSUS",ROUNDUP(G57*'03 Care inputs'!H7/'03 Care inputs'!J7,0),ROUNDUP(G57*'03 Care inputs'!H7/('03 Care inputs'!I7*'03 Care inputs'!J7),0))</x:f>
        <x:v>108</x:v>
      </x:c>
      <x:c r="I57" s="47" t="n">
        <x:f>H57*'03 Care inputs'!L7/1000</x:f>
        <x:v>0.0864</x:v>
      </x:c>
      <x:c r="J57" s="47"/>
      <x:c r="K57" s="47"/>
      <x:c r="L57" s="47"/>
      <x:c r="M57" s="60"/>
      <x:c r="N57" s="60"/>
      <x:c r="O57" s="60"/>
      <x:c r="P57" s="60"/>
    </x:row>
    <x:row r="58" ht="15" hidden="0" customHeight="1">
      <x:c r="B58" s="47" t="str">
        <x:f>$B$11</x:f>
        <x:v>100k severe</x:v>
      </x:c>
      <x:c r="C58" s="47" t="n">
        <x:f>'03 Care inputs'!B8</x:f>
        <x:v>2</x:v>
      </x:c>
      <x:c r="D58" s="47" t="str">
        <x:f>'03 Care inputs'!D8</x:f>
        <x:v>FLOW</x:v>
      </x:c>
      <x:c r="E58" s="47" t="n">
        <x:f>$C$11/1000*'03 Care inputs'!E8*'03 Care inputs'!F8*$D$11</x:f>
        <x:v>625</x:v>
      </x:c>
      <x:c r="F58" s="47" t="n">
        <x:f>$C$11/1000*'03 Care inputs'!E8*MIN(1,'03 Care inputs'!G8*$E$11)</x:f>
        <x:v>65.62499999999999</x:v>
      </x:c>
      <x:c r="G58" s="47" t="n">
        <x:f>MAX(0,E58-F58)</x:f>
        <x:v>559.375</x:v>
      </x:c>
      <x:c r="H58" s="47" t="n">
        <x:f>IF(D58="CENSUS",ROUNDUP(G58*'03 Care inputs'!H8/'03 Care inputs'!J8,0),ROUNDUP(G58*'03 Care inputs'!H8/('03 Care inputs'!I8*'03 Care inputs'!J8),0))</x:f>
        <x:v>63</x:v>
      </x:c>
      <x:c r="I58" s="47" t="n">
        <x:f>H58*'03 Care inputs'!L8/1000</x:f>
        <x:v>0.63</x:v>
      </x:c>
      <x:c r="J58" s="47"/>
      <x:c r="K58" s="47"/>
      <x:c r="L58" s="47"/>
      <x:c r="M58" s="60"/>
      <x:c r="N58" s="60"/>
      <x:c r="O58" s="60"/>
      <x:c r="P58" s="60"/>
    </x:row>
    <x:row r="59" ht="15" hidden="0" customHeight="1">
      <x:c r="B59" s="47" t="str">
        <x:f>$B$11</x:f>
        <x:v>100k severe</x:v>
      </x:c>
      <x:c r="C59" s="47" t="n">
        <x:f>'03 Care inputs'!B9</x:f>
        <x:v>3</x:v>
      </x:c>
      <x:c r="D59" s="47" t="str">
        <x:f>'03 Care inputs'!D9</x:f>
        <x:v>CENSUS</x:v>
      </x:c>
      <x:c r="E59" s="47" t="n">
        <x:f>$C$11/1000*'03 Care inputs'!E9*'03 Care inputs'!F9*$D$11</x:f>
        <x:v>220</x:v>
      </x:c>
      <x:c r="F59" s="47" t="n">
        <x:f>$C$11/1000*'03 Care inputs'!E9*MIN(1,'03 Care inputs'!G9*$E$11)</x:f>
        <x:v>20.999999999999996</x:v>
      </x:c>
      <x:c r="G59" s="47" t="n">
        <x:f>MAX(0,E59-F59)</x:f>
        <x:v>199</x:v>
      </x:c>
      <x:c r="H59" s="47" t="n">
        <x:f>IF(D59="CENSUS",ROUNDUP(G59*'03 Care inputs'!H9/'03 Care inputs'!J9,0),ROUNDUP(G59*'03 Care inputs'!H9/('03 Care inputs'!I9*'03 Care inputs'!J9),0))</x:f>
        <x:v>111</x:v>
      </x:c>
      <x:c r="I59" s="47" t="n">
        <x:f>H59*'03 Care inputs'!L9/1000</x:f>
        <x:v>0.444</x:v>
      </x:c>
      <x:c r="J59" s="47"/>
      <x:c r="K59" s="47"/>
      <x:c r="L59" s="47"/>
      <x:c r="M59" s="60"/>
      <x:c r="N59" s="60"/>
      <x:c r="O59" s="60"/>
      <x:c r="P59" s="60"/>
    </x:row>
    <x:row r="60" ht="15" hidden="0" customHeight="1">
      <x:c r="B60" s="47" t="str">
        <x:f>$B$11</x:f>
        <x:v>100k severe</x:v>
      </x:c>
      <x:c r="C60" s="47" t="n">
        <x:f>'03 Care inputs'!B10</x:f>
        <x:v>4</x:v>
      </x:c>
      <x:c r="D60" s="47" t="str">
        <x:f>'03 Care inputs'!D10</x:f>
        <x:v>CENSUS</x:v>
      </x:c>
      <x:c r="E60" s="47" t="n">
        <x:f>$C$11/1000*'03 Care inputs'!E10*'03 Care inputs'!F10*$D$11</x:f>
        <x:v>125</x:v>
      </x:c>
      <x:c r="F60" s="47" t="n">
        <x:f>$C$11/1000*'03 Care inputs'!E10*MIN(1,'03 Care inputs'!G10*$E$11)</x:f>
        <x:v>7.5</x:v>
      </x:c>
      <x:c r="G60" s="47" t="n">
        <x:f>MAX(0,E60-F60)</x:f>
        <x:v>117.5</x:v>
      </x:c>
      <x:c r="H60" s="47" t="n">
        <x:f>IF(D60="CENSUS",ROUNDUP(G60*'03 Care inputs'!H10/'03 Care inputs'!J10,0),ROUNDUP(G60*'03 Care inputs'!H10/('03 Care inputs'!I10*'03 Care inputs'!J10),0))</x:f>
        <x:v>553</x:v>
      </x:c>
      <x:c r="I60" s="47" t="n">
        <x:f>H60*'03 Care inputs'!L10/1000</x:f>
        <x:v>1.659</x:v>
      </x:c>
      <x:c r="J60" s="47"/>
      <x:c r="K60" s="47"/>
      <x:c r="L60" s="47"/>
      <x:c r="M60" s="60"/>
      <x:c r="N60" s="60"/>
      <x:c r="O60" s="60"/>
      <x:c r="P60" s="60"/>
    </x:row>
    <x:row r="61" ht="15" hidden="0" customHeight="1">
      <x:c r="B61" s="47" t="str">
        <x:f>$B$11</x:f>
        <x:v>100k severe</x:v>
      </x:c>
      <x:c r="C61" s="47" t="n">
        <x:f>'03 Care inputs'!B11</x:f>
        <x:v>5</x:v>
      </x:c>
      <x:c r="D61" s="47" t="str">
        <x:f>'03 Care inputs'!D11</x:f>
        <x:v>CENSUS</x:v>
      </x:c>
      <x:c r="E61" s="47" t="n">
        <x:f>$C$11/1000*'03 Care inputs'!E11*'03 Care inputs'!F11*$D$11</x:f>
        <x:v>30</x:v>
      </x:c>
      <x:c r="F61" s="47" t="n">
        <x:f>$C$11/1000*'03 Care inputs'!E11*MIN(1,'03 Care inputs'!G11*$E$11)</x:f>
        <x:v>1.2000000000000002</x:v>
      </x:c>
      <x:c r="G61" s="47" t="n">
        <x:f>MAX(0,E61-F61)</x:f>
        <x:v>28.8</x:v>
      </x:c>
      <x:c r="H61" s="47" t="n">
        <x:f>IF(D61="CENSUS",ROUNDUP(G61*'03 Care inputs'!H11/'03 Care inputs'!J11,0),ROUNDUP(G61*'03 Care inputs'!H11/('03 Care inputs'!I11*'03 Care inputs'!J11),0))</x:f>
        <x:v>180</x:v>
      </x:c>
      <x:c r="I61" s="47" t="n">
        <x:f>H61*'03 Care inputs'!L11/1000</x:f>
        <x:v>2.7</x:v>
      </x:c>
      <x:c r="J61" s="47"/>
      <x:c r="K61" s="47"/>
      <x:c r="L61" s="47"/>
      <x:c r="M61" s="60"/>
      <x:c r="N61" s="60"/>
      <x:c r="O61" s="60"/>
      <x:c r="P61" s="60"/>
    </x:row>
    <x:row r="62" ht="15" hidden="0" customHeight="1">
      <x:c r="B62" s="47" t="str">
        <x:f>$B$11</x:f>
        <x:v>100k severe</x:v>
      </x:c>
      <x:c r="C62" s="47" t="n">
        <x:f>'03 Care inputs'!B12</x:f>
        <x:v>6</x:v>
      </x:c>
      <x:c r="D62" s="47" t="str">
        <x:f>'03 Care inputs'!D12</x:f>
        <x:v>FLOW</x:v>
      </x:c>
      <x:c r="E62" s="47" t="n">
        <x:f>$C$11/1000*'03 Care inputs'!E12*'03 Care inputs'!F12*$D$11</x:f>
        <x:v>56.25</x:v>
      </x:c>
      <x:c r="F62" s="47" t="n">
        <x:f>$C$11/1000*'03 Care inputs'!E12*MIN(1,'03 Care inputs'!G12*$E$11)</x:f>
        <x:v>2.8125</x:v>
      </x:c>
      <x:c r="G62" s="47" t="n">
        <x:f>MAX(0,E62-F62)</x:f>
        <x:v>53.4375</x:v>
      </x:c>
      <x:c r="H62" s="47" t="n">
        <x:f>IF(D62="CENSUS",ROUNDUP(G62*'03 Care inputs'!H12/'03 Care inputs'!J12,0),ROUNDUP(G62*'03 Care inputs'!H12/('03 Care inputs'!I12*'03 Care inputs'!J12),0))</x:f>
        <x:v>12</x:v>
      </x:c>
      <x:c r="I62" s="47" t="n">
        <x:f>H62*'03 Care inputs'!L12/1000</x:f>
        <x:v>0.96</x:v>
      </x:c>
      <x:c r="J62" s="47"/>
      <x:c r="K62" s="47"/>
      <x:c r="L62" s="47"/>
      <x:c r="M62" s="60"/>
      <x:c r="N62" s="60"/>
      <x:c r="O62" s="60"/>
      <x:c r="P62" s="60"/>
    </x:row>
    <x:row r="63" ht="15" hidden="0" customHeight="1">
      <x:c r="B63" s="47" t="str">
        <x:f>$B$11</x:f>
        <x:v>100k severe</x:v>
      </x:c>
      <x:c r="C63" s="47" t="n">
        <x:f>'03 Care inputs'!B13</x:f>
        <x:v>7</x:v>
      </x:c>
      <x:c r="D63" s="47" t="str">
        <x:f>'03 Care inputs'!D13</x:f>
        <x:v>FLOW</x:v>
      </x:c>
      <x:c r="E63" s="47" t="n">
        <x:f>$C$11/1000*'03 Care inputs'!E13*'03 Care inputs'!F13*$D$11</x:f>
        <x:v>20.999999999999996</x:v>
      </x:c>
      <x:c r="F63" s="47" t="n">
        <x:f>$C$11/1000*'03 Care inputs'!E13*MIN(1,'03 Care inputs'!G13*$E$11)</x:f>
        <x:v>3.6000000000000005</x:v>
      </x:c>
      <x:c r="G63" s="47" t="n">
        <x:f>MAX(0,E63-F63)</x:f>
        <x:v>17.399999999999995</x:v>
      </x:c>
      <x:c r="H63" s="47" t="n">
        <x:f>IF(D63="CENSUS",ROUNDUP(G63*'03 Care inputs'!H13/'03 Care inputs'!J13,0),ROUNDUP(G63*'03 Care inputs'!H13/('03 Care inputs'!I13*'03 Care inputs'!J13),0))</x:f>
        <x:v>6</x:v>
      </x:c>
      <x:c r="I63" s="47" t="n">
        <x:f>H63*'03 Care inputs'!L13/1000</x:f>
        <x:v>0.24</x:v>
      </x:c>
      <x:c r="J63" s="47"/>
      <x:c r="K63" s="47"/>
      <x:c r="L63" s="47"/>
      <x:c r="M63" s="60"/>
      <x:c r="N63" s="60"/>
      <x:c r="O63" s="60"/>
      <x:c r="P63" s="60"/>
    </x:row>
    <x:row r="64" ht="15" hidden="0" customHeight="1">
      <x:c r="B64" s="47" t="str">
        <x:f>$B$11</x:f>
        <x:v>100k severe</x:v>
      </x:c>
      <x:c r="C64" s="47" t="n">
        <x:f>'03 Care inputs'!B14</x:f>
        <x:v>8</x:v>
      </x:c>
      <x:c r="D64" s="47" t="str">
        <x:f>'03 Care inputs'!D14</x:f>
        <x:v>FLOW</x:v>
      </x:c>
      <x:c r="E64" s="47" t="n">
        <x:f>$C$11/1000*'03 Care inputs'!E14*'03 Care inputs'!F14*$D$11</x:f>
        <x:v>46.875</x:v>
      </x:c>
      <x:c r="F64" s="47" t="n">
        <x:f>$C$11/1000*'03 Care inputs'!E14*MIN(1,'03 Care inputs'!G14*$E$11)</x:f>
        <x:v>5.624999999999999</x:v>
      </x:c>
      <x:c r="G64" s="47" t="n">
        <x:f>MAX(0,E64-F64)</x:f>
        <x:v>41.25</x:v>
      </x:c>
      <x:c r="H64" s="47" t="n">
        <x:f>IF(D64="CENSUS",ROUNDUP(G64*'03 Care inputs'!H14/'03 Care inputs'!J14,0),ROUNDUP(G64*'03 Care inputs'!H14/('03 Care inputs'!I14*'03 Care inputs'!J14),0))</x:f>
        <x:v>13</x:v>
      </x:c>
      <x:c r="I64" s="47" t="n">
        <x:f>H64*'03 Care inputs'!L14/1000</x:f>
        <x:v>0.156</x:v>
      </x:c>
      <x:c r="J64" s="47"/>
      <x:c r="K64" s="47"/>
      <x:c r="L64" s="47"/>
      <x:c r="M64" s="60"/>
      <x:c r="N64" s="60"/>
      <x:c r="O64" s="60"/>
      <x:c r="P64" s="60"/>
    </x:row>
    <x:row r="65" ht="15" hidden="0" customHeight="1">
      <x:c r="B65" s="47" t="str">
        <x:f>$B$11</x:f>
        <x:v>100k severe</x:v>
      </x:c>
      <x:c r="C65" s="47" t="n">
        <x:f>'03 Care inputs'!B15</x:f>
        <x:v>9</x:v>
      </x:c>
      <x:c r="D65" s="47" t="str">
        <x:f>'03 Care inputs'!D15</x:f>
        <x:v>CENSUS</x:v>
      </x:c>
      <x:c r="E65" s="47" t="n">
        <x:f>$C$11/1000*'03 Care inputs'!E15*'03 Care inputs'!F15*$D$11</x:f>
        <x:v>31.25</x:v>
      </x:c>
      <x:c r="F65" s="47" t="n">
        <x:f>$C$11/1000*'03 Care inputs'!E15*MIN(1,'03 Care inputs'!G15*$E$11)</x:f>
        <x:v>1.5000000000000002</x:v>
      </x:c>
      <x:c r="G65" s="47" t="n">
        <x:f>MAX(0,E65-F65)</x:f>
        <x:v>29.75</x:v>
      </x:c>
      <x:c r="H65" s="47" t="n">
        <x:f>IF(D65="CENSUS",ROUNDUP(G65*'03 Care inputs'!H15/'03 Care inputs'!J15,0),ROUNDUP(G65*'03 Care inputs'!H15/('03 Care inputs'!I15*'03 Care inputs'!J15),0))</x:f>
        <x:v>186</x:v>
      </x:c>
      <x:c r="I65" s="47" t="n">
        <x:f>H65*'03 Care inputs'!L15/1000</x:f>
        <x:v>1.488</x:v>
      </x:c>
      <x:c r="J65" s="47"/>
      <x:c r="K65" s="47"/>
      <x:c r="L65" s="47"/>
      <x:c r="M65" s="60"/>
      <x:c r="N65" s="60"/>
      <x:c r="O65" s="60"/>
      <x:c r="P65" s="60"/>
    </x:row>
    <x:row r="66" ht="15" hidden="0" customHeight="1">
      <x:c r="B66" s="47" t="str">
        <x:f>$B$11</x:f>
        <x:v>100k severe</x:v>
      </x:c>
      <x:c r="C66" s="47" t="n">
        <x:f>'03 Care inputs'!B16</x:f>
        <x:v>10</x:v>
      </x:c>
      <x:c r="D66" s="47" t="str">
        <x:f>'03 Care inputs'!D16</x:f>
        <x:v>FLOW</x:v>
      </x:c>
      <x:c r="E66" s="47" t="n">
        <x:f>$C$11/1000*'03 Care inputs'!E16*'03 Care inputs'!F16*$D$11</x:f>
        <x:v>175</x:v>
      </x:c>
      <x:c r="F66" s="47" t="n">
        <x:f>$C$11/1000*'03 Care inputs'!E16*MIN(1,'03 Care inputs'!G16*$E$11)</x:f>
        <x:v>18.374999999999996</x:v>
      </x:c>
      <x:c r="G66" s="47" t="n">
        <x:f>MAX(0,E66-F66)</x:f>
        <x:v>156.625</x:v>
      </x:c>
      <x:c r="H66" s="47" t="n">
        <x:f>IF(D66="CENSUS",ROUNDUP(G66*'03 Care inputs'!H16/'03 Care inputs'!J16,0),ROUNDUP(G66*'03 Care inputs'!H16/('03 Care inputs'!I16*'03 Care inputs'!J16),0))</x:f>
        <x:v>20</x:v>
      </x:c>
      <x:c r="I66" s="47" t="n">
        <x:f>H66*'03 Care inputs'!L16/1000</x:f>
        <x:v>0.02</x:v>
      </x:c>
      <x:c r="J66" s="47"/>
      <x:c r="K66" s="47"/>
      <x:c r="L66" s="47"/>
      <x:c r="M66" s="60"/>
      <x:c r="N66" s="60"/>
      <x:c r="O66" s="60"/>
      <x:c r="P66" s="60"/>
    </x:row>
    <x:row r="67" ht="15" hidden="0" customHeight="1">
      <x:c r="B67" s="47" t="str">
        <x:f>$B$12</x:f>
        <x:v>100k improved local</x:v>
      </x:c>
      <x:c r="C67" s="47" t="n">
        <x:f>'03 Care inputs'!B7</x:f>
        <x:v>1</x:v>
      </x:c>
      <x:c r="D67" s="47" t="str">
        <x:f>'03 Care inputs'!D7</x:f>
        <x:v>FLOW</x:v>
      </x:c>
      <x:c r="E67" s="47" t="n">
        <x:f>$C$12/1000*'03 Care inputs'!E7*'03 Care inputs'!F7*$D$12</x:f>
        <x:v>5250</x:v>
      </x:c>
      <x:c r="F67" s="47" t="n">
        <x:f>$C$12/1000*'03 Care inputs'!E7*MIN(1,'03 Care inputs'!G7*$E$12)</x:f>
        <x:v>2100.0000000000005</x:v>
      </x:c>
      <x:c r="G67" s="47" t="n">
        <x:f>MAX(0,E67-F67)</x:f>
        <x:v>3149.9999999999995</x:v>
      </x:c>
      <x:c r="H67" s="47" t="n">
        <x:f>IF(D67="CENSUS",ROUNDUP(G67*'03 Care inputs'!H7/'03 Care inputs'!J7,0),ROUNDUP(G67*'03 Care inputs'!H7/('03 Care inputs'!I7*'03 Care inputs'!J7),0))</x:f>
        <x:v>62</x:v>
      </x:c>
      <x:c r="I67" s="47" t="n">
        <x:f>H67*'03 Care inputs'!L7/1000</x:f>
        <x:v>0.0496</x:v>
      </x:c>
      <x:c r="J67" s="47"/>
      <x:c r="K67" s="47"/>
      <x:c r="L67" s="47"/>
      <x:c r="M67" s="60"/>
      <x:c r="N67" s="60"/>
      <x:c r="O67" s="60"/>
      <x:c r="P67" s="60"/>
    </x:row>
    <x:row r="68" ht="15" hidden="0" customHeight="1">
      <x:c r="B68" s="47" t="str">
        <x:f>$B$12</x:f>
        <x:v>100k improved local</x:v>
      </x:c>
      <x:c r="C68" s="47" t="n">
        <x:f>'03 Care inputs'!B8</x:f>
        <x:v>2</x:v>
      </x:c>
      <x:c r="D68" s="47" t="str">
        <x:f>'03 Care inputs'!D8</x:f>
        <x:v>FLOW</x:v>
      </x:c>
      <x:c r="E68" s="47" t="n">
        <x:f>$C$12/1000*'03 Care inputs'!E8*'03 Care inputs'!F8*$D$12</x:f>
        <x:v>500</x:v>
      </x:c>
      <x:c r="F68" s="47" t="n">
        <x:f>$C$12/1000*'03 Care inputs'!E8*MIN(1,'03 Care inputs'!G8*$E$12)</x:f>
        <x:v>131.24999999999997</x:v>
      </x:c>
      <x:c r="G68" s="47" t="n">
        <x:f>MAX(0,E68-F68)</x:f>
        <x:v>368.75</x:v>
      </x:c>
      <x:c r="H68" s="47" t="n">
        <x:f>IF(D68="CENSUS",ROUNDUP(G68*'03 Care inputs'!H8/'03 Care inputs'!J8,0),ROUNDUP(G68*'03 Care inputs'!H8/('03 Care inputs'!I8*'03 Care inputs'!J8),0))</x:f>
        <x:v>41</x:v>
      </x:c>
      <x:c r="I68" s="47" t="n">
        <x:f>H68*'03 Care inputs'!L8/1000</x:f>
        <x:v>0.41</x:v>
      </x:c>
      <x:c r="J68" s="47"/>
      <x:c r="K68" s="47"/>
      <x:c r="L68" s="47"/>
      <x:c r="M68" s="60"/>
      <x:c r="N68" s="60"/>
      <x:c r="O68" s="60"/>
      <x:c r="P68" s="60"/>
    </x:row>
    <x:row r="69" ht="15" hidden="0" customHeight="1">
      <x:c r="B69" s="47" t="str">
        <x:f>$B$12</x:f>
        <x:v>100k improved local</x:v>
      </x:c>
      <x:c r="C69" s="47" t="n">
        <x:f>'03 Care inputs'!B9</x:f>
        <x:v>3</x:v>
      </x:c>
      <x:c r="D69" s="47" t="str">
        <x:f>'03 Care inputs'!D9</x:f>
        <x:v>CENSUS</x:v>
      </x:c>
      <x:c r="E69" s="47" t="n">
        <x:f>$C$12/1000*'03 Care inputs'!E9*'03 Care inputs'!F9*$D$12</x:f>
        <x:v>176</x:v>
      </x:c>
      <x:c r="F69" s="47" t="n">
        <x:f>$C$12/1000*'03 Care inputs'!E9*MIN(1,'03 Care inputs'!G9*$E$12)</x:f>
        <x:v>41.99999999999999</x:v>
      </x:c>
      <x:c r="G69" s="47" t="n">
        <x:f>MAX(0,E69-F69)</x:f>
        <x:v>134</x:v>
      </x:c>
      <x:c r="H69" s="47" t="n">
        <x:f>IF(D69="CENSUS",ROUNDUP(G69*'03 Care inputs'!H9/'03 Care inputs'!J9,0),ROUNDUP(G69*'03 Care inputs'!H9/('03 Care inputs'!I9*'03 Care inputs'!J9),0))</x:f>
        <x:v>75</x:v>
      </x:c>
      <x:c r="I69" s="47" t="n">
        <x:f>H69*'03 Care inputs'!L9/1000</x:f>
        <x:v>0.3</x:v>
      </x:c>
      <x:c r="J69" s="47"/>
      <x:c r="K69" s="47"/>
      <x:c r="L69" s="47"/>
      <x:c r="M69" s="60"/>
      <x:c r="N69" s="60"/>
      <x:c r="O69" s="60"/>
      <x:c r="P69" s="60"/>
    </x:row>
    <x:row r="70" ht="15" hidden="0" customHeight="1">
      <x:c r="B70" s="47" t="str">
        <x:f>$B$12</x:f>
        <x:v>100k improved local</x:v>
      </x:c>
      <x:c r="C70" s="47" t="n">
        <x:f>'03 Care inputs'!B10</x:f>
        <x:v>4</x:v>
      </x:c>
      <x:c r="D70" s="47" t="str">
        <x:f>'03 Care inputs'!D10</x:f>
        <x:v>CENSUS</x:v>
      </x:c>
      <x:c r="E70" s="47" t="n">
        <x:f>$C$12/1000*'03 Care inputs'!E10*'03 Care inputs'!F10*$D$12</x:f>
        <x:v>100</x:v>
      </x:c>
      <x:c r="F70" s="47" t="n">
        <x:f>$C$12/1000*'03 Care inputs'!E10*MIN(1,'03 Care inputs'!G10*$E$12)</x:f>
        <x:v>15</x:v>
      </x:c>
      <x:c r="G70" s="47" t="n">
        <x:f>MAX(0,E70-F70)</x:f>
        <x:v>85</x:v>
      </x:c>
      <x:c r="H70" s="47" t="n">
        <x:f>IF(D70="CENSUS",ROUNDUP(G70*'03 Care inputs'!H10/'03 Care inputs'!J10,0),ROUNDUP(G70*'03 Care inputs'!H10/('03 Care inputs'!I10*'03 Care inputs'!J10),0))</x:f>
        <x:v>400</x:v>
      </x:c>
      <x:c r="I70" s="47" t="n">
        <x:f>H70*'03 Care inputs'!L10/1000</x:f>
        <x:v>1.2</x:v>
      </x:c>
      <x:c r="J70" s="47"/>
      <x:c r="K70" s="47"/>
      <x:c r="L70" s="47"/>
      <x:c r="M70" s="60"/>
      <x:c r="N70" s="60"/>
      <x:c r="O70" s="60"/>
      <x:c r="P70" s="60"/>
    </x:row>
    <x:row r="71" ht="15" hidden="0" customHeight="1">
      <x:c r="B71" s="47" t="str">
        <x:f>$B$12</x:f>
        <x:v>100k improved local</x:v>
      </x:c>
      <x:c r="C71" s="47" t="n">
        <x:f>'03 Care inputs'!B11</x:f>
        <x:v>5</x:v>
      </x:c>
      <x:c r="D71" s="47" t="str">
        <x:f>'03 Care inputs'!D11</x:f>
        <x:v>CENSUS</x:v>
      </x:c>
      <x:c r="E71" s="47" t="n">
        <x:f>$C$12/1000*'03 Care inputs'!E11*'03 Care inputs'!F11*$D$12</x:f>
        <x:v>24</x:v>
      </x:c>
      <x:c r="F71" s="47" t="n">
        <x:f>$C$12/1000*'03 Care inputs'!E11*MIN(1,'03 Care inputs'!G11*$E$12)</x:f>
        <x:v>2.4000000000000004</x:v>
      </x:c>
      <x:c r="G71" s="47" t="n">
        <x:f>MAX(0,E71-F71)</x:f>
        <x:v>21.6</x:v>
      </x:c>
      <x:c r="H71" s="47" t="n">
        <x:f>IF(D71="CENSUS",ROUNDUP(G71*'03 Care inputs'!H11/'03 Care inputs'!J11,0),ROUNDUP(G71*'03 Care inputs'!H11/('03 Care inputs'!I11*'03 Care inputs'!J11),0))</x:f>
        <x:v>135</x:v>
      </x:c>
      <x:c r="I71" s="47" t="n">
        <x:f>H71*'03 Care inputs'!L11/1000</x:f>
        <x:v>2.025</x:v>
      </x:c>
      <x:c r="J71" s="47"/>
      <x:c r="K71" s="47"/>
      <x:c r="L71" s="47"/>
      <x:c r="M71" s="60"/>
      <x:c r="N71" s="60"/>
      <x:c r="O71" s="60"/>
      <x:c r="P71" s="60"/>
    </x:row>
    <x:row r="72" ht="15" hidden="0" customHeight="1">
      <x:c r="B72" s="47" t="str">
        <x:f>$B$12</x:f>
        <x:v>100k improved local</x:v>
      </x:c>
      <x:c r="C72" s="47" t="n">
        <x:f>'03 Care inputs'!B12</x:f>
        <x:v>6</x:v>
      </x:c>
      <x:c r="D72" s="47" t="str">
        <x:f>'03 Care inputs'!D12</x:f>
        <x:v>FLOW</x:v>
      </x:c>
      <x:c r="E72" s="47" t="n">
        <x:f>$C$12/1000*'03 Care inputs'!E12*'03 Care inputs'!F12*$D$12</x:f>
        <x:v>45</x:v>
      </x:c>
      <x:c r="F72" s="47" t="n">
        <x:f>$C$12/1000*'03 Care inputs'!E12*MIN(1,'03 Care inputs'!G12*$E$12)</x:f>
        <x:v>5.625</x:v>
      </x:c>
      <x:c r="G72" s="47" t="n">
        <x:f>MAX(0,E72-F72)</x:f>
        <x:v>39.375</x:v>
      </x:c>
      <x:c r="H72" s="47" t="n">
        <x:f>IF(D72="CENSUS",ROUNDUP(G72*'03 Care inputs'!H12/'03 Care inputs'!J12,0),ROUNDUP(G72*'03 Care inputs'!H12/('03 Care inputs'!I12*'03 Care inputs'!J12),0))</x:f>
        <x:v>9</x:v>
      </x:c>
      <x:c r="I72" s="47" t="n">
        <x:f>H72*'03 Care inputs'!L12/1000</x:f>
        <x:v>0.72</x:v>
      </x:c>
      <x:c r="J72" s="47"/>
      <x:c r="K72" s="47"/>
      <x:c r="L72" s="47"/>
      <x:c r="M72" s="60"/>
      <x:c r="N72" s="60"/>
      <x:c r="O72" s="60"/>
      <x:c r="P72" s="60"/>
    </x:row>
    <x:row r="73" ht="15" hidden="0" customHeight="1">
      <x:c r="B73" s="47" t="str">
        <x:f>$B$12</x:f>
        <x:v>100k improved local</x:v>
      </x:c>
      <x:c r="C73" s="47" t="n">
        <x:f>'03 Care inputs'!B13</x:f>
        <x:v>7</x:v>
      </x:c>
      <x:c r="D73" s="47" t="str">
        <x:f>'03 Care inputs'!D13</x:f>
        <x:v>FLOW</x:v>
      </x:c>
      <x:c r="E73" s="47" t="n">
        <x:f>$C$12/1000*'03 Care inputs'!E13*'03 Care inputs'!F13*$D$12</x:f>
        <x:v>16.799999999999997</x:v>
      </x:c>
      <x:c r="F73" s="47" t="n">
        <x:f>$C$12/1000*'03 Care inputs'!E13*MIN(1,'03 Care inputs'!G13*$E$12)</x:f>
        <x:v>7.200000000000001</x:v>
      </x:c>
      <x:c r="G73" s="47" t="n">
        <x:f>MAX(0,E73-F73)</x:f>
        <x:v>9.599999999999996</x:v>
      </x:c>
      <x:c r="H73" s="47" t="n">
        <x:f>IF(D73="CENSUS",ROUNDUP(G73*'03 Care inputs'!H13/'03 Care inputs'!J13,0),ROUNDUP(G73*'03 Care inputs'!H13/('03 Care inputs'!I13*'03 Care inputs'!J13),0))</x:f>
        <x:v>4</x:v>
      </x:c>
      <x:c r="I73" s="47" t="n">
        <x:f>H73*'03 Care inputs'!L13/1000</x:f>
        <x:v>0.16</x:v>
      </x:c>
      <x:c r="J73" s="47"/>
      <x:c r="K73" s="47"/>
      <x:c r="L73" s="47"/>
      <x:c r="M73" s="60"/>
      <x:c r="N73" s="60"/>
      <x:c r="O73" s="60"/>
      <x:c r="P73" s="60"/>
    </x:row>
    <x:row r="74" ht="15" hidden="0" customHeight="1">
      <x:c r="B74" s="47" t="str">
        <x:f>$B$12</x:f>
        <x:v>100k improved local</x:v>
      </x:c>
      <x:c r="C74" s="47" t="n">
        <x:f>'03 Care inputs'!B14</x:f>
        <x:v>8</x:v>
      </x:c>
      <x:c r="D74" s="47" t="str">
        <x:f>'03 Care inputs'!D14</x:f>
        <x:v>FLOW</x:v>
      </x:c>
      <x:c r="E74" s="47" t="n">
        <x:f>$C$12/1000*'03 Care inputs'!E14*'03 Care inputs'!F14*$D$12</x:f>
        <x:v>37.5</x:v>
      </x:c>
      <x:c r="F74" s="47" t="n">
        <x:f>$C$12/1000*'03 Care inputs'!E14*MIN(1,'03 Care inputs'!G14*$E$12)</x:f>
        <x:v>11.249999999999998</x:v>
      </x:c>
      <x:c r="G74" s="47" t="n">
        <x:f>MAX(0,E74-F74)</x:f>
        <x:v>26.25</x:v>
      </x:c>
      <x:c r="H74" s="47" t="n">
        <x:f>IF(D74="CENSUS",ROUNDUP(G74*'03 Care inputs'!H14/'03 Care inputs'!J14,0),ROUNDUP(G74*'03 Care inputs'!H14/('03 Care inputs'!I14*'03 Care inputs'!J14),0))</x:f>
        <x:v>8</x:v>
      </x:c>
      <x:c r="I74" s="47" t="n">
        <x:f>H74*'03 Care inputs'!L14/1000</x:f>
        <x:v>0.096</x:v>
      </x:c>
      <x:c r="J74" s="47"/>
      <x:c r="K74" s="47"/>
      <x:c r="L74" s="47"/>
      <x:c r="M74" s="60"/>
      <x:c r="N74" s="60"/>
      <x:c r="O74" s="60"/>
      <x:c r="P74" s="60"/>
    </x:row>
    <x:row r="75" ht="15" hidden="0" customHeight="1">
      <x:c r="B75" s="47" t="str">
        <x:f>$B$12</x:f>
        <x:v>100k improved local</x:v>
      </x:c>
      <x:c r="C75" s="47" t="n">
        <x:f>'03 Care inputs'!B15</x:f>
        <x:v>9</x:v>
      </x:c>
      <x:c r="D75" s="47" t="str">
        <x:f>'03 Care inputs'!D15</x:f>
        <x:v>CENSUS</x:v>
      </x:c>
      <x:c r="E75" s="47" t="n">
        <x:f>$C$12/1000*'03 Care inputs'!E15*'03 Care inputs'!F15*$D$12</x:f>
        <x:v>25</x:v>
      </x:c>
      <x:c r="F75" s="47" t="n">
        <x:f>$C$12/1000*'03 Care inputs'!E15*MIN(1,'03 Care inputs'!G15*$E$12)</x:f>
        <x:v>3.0000000000000004</x:v>
      </x:c>
      <x:c r="G75" s="47" t="n">
        <x:f>MAX(0,E75-F75)</x:f>
        <x:v>22</x:v>
      </x:c>
      <x:c r="H75" s="47" t="n">
        <x:f>IF(D75="CENSUS",ROUNDUP(G75*'03 Care inputs'!H15/'03 Care inputs'!J15,0),ROUNDUP(G75*'03 Care inputs'!H15/('03 Care inputs'!I15*'03 Care inputs'!J15),0))</x:f>
        <x:v>138</x:v>
      </x:c>
      <x:c r="I75" s="47" t="n">
        <x:f>H75*'03 Care inputs'!L15/1000</x:f>
        <x:v>1.104</x:v>
      </x:c>
      <x:c r="J75" s="47"/>
      <x:c r="K75" s="47"/>
      <x:c r="L75" s="47"/>
      <x:c r="M75" s="60"/>
      <x:c r="N75" s="60"/>
      <x:c r="O75" s="60"/>
      <x:c r="P75" s="60"/>
    </x:row>
    <x:row r="76" ht="15" hidden="0" customHeight="1">
      <x:c r="B76" s="47" t="str">
        <x:f>$B$12</x:f>
        <x:v>100k improved local</x:v>
      </x:c>
      <x:c r="C76" s="47" t="n">
        <x:f>'03 Care inputs'!B16</x:f>
        <x:v>10</x:v>
      </x:c>
      <x:c r="D76" s="47" t="str">
        <x:f>'03 Care inputs'!D16</x:f>
        <x:v>FLOW</x:v>
      </x:c>
      <x:c r="E76" s="47" t="n">
        <x:f>$C$12/1000*'03 Care inputs'!E16*'03 Care inputs'!F16*$D$12</x:f>
        <x:v>140</x:v>
      </x:c>
      <x:c r="F76" s="47" t="n">
        <x:f>$C$12/1000*'03 Care inputs'!E16*MIN(1,'03 Care inputs'!G16*$E$12)</x:f>
        <x:v>36.74999999999999</x:v>
      </x:c>
      <x:c r="G76" s="47" t="n">
        <x:f>MAX(0,E76-F76)</x:f>
        <x:v>103.25</x:v>
      </x:c>
      <x:c r="H76" s="47" t="n">
        <x:f>IF(D76="CENSUS",ROUNDUP(G76*'03 Care inputs'!H16/'03 Care inputs'!J16,0),ROUNDUP(G76*'03 Care inputs'!H16/('03 Care inputs'!I16*'03 Care inputs'!J16),0))</x:f>
        <x:v>13</x:v>
      </x:c>
      <x:c r="I76" s="47" t="n">
        <x:f>H76*'03 Care inputs'!L16/1000</x:f>
        <x:v>0.013</x:v>
      </x:c>
      <x:c r="J76" s="47"/>
      <x:c r="K76" s="47"/>
      <x:c r="L76" s="47"/>
      <x:c r="M76" s="60"/>
      <x:c r="N76" s="60"/>
      <x:c r="O76" s="60"/>
      <x:c r="P76" s="60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60"/>
      <x:c r="N77" s="60"/>
      <x:c r="O77" s="60"/>
      <x:c r="P77" s="60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60"/>
      <x:c r="N78" s="60"/>
      <x:c r="O78" s="60"/>
      <x:c r="P78" s="60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60"/>
      <x:c r="N79" s="60"/>
      <x:c r="O79" s="60"/>
      <x:c r="P79" s="60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60"/>
      <x:c r="N80" s="60"/>
      <x:c r="O80" s="60"/>
      <x:c r="P80" s="60"/>
    </x:row>
  </x:sheetData>
  <x:mergeCells>
    <x:mergeCell ref="B2:L2"/>
    <x:mergeCell ref="B3:L3"/>
    <x:mergeCell ref="B15:I15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7" hidden="0" customWidth="1"/>
    <x:col min="3" max="3" width="17" hidden="0" customWidth="1"/>
    <x:col min="4" max="4" width="17" hidden="0" customWidth="1"/>
    <x:col min="5" max="5" width="17" hidden="0" customWidth="1"/>
    <x:col min="6" max="6" width="46" hidden="0" customWidth="1"/>
    <x:col min="7" max="7" width="18" hidden="0" customWidth="1"/>
    <x:col min="1" max="1" width="3" hidden="0" customWidth="1"/>
  </x:cols>
  <x:sheetData>
    <x:row r="2" ht="18" hidden="0" customHeight="1">
      <x:c r="B2" s="50" t="str">
        <x:v>No-release admissions ledger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Planning arithmetic may mature while quantity credit remains zero. Each admission requires named evidence and accepting authority.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Candidate claim</x:v>
      </x:c>
      <x:c r="C6" s="45" t="str">
        <x:v>Planning value</x:v>
      </x:c>
      <x:c r="D6" s="45" t="str">
        <x:v>Unit</x:v>
      </x:c>
      <x:c r="E6" s="45" t="str">
        <x:v>Admitted value</x:v>
      </x:c>
      <x:c r="F6" s="45" t="str">
        <x:v>Admission condition</x:v>
      </x:c>
      <x:c r="G6" s="45" t="str">
        <x:v>Status</x:v>
      </x:c>
      <x:c r="H6" s="47"/>
      <x:c r="I6" s="47"/>
      <x:c r="J6" s="47"/>
      <x:c r="K6" s="47"/>
      <x:c r="L6" s="47"/>
    </x:row>
    <x:row r="7" ht="15" hidden="0" customHeight="1">
      <x:c r="B7" s="47" t="str">
        <x:v>Service-derived continuous power</x:v>
      </x:c>
      <x:c r="C7" s="66" t="n">
        <x:v>17.4098</x:v>
      </x:c>
      <x:c r="D7" s="47" t="str">
        <x:v>MW</x:v>
      </x:c>
      <x:c r="E7" s="85" t="n">
        <x:v>0</x:v>
      </x:c>
      <x:c r="F7" s="47" t="str">
        <x:v>representative complete-service evidence</x:v>
      </x:c>
      <x:c r="G7" s="47" t="str">
        <x:v>NOT ADMITTED</x:v>
      </x:c>
      <x:c r="H7" s="47"/>
      <x:c r="I7" s="47"/>
      <x:c r="J7" s="47"/>
      <x:c r="K7" s="47"/>
      <x:c r="L7" s="47"/>
    </x:row>
    <x:row r="8" ht="15" hidden="0" customHeight="1">
      <x:c r="B8" s="47" t="str">
        <x:v>SPC source count</x:v>
      </x:c>
      <x:c r="C8" s="66" t="n">
        <x:v>5</x:v>
      </x:c>
      <x:c r="D8" s="47" t="str">
        <x:v>articles</x:v>
      </x:c>
      <x:c r="E8" s="85" t="n">
        <x:v>0</x:v>
      </x:c>
      <x:c r="F8" s="47" t="str">
        <x:v>loss operation + protection + fuel evidence</x:v>
      </x:c>
      <x:c r="G8" s="47" t="str">
        <x:v>NOT ADMITTED</x:v>
      </x:c>
      <x:c r="H8" s="47"/>
      <x:c r="I8" s="47"/>
      <x:c r="J8" s="47"/>
      <x:c r="K8" s="47"/>
      <x:c r="L8" s="47"/>
    </x:row>
    <x:row r="9" ht="15" hidden="0" customHeight="1">
      <x:c r="B9" s="47" t="str">
        <x:v>BSS no-break count</x:v>
      </x:c>
      <x:c r="C9" s="66" t="n">
        <x:v>3</x:v>
      </x:c>
      <x:c r="D9" s="47" t="str">
        <x:v>articles</x:v>
      </x:c>
      <x:c r="E9" s="85" t="n">
        <x:v>0</x:v>
      </x:c>
      <x:c r="F9" s="47" t="str">
        <x:v>transition + degradation evidence</x:v>
      </x:c>
      <x:c r="G9" s="47" t="str">
        <x:v>NOT ADMITTED</x:v>
      </x:c>
      <x:c r="H9" s="47"/>
      <x:c r="I9" s="47"/>
      <x:c r="J9" s="47"/>
      <x:c r="K9" s="47"/>
      <x:c r="L9" s="47"/>
    </x:row>
    <x:row r="10" ht="15" hidden="0" customHeight="1">
      <x:c r="B10" s="47" t="str">
        <x:v>Clinical island count</x:v>
      </x:c>
      <x:c r="C10" s="66" t="n">
        <x:v>5</x:v>
      </x:c>
      <x:c r="D10" s="47" t="str">
        <x:v>articles</x:v>
      </x:c>
      <x:c r="E10" s="85" t="n">
        <x:v>0</x:v>
      </x:c>
      <x:c r="F10" s="47" t="str">
        <x:v>care-line + zoning evidence</x:v>
      </x:c>
      <x:c r="G10" s="47" t="str">
        <x:v>NOT ADMITTED</x:v>
      </x:c>
      <x:c r="H10" s="47"/>
      <x:c r="I10" s="47"/>
      <x:c r="J10" s="47"/>
      <x:c r="K10" s="47"/>
      <x:c r="L10" s="47"/>
    </x:row>
    <x:row r="11" ht="15" hidden="0" customHeight="1">
      <x:c r="B11" s="47" t="str">
        <x:v>HCSG-100 formation</x:v>
      </x:c>
      <x:c r="C11" s="66" t="n">
        <x:v>144</x:v>
      </x:c>
      <x:c r="D11" s="47" t="str">
        <x:v>articles</x:v>
      </x:c>
      <x:c r="E11" s="85" t="n">
        <x:v>0</x:v>
      </x:c>
      <x:c r="F11" s="47" t="str">
        <x:v>all service paths close</x:v>
      </x:c>
      <x:c r="G11" s="47" t="str">
        <x:v>NOT ADMITTED</x:v>
      </x:c>
      <x:c r="H11" s="47"/>
      <x:c r="I11" s="47"/>
      <x:c r="J11" s="47"/>
      <x:c r="K11" s="47"/>
      <x:c r="L11" s="47"/>
    </x:row>
    <x:row r="12" ht="15" hidden="0" customHeight="1">
      <x:c r="B12" s="47" t="str">
        <x:v>First-unit capital</x:v>
      </x:c>
      <x:c r="C12" s="66" t="n">
        <x:v>25.077</x:v>
      </x:c>
      <x:c r="D12" s="47" t="str">
        <x:v>USD b</x:v>
      </x:c>
      <x:c r="E12" s="85" t="n">
        <x:v>0</x:v>
      </x:c>
      <x:c r="F12" s="47" t="str">
        <x:v>cost basis + validated configuration</x:v>
      </x:c>
      <x:c r="G12" s="47" t="str">
        <x:v>NOT ADMITTED</x:v>
      </x:c>
      <x:c r="H12" s="47"/>
      <x:c r="I12" s="47"/>
      <x:c r="J12" s="47"/>
      <x:c r="K12" s="47"/>
      <x:c r="L12" s="47"/>
    </x:row>
    <x:row r="13" ht="15" hidden="0" customHeight="1">
      <x:c r="B13" s="47" t="str">
        <x:v>Campaign fleet</x:v>
      </x:c>
      <x:c r="C13" s="66" t="n">
        <x:v>160</x:v>
      </x:c>
      <x:c r="D13" s="47" t="str">
        <x:v>articles</x:v>
      </x:c>
      <x:c r="E13" s="85" t="n">
        <x:v>0</x:v>
      </x:c>
      <x:c r="F13" s="47" t="str">
        <x:v>approved experiment plan</x:v>
      </x:c>
      <x:c r="G13" s="47" t="str">
        <x:v>NOT ADMITTED</x:v>
      </x:c>
      <x:c r="H13" s="47"/>
      <x:c r="I13" s="47"/>
      <x:c r="J13" s="47"/>
      <x:c r="K13" s="47"/>
      <x:c r="L13" s="47"/>
    </x:row>
    <x:row r="14" ht="15" hidden="0" customHeight="1">
      <x:c r="B14" s="47" t="str">
        <x:v>Architecture selection</x:v>
      </x:c>
      <x:c r="C14" s="66" t="n">
        <x:v>1</x:v>
      </x:c>
      <x:c r="D14" s="47" t="str">
        <x:v>reference</x:v>
      </x:c>
      <x:c r="E14" s="85" t="n">
        <x:v>0</x:v>
      </x:c>
      <x:c r="F14" s="47" t="str">
        <x:v>independent comparative evidence</x:v>
      </x:c>
      <x:c r="G14" s="47" t="str">
        <x:v>NOT ADMITTED</x:v>
      </x:c>
      <x:c r="H14" s="47"/>
      <x:c r="I14" s="47"/>
      <x:c r="J14" s="47"/>
      <x:c r="K14" s="47"/>
      <x:c r="L14" s="47"/>
    </x:row>
    <x:row r="15" ht="15" hidden="0" customHeight="1"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</x:row>
    <x:row r="16" ht="15" hidden="0" customHeight="1"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</x:row>
    <x:row r="17" ht="15" hidden="0" customHeight="1"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</x:row>
    <x:row r="18" ht="15" hidden="0" customHeight="1"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</x:row>
    <x:row r="19" ht="15" hidden="0" customHeight="1"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</x:row>
    <x:row r="20" ht="15" hidden="0" customHeight="1"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</x:row>
    <x:row r="21" ht="15" hidden="0" customHeight="1"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1" max="1" width="3" hidden="0" customWidth="1"/>
  </x:cols>
  <x:sheetData>
    <x:row r="2" ht="18" hidden="0" customHeight="1">
      <x:c r="B2" s="50" t="str">
        <x:v>Independent model audits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Audit results never feed operational or financial outputs. Every row compares a calculated value with an independently stated acceptance target.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Domain</x:v>
      </x:c>
      <x:c r="C6" s="45" t="str">
        <x:v>Check</x:v>
      </x:c>
      <x:c r="D6" s="45" t="str">
        <x:v>Actual</x:v>
      </x:c>
      <x:c r="E6" s="45" t="str">
        <x:v>Expected</x:v>
      </x:c>
      <x:c r="F6" s="45" t="str">
        <x:v>Tolerance</x:v>
      </x:c>
      <x:c r="G6" s="45" t="str">
        <x:v>Result</x:v>
      </x:c>
      <x:c r="H6" s="47"/>
      <x:c r="I6" s="47"/>
      <x:c r="J6" s="47"/>
      <x:c r="K6" s="47"/>
      <x:c r="L6" s="47"/>
    </x:row>
    <x:row r="7" ht="15" hidden="0" customHeight="1">
      <x:c r="B7" s="47" t="str">
        <x:v>Demand</x:v>
      </x:c>
      <x:c r="C7" s="47" t="str">
        <x:v>Required positions</x:v>
      </x:c>
      <x:c r="D7" s="89" t="n">
        <x:f>'04 Demand'!I17</x:f>
        <x:v>951</x:v>
      </x:c>
      <x:c r="E7" s="89" t="n">
        <x:v>951</x:v>
      </x:c>
      <x:c r="F7" s="89" t="n">
        <x:v>0.0001</x:v>
      </x:c>
      <x:c r="G7" s="47" t="str">
        <x:f>IF(ABS(D7-E7)&lt;=F7,"PASS","FAIL")</x:f>
        <x:v>PASS</x:v>
      </x:c>
      <x:c r="H7" s="47"/>
      <x:c r="I7" s="47"/>
      <x:c r="J7" s="47"/>
      <x:c r="K7" s="47"/>
      <x:c r="L7" s="47"/>
    </x:row>
    <x:row r="8" ht="15" hidden="0" customHeight="1">
      <x:c r="B8" s="47" t="str">
        <x:v>Demand</x:v>
      </x:c>
      <x:c r="C8" s="47" t="str">
        <x:v>Direct staff h/day</x:v>
      </x:c>
      <x:c r="D8" s="89" t="n">
        <x:f>'04 Demand'!J17</x:f>
        <x:v>11215.5</x:v>
      </x:c>
      <x:c r="E8" s="89" t="n">
        <x:v>11215.5</x:v>
      </x:c>
      <x:c r="F8" s="89" t="n">
        <x:v>0.0001</x:v>
      </x:c>
      <x:c r="G8" s="47" t="str">
        <x:f>IF(ABS(D8-E8)&lt;=F8,"PASS","FAIL")</x:f>
        <x:v>PASS</x:v>
      </x:c>
      <x:c r="H8" s="47"/>
      <x:c r="I8" s="47"/>
      <x:c r="J8" s="47"/>
      <x:c r="K8" s="47"/>
      <x:c r="L8" s="47"/>
    </x:row>
    <x:row r="9" ht="15" hidden="0" customHeight="1">
      <x:c r="B9" s="47" t="str">
        <x:v>Demand</x:v>
      </x:c>
      <x:c r="C9" s="47" t="str">
        <x:v>Direct MW</x:v>
      </x:c>
      <x:c r="D9" s="89" t="n">
        <x:f>'04 Demand'!K17</x:f>
        <x:v>6.4597999999999995</x:v>
      </x:c>
      <x:c r="E9" s="89" t="n">
        <x:v>6.4598</x:v>
      </x:c>
      <x:c r="F9" s="89" t="n">
        <x:v>0.0001</x:v>
      </x:c>
      <x:c r="G9" s="47" t="str">
        <x:f>IF(ABS(D9-E9)&lt;=F9,"PASS","FAIL")</x:f>
        <x:v>PASS</x:v>
      </x:c>
      <x:c r="H9" s="47"/>
      <x:c r="I9" s="47"/>
      <x:c r="J9" s="47"/>
      <x:c r="K9" s="47"/>
      <x:c r="L9" s="47"/>
    </x:row>
    <x:row r="10" ht="15" hidden="0" customHeight="1">
      <x:c r="B10" s="47" t="str">
        <x:v>Demand</x:v>
      </x:c>
      <x:c r="C10" s="47" t="str">
        <x:v>No-break direct MW</x:v>
      </x:c>
      <x:c r="D10" s="89" t="n">
        <x:f>'04 Demand'!L17</x:f>
        <x:v>4.8887</x:v>
      </x:c>
      <x:c r="E10" s="89" t="n">
        <x:v>4.8887</x:v>
      </x:c>
      <x:c r="F10" s="89" t="n">
        <x:v>0.0001</x:v>
      </x:c>
      <x:c r="G10" s="47" t="str">
        <x:f>IF(ABS(D10-E10)&lt;=F10,"PASS","FAIL")</x:f>
        <x:v>PASS</x:v>
      </x:c>
      <x:c r="H10" s="47"/>
      <x:c r="I10" s="47"/>
      <x:c r="J10" s="47"/>
      <x:c r="K10" s="47"/>
      <x:c r="L10" s="47"/>
    </x:row>
    <x:row r="11" ht="15" hidden="0" customHeight="1">
      <x:c r="B11" s="47" t="str">
        <x:v>Demand</x:v>
      </x:c>
      <x:c r="C11" s="47" t="str">
        <x:v>Oxygen m3/day</x:v>
      </x:c>
      <x:c r="D11" s="89" t="n">
        <x:f>'04 Demand'!M17</x:f>
        <x:v>6157</x:v>
      </x:c>
      <x:c r="E11" s="89" t="n">
        <x:v>6157</x:v>
      </x:c>
      <x:c r="F11" s="89" t="n">
        <x:v>0.0001</x:v>
      </x:c>
      <x:c r="G11" s="47" t="str">
        <x:f>IF(ABS(D11-E11)&lt;=F11,"PASS","FAIL")</x:f>
        <x:v>PASS</x:v>
      </x:c>
      <x:c r="H11" s="47"/>
      <x:c r="I11" s="47"/>
      <x:c r="J11" s="47"/>
      <x:c r="K11" s="47"/>
      <x:c r="L11" s="47"/>
    </x:row>
    <x:row r="12" ht="15" hidden="0" customHeight="1">
      <x:c r="B12" s="47" t="str">
        <x:v>Demand</x:v>
      </x:c>
      <x:c r="C12" s="47" t="str">
        <x:v>Clinical water m3/day</x:v>
      </x:c>
      <x:c r="D12" s="89" t="n">
        <x:f>'04 Demand'!N17</x:f>
        <x:v>191.08999999999997</x:v>
      </x:c>
      <x:c r="E12" s="89" t="n">
        <x:v>191.09</x:v>
      </x:c>
      <x:c r="F12" s="89" t="n">
        <x:v>0.0001</x:v>
      </x:c>
      <x:c r="G12" s="47" t="str">
        <x:f>IF(ABS(D12-E12)&lt;=F12,"PASS","FAIL")</x:f>
        <x:v>PASS</x:v>
      </x:c>
      <x:c r="H12" s="47"/>
      <x:c r="I12" s="47"/>
      <x:c r="J12" s="47"/>
      <x:c r="K12" s="47"/>
      <x:c r="L12" s="47"/>
    </x:row>
    <x:row r="13" ht="15" hidden="0" customHeight="1">
      <x:c r="B13" s="47" t="str">
        <x:v>Demand</x:v>
      </x:c>
      <x:c r="C13" s="47" t="str">
        <x:v>Medical waste t/day</x:v>
      </x:c>
      <x:c r="D13" s="89" t="n">
        <x:f>'04 Demand'!O17</x:f>
        <x:v>3.553025</x:v>
      </x:c>
      <x:c r="E13" s="89" t="n">
        <x:v>3.553025</x:v>
      </x:c>
      <x:c r="F13" s="89" t="n">
        <x:v>0.000001</x:v>
      </x:c>
      <x:c r="G13" s="47" t="str">
        <x:f>IF(ABS(D13-E13)&lt;=F13,"PASS","FAIL")</x:f>
        <x:v>PASS</x:v>
      </x:c>
      <x:c r="H13" s="47"/>
      <x:c r="I13" s="47"/>
      <x:c r="J13" s="47"/>
      <x:c r="K13" s="47"/>
      <x:c r="L13" s="47"/>
    </x:row>
    <x:row r="14" ht="15" hidden="0" customHeight="1">
      <x:c r="B14" s="47" t="str">
        <x:v>Demand</x:v>
      </x:c>
      <x:c r="C14" s="47" t="str">
        <x:v>Lab tests/day</x:v>
      </x:c>
      <x:c r="D14" s="89" t="n">
        <x:f>'04 Demand'!P17</x:f>
        <x:v>3089.6</x:v>
      </x:c>
      <x:c r="E14" s="89" t="n">
        <x:v>3089.6</x:v>
      </x:c>
      <x:c r="F14" s="89" t="n">
        <x:v>0.0001</x:v>
      </x:c>
      <x:c r="G14" s="47" t="str">
        <x:f>IF(ABS(D14-E14)&lt;=F14,"PASS","FAIL")</x:f>
        <x:v>PASS</x:v>
      </x:c>
      <x:c r="H14" s="47"/>
      <x:c r="I14" s="47"/>
      <x:c r="J14" s="47"/>
      <x:c r="K14" s="47"/>
      <x:c r="L14" s="47"/>
    </x:row>
    <x:row r="15" ht="15" hidden="0" customHeight="1">
      <x:c r="B15" s="47" t="str">
        <x:v>Demand</x:v>
      </x:c>
      <x:c r="C15" s="47" t="str">
        <x:v>Blood units/day</x:v>
      </x:c>
      <x:c r="D15" s="89" t="n">
        <x:f>'04 Demand'!Q17</x:f>
        <x:v>145.275</x:v>
      </x:c>
      <x:c r="E15" s="89" t="n">
        <x:v>145.275</x:v>
      </x:c>
      <x:c r="F15" s="89" t="n">
        <x:v>0.0001</x:v>
      </x:c>
      <x:c r="G15" s="47" t="str">
        <x:f>IF(ABS(D15-E15)&lt;=F15,"PASS","FAIL")</x:f>
        <x:v>PASS</x:v>
      </x:c>
      <x:c r="H15" s="47"/>
      <x:c r="I15" s="47"/>
      <x:c r="J15" s="47"/>
      <x:c r="K15" s="47"/>
      <x:c r="L15" s="47"/>
    </x:row>
    <x:row r="16" ht="15" hidden="0" customHeight="1">
      <x:c r="B16" s="47" t="str">
        <x:v>Demand</x:v>
      </x:c>
      <x:c r="C16" s="47" t="str">
        <x:v>Transfers/day</x:v>
      </x:c>
      <x:c r="D16" s="89" t="n">
        <x:f>'04 Demand'!R17</x:f>
        <x:v>51.9275</x:v>
      </x:c>
      <x:c r="E16" s="89" t="n">
        <x:v>51.9275</x:v>
      </x:c>
      <x:c r="F16" s="89" t="n">
        <x:v>0.0001</x:v>
      </x:c>
      <x:c r="G16" s="47" t="str">
        <x:f>IF(ABS(D16-E16)&lt;=F16,"PASS","FAIL")</x:f>
        <x:v>PASS</x:v>
      </x:c>
      <x:c r="H16" s="47"/>
      <x:c r="I16" s="47"/>
      <x:c r="J16" s="47"/>
      <x:c r="K16" s="47"/>
      <x:c r="L16" s="47"/>
    </x:row>
    <x:row r="17" ht="15" hidden="0" customHeight="1">
      <x:c r="B17" s="47" t="str">
        <x:v>Demand</x:v>
      </x:c>
      <x:c r="C17" s="47" t="str">
        <x:v>Discharges/day</x:v>
      </x:c>
      <x:c r="D17" s="89" t="n">
        <x:f>'04 Demand'!S17</x:f>
        <x:v>529.1700000000001</x:v>
      </x:c>
      <x:c r="E17" s="89" t="n">
        <x:v>529.17</x:v>
      </x:c>
      <x:c r="F17" s="89" t="n">
        <x:v>0.0001</x:v>
      </x:c>
      <x:c r="G17" s="47" t="str">
        <x:f>IF(ABS(D17-E17)&lt;=F17,"PASS","FAIL")</x:f>
        <x:v>PASS</x:v>
      </x:c>
      <x:c r="H17" s="47"/>
      <x:c r="I17" s="47"/>
      <x:c r="J17" s="47"/>
      <x:c r="K17" s="47"/>
      <x:c r="L17" s="47"/>
    </x:row>
    <x:row r="18" ht="15" hidden="0" customHeight="1">
      <x:c r="B18" s="47" t="str">
        <x:v>Islands</x:v>
      </x:c>
      <x:c r="C18" s="47" t="str">
        <x:v>Installed positions</x:v>
      </x:c>
      <x:c r="D18" s="89" t="n">
        <x:f>'05 Island capacity'!F17</x:f>
        <x:v>1200</x:v>
      </x:c>
      <x:c r="E18" s="89" t="n">
        <x:v>1200</x:v>
      </x:c>
      <x:c r="F18" s="89" t="n">
        <x:v>0.0001</x:v>
      </x:c>
      <x:c r="G18" s="47" t="str">
        <x:f>IF(ABS(D18-E18)&lt;=F18,"PASS","FAIL")</x:f>
        <x:v>PASS</x:v>
      </x:c>
      <x:c r="H18" s="47"/>
      <x:c r="I18" s="47"/>
      <x:c r="J18" s="47"/>
      <x:c r="K18" s="47"/>
      <x:c r="L18" s="47"/>
    </x:row>
    <x:row r="19" ht="15" hidden="0" customHeight="1">
      <x:c r="B19" s="47" t="str">
        <x:v>Islands</x:v>
      </x:c>
      <x:c r="C19" s="47" t="str">
        <x:v>After-loss positions</x:v>
      </x:c>
      <x:c r="D19" s="89" t="n">
        <x:f>'05 Island capacity'!G17</x:f>
        <x:v>960</x:v>
      </x:c>
      <x:c r="E19" s="89" t="n">
        <x:v>960</x:v>
      </x:c>
      <x:c r="F19" s="89" t="n">
        <x:v>0.0001</x:v>
      </x:c>
      <x:c r="G19" s="47" t="str">
        <x:f>IF(ABS(D19-E19)&lt;=F19,"PASS","FAIL")</x:f>
        <x:v>PASS</x:v>
      </x:c>
      <x:c r="H19" s="47"/>
      <x:c r="I19" s="47"/>
      <x:c r="J19" s="47"/>
      <x:c r="K19" s="47"/>
      <x:c r="L19" s="47"/>
    </x:row>
    <x:row r="20" ht="15" hidden="0" customHeight="1">
      <x:c r="B20" s="47" t="str">
        <x:v>Islands</x:v>
      </x:c>
      <x:c r="C20" s="47" t="str">
        <x:v>After-loss margin</x:v>
      </x:c>
      <x:c r="D20" s="89" t="n">
        <x:f>'05 Island capacity'!H17</x:f>
        <x:v>9</x:v>
      </x:c>
      <x:c r="E20" s="89" t="n">
        <x:v>9</x:v>
      </x:c>
      <x:c r="F20" s="89" t="n">
        <x:v>0.0001</x:v>
      </x:c>
      <x:c r="G20" s="47" t="str">
        <x:f>IF(ABS(D20-E20)&lt;=F20,"PASS","FAIL")</x:f>
        <x:v>PASS</x:v>
      </x:c>
      <x:c r="H20" s="47"/>
      <x:c r="I20" s="47"/>
      <x:c r="J20" s="47"/>
      <x:c r="K20" s="47"/>
      <x:c r="L20" s="47"/>
    </x:row>
    <x:row r="21" ht="15" hidden="0" customHeight="1">
      <x:c r="B21" s="47" t="str">
        <x:v>Workforce</x:v>
      </x:c>
      <x:c r="C21" s="47" t="str">
        <x:v>Direct roster</x:v>
      </x:c>
      <x:c r="D21" s="89" t="n">
        <x:f>'06 Workforce'!D24</x:f>
        <x:v>1613</x:v>
      </x:c>
      <x:c r="E21" s="89" t="n">
        <x:v>1613</x:v>
      </x:c>
      <x:c r="F21" s="89" t="n">
        <x:v>0.0001</x:v>
      </x:c>
      <x:c r="G21" s="47" t="str">
        <x:f>IF(ABS(D21-E21)&lt;=F21,"PASS","FAIL")</x:f>
        <x:v>PASS</x:v>
      </x:c>
      <x:c r="H21" s="47"/>
      <x:c r="I21" s="47"/>
      <x:c r="J21" s="47"/>
      <x:c r="K21" s="47"/>
      <x:c r="L21" s="47"/>
    </x:row>
    <x:row r="22" ht="15" hidden="0" customHeight="1">
      <x:c r="B22" s="47" t="str">
        <x:v>Workforce</x:v>
      </x:c>
      <x:c r="C22" s="47" t="str">
        <x:v>Support roster</x:v>
      </x:c>
      <x:c r="D22" s="89" t="n">
        <x:f>'06 Workforce'!D25</x:f>
        <x:v>2787</x:v>
      </x:c>
      <x:c r="E22" s="89" t="n">
        <x:v>2787</x:v>
      </x:c>
      <x:c r="F22" s="89" t="n">
        <x:v>0.0001</x:v>
      </x:c>
      <x:c r="G22" s="47" t="str">
        <x:f>IF(ABS(D22-E22)&lt;=F22,"PASS","FAIL")</x:f>
        <x:v>PASS</x:v>
      </x:c>
      <x:c r="H22" s="47"/>
      <x:c r="I22" s="47"/>
      <x:c r="J22" s="47"/>
      <x:c r="K22" s="47"/>
      <x:c r="L22" s="47"/>
    </x:row>
    <x:row r="23" ht="15" hidden="0" customHeight="1">
      <x:c r="B23" s="47" t="str">
        <x:v>Workforce</x:v>
      </x:c>
      <x:c r="C23" s="47" t="str">
        <x:v>Deployed roster</x:v>
      </x:c>
      <x:c r="D23" s="89" t="n">
        <x:f>'06 Workforce'!D26</x:f>
        <x:v>4400</x:v>
      </x:c>
      <x:c r="E23" s="89" t="n">
        <x:v>4400</x:v>
      </x:c>
      <x:c r="F23" s="89" t="n">
        <x:v>0.0001</x:v>
      </x:c>
      <x:c r="G23" s="47" t="str">
        <x:f>IF(ABS(D23-E23)&lt;=F23,"PASS","FAIL")</x:f>
        <x:v>PASS</x:v>
      </x:c>
      <x:c r="H23" s="47"/>
      <x:c r="I23" s="47"/>
      <x:c r="J23" s="47"/>
      <x:c r="K23" s="47"/>
      <x:c r="L23" s="47"/>
    </x:row>
    <x:row r="24" ht="15" hidden="0" customHeight="1">
      <x:c r="B24" s="47" t="str">
        <x:v>Workforce</x:v>
      </x:c>
      <x:c r="C24" s="47" t="str">
        <x:v>Establishment</x:v>
      </x:c>
      <x:c r="D24" s="89" t="n">
        <x:f>'06 Workforce'!D28</x:f>
        <x:v>15400</x:v>
      </x:c>
      <x:c r="E24" s="89" t="n">
        <x:v>15400</x:v>
      </x:c>
      <x:c r="F24" s="89" t="n">
        <x:v>0.0001</x:v>
      </x:c>
      <x:c r="G24" s="47" t="str">
        <x:f>IF(ABS(D24-E24)&lt;=F24,"PASS","FAIL")</x:f>
        <x:v>PASS</x:v>
      </x:c>
      <x:c r="H24" s="47"/>
      <x:c r="I24" s="47"/>
      <x:c r="J24" s="47"/>
      <x:c r="K24" s="47"/>
      <x:c r="L24" s="47"/>
    </x:row>
    <x:row r="25" ht="15" hidden="0" customHeight="1">
      <x:c r="B25" s="47" t="str">
        <x:v>Flow</x:v>
      </x:c>
      <x:c r="C25" s="47" t="str">
        <x:v>Transfer after-loss capacity</x:v>
      </x:c>
      <x:c r="D25" s="89" t="n">
        <x:f>'07 Patient flow'!G7</x:f>
        <x:v>60</x:v>
      </x:c>
      <x:c r="E25" s="89" t="n">
        <x:v>60</x:v>
      </x:c>
      <x:c r="F25" s="89" t="n">
        <x:v>0.0001</x:v>
      </x:c>
      <x:c r="G25" s="47" t="str">
        <x:f>IF(ABS(D25-E25)&lt;=F25,"PASS","FAIL")</x:f>
        <x:v>PASS</x:v>
      </x:c>
      <x:c r="H25" s="47"/>
      <x:c r="I25" s="47"/>
      <x:c r="J25" s="47"/>
      <x:c r="K25" s="47"/>
      <x:c r="L25" s="47"/>
    </x:row>
    <x:row r="26" ht="15" hidden="0" customHeight="1">
      <x:c r="B26" s="47" t="str">
        <x:v>Flow</x:v>
      </x:c>
      <x:c r="C26" s="47" t="str">
        <x:v>Transfer margin</x:v>
      </x:c>
      <x:c r="D26" s="89" t="n">
        <x:f>'07 Patient flow'!H7</x:f>
        <x:v>8.072499999999998</x:v>
      </x:c>
      <x:c r="E26" s="89" t="n">
        <x:v>8.0725</x:v>
      </x:c>
      <x:c r="F26" s="89" t="n">
        <x:v>0.0001</x:v>
      </x:c>
      <x:c r="G26" s="47" t="str">
        <x:f>IF(ABS(D26-E26)&lt;=F26,"PASS","FAIL")</x:f>
        <x:v>PASS</x:v>
      </x:c>
      <x:c r="H26" s="47"/>
      <x:c r="I26" s="47"/>
      <x:c r="J26" s="47"/>
      <x:c r="K26" s="47"/>
      <x:c r="L26" s="47"/>
    </x:row>
    <x:row r="27" ht="15" hidden="0" customHeight="1">
      <x:c r="B27" s="47" t="str">
        <x:v>Flow</x:v>
      </x:c>
      <x:c r="C27" s="47" t="str">
        <x:v>Discharge after-loss capacity</x:v>
      </x:c>
      <x:c r="D27" s="89" t="n">
        <x:f>'07 Patient flow'!G8</x:f>
        <x:v>600</x:v>
      </x:c>
      <x:c r="E27" s="89" t="n">
        <x:v>600</x:v>
      </x:c>
      <x:c r="F27" s="89" t="n">
        <x:v>0.0001</x:v>
      </x:c>
      <x:c r="G27" s="47" t="str">
        <x:f>IF(ABS(D27-E27)&lt;=F27,"PASS","FAIL")</x:f>
        <x:v>PASS</x:v>
      </x:c>
      <x:c r="H27" s="47"/>
      <x:c r="I27" s="47"/>
      <x:c r="J27" s="47"/>
      <x:c r="K27" s="47"/>
      <x:c r="L27" s="47"/>
    </x:row>
    <x:row r="28" ht="15" hidden="0" customHeight="1">
      <x:c r="B28" s="47" t="str">
        <x:v>Flow</x:v>
      </x:c>
      <x:c r="C28" s="47" t="str">
        <x:v>Discharge margin</x:v>
      </x:c>
      <x:c r="D28" s="89" t="n">
        <x:f>'07 Patient flow'!H8</x:f>
        <x:v>70.82999999999993</x:v>
      </x:c>
      <x:c r="E28" s="89" t="n">
        <x:v>70.83</x:v>
      </x:c>
      <x:c r="F28" s="89" t="n">
        <x:v>0.0001</x:v>
      </x:c>
      <x:c r="G28" s="47" t="str">
        <x:f>IF(ABS(D28-E28)&lt;=F28,"PASS","FAIL")</x:f>
        <x:v>PASS</x:v>
      </x:c>
      <x:c r="H28" s="47"/>
      <x:c r="I28" s="47"/>
      <x:c r="J28" s="47"/>
      <x:c r="K28" s="47"/>
      <x:c r="L28" s="47"/>
    </x:row>
    <x:row r="29" ht="15" hidden="0" customHeight="1">
      <x:c r="B29" s="47" t="str">
        <x:v>Power</x:v>
      </x:c>
      <x:c r="C29" s="47" t="str">
        <x:v>Support power</x:v>
      </x:c>
      <x:c r="D29" s="89" t="n">
        <x:f>'08 Power'!C32</x:f>
        <x:v>10.95</x:v>
      </x:c>
      <x:c r="E29" s="89" t="n">
        <x:v>10.95</x:v>
      </x:c>
      <x:c r="F29" s="89" t="n">
        <x:v>0.0001</x:v>
      </x:c>
      <x:c r="G29" s="47" t="str">
        <x:f>IF(ABS(D29-E29)&lt;=F29,"PASS","FAIL")</x:f>
        <x:v>PASS</x:v>
      </x:c>
      <x:c r="H29" s="47"/>
      <x:c r="I29" s="47"/>
      <x:c r="J29" s="47"/>
      <x:c r="K29" s="47"/>
      <x:c r="L29" s="47"/>
    </x:row>
    <x:row r="30" ht="15" hidden="0" customHeight="1">
      <x:c r="B30" s="47" t="str">
        <x:v>Power</x:v>
      </x:c>
      <x:c r="C30" s="47" t="str">
        <x:v>Continuous</x:v>
      </x:c>
      <x:c r="D30" s="89" t="n">
        <x:f>'08 Power'!D36</x:f>
        <x:v>17.409799999999997</x:v>
      </x:c>
      <x:c r="E30" s="89" t="n">
        <x:v>17.4098</x:v>
      </x:c>
      <x:c r="F30" s="89" t="n">
        <x:v>0.0001</x:v>
      </x:c>
      <x:c r="G30" s="47" t="str">
        <x:f>IF(ABS(D30-E30)&lt;=F30,"PASS","FAIL")</x:f>
        <x:v>PASS</x:v>
      </x:c>
      <x:c r="H30" s="47"/>
      <x:c r="I30" s="47"/>
      <x:c r="J30" s="47"/>
      <x:c r="K30" s="47"/>
      <x:c r="L30" s="47"/>
    </x:row>
    <x:row r="31" ht="15" hidden="0" customHeight="1">
      <x:c r="B31" s="47" t="str">
        <x:v>Power</x:v>
      </x:c>
      <x:c r="C31" s="47" t="str">
        <x:v>Peak</x:v>
      </x:c>
      <x:c r="D31" s="89" t="n">
        <x:f>'08 Power'!D37</x:f>
        <x:v>20.021269999999994</x:v>
      </x:c>
      <x:c r="E31" s="89" t="n">
        <x:v>20.02127</x:v>
      </x:c>
      <x:c r="F31" s="89" t="n">
        <x:v>0.0001</x:v>
      </x:c>
      <x:c r="G31" s="47" t="str">
        <x:f>IF(ABS(D31-E31)&lt;=F31,"PASS","FAIL")</x:f>
        <x:v>PASS</x:v>
      </x:c>
      <x:c r="H31" s="47"/>
      <x:c r="I31" s="47"/>
      <x:c r="J31" s="47"/>
      <x:c r="K31" s="47"/>
      <x:c r="L31" s="47"/>
    </x:row>
    <x:row r="32" ht="15" hidden="0" customHeight="1">
      <x:c r="B32" s="47" t="str">
        <x:v>Power</x:v>
      </x:c>
      <x:c r="C32" s="47" t="str">
        <x:v>SPC count</x:v>
      </x:c>
      <x:c r="D32" s="89" t="n">
        <x:f>'08 Power'!D38</x:f>
        <x:v>5</x:v>
      </x:c>
      <x:c r="E32" s="89" t="n">
        <x:v>5</x:v>
      </x:c>
      <x:c r="F32" s="89" t="n">
        <x:v>0.0001</x:v>
      </x:c>
      <x:c r="G32" s="47" t="str">
        <x:f>IF(ABS(D32-E32)&lt;=F32,"PASS","FAIL")</x:f>
        <x:v>PASS</x:v>
      </x:c>
      <x:c r="H32" s="47"/>
      <x:c r="I32" s="47"/>
      <x:c r="J32" s="47"/>
      <x:c r="K32" s="47"/>
      <x:c r="L32" s="47"/>
    </x:row>
    <x:row r="33" ht="15" hidden="0" customHeight="1">
      <x:c r="B33" s="47" t="str">
        <x:v>Power</x:v>
      </x:c>
      <x:c r="C33" s="47" t="str">
        <x:v>After-loss continuous</x:v>
      </x:c>
      <x:c r="D33" s="89" t="n">
        <x:f>'08 Power'!D40</x:f>
        <x:v>18</x:v>
      </x:c>
      <x:c r="E33" s="89" t="n">
        <x:v>18</x:v>
      </x:c>
      <x:c r="F33" s="89" t="n">
        <x:v>0.0001</x:v>
      </x:c>
      <x:c r="G33" s="47" t="str">
        <x:f>IF(ABS(D33-E33)&lt;=F33,"PASS","FAIL")</x:f>
        <x:v>PASS</x:v>
      </x:c>
      <x:c r="H33" s="47"/>
      <x:c r="I33" s="47"/>
      <x:c r="J33" s="47"/>
      <x:c r="K33" s="47"/>
      <x:c r="L33" s="47"/>
    </x:row>
    <x:row r="34" ht="15" hidden="0" customHeight="1">
      <x:c r="B34" s="47" t="str">
        <x:v>Power</x:v>
      </x:c>
      <x:c r="C34" s="47" t="str">
        <x:v>Continuous margin</x:v>
      </x:c>
      <x:c r="D34" s="89" t="n">
        <x:f>'08 Power'!D41</x:f>
        <x:v>0.590200000000003</x:v>
      </x:c>
      <x:c r="E34" s="89" t="n">
        <x:v>0.5902</x:v>
      </x:c>
      <x:c r="F34" s="89" t="n">
        <x:v>0.0001</x:v>
      </x:c>
      <x:c r="G34" s="47" t="str">
        <x:f>IF(ABS(D34-E34)&lt;=F34,"PASS","FAIL")</x:f>
        <x:v>PASS</x:v>
      </x:c>
      <x:c r="H34" s="47"/>
      <x:c r="I34" s="47"/>
      <x:c r="J34" s="47"/>
      <x:c r="K34" s="47"/>
      <x:c r="L34" s="47"/>
    </x:row>
    <x:row r="35" ht="15" hidden="0" customHeight="1">
      <x:c r="B35" s="47" t="str">
        <x:v>Power</x:v>
      </x:c>
      <x:c r="C35" s="47" t="str">
        <x:v>After-loss peak</x:v>
      </x:c>
      <x:c r="D35" s="89" t="n">
        <x:f>'08 Power'!D42</x:f>
        <x:v>25.2</x:v>
      </x:c>
      <x:c r="E35" s="89" t="n">
        <x:v>25.2</x:v>
      </x:c>
      <x:c r="F35" s="89" t="n">
        <x:v>0.0001</x:v>
      </x:c>
      <x:c r="G35" s="47" t="str">
        <x:f>IF(ABS(D35-E35)&lt;=F35,"PASS","FAIL")</x:f>
        <x:v>PASS</x:v>
      </x:c>
      <x:c r="H35" s="47"/>
      <x:c r="I35" s="47"/>
      <x:c r="J35" s="47"/>
      <x:c r="K35" s="47"/>
      <x:c r="L35" s="47"/>
    </x:row>
    <x:row r="36" ht="15" hidden="0" customHeight="1">
      <x:c r="B36" s="47" t="str">
        <x:v>Power</x:v>
      </x:c>
      <x:c r="C36" s="47" t="str">
        <x:v>Peak margin</x:v>
      </x:c>
      <x:c r="D36" s="89" t="n">
        <x:f>'08 Power'!D43</x:f>
        <x:v>5.178730000000005</x:v>
      </x:c>
      <x:c r="E36" s="89" t="n">
        <x:v>5.17873</x:v>
      </x:c>
      <x:c r="F36" s="89" t="n">
        <x:v>0.0001</x:v>
      </x:c>
      <x:c r="G36" s="47" t="str">
        <x:f>IF(ABS(D36-E36)&lt;=F36,"PASS","FAIL")</x:f>
        <x:v>PASS</x:v>
      </x:c>
      <x:c r="H36" s="47"/>
      <x:c r="I36" s="47"/>
      <x:c r="J36" s="47"/>
      <x:c r="K36" s="47"/>
      <x:c r="L36" s="47"/>
    </x:row>
    <x:row r="37" ht="15" hidden="0" customHeight="1">
      <x:c r="B37" s="47" t="str">
        <x:v>Power</x:v>
      </x:c>
      <x:c r="C37" s="47" t="str">
        <x:v>Diagnostic less derived</x:v>
      </x:c>
      <x:c r="D37" s="89" t="n">
        <x:f>'08 Power'!D45</x:f>
        <x:v>4.590200000000003</x:v>
      </x:c>
      <x:c r="E37" s="89" t="n">
        <x:v>4.5902</x:v>
      </x:c>
      <x:c r="F37" s="89" t="n">
        <x:v>0.0001</x:v>
      </x:c>
      <x:c r="G37" s="47" t="str">
        <x:f>IF(ABS(D37-E37)&lt;=F37,"PASS","FAIL")</x:f>
        <x:v>PASS</x:v>
      </x:c>
      <x:c r="H37" s="47"/>
      <x:c r="I37" s="47"/>
      <x:c r="J37" s="47"/>
      <x:c r="K37" s="47"/>
      <x:c r="L37" s="47"/>
    </x:row>
    <x:row r="38" ht="15" hidden="0" customHeight="1">
      <x:c r="B38" s="47" t="str">
        <x:v>Power</x:v>
      </x:c>
      <x:c r="C38" s="47" t="str">
        <x:v>Protection nodes</x:v>
      </x:c>
      <x:c r="D38" s="89" t="n">
        <x:f>'08 Power'!D46</x:f>
        <x:v>7</x:v>
      </x:c>
      <x:c r="E38" s="89" t="n">
        <x:v>7</x:v>
      </x:c>
      <x:c r="F38" s="89" t="n">
        <x:v>0.0001</x:v>
      </x:c>
      <x:c r="G38" s="47" t="str">
        <x:f>IF(ABS(D38-E38)&lt;=F38,"PASS","FAIL")</x:f>
        <x:v>PASS</x:v>
      </x:c>
      <x:c r="H38" s="47"/>
      <x:c r="I38" s="47"/>
      <x:c r="J38" s="47"/>
      <x:c r="K38" s="47"/>
      <x:c r="L38" s="47"/>
    </x:row>
    <x:row r="39" ht="15" hidden="0" customHeight="1">
      <x:c r="B39" s="47" t="str">
        <x:v>Power</x:v>
      </x:c>
      <x:c r="C39" s="47" t="str">
        <x:v>Control cells</x:v>
      </x:c>
      <x:c r="D39" s="89" t="n">
        <x:f>'08 Power'!D47</x:f>
        <x:v>6</x:v>
      </x:c>
      <x:c r="E39" s="89" t="n">
        <x:v>6</x:v>
      </x:c>
      <x:c r="F39" s="89" t="n">
        <x:v>0.0001</x:v>
      </x:c>
      <x:c r="G39" s="47" t="str">
        <x:f>IF(ABS(D39-E39)&lt;=F39,"PASS","FAIL")</x:f>
        <x:v>PASS</x:v>
      </x:c>
      <x:c r="H39" s="47"/>
      <x:c r="I39" s="47"/>
      <x:c r="J39" s="47"/>
      <x:c r="K39" s="47"/>
      <x:c r="L39" s="47"/>
    </x:row>
    <x:row r="40" ht="15" hidden="0" customHeight="1">
      <x:c r="B40" s="47" t="str">
        <x:v>Power</x:v>
      </x:c>
      <x:c r="C40" s="47" t="str">
        <x:v>Electrical subset articles</x:v>
      </x:c>
      <x:c r="D40" s="89" t="n">
        <x:f>'08 Power'!D48</x:f>
        <x:v>21</x:v>
      </x:c>
      <x:c r="E40" s="89" t="n">
        <x:v>21</x:v>
      </x:c>
      <x:c r="F40" s="89" t="n">
        <x:v>0.0001</x:v>
      </x:c>
      <x:c r="G40" s="47" t="str">
        <x:f>IF(ABS(D40-E40)&lt;=F40,"PASS","FAIL")</x:f>
        <x:v>PASS</x:v>
      </x:c>
      <x:c r="H40" s="47"/>
      <x:c r="I40" s="47"/>
      <x:c r="J40" s="47"/>
      <x:c r="K40" s="47"/>
      <x:c r="L40" s="47"/>
    </x:row>
    <x:row r="41" ht="15" hidden="0" customHeight="1">
      <x:c r="B41" s="47" t="str">
        <x:v>No-break</x:v>
      </x:c>
      <x:c r="C41" s="47" t="str">
        <x:v>Total MW</x:v>
      </x:c>
      <x:c r="D41" s="89" t="n">
        <x:f>'09 No-break'!D34</x:f>
        <x:v>9.7887</x:v>
      </x:c>
      <x:c r="E41" s="89" t="n">
        <x:v>9.7887</x:v>
      </x:c>
      <x:c r="F41" s="89" t="n">
        <x:v>0.0001</x:v>
      </x:c>
      <x:c r="G41" s="47" t="str">
        <x:f>IF(ABS(D41-E41)&lt;=F41,"PASS","FAIL")</x:f>
        <x:v>PASS</x:v>
      </x:c>
      <x:c r="H41" s="47"/>
      <x:c r="I41" s="47"/>
      <x:c r="J41" s="47"/>
      <x:c r="K41" s="47"/>
      <x:c r="L41" s="47"/>
    </x:row>
    <x:row r="42" ht="15" hidden="0" customHeight="1">
      <x:c r="B42" s="47" t="str">
        <x:v>No-break</x:v>
      </x:c>
      <x:c r="C42" s="47" t="str">
        <x:v>Required energy</x:v>
      </x:c>
      <x:c r="D42" s="89" t="n">
        <x:f>'09 No-break'!D36</x:f>
        <x:v>7.979918478260869</x:v>
      </x:c>
      <x:c r="E42" s="89" t="n">
        <x:v>7.979918</x:v>
      </x:c>
      <x:c r="F42" s="89" t="n">
        <x:v>0.0001</x:v>
      </x:c>
      <x:c r="G42" s="47" t="str">
        <x:f>IF(ABS(D42-E42)&lt;=F42,"PASS","FAIL")</x:f>
        <x:v>PASS</x:v>
      </x:c>
      <x:c r="H42" s="47"/>
      <x:c r="I42" s="47"/>
      <x:c r="J42" s="47"/>
      <x:c r="K42" s="47"/>
      <x:c r="L42" s="47"/>
    </x:row>
    <x:row r="43" ht="15" hidden="0" customHeight="1">
      <x:c r="B43" s="47" t="str">
        <x:v>No-break</x:v>
      </x:c>
      <x:c r="C43" s="47" t="str">
        <x:v>BSS count</x:v>
      </x:c>
      <x:c r="D43" s="89" t="n">
        <x:f>'09 No-break'!D35</x:f>
        <x:v>3</x:v>
      </x:c>
      <x:c r="E43" s="89" t="n">
        <x:v>3</x:v>
      </x:c>
      <x:c r="F43" s="89" t="n">
        <x:v>0.0001</x:v>
      </x:c>
      <x:c r="G43" s="47" t="str">
        <x:f>IF(ABS(D43-E43)&lt;=F43,"PASS","FAIL")</x:f>
        <x:v>PASS</x:v>
      </x:c>
      <x:c r="H43" s="47"/>
      <x:c r="I43" s="47"/>
      <x:c r="J43" s="47"/>
      <x:c r="K43" s="47"/>
      <x:c r="L43" s="47"/>
    </x:row>
    <x:row r="44" ht="15" hidden="0" customHeight="1">
      <x:c r="B44" s="47" t="str">
        <x:v>No-break</x:v>
      </x:c>
      <x:c r="C44" s="47" t="str">
        <x:v>After-loss power</x:v>
      </x:c>
      <x:c r="D44" s="89" t="n">
        <x:f>'09 No-break'!D37</x:f>
        <x:v>20</x:v>
      </x:c>
      <x:c r="E44" s="89" t="n">
        <x:v>20</x:v>
      </x:c>
      <x:c r="F44" s="89" t="n">
        <x:v>0.0001</x:v>
      </x:c>
      <x:c r="G44" s="47" t="str">
        <x:f>IF(ABS(D44-E44)&lt;=F44,"PASS","FAIL")</x:f>
        <x:v>PASS</x:v>
      </x:c>
      <x:c r="H44" s="47"/>
      <x:c r="I44" s="47"/>
      <x:c r="J44" s="47"/>
      <x:c r="K44" s="47"/>
      <x:c r="L44" s="47"/>
    </x:row>
    <x:row r="45" ht="15" hidden="0" customHeight="1">
      <x:c r="B45" s="47" t="str">
        <x:v>No-break</x:v>
      </x:c>
      <x:c r="C45" s="47" t="str">
        <x:v>After-loss energy</x:v>
      </x:c>
      <x:c r="D45" s="89" t="n">
        <x:f>'09 No-break'!D38</x:f>
        <x:v>10</x:v>
      </x:c>
      <x:c r="E45" s="89" t="n">
        <x:v>10</x:v>
      </x:c>
      <x:c r="F45" s="89" t="n">
        <x:v>0.0001</x:v>
      </x:c>
      <x:c r="G45" s="47" t="str">
        <x:f>IF(ABS(D45-E45)&lt;=F45,"PASS","FAIL")</x:f>
        <x:v>PASS</x:v>
      </x:c>
      <x:c r="H45" s="47"/>
      <x:c r="I45" s="47"/>
      <x:c r="J45" s="47"/>
      <x:c r="K45" s="47"/>
      <x:c r="L45" s="47"/>
    </x:row>
    <x:row r="46" ht="15" hidden="0" customHeight="1">
      <x:c r="B46" s="47" t="str">
        <x:v>No-break</x:v>
      </x:c>
      <x:c r="C46" s="47" t="str">
        <x:v>Power margin</x:v>
      </x:c>
      <x:c r="D46" s="89" t="n">
        <x:f>'09 No-break'!D39</x:f>
        <x:v>10.2113</x:v>
      </x:c>
      <x:c r="E46" s="89" t="n">
        <x:v>10.2113</x:v>
      </x:c>
      <x:c r="F46" s="89" t="n">
        <x:v>0.0001</x:v>
      </x:c>
      <x:c r="G46" s="47" t="str">
        <x:f>IF(ABS(D46-E46)&lt;=F46,"PASS","FAIL")</x:f>
        <x:v>PASS</x:v>
      </x:c>
      <x:c r="H46" s="47"/>
      <x:c r="I46" s="47"/>
      <x:c r="J46" s="47"/>
      <x:c r="K46" s="47"/>
      <x:c r="L46" s="47"/>
    </x:row>
    <x:row r="47" ht="15" hidden="0" customHeight="1">
      <x:c r="B47" s="47" t="str">
        <x:v>No-break</x:v>
      </x:c>
      <x:c r="C47" s="47" t="str">
        <x:v>Energy margin</x:v>
      </x:c>
      <x:c r="D47" s="89" t="n">
        <x:f>'09 No-break'!D40</x:f>
        <x:v>2.0200815217391312</x:v>
      </x:c>
      <x:c r="E47" s="89" t="n">
        <x:v>2.020082</x:v>
      </x:c>
      <x:c r="F47" s="89" t="n">
        <x:v>0.0001</x:v>
      </x:c>
      <x:c r="G47" s="47" t="str">
        <x:f>IF(ABS(D47-E47)&lt;=F47,"PASS","FAIL")</x:f>
        <x:v>PASS</x:v>
      </x:c>
      <x:c r="H47" s="47"/>
      <x:c r="I47" s="47"/>
      <x:c r="J47" s="47"/>
      <x:c r="K47" s="47"/>
      <x:c r="L47" s="47"/>
    </x:row>
    <x:row r="48" ht="15" hidden="0" customHeight="1">
      <x:c r="B48" s="47" t="str">
        <x:v>Utilities</x:v>
      </x:c>
      <x:c r="C48" s="47" t="str">
        <x:v>Oxygen required</x:v>
      </x:c>
      <x:c r="D48" s="89" t="n">
        <x:f>'10 Clinical utilities'!E7</x:f>
        <x:v>7696.25</x:v>
      </x:c>
      <x:c r="E48" s="89" t="n">
        <x:v>7696.25</x:v>
      </x:c>
      <x:c r="F48" s="89" t="n">
        <x:v>0.0001</x:v>
      </x:c>
      <x:c r="G48" s="47" t="str">
        <x:f>IF(ABS(D48-E48)&lt;=F48,"PASS","FAIL")</x:f>
        <x:v>PASS</x:v>
      </x:c>
      <x:c r="H48" s="47"/>
      <x:c r="I48" s="47"/>
      <x:c r="J48" s="47"/>
      <x:c r="K48" s="47"/>
      <x:c r="L48" s="47"/>
    </x:row>
    <x:row r="49" ht="15" hidden="0" customHeight="1">
      <x:c r="B49" s="47" t="str">
        <x:v>Utilities</x:v>
      </x:c>
      <x:c r="C49" s="47" t="str">
        <x:v>OGN count</x:v>
      </x:c>
      <x:c r="D49" s="89" t="n">
        <x:f>'10 Clinical utilities'!H7</x:f>
        <x:v>3</x:v>
      </x:c>
      <x:c r="E49" s="89" t="n">
        <x:v>3</x:v>
      </x:c>
      <x:c r="F49" s="89" t="n">
        <x:v>0.0001</x:v>
      </x:c>
      <x:c r="G49" s="47" t="str">
        <x:f>IF(ABS(D49-E49)&lt;=F49,"PASS","FAIL")</x:f>
        <x:v>PASS</x:v>
      </x:c>
      <x:c r="H49" s="47"/>
      <x:c r="I49" s="47"/>
      <x:c r="J49" s="47"/>
      <x:c r="K49" s="47"/>
      <x:c r="L49" s="47"/>
    </x:row>
    <x:row r="50" ht="15" hidden="0" customHeight="1">
      <x:c r="B50" s="47" t="str">
        <x:v>Utilities</x:v>
      </x:c>
      <x:c r="C50" s="47" t="str">
        <x:v>Oxygen production margin</x:v>
      </x:c>
      <x:c r="D50" s="89" t="n">
        <x:f>'10 Clinical utilities'!J7</x:f>
        <x:v>303.75</x:v>
      </x:c>
      <x:c r="E50" s="89" t="n">
        <x:v>303.75</x:v>
      </x:c>
      <x:c r="F50" s="89" t="n">
        <x:v>0.0001</x:v>
      </x:c>
      <x:c r="G50" s="47" t="str">
        <x:f>IF(ABS(D50-E50)&lt;=F50,"PASS","FAIL")</x:f>
        <x:v>PASS</x:v>
      </x:c>
      <x:c r="H50" s="47"/>
      <x:c r="I50" s="47"/>
      <x:c r="J50" s="47"/>
      <x:c r="K50" s="47"/>
      <x:c r="L50" s="47"/>
    </x:row>
    <x:row r="51" ht="15" hidden="0" customHeight="1">
      <x:c r="B51" s="47" t="str">
        <x:v>Utilities</x:v>
      </x:c>
      <x:c r="C51" s="47" t="str">
        <x:v>Oxygen storage required</x:v>
      </x:c>
      <x:c r="D51" s="89" t="n">
        <x:f>'10 Clinical utilities'!E8</x:f>
        <x:v>15392.5</x:v>
      </x:c>
      <x:c r="E51" s="89" t="n">
        <x:v>15392.5</x:v>
      </x:c>
      <x:c r="F51" s="89" t="n">
        <x:v>0.0001</x:v>
      </x:c>
      <x:c r="G51" s="47" t="str">
        <x:f>IF(ABS(D51-E51)&lt;=F51,"PASS","FAIL")</x:f>
        <x:v>PASS</x:v>
      </x:c>
      <x:c r="H51" s="47"/>
      <x:c r="I51" s="47"/>
      <x:c r="J51" s="47"/>
      <x:c r="K51" s="47"/>
      <x:c r="L51" s="47"/>
    </x:row>
    <x:row r="52" ht="15" hidden="0" customHeight="1">
      <x:c r="B52" s="47" t="str">
        <x:v>Utilities</x:v>
      </x:c>
      <x:c r="C52" s="47" t="str">
        <x:v>OXR count</x:v>
      </x:c>
      <x:c r="D52" s="89" t="n">
        <x:f>'10 Clinical utilities'!H8</x:f>
        <x:v>5</x:v>
      </x:c>
      <x:c r="E52" s="89" t="n">
        <x:v>5</x:v>
      </x:c>
      <x:c r="F52" s="89" t="n">
        <x:v>0.0001</x:v>
      </x:c>
      <x:c r="G52" s="47" t="str">
        <x:f>IF(ABS(D52-E52)&lt;=F52,"PASS","FAIL")</x:f>
        <x:v>PASS</x:v>
      </x:c>
      <x:c r="H52" s="47"/>
      <x:c r="I52" s="47"/>
      <x:c r="J52" s="47"/>
      <x:c r="K52" s="47"/>
      <x:c r="L52" s="47"/>
    </x:row>
    <x:row r="53" ht="15" hidden="0" customHeight="1">
      <x:c r="B53" s="47" t="str">
        <x:v>Utilities</x:v>
      </x:c>
      <x:c r="C53" s="47" t="str">
        <x:v>Oxygen storage margin</x:v>
      </x:c>
      <x:c r="D53" s="89" t="n">
        <x:f>'10 Clinical utilities'!J8</x:f>
        <x:v>607.5</x:v>
      </x:c>
      <x:c r="E53" s="89" t="n">
        <x:v>607.5</x:v>
      </x:c>
      <x:c r="F53" s="89" t="n">
        <x:v>0.0001</x:v>
      </x:c>
      <x:c r="G53" s="47" t="str">
        <x:f>IF(ABS(D53-E53)&lt;=F53,"PASS","FAIL")</x:f>
        <x:v>PASS</x:v>
      </x:c>
      <x:c r="H53" s="47"/>
      <x:c r="I53" s="47"/>
      <x:c r="J53" s="47"/>
      <x:c r="K53" s="47"/>
      <x:c r="L53" s="47"/>
    </x:row>
    <x:row r="54" ht="15" hidden="0" customHeight="1">
      <x:c r="B54" s="47" t="str">
        <x:v>Utilities</x:v>
      </x:c>
      <x:c r="C54" s="47" t="str">
        <x:v>Staff water</x:v>
      </x:c>
      <x:c r="D54" s="89" t="n">
        <x:f>'10 Clinical utilities'!C10</x:f>
        <x:v>352</x:v>
      </x:c>
      <x:c r="E54" s="89" t="n">
        <x:v>352</x:v>
      </x:c>
      <x:c r="F54" s="89" t="n">
        <x:v>0.0001</x:v>
      </x:c>
      <x:c r="G54" s="47" t="str">
        <x:f>IF(ABS(D54-E54)&lt;=F54,"PASS","FAIL")</x:f>
        <x:v>PASS</x:v>
      </x:c>
      <x:c r="H54" s="47"/>
      <x:c r="I54" s="47"/>
      <x:c r="J54" s="47"/>
      <x:c r="K54" s="47"/>
      <x:c r="L54" s="47"/>
    </x:row>
    <x:row r="55" ht="15" hidden="0" customHeight="1">
      <x:c r="B55" s="47" t="str">
        <x:v>Utilities</x:v>
      </x:c>
      <x:c r="C55" s="47" t="str">
        <x:v>Base water</x:v>
      </x:c>
      <x:c r="D55" s="89" t="n">
        <x:f>'10 Clinical utilities'!C12</x:f>
        <x:v>843.0899999999999</x:v>
      </x:c>
      <x:c r="E55" s="89" t="n">
        <x:v>843.09</x:v>
      </x:c>
      <x:c r="F55" s="89" t="n">
        <x:v>0.0001</x:v>
      </x:c>
      <x:c r="G55" s="47" t="str">
        <x:f>IF(ABS(D55-E55)&lt;=F55,"PASS","FAIL")</x:f>
        <x:v>PASS</x:v>
      </x:c>
      <x:c r="H55" s="47"/>
      <x:c r="I55" s="47"/>
      <x:c r="J55" s="47"/>
      <x:c r="K55" s="47"/>
      <x:c r="L55" s="47"/>
    </x:row>
    <x:row r="56" ht="15" hidden="0" customHeight="1">
      <x:c r="B56" s="47" t="str">
        <x:v>Utilities</x:v>
      </x:c>
      <x:c r="C56" s="47" t="str">
        <x:v>Required water</x:v>
      </x:c>
      <x:c r="D56" s="89" t="n">
        <x:f>'10 Clinical utilities'!E12</x:f>
        <x:v>1053.8625</x:v>
      </x:c>
      <x:c r="E56" s="89" t="n">
        <x:v>1053.8625</x:v>
      </x:c>
      <x:c r="F56" s="89" t="n">
        <x:v>0.0001</x:v>
      </x:c>
      <x:c r="G56" s="47" t="str">
        <x:f>IF(ABS(D56-E56)&lt;=F56,"PASS","FAIL")</x:f>
        <x:v>PASS</x:v>
      </x:c>
      <x:c r="H56" s="47"/>
      <x:c r="I56" s="47"/>
      <x:c r="J56" s="47"/>
      <x:c r="K56" s="47"/>
      <x:c r="L56" s="47"/>
    </x:row>
    <x:row r="57" ht="15" hidden="0" customHeight="1">
      <x:c r="B57" s="47" t="str">
        <x:v>Utilities</x:v>
      </x:c>
      <x:c r="C57" s="47" t="str">
        <x:v>WGN count</x:v>
      </x:c>
      <x:c r="D57" s="89" t="n">
        <x:f>'10 Clinical utilities'!H13</x:f>
        <x:v>4</x:v>
      </x:c>
      <x:c r="E57" s="89" t="n">
        <x:v>4</x:v>
      </x:c>
      <x:c r="F57" s="89" t="n">
        <x:v>0.0001</x:v>
      </x:c>
      <x:c r="G57" s="47" t="str">
        <x:f>IF(ABS(D57-E57)&lt;=F57,"PASS","FAIL")</x:f>
        <x:v>PASS</x:v>
      </x:c>
      <x:c r="H57" s="47"/>
      <x:c r="I57" s="47"/>
      <x:c r="J57" s="47"/>
      <x:c r="K57" s="47"/>
      <x:c r="L57" s="47"/>
    </x:row>
    <x:row r="58" ht="15" hidden="0" customHeight="1">
      <x:c r="B58" s="47" t="str">
        <x:v>Utilities</x:v>
      </x:c>
      <x:c r="C58" s="47" t="str">
        <x:v>Water production margin</x:v>
      </x:c>
      <x:c r="D58" s="89" t="n">
        <x:f>'10 Clinical utilities'!J13</x:f>
        <x:v>146.13750000000005</x:v>
      </x:c>
      <x:c r="E58" s="89" t="n">
        <x:v>146.1375</x:v>
      </x:c>
      <x:c r="F58" s="89" t="n">
        <x:v>0.0001</x:v>
      </x:c>
      <x:c r="G58" s="47" t="str">
        <x:f>IF(ABS(D58-E58)&lt;=F58,"PASS","FAIL")</x:f>
        <x:v>PASS</x:v>
      </x:c>
      <x:c r="H58" s="47"/>
      <x:c r="I58" s="47"/>
      <x:c r="J58" s="47"/>
      <x:c r="K58" s="47"/>
      <x:c r="L58" s="47"/>
    </x:row>
    <x:row r="59" ht="15" hidden="0" customHeight="1">
      <x:c r="B59" s="47" t="str">
        <x:v>Utilities</x:v>
      </x:c>
      <x:c r="C59" s="47" t="str">
        <x:v>Water storage required</x:v>
      </x:c>
      <x:c r="D59" s="89" t="n">
        <x:f>'10 Clinical utilities'!E14</x:f>
        <x:v>2107.725</x:v>
      </x:c>
      <x:c r="E59" s="89" t="n">
        <x:v>2107.725</x:v>
      </x:c>
      <x:c r="F59" s="89" t="n">
        <x:v>0.0001</x:v>
      </x:c>
      <x:c r="G59" s="47" t="str">
        <x:f>IF(ABS(D59-E59)&lt;=F59,"PASS","FAIL")</x:f>
        <x:v>PASS</x:v>
      </x:c>
      <x:c r="H59" s="47"/>
      <x:c r="I59" s="47"/>
      <x:c r="J59" s="47"/>
      <x:c r="K59" s="47"/>
      <x:c r="L59" s="47"/>
    </x:row>
    <x:row r="60" ht="15" hidden="0" customHeight="1">
      <x:c r="B60" s="47" t="str">
        <x:v>Utilities</x:v>
      </x:c>
      <x:c r="C60" s="47" t="str">
        <x:v>WST count</x:v>
      </x:c>
      <x:c r="D60" s="89" t="n">
        <x:f>'10 Clinical utilities'!H14</x:f>
        <x:v>4</x:v>
      </x:c>
      <x:c r="E60" s="89" t="n">
        <x:v>4</x:v>
      </x:c>
      <x:c r="F60" s="89" t="n">
        <x:v>0.0001</x:v>
      </x:c>
      <x:c r="G60" s="47" t="str">
        <x:f>IF(ABS(D60-E60)&lt;=F60,"PASS","FAIL")</x:f>
        <x:v>PASS</x:v>
      </x:c>
      <x:c r="H60" s="47"/>
      <x:c r="I60" s="47"/>
      <x:c r="J60" s="47"/>
      <x:c r="K60" s="47"/>
      <x:c r="L60" s="47"/>
    </x:row>
    <x:row r="61" ht="15" hidden="0" customHeight="1">
      <x:c r="B61" s="47" t="str">
        <x:v>Utilities</x:v>
      </x:c>
      <x:c r="C61" s="47" t="str">
        <x:v>Water storage margin</x:v>
      </x:c>
      <x:c r="D61" s="89" t="n">
        <x:f>'10 Clinical utilities'!J14</x:f>
        <x:v>52.27500000000009</x:v>
      </x:c>
      <x:c r="E61" s="89" t="n">
        <x:v>52.275</x:v>
      </x:c>
      <x:c r="F61" s="89" t="n">
        <x:v>0.0001</x:v>
      </x:c>
      <x:c r="G61" s="47" t="str">
        <x:f>IF(ABS(D61-E61)&lt;=F61,"PASS","FAIL")</x:f>
        <x:v>PASS</x:v>
      </x:c>
      <x:c r="H61" s="47"/>
      <x:c r="I61" s="47"/>
      <x:c r="J61" s="47"/>
      <x:c r="K61" s="47"/>
      <x:c r="L61" s="47"/>
    </x:row>
    <x:row r="62" ht="15" hidden="0" customHeight="1">
      <x:c r="B62" s="47" t="str">
        <x:v>Utilities</x:v>
      </x:c>
      <x:c r="C62" s="47" t="str">
        <x:v>Wastewater required</x:v>
      </x:c>
      <x:c r="D62" s="89" t="n">
        <x:f>'10 Clinical utilities'!E15</x:f>
        <x:v>948.4762499999999</x:v>
      </x:c>
      <x:c r="E62" s="89" t="n">
        <x:v>948.47625</x:v>
      </x:c>
      <x:c r="F62" s="89" t="n">
        <x:v>0.0001</x:v>
      </x:c>
      <x:c r="G62" s="47" t="str">
        <x:f>IF(ABS(D62-E62)&lt;=F62,"PASS","FAIL")</x:f>
        <x:v>PASS</x:v>
      </x:c>
      <x:c r="H62" s="47"/>
      <x:c r="I62" s="47"/>
      <x:c r="J62" s="47"/>
      <x:c r="K62" s="47"/>
      <x:c r="L62" s="47"/>
    </x:row>
    <x:row r="63" ht="15" hidden="0" customHeight="1">
      <x:c r="B63" s="47" t="str">
        <x:v>Utilities</x:v>
      </x:c>
      <x:c r="C63" s="47" t="str">
        <x:v>WWT count</x:v>
      </x:c>
      <x:c r="D63" s="89" t="n">
        <x:f>'10 Clinical utilities'!H15</x:f>
        <x:v>4</x:v>
      </x:c>
      <x:c r="E63" s="89" t="n">
        <x:v>4</x:v>
      </x:c>
      <x:c r="F63" s="89" t="n">
        <x:v>0.0001</x:v>
      </x:c>
      <x:c r="G63" s="47" t="str">
        <x:f>IF(ABS(D63-E63)&lt;=F63,"PASS","FAIL")</x:f>
        <x:v>PASS</x:v>
      </x:c>
      <x:c r="H63" s="47"/>
      <x:c r="I63" s="47"/>
      <x:c r="J63" s="47"/>
      <x:c r="K63" s="47"/>
      <x:c r="L63" s="47"/>
    </x:row>
    <x:row r="64" ht="15" hidden="0" customHeight="1">
      <x:c r="B64" s="47" t="str">
        <x:v>Utilities</x:v>
      </x:c>
      <x:c r="C64" s="47" t="str">
        <x:v>Wastewater margin</x:v>
      </x:c>
      <x:c r="D64" s="89" t="n">
        <x:f>'10 Clinical utilities'!J15</x:f>
        <x:v>101.52375000000006</x:v>
      </x:c>
      <x:c r="E64" s="89" t="n">
        <x:v>101.52375</x:v>
      </x:c>
      <x:c r="F64" s="89" t="n">
        <x:v>0.0001</x:v>
      </x:c>
      <x:c r="G64" s="47" t="str">
        <x:f>IF(ABS(D64-E64)&lt;=F64,"PASS","FAIL")</x:f>
        <x:v>PASS</x:v>
      </x:c>
      <x:c r="H64" s="47"/>
      <x:c r="I64" s="47"/>
      <x:c r="J64" s="47"/>
      <x:c r="K64" s="47"/>
      <x:c r="L64" s="47"/>
    </x:row>
    <x:row r="65" ht="15" hidden="0" customHeight="1">
      <x:c r="B65" s="47" t="str">
        <x:v>Utilities</x:v>
      </x:c>
      <x:c r="C65" s="47" t="str">
        <x:v>Waste required</x:v>
      </x:c>
      <x:c r="D65" s="89" t="n">
        <x:f>'10 Clinical utilities'!E16</x:f>
        <x:v>4.441281249999999</x:v>
      </x:c>
      <x:c r="E65" s="89" t="n">
        <x:v>4.44128125</x:v>
      </x:c>
      <x:c r="F65" s="89" t="n">
        <x:v>0.000001</x:v>
      </x:c>
      <x:c r="G65" s="47" t="str">
        <x:f>IF(ABS(D65-E65)&lt;=F65,"PASS","FAIL")</x:f>
        <x:v>PASS</x:v>
      </x:c>
      <x:c r="H65" s="47"/>
      <x:c r="I65" s="47"/>
      <x:c r="J65" s="47"/>
      <x:c r="K65" s="47"/>
      <x:c r="L65" s="47"/>
    </x:row>
    <x:row r="66" ht="15" hidden="0" customHeight="1">
      <x:c r="B66" s="47" t="str">
        <x:v>Utilities</x:v>
      </x:c>
      <x:c r="C66" s="47" t="str">
        <x:v>MWT count</x:v>
      </x:c>
      <x:c r="D66" s="89" t="n">
        <x:f>'10 Clinical utilities'!H16</x:f>
        <x:v>3</x:v>
      </x:c>
      <x:c r="E66" s="89" t="n">
        <x:v>3</x:v>
      </x:c>
      <x:c r="F66" s="89" t="n">
        <x:v>0.0001</x:v>
      </x:c>
      <x:c r="G66" s="47" t="str">
        <x:f>IF(ABS(D66-E66)&lt;=F66,"PASS","FAIL")</x:f>
        <x:v>PASS</x:v>
      </x:c>
      <x:c r="H66" s="47"/>
      <x:c r="I66" s="47"/>
      <x:c r="J66" s="47"/>
      <x:c r="K66" s="47"/>
      <x:c r="L66" s="47"/>
    </x:row>
    <x:row r="67" ht="15" hidden="0" customHeight="1">
      <x:c r="B67" s="47" t="str">
        <x:v>Utilities</x:v>
      </x:c>
      <x:c r="C67" s="47" t="str">
        <x:v>Waste margin</x:v>
      </x:c>
      <x:c r="D67" s="89" t="n">
        <x:f>'10 Clinical utilities'!J16</x:f>
        <x:v>0.5587187500000006</x:v>
      </x:c>
      <x:c r="E67" s="89" t="n">
        <x:v>0.55871875</x:v>
      </x:c>
      <x:c r="F67" s="89" t="n">
        <x:v>0.000001</x:v>
      </x:c>
      <x:c r="G67" s="47" t="str">
        <x:f>IF(ABS(D67-E67)&lt;=F67,"PASS","FAIL")</x:f>
        <x:v>PASS</x:v>
      </x:c>
      <x:c r="H67" s="47"/>
      <x:c r="I67" s="47"/>
      <x:c r="J67" s="47"/>
      <x:c r="K67" s="47"/>
      <x:c r="L67" s="47"/>
    </x:row>
    <x:row r="68" ht="15" hidden="0" customHeight="1">
      <x:c r="B68" s="47" t="str">
        <x:v>Utilities</x:v>
      </x:c>
      <x:c r="C68" s="47" t="str">
        <x:v>Lab required</x:v>
      </x:c>
      <x:c r="D68" s="89" t="n">
        <x:f>'10 Clinical utilities'!E17</x:f>
        <x:v>3707.5199999999995</x:v>
      </x:c>
      <x:c r="E68" s="89" t="n">
        <x:v>3707.52</x:v>
      </x:c>
      <x:c r="F68" s="89" t="n">
        <x:v>0.0001</x:v>
      </x:c>
      <x:c r="G68" s="47" t="str">
        <x:f>IF(ABS(D68-E68)&lt;=F68,"PASS","FAIL")</x:f>
        <x:v>PASS</x:v>
      </x:c>
      <x:c r="H68" s="47"/>
      <x:c r="I68" s="47"/>
      <x:c r="J68" s="47"/>
      <x:c r="K68" s="47"/>
      <x:c r="L68" s="47"/>
    </x:row>
    <x:row r="69" ht="15" hidden="0" customHeight="1">
      <x:c r="B69" s="47" t="str">
        <x:v>Utilities</x:v>
      </x:c>
      <x:c r="C69" s="47" t="str">
        <x:v>Lab nodes</x:v>
      </x:c>
      <x:c r="D69" s="89" t="n">
        <x:f>'10 Clinical utilities'!H17</x:f>
        <x:v>3</x:v>
      </x:c>
      <x:c r="E69" s="89" t="n">
        <x:v>3</x:v>
      </x:c>
      <x:c r="F69" s="89" t="n">
        <x:v>0.0001</x:v>
      </x:c>
      <x:c r="G69" s="47" t="str">
        <x:f>IF(ABS(D69-E69)&lt;=F69,"PASS","FAIL")</x:f>
        <x:v>PASS</x:v>
      </x:c>
      <x:c r="H69" s="47"/>
      <x:c r="I69" s="47"/>
      <x:c r="J69" s="47"/>
      <x:c r="K69" s="47"/>
      <x:c r="L69" s="47"/>
    </x:row>
    <x:row r="70" ht="15" hidden="0" customHeight="1">
      <x:c r="B70" s="47" t="str">
        <x:v>Utilities</x:v>
      </x:c>
      <x:c r="C70" s="47" t="str">
        <x:v>Lab margin</x:v>
      </x:c>
      <x:c r="D70" s="89" t="n">
        <x:f>'10 Clinical utilities'!J17</x:f>
        <x:v>292.4800000000005</x:v>
      </x:c>
      <x:c r="E70" s="89" t="n">
        <x:v>292.48</x:v>
      </x:c>
      <x:c r="F70" s="89" t="n">
        <x:v>0.0001</x:v>
      </x:c>
      <x:c r="G70" s="47" t="str">
        <x:f>IF(ABS(D70-E70)&lt;=F70,"PASS","FAIL")</x:f>
        <x:v>PASS</x:v>
      </x:c>
      <x:c r="H70" s="47"/>
      <x:c r="I70" s="47"/>
      <x:c r="J70" s="47"/>
      <x:c r="K70" s="47"/>
      <x:c r="L70" s="47"/>
    </x:row>
    <x:row r="71" ht="15" hidden="0" customHeight="1">
      <x:c r="B71" s="47" t="str">
        <x:v>Utilities</x:v>
      </x:c>
      <x:c r="C71" s="47" t="str">
        <x:v>Blood required/day</x:v>
      </x:c>
      <x:c r="D71" s="89" t="n">
        <x:f>'10 Clinical utilities'!E18</x:f>
        <x:v>174.33</x:v>
      </x:c>
      <x:c r="E71" s="89" t="n">
        <x:v>174.33</x:v>
      </x:c>
      <x:c r="F71" s="89" t="n">
        <x:v>0.0001</x:v>
      </x:c>
      <x:c r="G71" s="47" t="str">
        <x:f>IF(ABS(D71-E71)&lt;=F71,"PASS","FAIL")</x:f>
        <x:v>PASS</x:v>
      </x:c>
      <x:c r="H71" s="47"/>
      <x:c r="I71" s="47"/>
      <x:c r="J71" s="47"/>
      <x:c r="K71" s="47"/>
      <x:c r="L71" s="47"/>
    </x:row>
    <x:row r="72" ht="15" hidden="0" customHeight="1">
      <x:c r="B72" s="47" t="str">
        <x:v>Utilities</x:v>
      </x:c>
      <x:c r="C72" s="47" t="str">
        <x:v>Blood stock</x:v>
      </x:c>
      <x:c r="D72" s="89" t="n">
        <x:f>'10 Clinical utilities'!E19</x:f>
        <x:v>1220.3100000000002</x:v>
      </x:c>
      <x:c r="E72" s="89" t="n">
        <x:v>1220.31</x:v>
      </x:c>
      <x:c r="F72" s="89" t="n">
        <x:v>0.0001</x:v>
      </x:c>
      <x:c r="G72" s="47" t="str">
        <x:f>IF(ABS(D72-E72)&lt;=F72,"PASS","FAIL")</x:f>
        <x:v>PASS</x:v>
      </x:c>
      <x:c r="H72" s="47"/>
      <x:c r="I72" s="47"/>
      <x:c r="J72" s="47"/>
      <x:c r="K72" s="47"/>
      <x:c r="L72" s="47"/>
    </x:row>
    <x:row r="73" ht="15" hidden="0" customHeight="1">
      <x:c r="B73" s="47" t="str">
        <x:v>Utilities</x:v>
      </x:c>
      <x:c r="C73" s="47" t="str">
        <x:v>Blood banks</x:v>
      </x:c>
      <x:c r="D73" s="89" t="n">
        <x:f>'10 Clinical utilities'!H19</x:f>
        <x:v>3</x:v>
      </x:c>
      <x:c r="E73" s="89" t="n">
        <x:v>3</x:v>
      </x:c>
      <x:c r="F73" s="89" t="n">
        <x:v>0.0001</x:v>
      </x:c>
      <x:c r="G73" s="47" t="str">
        <x:f>IF(ABS(D73-E73)&lt;=F73,"PASS","FAIL")</x:f>
        <x:v>PASS</x:v>
      </x:c>
      <x:c r="H73" s="47"/>
      <x:c r="I73" s="47"/>
      <x:c r="J73" s="47"/>
      <x:c r="K73" s="47"/>
      <x:c r="L73" s="47"/>
    </x:row>
    <x:row r="74" ht="15" hidden="0" customHeight="1">
      <x:c r="B74" s="47" t="str">
        <x:v>Utilities</x:v>
      </x:c>
      <x:c r="C74" s="47" t="str">
        <x:v>Blood margin</x:v>
      </x:c>
      <x:c r="D74" s="89" t="n">
        <x:f>'10 Clinical utilities'!J19</x:f>
        <x:v>379.6899999999998</x:v>
      </x:c>
      <x:c r="E74" s="89" t="n">
        <x:v>379.69</x:v>
      </x:c>
      <x:c r="F74" s="89" t="n">
        <x:v>0.0001</x:v>
      </x:c>
      <x:c r="G74" s="47" t="str">
        <x:f>IF(ABS(D74-E74)&lt;=F74,"PASS","FAIL")</x:f>
        <x:v>PASS</x:v>
      </x:c>
      <x:c r="H74" s="47"/>
      <x:c r="I74" s="47"/>
      <x:c r="J74" s="47"/>
      <x:c r="K74" s="47"/>
      <x:c r="L74" s="47"/>
    </x:row>
    <x:row r="75" ht="15" hidden="0" customHeight="1">
      <x:c r="B75" s="47" t="str">
        <x:v>Formation</x:v>
      </x:c>
      <x:c r="C75" s="47" t="str">
        <x:v>Articles</x:v>
      </x:c>
      <x:c r="D75" s="89" t="n">
        <x:f>'12 Formation bill'!E27</x:f>
        <x:v>144</x:v>
      </x:c>
      <x:c r="E75" s="89" t="n">
        <x:v>144</x:v>
      </x:c>
      <x:c r="F75" s="89" t="n">
        <x:v>0.0001</x:v>
      </x:c>
      <x:c r="G75" s="47" t="str">
        <x:f>IF(ABS(D75-E75)&lt;=F75,"PASS","FAIL")</x:f>
        <x:v>PASS</x:v>
      </x:c>
      <x:c r="H75" s="47"/>
      <x:c r="I75" s="47"/>
      <x:c r="J75" s="47"/>
      <x:c r="K75" s="47"/>
      <x:c r="L75" s="47"/>
    </x:row>
    <x:row r="76" ht="15" hidden="0" customHeight="1">
      <x:c r="B76" s="47" t="str">
        <x:v>Formation</x:v>
      </x:c>
      <x:c r="C76" s="47" t="str">
        <x:v>Dry mass</x:v>
      </x:c>
      <x:c r="D76" s="89" t="n">
        <x:f>'12 Formation bill'!G27</x:f>
        <x:v>31217</x:v>
      </x:c>
      <x:c r="E76" s="89" t="n">
        <x:v>31217</x:v>
      </x:c>
      <x:c r="F76" s="89" t="n">
        <x:v>0.0001</x:v>
      </x:c>
      <x:c r="G76" s="47" t="str">
        <x:f>IF(ABS(D76-E76)&lt;=F76,"PASS","FAIL")</x:f>
        <x:v>PASS</x:v>
      </x:c>
      <x:c r="H76" s="47"/>
      <x:c r="I76" s="47"/>
      <x:c r="J76" s="47"/>
      <x:c r="K76" s="47"/>
      <x:c r="L76" s="47"/>
    </x:row>
    <x:row r="77" ht="15" hidden="0" customHeight="1">
      <x:c r="B77" s="47" t="str">
        <x:v>Formation</x:v>
      </x:c>
      <x:c r="C77" s="47" t="str">
        <x:v>Capital USD m</x:v>
      </x:c>
      <x:c r="D77" s="89" t="n">
        <x:f>'12 Formation bill'!I27</x:f>
        <x:v>25077</x:v>
      </x:c>
      <x:c r="E77" s="89" t="n">
        <x:v>25077</x:v>
      </x:c>
      <x:c r="F77" s="89" t="n">
        <x:v>0.0001</x:v>
      </x:c>
      <x:c r="G77" s="47" t="str">
        <x:f>IF(ABS(D77-E77)&lt;=F77,"PASS","FAIL")</x:f>
        <x:v>PASS</x:v>
      </x:c>
      <x:c r="H77" s="47"/>
      <x:c r="I77" s="47"/>
      <x:c r="J77" s="47"/>
      <x:c r="K77" s="47"/>
      <x:c r="L77" s="47"/>
    </x:row>
    <x:row r="78" ht="15" hidden="0" customHeight="1">
      <x:c r="B78" s="47" t="str">
        <x:v>Formation</x:v>
      </x:c>
      <x:c r="C78" s="47" t="str">
        <x:v>Care capital</x:v>
      </x:c>
      <x:c r="D78" s="89" t="n">
        <x:f>'13 Finance'!E7</x:f>
        <x:v>15400</x:v>
      </x:c>
      <x:c r="E78" s="89" t="n">
        <x:v>15400</x:v>
      </x:c>
      <x:c r="F78" s="89" t="n">
        <x:v>0.0001</x:v>
      </x:c>
      <x:c r="G78" s="47" t="str">
        <x:f>IF(ABS(D78-E78)&lt;=F78,"PASS","FAIL")</x:f>
        <x:v>PASS</x:v>
      </x:c>
      <x:c r="H78" s="47"/>
      <x:c r="I78" s="47"/>
      <x:c r="J78" s="47"/>
      <x:c r="K78" s="47"/>
      <x:c r="L78" s="47"/>
    </x:row>
    <x:row r="79" ht="15" hidden="0" customHeight="1">
      <x:c r="B79" s="47" t="str">
        <x:v>Formation</x:v>
      </x:c>
      <x:c r="C79" s="47" t="str">
        <x:v>Patient flow capital</x:v>
      </x:c>
      <x:c r="D79" s="89" t="n">
        <x:f>'13 Finance'!E8</x:f>
        <x:v>2550</x:v>
      </x:c>
      <x:c r="E79" s="89" t="n">
        <x:v>2550</x:v>
      </x:c>
      <x:c r="F79" s="89" t="n">
        <x:v>0.0001</x:v>
      </x:c>
      <x:c r="G79" s="47" t="str">
        <x:f>IF(ABS(D79-E79)&lt;=F79,"PASS","FAIL")</x:f>
        <x:v>PASS</x:v>
      </x:c>
      <x:c r="H79" s="47"/>
      <x:c r="I79" s="47"/>
      <x:c r="J79" s="47"/>
      <x:c r="K79" s="47"/>
      <x:c r="L79" s="47"/>
    </x:row>
    <x:row r="80" ht="15" hidden="0" customHeight="1">
      <x:c r="B80" s="47" t="str">
        <x:v>Formation</x:v>
      </x:c>
      <x:c r="C80" s="47" t="str">
        <x:v>Utility capital</x:v>
      </x:c>
      <x:c r="D80" s="89" t="n">
        <x:f>'13 Finance'!E9</x:f>
        <x:v>4077</x:v>
      </x:c>
      <x:c r="E80" s="89" t="n">
        <x:v>4077</x:v>
      </x:c>
      <x:c r="F80" s="89" t="n">
        <x:v>0.0001</x:v>
      </x:c>
      <x:c r="G80" s="47" t="str">
        <x:f>IF(ABS(D80-E80)&lt;=F80,"PASS","FAIL")</x:f>
        <x:v>PASS</x:v>
      </x:c>
      <x:c r="H80" s="47"/>
      <x:c r="I80" s="47"/>
      <x:c r="J80" s="47"/>
      <x:c r="K80" s="47"/>
      <x:c r="L80" s="47"/>
    </x:row>
    <x:row r="81" ht="15" hidden="0" customHeight="1">
      <x:c r="B81" s="60" t="str">
        <x:v>Formation</x:v>
      </x:c>
      <x:c r="C81" s="60" t="str">
        <x:v>Support capital</x:v>
      </x:c>
      <x:c r="D81" s="90" t="n">
        <x:f>'13 Finance'!E10</x:f>
        <x:v>3050</x:v>
      </x:c>
      <x:c r="E81" s="90" t="n">
        <x:v>3050</x:v>
      </x:c>
      <x:c r="F81" s="90" t="n">
        <x:v>0.0001</x:v>
      </x:c>
      <x:c r="G81" s="60" t="str">
        <x:f>IF(ABS(D81-E81)&lt;=F81,"PASS","FAIL")</x:f>
        <x:v>PASS</x:v>
      </x:c>
      <x:c r="H81" s="60"/>
      <x:c r="I81" s="60"/>
      <x:c r="J81" s="60"/>
      <x:c r="K81" s="60"/>
      <x:c r="L81" s="60"/>
    </x:row>
    <x:row r="82" ht="15" hidden="0" customHeight="1">
      <x:c r="B82" s="60" t="str">
        <x:v>Technology</x:v>
      </x:c>
      <x:c r="C82" s="60" t="str">
        <x:v>TCP-06 total</x:v>
      </x:c>
      <x:c r="D82" s="90" t="n">
        <x:f>'15 Technology'!C16</x:f>
        <x:v>75</x:v>
      </x:c>
      <x:c r="E82" s="90" t="n">
        <x:v>75</x:v>
      </x:c>
      <x:c r="F82" s="90" t="n">
        <x:v>0.0001</x:v>
      </x:c>
      <x:c r="G82" s="60" t="str">
        <x:f>IF(ABS(D82-E82)&lt;=F82,"PASS","FAIL")</x:f>
        <x:v>PASS</x:v>
      </x:c>
      <x:c r="H82" s="60"/>
      <x:c r="I82" s="60"/>
      <x:c r="J82" s="60"/>
      <x:c r="K82" s="60"/>
      <x:c r="L82" s="60"/>
    </x:row>
    <x:row r="83" ht="15" hidden="0" customHeight="1">
      <x:c r="B83" s="60" t="str">
        <x:v>Campaign</x:v>
      </x:c>
      <x:c r="C83" s="60" t="str">
        <x:v>Campaign articles</x:v>
      </x:c>
      <x:c r="D83" s="90" t="n">
        <x:f>'16 Campaign'!C25</x:f>
        <x:v>160</x:v>
      </x:c>
      <x:c r="E83" s="90" t="n">
        <x:v>160</x:v>
      </x:c>
      <x:c r="F83" s="90" t="n">
        <x:v>0.0001</x:v>
      </x:c>
      <x:c r="G83" s="60" t="str">
        <x:f>IF(ABS(D83-E83)&lt;=F83,"PASS","FAIL")</x:f>
        <x:v>PASS</x:v>
      </x:c>
      <x:c r="H83" s="60"/>
      <x:c r="I83" s="60"/>
      <x:c r="J83" s="60"/>
      <x:c r="K83" s="60"/>
      <x:c r="L83" s="60"/>
    </x:row>
    <x:row r="84" ht="15" hidden="0" customHeight="1">
      <x:c r="B84" s="60" t="str">
        <x:v>Campaign</x:v>
      </x:c>
      <x:c r="C84" s="60" t="str">
        <x:v>Schedule months</x:v>
      </x:c>
      <x:c r="D84" s="90" t="n">
        <x:f>'17 Schedule'!C13</x:f>
        <x:v>180</x:v>
      </x:c>
      <x:c r="E84" s="90" t="n">
        <x:v>180</x:v>
      </x:c>
      <x:c r="F84" s="90" t="n">
        <x:v>0.0001</x:v>
      </x:c>
      <x:c r="G84" s="60" t="str">
        <x:f>IF(ABS(D84-E84)&lt;=F84,"PASS","FAIL")</x:f>
        <x:v>PASS</x:v>
      </x:c>
      <x:c r="H84" s="60"/>
      <x:c r="I84" s="60"/>
      <x:c r="J84" s="60"/>
      <x:c r="K84" s="60"/>
      <x:c r="L84" s="60"/>
    </x:row>
    <x:row r="85" ht="15" hidden="0" customHeight="1">
      <x:c r="B85" s="60" t="str">
        <x:v>Campaign</x:v>
      </x:c>
      <x:c r="C85" s="60" t="str">
        <x:v>Peak workforce</x:v>
      </x:c>
      <x:c r="D85" s="90" t="n">
        <x:f>'17 Schedule'!C26</x:f>
        <x:v>36000</x:v>
      </x:c>
      <x:c r="E85" s="90" t="n">
        <x:v>36000</x:v>
      </x:c>
      <x:c r="F85" s="90" t="n">
        <x:v>0.0001</x:v>
      </x:c>
      <x:c r="G85" s="60" t="str">
        <x:f>IF(ABS(D85-E85)&lt;=F85,"PASS","FAIL")</x:f>
        <x:v>PASS</x:v>
      </x:c>
      <x:c r="H85" s="60"/>
      <x:c r="I85" s="60"/>
      <x:c r="J85" s="60"/>
      <x:c r="K85" s="60"/>
      <x:c r="L85" s="60"/>
    </x:row>
    <x:row r="86" ht="15" hidden="0" customHeight="1">
      <x:c r="B86" s="60" t="str">
        <x:v>Sensitivity</x:v>
      </x:c>
      <x:c r="C86" s="60" t="str">
        <x:v>75k positions</x:v>
      </x:c>
      <x:c r="D86" s="90" t="n">
        <x:f>'18 Sensitivity'!L7</x:f>
        <x:v>713</x:v>
      </x:c>
      <x:c r="E86" s="90" t="n">
        <x:v>713</x:v>
      </x:c>
      <x:c r="F86" s="90" t="n">
        <x:v>0.0001</x:v>
      </x:c>
      <x:c r="G86" s="60" t="str">
        <x:f>IF(ABS(D86-E86)&lt;=F86,"PASS","FAIL")</x:f>
        <x:v>PASS</x:v>
      </x:c>
      <x:c r="H86" s="60"/>
      <x:c r="I86" s="60"/>
      <x:c r="J86" s="60"/>
      <x:c r="K86" s="60"/>
      <x:c r="L86" s="60"/>
    </x:row>
    <x:row r="87" ht="15" hidden="0" customHeight="1">
      <x:c r="B87" s="60" t="str">
        <x:v>Sensitivity</x:v>
      </x:c>
      <x:c r="C87" s="60" t="str">
        <x:v>75k continuous MW</x:v>
      </x:c>
      <x:c r="D87" s="90" t="n">
        <x:f>'18 Sensitivity'!N7</x:f>
        <x:v>13.024099999999999</x:v>
      </x:c>
      <x:c r="E87" s="90" t="n">
        <x:v>13.0241</x:v>
      </x:c>
      <x:c r="F87" s="90" t="n">
        <x:v>0.001</x:v>
      </x:c>
      <x:c r="G87" s="60" t="str">
        <x:f>IF(ABS(D87-E87)&lt;=F87,"PASS","FAIL")</x:f>
        <x:v>PASS</x:v>
      </x:c>
      <x:c r="H87" s="60"/>
      <x:c r="I87" s="60"/>
      <x:c r="J87" s="60"/>
      <x:c r="K87" s="60"/>
      <x:c r="L87" s="60"/>
    </x:row>
    <x:row r="88" ht="15" hidden="0" customHeight="1">
      <x:c r="B88" s="60" t="str">
        <x:v>Sensitivity</x:v>
      </x:c>
      <x:c r="C88" s="60" t="str">
        <x:v>100k positions</x:v>
      </x:c>
      <x:c r="D88" s="90" t="n">
        <x:f>'18 Sensitivity'!L8</x:f>
        <x:v>951</x:v>
      </x:c>
      <x:c r="E88" s="90" t="n">
        <x:v>951</x:v>
      </x:c>
      <x:c r="F88" s="90" t="n">
        <x:v>0.0001</x:v>
      </x:c>
      <x:c r="G88" s="60" t="str">
        <x:f>IF(ABS(D88-E88)&lt;=F88,"PASS","FAIL")</x:f>
        <x:v>PASS</x:v>
      </x:c>
      <x:c r="H88" s="60"/>
      <x:c r="I88" s="60"/>
      <x:c r="J88" s="60"/>
      <x:c r="K88" s="60"/>
      <x:c r="L88" s="60"/>
    </x:row>
    <x:row r="89" ht="15" hidden="0" customHeight="1">
      <x:c r="B89" s="60" t="str">
        <x:v>Sensitivity</x:v>
      </x:c>
      <x:c r="C89" s="60" t="str">
        <x:v>125k positions</x:v>
      </x:c>
      <x:c r="D89" s="90" t="n">
        <x:f>'18 Sensitivity'!L9</x:f>
        <x:v>1188</x:v>
      </x:c>
      <x:c r="E89" s="90" t="n">
        <x:v>1188</x:v>
      </x:c>
      <x:c r="F89" s="90" t="n">
        <x:v>0.0001</x:v>
      </x:c>
      <x:c r="G89" s="60" t="str">
        <x:f>IF(ABS(D89-E89)&lt;=F89,"PASS","FAIL")</x:f>
        <x:v>PASS</x:v>
      </x:c>
      <x:c r="H89" s="60"/>
      <x:c r="I89" s="60"/>
      <x:c r="J89" s="60"/>
      <x:c r="K89" s="60"/>
      <x:c r="L89" s="60"/>
    </x:row>
    <x:row r="90" ht="15" hidden="0" customHeight="1">
      <x:c r="B90" s="60" t="str">
        <x:v>Sensitivity</x:v>
      </x:c>
      <x:c r="C90" s="60" t="str">
        <x:v>150k positions</x:v>
      </x:c>
      <x:c r="D90" s="90" t="n">
        <x:f>'18 Sensitivity'!L10</x:f>
        <x:v>1424</x:v>
      </x:c>
      <x:c r="E90" s="90" t="n">
        <x:v>1424</x:v>
      </x:c>
      <x:c r="F90" s="90" t="n">
        <x:v>0.0001</x:v>
      </x:c>
      <x:c r="G90" s="60" t="str">
        <x:f>IF(ABS(D90-E90)&lt;=F90,"PASS","FAIL")</x:f>
        <x:v>PASS</x:v>
      </x:c>
      <x:c r="H90" s="60"/>
      <x:c r="I90" s="60"/>
      <x:c r="J90" s="60"/>
      <x:c r="K90" s="60"/>
      <x:c r="L90" s="60"/>
    </x:row>
    <x:row r="91" ht="15" hidden="0" customHeight="1">
      <x:c r="B91" s="60" t="str">
        <x:v>Sensitivity</x:v>
      </x:c>
      <x:c r="C91" s="60" t="str">
        <x:v>Severe positions</x:v>
      </x:c>
      <x:c r="D91" s="90" t="n">
        <x:f>'18 Sensitivity'!L11</x:f>
        <x:v>1252</x:v>
      </x:c>
      <x:c r="E91" s="90" t="n">
        <x:v>1252</x:v>
      </x:c>
      <x:c r="F91" s="90" t="n">
        <x:v>0.0001</x:v>
      </x:c>
      <x:c r="G91" s="60" t="str">
        <x:f>IF(ABS(D91-E91)&lt;=F91,"PASS","FAIL")</x:f>
        <x:v>PASS</x:v>
      </x:c>
      <x:c r="H91" s="60"/>
      <x:c r="I91" s="60"/>
      <x:c r="J91" s="60"/>
      <x:c r="K91" s="60"/>
      <x:c r="L91" s="60"/>
    </x:row>
    <x:row r="92" ht="15" hidden="0" customHeight="1">
      <x:c r="B92" s="60" t="str">
        <x:v>Sensitivity</x:v>
      </x:c>
      <x:c r="C92" s="60" t="str">
        <x:v>Improved positions</x:v>
      </x:c>
      <x:c r="D92" s="90" t="n">
        <x:f>'18 Sensitivity'!L12</x:f>
        <x:v>885</x:v>
      </x:c>
      <x:c r="E92" s="90" t="n">
        <x:v>885</x:v>
      </x:c>
      <x:c r="F92" s="90" t="n">
        <x:v>0.0001</x:v>
      </x:c>
      <x:c r="G92" s="60" t="str">
        <x:f>IF(ABS(D92-E92)&lt;=F92,"PASS","FAIL")</x:f>
        <x:v>PASS</x:v>
      </x:c>
      <x:c r="H92" s="60"/>
      <x:c r="I92" s="60"/>
      <x:c r="J92" s="60"/>
      <x:c r="K92" s="60"/>
      <x:c r="L92" s="60"/>
    </x:row>
    <x:row r="93" ht="15" hidden="0" customHeight="1">
      <x:c r="B93" s="60" t="str">
        <x:v>Architecture</x:v>
      </x:c>
      <x:c r="C93" s="60" t="str">
        <x:v>A2 screens passed</x:v>
      </x:c>
      <x:c r="D93" s="90" t="n">
        <x:f>'11 Architecture'!D21</x:f>
        <x:v>14</x:v>
      </x:c>
      <x:c r="E93" s="90" t="n">
        <x:v>14</x:v>
      </x:c>
      <x:c r="F93" s="90" t="n">
        <x:v>0.0001</x:v>
      </x:c>
      <x:c r="G93" s="60" t="str">
        <x:f>IF(ABS(D93-E93)&lt;=F93,"PASS","FAIL")</x:f>
        <x:v>PASS</x:v>
      </x:c>
      <x:c r="H93" s="60"/>
      <x:c r="I93" s="60"/>
      <x:c r="J93" s="60"/>
      <x:c r="K93" s="60"/>
      <x:c r="L93" s="60"/>
    </x:row>
    <x:row r="94" ht="15" hidden="0" customHeight="1">
      <x:c r="B94" s="60" t="str">
        <x:v>Admissions</x:v>
      </x:c>
      <x:c r="C94" s="60" t="str">
        <x:v>Admitted credit sum</x:v>
      </x:c>
      <x:c r="D94" s="90" t="n">
        <x:f>SUM('19 Admissions'!E7:E14)</x:f>
        <x:v>0</x:v>
      </x:c>
      <x:c r="E94" s="90" t="n">
        <x:v>0</x:v>
      </x:c>
      <x:c r="F94" s="90" t="n">
        <x:v>0.0001</x:v>
      </x:c>
      <x:c r="G94" s="60" t="str">
        <x:f>IF(ABS(D94-E94)&lt;=F94,"PASS","FAIL")</x:f>
        <x:v>PASS</x:v>
      </x:c>
      <x:c r="H94" s="60"/>
      <x:c r="I94" s="60"/>
      <x:c r="J94" s="60"/>
      <x:c r="K94" s="60"/>
      <x:c r="L94" s="60"/>
    </x:row>
    <x:row r="95" ht="15" hidden="0" customHeight="1">
      <x:c r="B95" s="53" t="str">
        <x:v>PASS COUNT</x:v>
      </x:c>
      <x:c r="C95" s="53"/>
      <x:c r="D95" s="91" t="n">
        <x:f>COUNTIF(G7:G94,"PASS")</x:f>
        <x:v>88</x:v>
      </x:c>
      <x:c r="E95" s="91" t="n">
        <x:v>88</x:v>
      </x:c>
      <x:c r="F95" s="91"/>
      <x:c r="G95" s="53" t="str">
        <x:f>IF(D95=E95,"PASS","FAIL")</x:f>
        <x:v>PASS</x:v>
      </x:c>
      <x:c r="H95" s="60"/>
      <x:c r="I95" s="60"/>
      <x:c r="J95" s="60"/>
      <x:c r="K95" s="60"/>
      <x:c r="L95" s="60"/>
    </x:row>
  </x:sheetData>
  <x:mergeCells>
    <x:mergeCell ref="B2:L2"/>
    <x:mergeCell ref="B3:L3"/>
  </x:mergeCells>
  <x:conditionalFormatting sqref="G7:G95">
    <x:cfRule type="expression" dxfId="0" priority="1">
      <x:formula>G7="PASS"</x:formula>
    </x:cfRule>
    <x:cfRule type="expression" dxfId="1" priority="2">
      <x:formula>G7="FAIL"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75" hidden="0" customWidth="1"/>
    <x:col min="4" max="4" width="48" hidden="0" customWidth="1"/>
    <x:col min="5" max="5" width="20" hidden="0" customWidth="1"/>
    <x:col min="1" max="1" width="3" hidden="0" customWidth="1"/>
  </x:cols>
  <x:sheetData>
    <x:row r="2" ht="18" hidden="0" customHeight="1">
      <x:c r="B2" s="50" t="str">
        <x:v>Internal sources, definitions and evidence boundary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 ht="15" hidden="0" customHeight="1">
      <x:c r="B3" s="42" t="str">
        <x:v>This model uses repository research only. No external source or live clinical observation is introduced in RBZ-1.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" hidden="0" customHeight="1"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15" hidden="0" customHeight="1"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</x:row>
    <x:row r="6" ht="15" hidden="0" customHeight="1">
      <x:c r="B6" s="45" t="str">
        <x:v>Source</x:v>
      </x:c>
      <x:c r="C6" s="45" t="str">
        <x:v>Repository path</x:v>
      </x:c>
      <x:c r="D6" s="45" t="str">
        <x:v>Contribution</x:v>
      </x:c>
      <x:c r="E6" s="45" t="str">
        <x:v>Boundary</x:v>
      </x:c>
      <x:c r="F6" s="47"/>
      <x:c r="G6" s="47"/>
      <x:c r="H6" s="47"/>
      <x:c r="I6" s="47"/>
      <x:c r="J6" s="47"/>
      <x:c r="K6" s="47"/>
      <x:c r="L6" s="47"/>
    </x:row>
    <x:row r="7" ht="15" hidden="0" customHeight="1">
      <x:c r="B7" s="47" t="str">
        <x:v>Mature force design</x:v>
      </x:c>
      <x:c r="C7" s="47" t="str">
        <x:v>research/force/generation/mature-force-design.md</x:v>
      </x:c>
      <x:c r="D7" s="47" t="str">
        <x:v>Health Protection Service and formation grammar</x:v>
      </x:c>
      <x:c r="E7" s="47" t="str">
        <x:v>internal concept</x:v>
      </x:c>
      <x:c r="F7" s="47"/>
      <x:c r="G7" s="47"/>
      <x:c r="H7" s="47"/>
      <x:c r="I7" s="47"/>
      <x:c r="J7" s="47"/>
      <x:c r="K7" s="47"/>
      <x:c r="L7" s="47"/>
    </x:row>
    <x:row r="8" ht="15" hidden="0" customHeight="1">
      <x:c r="B8" s="47" t="str">
        <x:v>Maritime, air-mobility and medical</x:v>
      </x:c>
      <x:c r="C8" s="47" t="str">
        <x:v>research/systems/maritime-air-mobility-and-medical.md</x:v>
      </x:c>
      <x:c r="D8" s="47" t="str">
        <x:v>care echelons, transfer, workforce and complete pathways</x:v>
      </x:c>
      <x:c r="E8" s="47" t="str">
        <x:v>internal concept</x:v>
      </x:c>
      <x:c r="F8" s="47"/>
      <x:c r="G8" s="47"/>
      <x:c r="H8" s="47"/>
      <x:c r="I8" s="47"/>
      <x:c r="J8" s="47"/>
      <x:c r="K8" s="47"/>
      <x:c r="L8" s="47"/>
    </x:row>
    <x:row r="9" ht="15" hidden="0" customHeight="1">
      <x:c r="B9" s="47" t="str">
        <x:v>PRG-100 configuration</x:v>
      </x:c>
      <x:c r="C9" s="47" t="str">
        <x:v>research/systems/power/configuration-model.md</x:v>
      </x:c>
      <x:c r="D9" s="47" t="str">
        <x:v>inherited 22 MW diagnostic allocation</x:v>
      </x:c>
      <x:c r="E9" s="47" t="str">
        <x:v>internal model</x:v>
      </x:c>
      <x:c r="F9" s="47"/>
      <x:c r="G9" s="47"/>
      <x:c r="H9" s="47"/>
      <x:c r="I9" s="47"/>
      <x:c r="J9" s="47"/>
      <x:c r="K9" s="47"/>
      <x:c r="L9" s="47"/>
    </x:row>
    <x:row r="10" ht="24" hidden="0" customHeight="1">
      <x:c r="B10" s="47" t="str">
        <x:v>RBY-1 / OSPL-1</x:v>
      </x:c>
      <x:c r="C10" s="47" t="str">
        <x:v>research/force/generation/f36-cisa40-sa6-root-a-open-service-power-lattice-cross-portfolio-translation-and-representative-substitution-constitution.md</x:v>
      </x:c>
      <x:c r="D10" s="47" t="str">
        <x:v>electrical candidate classes</x:v>
      </x:c>
      <x:c r="E10" s="47" t="str">
        <x:v>internal research</x:v>
      </x:c>
      <x:c r="F10" s="47"/>
      <x:c r="G10" s="47"/>
      <x:c r="H10" s="47"/>
      <x:c r="I10" s="47"/>
      <x:c r="J10" s="47"/>
      <x:c r="K10" s="47"/>
      <x:c r="L10" s="47"/>
    </x:row>
    <x:row r="11" ht="24" hidden="0" customHeight="1">
      <x:c r="B11" s="47" t="str">
        <x:v>RBX-1 / MPSC-1</x:v>
      </x:c>
      <x:c r="C11" s="47" t="str">
        <x:v>research/force/generation/f36-cisa40-sa6-root-a-five-portfolio-concurrent-service-compiler-common-force-quantity-and-technology-convergence-constitution.md</x:v>
      </x:c>
      <x:c r="D11" s="47" t="str">
        <x:v>medical proxy, common-force floor, TCP-06</x:v>
      </x:c>
      <x:c r="E11" s="47" t="str">
        <x:v>internal research</x:v>
      </x:c>
      <x:c r="F11" s="47"/>
      <x:c r="G11" s="47"/>
      <x:c r="H11" s="47"/>
      <x:c r="I11" s="47"/>
      <x:c r="J11" s="47"/>
      <x:c r="K11" s="47"/>
      <x:c r="L11" s="47"/>
    </x:row>
    <x:row r="12" ht="15" hidden="0" customHeight="1">
      <x:c r="B12" s="47" t="str">
        <x:v>National receiving geography</x:v>
      </x:c>
      <x:c r="C12" s="47" t="str">
        <x:v>research/force/reception/national-receiving-geography.md</x:v>
      </x:c>
      <x:c r="D12" s="47" t="str">
        <x:v>accepted destinations and receiver custody</x:v>
      </x:c>
      <x:c r="E12" s="47" t="str">
        <x:v>internal research</x:v>
      </x:c>
      <x:c r="F12" s="47"/>
      <x:c r="G12" s="47"/>
      <x:c r="H12" s="47"/>
      <x:c r="I12" s="47"/>
      <x:c r="J12" s="47"/>
      <x:c r="K12" s="47"/>
      <x:c r="L12" s="47"/>
    </x:row>
    <x:row r="13" ht="15" hidden="0" customHeight="1">
      <x:c r="B13" s="47" t="str">
        <x:v>Service-entry pod</x:v>
      </x:c>
      <x:c r="C13" s="47" t="str">
        <x:v>research/force/projection/service-entry-pod-configuration.md</x:v>
      </x:c>
      <x:c r="D13" s="47" t="str">
        <x:v>complete-service-cell rule</x:v>
      </x:c>
      <x:c r="E13" s="47" t="str">
        <x:v>internal research</x:v>
      </x:c>
      <x:c r="F13" s="47"/>
      <x:c r="G13" s="47"/>
      <x:c r="H13" s="47"/>
      <x:c r="I13" s="47"/>
      <x:c r="J13" s="47"/>
      <x:c r="K13" s="47"/>
      <x:c r="L13" s="47"/>
    </x:row>
    <x:row r="14" ht="15" hidden="0" customHeight="1">
      <x:c r="B14" s="47" t="str">
        <x:v>Evidence ledger</x:v>
      </x:c>
      <x:c r="C14" s="47" t="str">
        <x:v>research/proving/assurance/evidence-ledger.md</x:v>
      </x:c>
      <x:c r="D14" s="47" t="str">
        <x:v>unresolved medical evidence program</x:v>
      </x:c>
      <x:c r="E14" s="47" t="str">
        <x:v>internal research</x:v>
      </x:c>
      <x:c r="F14" s="47"/>
      <x:c r="G14" s="47"/>
      <x:c r="H14" s="47"/>
      <x:c r="I14" s="47"/>
      <x:c r="J14" s="47"/>
      <x:c r="K14" s="47"/>
      <x:c r="L14" s="47"/>
    </x:row>
    <x:row r="15" ht="15" hidden="0" customHeight="1"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</x:row>
    <x:row r="16" ht="15" hidden="0" customHeight="1"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</x:row>
    <x:row r="17" ht="15" hidden="0" customHeight="1">
      <x:c r="B17" s="51" t="str">
        <x:v>Definitions</x:v>
      </x:c>
      <x:c r="C17" s="51"/>
      <x:c r="D17" s="51"/>
      <x:c r="E17" s="51"/>
      <x:c r="F17" s="47"/>
      <x:c r="G17" s="47"/>
      <x:c r="H17" s="47"/>
      <x:c r="I17" s="47"/>
      <x:c r="J17" s="47"/>
      <x:c r="K17" s="47"/>
      <x:c r="L17" s="47"/>
    </x:row>
    <x:row r="18" ht="15" hidden="0" customHeight="1">
      <x:c r="B18" s="45" t="str">
        <x:v>Term</x:v>
      </x:c>
      <x:c r="C18" s="45" t="str">
        <x:v>Operational meaning</x:v>
      </x:c>
      <x:c r="D18" s="45" t="str">
        <x:v>Non-substitute</x:v>
      </x:c>
      <x:c r="E18" s="47"/>
      <x:c r="F18" s="47"/>
      <x:c r="G18" s="47"/>
      <x:c r="H18" s="47"/>
      <x:c r="I18" s="47"/>
      <x:c r="J18" s="47"/>
      <x:c r="K18" s="47"/>
      <x:c r="L18" s="47"/>
    </x:row>
    <x:row r="19" ht="15" hidden="0" customHeight="1">
      <x:c r="B19" s="47" t="str">
        <x:v>Completed appropriate clinical episode</x:v>
      </x:c>
      <x:c r="C19" s="47" t="str">
        <x:v>bound care transaction with accepted transfer or supported discharge</x:v>
      </x:c>
      <x:c r="D19" s="47" t="str">
        <x:v>visit, bed or procedure count alone</x:v>
      </x:c>
      <x:c r="E19" s="47"/>
      <x:c r="F19" s="47"/>
      <x:c r="G19" s="47"/>
      <x:c r="H19" s="47"/>
      <x:c r="I19" s="47"/>
      <x:c r="J19" s="47"/>
      <x:c r="K19" s="47"/>
      <x:c r="L19" s="47"/>
    </x:row>
    <x:row r="20" ht="15" hidden="0" customHeight="1">
      <x:c r="B20" s="47" t="str">
        <x:v>Clinical service island</x:v>
      </x:c>
      <x:c r="C20" s="47" t="str">
        <x:v>independently operable care and utility zone</x:v>
      </x:c>
      <x:c r="D20" s="47" t="str">
        <x:v>tent, ward or structure alone</x:v>
      </x:c>
      <x:c r="E20" s="47"/>
      <x:c r="F20" s="47"/>
      <x:c r="G20" s="47"/>
      <x:c r="H20" s="47"/>
      <x:c r="I20" s="47"/>
      <x:c r="J20" s="47"/>
      <x:c r="K20" s="47"/>
      <x:c r="L20" s="47"/>
    </x:row>
    <x:row r="21" ht="15" hidden="0" customHeight="1">
      <x:c r="B21" s="47" t="str">
        <x:v>No-break service</x:v>
      </x:c>
      <x:c r="C21" s="47" t="str">
        <x:v>declared load held across source transition for 0.5 h</x:v>
      </x:c>
      <x:c r="D21" s="47" t="str">
        <x:v>long-duration energy</x:v>
      </x:c>
      <x:c r="E21" s="47"/>
      <x:c r="F21" s="47"/>
      <x:c r="G21" s="47"/>
      <x:c r="H21" s="47"/>
      <x:c r="I21" s="47"/>
      <x:c r="J21" s="47"/>
      <x:c r="K21" s="47"/>
      <x:c r="L21" s="47"/>
    </x:row>
    <x:row r="22" ht="15" hidden="0" customHeight="1">
      <x:c r="B22" s="47" t="str">
        <x:v>Planning closure</x:v>
      </x:c>
      <x:c r="C22" s="47" t="str">
        <x:v>formula closes under declared scalar assumptions</x:v>
      </x:c>
      <x:c r="D22" s="47" t="str">
        <x:v>physical, clinical or field evidence</x:v>
      </x:c>
      <x:c r="E22" s="47"/>
      <x:c r="F22" s="47"/>
      <x:c r="G22" s="47"/>
      <x:c r="H22" s="47"/>
      <x:c r="I22" s="47"/>
      <x:c r="J22" s="47"/>
      <x:c r="K22" s="47"/>
      <x:c r="L22" s="47"/>
    </x:row>
    <x:row r="23" ht="15" hidden="0" customHeight="1">
      <x:c r="B23" s="47" t="str">
        <x:v>Admission</x:v>
      </x:c>
      <x:c r="C23" s="47" t="str">
        <x:v>named authority accepts evidence into force ledger</x:v>
      </x:c>
      <x:c r="D23" s="47" t="str">
        <x:v>model result or audit pass</x:v>
      </x:c>
      <x:c r="E23" s="47"/>
      <x:c r="F23" s="47"/>
      <x:c r="G23" s="47"/>
      <x:c r="H23" s="47"/>
      <x:c r="I23" s="47"/>
      <x:c r="J23" s="47"/>
      <x:c r="K23" s="47"/>
      <x:c r="L23" s="47"/>
    </x:row>
    <x:row r="24" ht="15" hidden="0" customHeight="1"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</x:row>
    <x:row r="25" ht="15" hidden="0" customHeight="1"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</x:row>
    <x:row r="26" ht="15" hidden="0" customHeight="1">
      <x:c r="B26" s="51" t="str">
        <x:v>Evidence boundary</x:v>
      </x:c>
      <x:c r="C26" s="51"/>
      <x:c r="D26" s="51"/>
      <x:c r="E26" s="51"/>
      <x:c r="F26" s="47"/>
      <x:c r="G26" s="47"/>
      <x:c r="H26" s="47"/>
      <x:c r="I26" s="47"/>
      <x:c r="J26" s="47"/>
      <x:c r="K26" s="47"/>
      <x:c r="L26" s="47"/>
    </x:row>
    <x:row r="27" ht="15" hidden="0" customHeight="1">
      <x:c r="B27" s="47" t="str">
        <x:v>All clinical rates, hazard multipliers, retained-capacity fractions, workload coefficients, prices, masses and times are explicit research assumptions.</x:v>
      </x:c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</x:row>
    <x:row r="28" ht="15" hidden="0" customHeight="1">
      <x:c r="B28" s="47" t="str">
        <x:v>No workbook result approves a hospital, ship, vehicle, aircraft, force quantity or procurement action.</x:v>
      </x:c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</x:row>
    <x:row r="29" ht="15" hidden="0" customHeight="1">
      <x:c r="B29" s="47" t="str">
        <x:v>Audit rows are independent checks and do not feed decisions.</x:v>
      </x:c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</x:row>
    <x:row r="30" ht="15" hidden="0" customHeight="1">
      <x:c r="B30" s="47" t="str">
        <x:v>Next object: RCA-1 CSI-25 internal configuration, patient flow, utility one-line and clean–controlled–contaminated zone constitution.</x:v>
      </x:c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</x:row>
    <x:row r="31" ht="15" hidden="0" customHeight="1"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</x:row>
    <x:row r="32" ht="15" hidden="0" customHeight="1"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</x:row>
    <x:row r="33" ht="15" hidden="0" customHeight="1"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</x:row>
    <x:row r="34" ht="15" hidden="0" customHeight="1"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5" hidden="0" customHeight="1"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</x:row>
    <x:row r="36" ht="15" hidden="0" customHeight="1"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</x:row>
    <x:row r="37" ht="15" hidden="0" customHeight="1"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</x:row>
    <x:row r="38" ht="15" hidden="0" customHeight="1"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</x:row>
    <x:row r="39" ht="15" hidden="0" customHeight="1"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</x:row>
    <x:row r="40" ht="15" hidden="0" customHeight="1"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</x:row>
    <x:row r="41" ht="15" hidden="0" customHeight="1"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</x:row>
    <x:row r="42" ht="15" hidden="0" customHeight="1"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 ht="15" hidden="0" customHeight="1"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 ht="15" hidden="0" customHeight="1"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  <x:row r="45" ht="15" hidden="0" customHeight="1"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</x:row>
    <x:row r="46" ht="15" hidden="0" customHeight="1"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</x:row>
    <x:row r="47" ht="15" hidden="0" customHeight="1"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</x:row>
    <x:row r="48" ht="15" hidden="0" customHeight="1"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</x:row>
    <x:row r="49" ht="15" hidden="0" customHeight="1"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</x:row>
    <x:row r="50" ht="15" hidden="0" customHeight="1"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</x:row>
    <x:row r="51" ht="15" hidden="0" customHeight="1"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</x:row>
    <x:row r="52" ht="15" hidden="0" customHeight="1"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</x:row>
    <x:row r="53" ht="15" hidden="0" customHeight="1"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</x:row>
    <x:row r="54" ht="15" hidden="0" customHeight="1"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</x:row>
    <x:row r="55" ht="15" hidden="0" customHeight="1"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</x:row>
    <x:row r="56" ht="15" hidden="0" customHeight="1"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</x:row>
    <x:row r="57" ht="15" hidden="0" customHeight="1"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</x:row>
    <x:row r="58" ht="15" hidden="0" customHeight="1"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</x:row>
    <x:row r="59" ht="15" hidden="0" customHeight="1"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 ht="15" hidden="0" customHeight="1"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 ht="15" hidden="0" customHeight="1"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 ht="15" hidden="0" customHeight="1"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5" hidden="0" customHeight="1"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 ht="15" hidden="0" customHeight="1"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  <x:row r="65" ht="15" hidden="0" customHeight="1"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</x:row>
    <x:row r="66" ht="15" hidden="0" customHeight="1"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</x:row>
    <x:row r="67" ht="15" hidden="0" customHeight="1"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</x:row>
    <x:row r="68" ht="15" hidden="0" customHeight="1"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</x:row>
    <x:row r="69" ht="15" hidden="0" customHeight="1"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</x:row>
    <x:row r="70" ht="15" hidden="0" customHeight="1"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</x:row>
    <x:row r="71" ht="15" hidden="0" customHeight="1"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</x:row>
    <x:row r="72" ht="15" hidden="0" customHeight="1"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</x:row>
    <x:row r="73" ht="15" hidden="0" customHeight="1"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</x:row>
    <x:row r="74" ht="15" hidden="0" customHeight="1"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</x:row>
    <x:row r="75" ht="15" hidden="0" customHeight="1"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</x:row>
    <x:row r="76" ht="15" hidden="0" customHeight="1"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</x:row>
    <x:row r="77" ht="15" hidden="0" customHeight="1"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</x:row>
    <x:row r="78" ht="15" hidden="0" customHeight="1"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</x:row>
    <x:row r="79" ht="15" hidden="0" customHeight="1"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</x:row>
    <x:row r="80" ht="15" hidden="0" customHeight="1"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</x:row>
  </x:sheetData>
  <x:mergeCells>
    <x:mergeCell ref="B2:L2"/>
    <x:mergeCell ref="B3:L3"/>
    <x:mergeCell ref="B17:E17"/>
    <x:mergeCell ref="B26:E26"/>
    <x:mergeCell ref="B27:E27"/>
    <x:mergeCell ref="B28:E28"/>
    <x:mergeCell ref="B29:E29"/>
    <x:mergeCell ref="B30:E30"/>
  </x:mergeCells>
  <x:pageMargins left="0.7" right="0.7" top="0.75" bottom="0.75" header="0.3" footer="0.3"/>
</x:worksheet>
</file>