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f278fa82d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70f526cfeb4e42"/>
    <x:sheet xmlns:r="http://schemas.openxmlformats.org/officeDocument/2006/relationships" name="Assumptions" sheetId="2" r:id="Rcbd018894c064341"/>
    <x:sheet xmlns:r="http://schemas.openxmlformats.org/officeDocument/2006/relationships" name="System Registry" sheetId="3" r:id="R05e546c58c8d43b6"/>
    <x:sheet xmlns:r="http://schemas.openxmlformats.org/officeDocument/2006/relationships" name="Module Production" sheetId="4" r:id="Rbecac54279e14f45"/>
    <x:sheet xmlns:r="http://schemas.openxmlformats.org/officeDocument/2006/relationships" name="Industrial Sites" sheetId="5" r:id="Rcfd43693020849d1"/>
    <x:sheet xmlns:r="http://schemas.openxmlformats.org/officeDocument/2006/relationships" name="System Lines" sheetId="6" r:id="R8bc6fad51ebb46e3"/>
    <x:sheet xmlns:r="http://schemas.openxmlformats.org/officeDocument/2006/relationships" name="Transport Build" sheetId="7" r:id="R8e5bbcc3b31043c6"/>
    <x:sheet xmlns:r="http://schemas.openxmlformats.org/officeDocument/2006/relationships" name="Transport Acceptance" sheetId="8" r:id="R74b6a9f6256346f4"/>
    <x:sheet xmlns:r="http://schemas.openxmlformats.org/officeDocument/2006/relationships" name="Packet Trials" sheetId="9" r:id="R323723ca90a64fa9"/>
    <x:sheet xmlns:r="http://schemas.openxmlformats.org/officeDocument/2006/relationships" name="Crew Pipeline" sheetId="10" r:id="Re138b71a63924343"/>
    <x:sheet xmlns:r="http://schemas.openxmlformats.org/officeDocument/2006/relationships" name="Crew Qualifications" sheetId="11" r:id="R6491a667ebff4f31"/>
    <x:sheet xmlns:r="http://schemas.openxmlformats.org/officeDocument/2006/relationships" name="Mission Sequence" sheetId="12" r:id="R7edb45680fa14191"/>
    <x:sheet xmlns:r="http://schemas.openxmlformats.org/officeDocument/2006/relationships" name="Reserve Exposure" sheetId="13" r:id="Rfe5e7b6a5969428f"/>
    <x:sheet xmlns:r="http://schemas.openxmlformats.org/officeDocument/2006/relationships" name="Arsenal Exercise" sheetId="14" r:id="R11b73480a0d741c9"/>
    <x:sheet xmlns:r="http://schemas.openxmlformats.org/officeDocument/2006/relationships" name="Trial Register" sheetId="15" r:id="R8a615e6f06d74b0c"/>
    <x:sheet xmlns:r="http://schemas.openxmlformats.org/officeDocument/2006/relationships" name="Destructive Articles" sheetId="16" r:id="Rfb42685402fc40a0"/>
    <x:sheet xmlns:r="http://schemas.openxmlformats.org/officeDocument/2006/relationships" name="Capital" sheetId="17" r:id="R32a4072d2473465c"/>
    <x:sheet xmlns:r="http://schemas.openxmlformats.org/officeDocument/2006/relationships" name="Annual Support" sheetId="18" r:id="Rb0307d464ba24ebe"/>
    <x:sheet xmlns:r="http://schemas.openxmlformats.org/officeDocument/2006/relationships" name="Technology" sheetId="19" r:id="R45e136a37ecb4035"/>
    <x:sheet xmlns:r="http://schemas.openxmlformats.org/officeDocument/2006/relationships" name="Schedule" sheetId="20" r:id="R487b9cd26eaf4d24"/>
    <x:sheet xmlns:r="http://schemas.openxmlformats.org/officeDocument/2006/relationships" name="Parent Amendment" sheetId="21" r:id="Rcc11309366274691"/>
    <x:sheet xmlns:r="http://schemas.openxmlformats.org/officeDocument/2006/relationships" name="Release Gates" sheetId="22" r:id="Rba20eefdc25d4613"/>
    <x:sheet xmlns:r="http://schemas.openxmlformats.org/officeDocument/2006/relationships" name="Internal &gt;&gt;" sheetId="23" r:id="Rf8eaaa1ebe3e41e9"/>
    <x:sheet xmlns:r="http://schemas.openxmlformats.org/officeDocument/2006/relationships" name="Audit" sheetId="24" r:id="R702fa0035f5e425f"/>
    <x:sheet xmlns:r="http://schemas.openxmlformats.org/officeDocument/2006/relationships" name="Sources" sheetId="25" r:id="Ra831f02ebbb744bd"/>
    <x:sheet xmlns:r="http://schemas.openxmlformats.org/officeDocument/2006/relationships" name="Read Me" sheetId="26" r:id="R16a7af8ca2fe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.0%"/>
    <x:numFmt numFmtId="202" formatCode="#,##0"/>
    <x:numFmt numFmtId="203" formatCode="$#,##0.0"/>
    <x:numFmt numFmtId="204" formatCode="$#,##0.0000"/>
    <x:numFmt numFmtId="205" formatCode="$#,##0.000"/>
  </x:numFmts>
  <x:fonts count="10">
    <x:font>
      <x:sz val="11"/>
      <x:name val="Carlito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F2937"/>
      <x:name val="Arial"/>
    </x:font>
    <x:font>
      <x:b/>
      <x:sz val="10"/>
      <x:color rgb="FF17365D"/>
      <x:name val="Arial"/>
    </x:font>
    <x:font>
      <x:b/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CE8E6"/>
      </x:patternFill>
    </x:fill>
  </x:fills>
  <x:borders count="11">
    <x:border/>
    <x:border>
      <x:bottom style="thin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8EEF4"/>
      </x:bottom>
    </x:border>
    <x:border>
      <x:top style="thin">
        <x:color rgb="FFE8EEF4"/>
      </x:top>
      <x:bottom style="thin">
        <x:color rgb="FFE8EEF4"/>
      </x:bottom>
    </x:border>
    <x:border>
      <x:top style="thin">
        <x:color rgb="FFE8EEF4"/>
      </x:top>
    </x:border>
    <x:border>
      <x:top style="thin">
        <x:color rgb="FF17365D"/>
      </x:top>
      <x:bottom style="thin">
        <x:color rgb="FF17365D"/>
      </x:bottom>
    </x:border>
    <x:border>
      <x:bottom style="thin">
        <x:color rgb="FFB8C8D8"/>
      </x:bottom>
    </x:border>
    <x:border>
      <x:top style="thin">
        <x:color rgb="FF9C0006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8" xfId="0" applyNumberFormat="1" applyFont="1" applyFill="1" applyBorder="1"/>
    <x:xf numFmtId="202" fontId="5" fillId="3" borderId="5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202" fontId="5" fillId="3" borderId="7" xfId="0" applyNumberFormat="1" applyFont="1" applyFill="1" applyBorder="1" applyAlignment="1">
      <x:alignment vertical="center"/>
    </x:xf>
    <x:xf numFmtId="202" fontId="7" fillId="4" borderId="8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200" fontId="6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202" fontId="7" fillId="4" borderId="8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9" fillId="6" borderId="7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3" fontId="5" fillId="3" borderId="5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5" fillId="3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5" fillId="3" borderId="7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3" fontId="7" fillId="4" borderId="8" xfId="0" applyNumberFormat="1" applyFont="1" applyFill="1" applyBorder="1"/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4" fontId="7" fillId="4" borderId="8" xfId="0" applyNumberFormat="1" applyFont="1" applyFill="1" applyBorder="1"/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5" fontId="4" fillId="0" borderId="7" xfId="0" applyNumberFormat="1" applyFont="1" applyFill="1" applyBorder="1" applyAlignment="1">
      <x:alignment vertical="center"/>
    </x:xf>
    <x:xf numFmtId="205" fontId="7" fillId="4" borderId="8" xfId="0" applyNumberFormat="1" applyFont="1" applyFill="1" applyBorder="1"/>
    <x:xf numFmtId="201" fontId="7" fillId="4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/>
    </x:xf>
    <x:xf numFmtId="200" fontId="4" fillId="6" borderId="7" xfId="0" applyNumberFormat="1" applyFont="1" applyFill="1" applyBorder="1" applyAlignment="1">
      <x:alignment vertical="center"/>
    </x:xf>
    <x:xf numFmtId="200" fontId="9" fillId="6" borderId="7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1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203" fontId="7" fillId="4" borderId="8" xfId="0" applyNumberFormat="1" applyFont="1" applyFill="1" applyBorder="1" applyAlignment="1">
      <x:alignment vertical="center"/>
    </x:xf>
    <x:xf numFmtId="204" fontId="7" fillId="4" borderId="8" xfId="0" applyNumberFormat="1" applyFont="1" applyFill="1" applyBorder="1" applyAlignment="1">
      <x:alignment vertical="center"/>
    </x:xf>
    <x:xf numFmtId="205" fontId="7" fillId="4" borderId="8" xfId="0" applyNumberFormat="1" applyFont="1" applyFill="1" applyBorder="1" applyAlignment="1">
      <x:alignment vertical="center"/>
    </x:xf>
    <x:xf numFmtId="201" fontId="7" fillId="4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1f18672464796" /><Relationship Type="http://schemas.openxmlformats.org/officeDocument/2006/relationships/theme" Target="/xl/theme/theme1.xml" Id="R3a70019755f34798" /><Relationship Type="http://schemas.openxmlformats.org/officeDocument/2006/relationships/sharedStrings" Target="/xl/sharedStrings.xml" Id="R51a182b7c0e34220" /><Relationship Type="http://schemas.openxmlformats.org/officeDocument/2006/relationships/worksheet" Target="/xl/worksheets/sheet1.xml" Id="R7770f526cfeb4e42" /><Relationship Type="http://schemas.openxmlformats.org/officeDocument/2006/relationships/worksheet" Target="/xl/worksheets/sheet2.xml" Id="Rcbd018894c064341" /><Relationship Type="http://schemas.openxmlformats.org/officeDocument/2006/relationships/worksheet" Target="/xl/worksheets/sheet3.xml" Id="R05e546c58c8d43b6" /><Relationship Type="http://schemas.openxmlformats.org/officeDocument/2006/relationships/worksheet" Target="/xl/worksheets/sheet4.xml" Id="Rbecac54279e14f45" /><Relationship Type="http://schemas.openxmlformats.org/officeDocument/2006/relationships/worksheet" Target="/xl/worksheets/sheet5.xml" Id="Rcfd43693020849d1" /><Relationship Type="http://schemas.openxmlformats.org/officeDocument/2006/relationships/worksheet" Target="/xl/worksheets/sheet6.xml" Id="R8bc6fad51ebb46e3" /><Relationship Type="http://schemas.openxmlformats.org/officeDocument/2006/relationships/worksheet" Target="/xl/worksheets/sheet7.xml" Id="R8e5bbcc3b31043c6" /><Relationship Type="http://schemas.openxmlformats.org/officeDocument/2006/relationships/worksheet" Target="/xl/worksheets/sheet8.xml" Id="R74b6a9f6256346f4" /><Relationship Type="http://schemas.openxmlformats.org/officeDocument/2006/relationships/worksheet" Target="/xl/worksheets/sheet9.xml" Id="R323723ca90a64fa9" /><Relationship Type="http://schemas.openxmlformats.org/officeDocument/2006/relationships/worksheet" Target="/xl/worksheets/sheet10.xml" Id="Re138b71a63924343" /><Relationship Type="http://schemas.openxmlformats.org/officeDocument/2006/relationships/worksheet" Target="/xl/worksheets/sheet11.xml" Id="R6491a667ebff4f31" /><Relationship Type="http://schemas.openxmlformats.org/officeDocument/2006/relationships/worksheet" Target="/xl/worksheets/sheet12.xml" Id="R7edb45680fa14191" /><Relationship Type="http://schemas.openxmlformats.org/officeDocument/2006/relationships/worksheet" Target="/xl/worksheets/sheet13.xml" Id="Rfe5e7b6a5969428f" /><Relationship Type="http://schemas.openxmlformats.org/officeDocument/2006/relationships/worksheet" Target="/xl/worksheets/sheet14.xml" Id="R11b73480a0d741c9" /><Relationship Type="http://schemas.openxmlformats.org/officeDocument/2006/relationships/worksheet" Target="/xl/worksheets/sheet15.xml" Id="R8a615e6f06d74b0c" /><Relationship Type="http://schemas.openxmlformats.org/officeDocument/2006/relationships/worksheet" Target="/xl/worksheets/sheet16.xml" Id="Rfb42685402fc40a0" /><Relationship Type="http://schemas.openxmlformats.org/officeDocument/2006/relationships/worksheet" Target="/xl/worksheets/sheet17.xml" Id="R32a4072d2473465c" /><Relationship Type="http://schemas.openxmlformats.org/officeDocument/2006/relationships/worksheet" Target="/xl/worksheets/sheet18.xml" Id="Rb0307d464ba24ebe" /><Relationship Type="http://schemas.openxmlformats.org/officeDocument/2006/relationships/worksheet" Target="/xl/worksheets/sheet19.xml" Id="R45e136a37ecb4035" /><Relationship Type="http://schemas.openxmlformats.org/officeDocument/2006/relationships/worksheet" Target="/xl/worksheets/sheet20.xml" Id="R487b9cd26eaf4d24" /><Relationship Type="http://schemas.openxmlformats.org/officeDocument/2006/relationships/worksheet" Target="/xl/worksheets/sheet21.xml" Id="Rcc11309366274691" /><Relationship Type="http://schemas.openxmlformats.org/officeDocument/2006/relationships/worksheet" Target="/xl/worksheets/sheet22.xml" Id="Rba20eefdc25d4613" /><Relationship Type="http://schemas.openxmlformats.org/officeDocument/2006/relationships/worksheet" Target="/xl/worksheets/sheet23.xml" Id="Rf8eaaa1ebe3e41e9" /><Relationship Type="http://schemas.openxmlformats.org/officeDocument/2006/relationships/worksheet" Target="/xl/worksheets/sheet24.xml" Id="R702fa0035f5e425f" /><Relationship Type="http://schemas.openxmlformats.org/officeDocument/2006/relationships/worksheet" Target="/xl/worksheets/sheet25.xml" Id="Ra831f02ebbb744bd" /><Relationship Type="http://schemas.openxmlformats.org/officeDocument/2006/relationships/worksheet" Target="/xl/worksheets/sheet26.xml" Id="R16a7af8ca2fe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0" hidden="0" customWidth="1"/>
    <x:col min="4" max="4" width="88" hidden="0" customWidth="1"/>
  </x:cols>
  <x:sheetData>
    <x:row r="2" ht="24" customHeight="1">
      <x:c r="A2" s="96" t="str">
        <x:v>RBU-1 first fire-control group</x:v>
      </x:c>
      <x:c r="B2" s="96"/>
      <x:c r="C2" s="96"/>
      <x:c r="D2" s="96"/>
    </x:row>
    <x:row r="3" ht="20" customHeight="1">
      <x:c r="A3" s="97" t="str">
        <x:v>One architecture, two production roots, eight operational sets and an observed reserve boundary. All physical gates remain open.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Metric</x:v>
      </x:c>
      <x:c r="B5" s="16" t="str">
        <x:v>Result</x:v>
      </x:c>
      <x:c r="C5" s="16" t="str">
        <x:v>Unit</x:v>
      </x:c>
      <x:c r="D5" s="17" t="str">
        <x:v>Meaning</x:v>
      </x:c>
    </x:row>
    <x:row r="6">
      <x:c r="A6" s="22" t="str">
        <x:v>Operational sets</x:v>
      </x:c>
      <x:c r="B6" s="56" t="n">
        <x:f>'Assumptions'!B7</x:f>
        <x:v>8</x:v>
      </x:c>
      <x:c r="C6" s="22" t="str">
        <x:v>sets</x:v>
      </x:c>
      <x:c r="D6" s="22" t="str">
        <x:v>Seven line sets plus one protected reserve</x:v>
      </x:c>
    </x:row>
    <x:row r="7">
      <x:c r="A7" s="23" t="str">
        <x:v>System bodies</x:v>
      </x:c>
      <x:c r="B7" s="69" t="n">
        <x:f>'Assumptions'!B6</x:f>
        <x:v>12</x:v>
      </x:c>
      <x:c r="C7" s="23" t="str">
        <x:v>systems</x:v>
      </x:c>
      <x:c r="D7" s="23" t="str">
        <x:v>Eight operational and four specialist</x:v>
      </x:c>
    </x:row>
    <x:row r="8">
      <x:c r="A8" s="23" t="str">
        <x:v>Production families</x:v>
      </x:c>
      <x:c r="B8" s="69" t="n">
        <x:f>'Assumptions'!B15+'Assumptions'!B16</x:f>
        <x:v>19</x:v>
      </x:c>
      <x:c r="C8" s="23" t="str">
        <x:v>families</x:v>
      </x:c>
      <x:c r="D8" s="23" t="str">
        <x:v>Transport added to production-root law</x:v>
      </x:c>
    </x:row>
    <x:row r="9">
      <x:c r="A9" s="23" t="str">
        <x:v>Production-root cells</x:v>
      </x:c>
      <x:c r="B9" s="69" t="n">
        <x:f>B8*'Assumptions'!B17</x:f>
        <x:v>38</x:v>
      </x:c>
      <x:c r="C9" s="23" t="str">
        <x:v>root cells</x:v>
      </x:c>
      <x:c r="D9" s="23" t="str">
        <x:v>Nineteen families × two roots</x:v>
      </x:c>
    </x:row>
    <x:row r="10">
      <x:c r="A10" s="23" t="str">
        <x:v>Nonconsumable mission modules</x:v>
      </x:c>
      <x:c r="B10" s="69" t="n">
        <x:f>'Module Production'!F23</x:f>
        <x:v>4858</x:v>
      </x:c>
      <x:c r="C10" s="23" t="str">
        <x:v>modules</x:v>
      </x:c>
      <x:c r="D10" s="23" t="str">
        <x:v>Twelve systems plus group reserve</x:v>
      </x:c>
    </x:row>
    <x:row r="11">
      <x:c r="A11" s="23" t="str">
        <x:v>Major industrial sites</x:v>
      </x:c>
      <x:c r="B11" s="69" t="n">
        <x:f>COUNTA('Industrial Sites'!A6:A23)</x:f>
        <x:v>18</x:v>
      </x:c>
      <x:c r="C11" s="23" t="str">
        <x:v>sites</x:v>
      </x:c>
      <x:c r="D11" s="23" t="str">
        <x:v>Module, transport, integration, standards and arsenals</x:v>
      </x:c>
    </x:row>
    <x:row r="12">
      <x:c r="A12" s="23" t="str">
        <x:v>Service prime movers</x:v>
      </x:c>
      <x:c r="B12" s="69" t="n">
        <x:f>'Transport Build'!D6</x:f>
        <x:v>3200</x:v>
      </x:c>
      <x:c r="C12" s="23" t="str">
        <x:v>vehicles</x:v>
      </x:c>
      <x:c r="D12" s="23" t="str">
        <x:v>Eight-set shared pool</x:v>
      </x:c>
    </x:row>
    <x:row r="13">
      <x:c r="A13" s="23" t="str">
        <x:v>Service load frames</x:v>
      </x:c>
      <x:c r="B13" s="69" t="n">
        <x:f>'Transport Build'!D7</x:f>
        <x:v>3000</x:v>
      </x:c>
      <x:c r="C13" s="23" t="str">
        <x:v>frames</x:v>
      </x:c>
      <x:c r="D13" s="23" t="str">
        <x:v>Eight-set shared pool</x:v>
      </x:c>
    </x:row>
    <x:row r="14">
      <x:c r="A14" s="23" t="str">
        <x:v>Loaded vehicle acceptance</x:v>
      </x:c>
      <x:c r="B14" s="69" t="n">
        <x:f>'Transport Acceptance'!D8</x:f>
        <x:v>2800000</x:v>
      </x:c>
      <x:c r="C14" s="23" t="str">
        <x:v>vehicle-km</x:v>
      </x:c>
      <x:c r="D14" s="23" t="str">
        <x:v>Universal and additional extended routes</x:v>
      </x:c>
    </x:row>
    <x:row r="15">
      <x:c r="A15" s="23" t="str">
        <x:v>Full packet trials</x:v>
      </x:c>
      <x:c r="B15" s="69" t="n">
        <x:f>'Packet Trials'!B8</x:f>
        <x:v>112</x:v>
      </x:c>
      <x:c r="C15" s="23" t="str">
        <x:v>trials</x:v>
      </x:c>
      <x:c r="D15" s="23" t="str">
        <x:v>Eight sets × fourteen packets</x:v>
      </x:c>
    </x:row>
    <x:row r="16">
      <x:c r="A16" s="23" t="str">
        <x:v>Operational group positions</x:v>
      </x:c>
      <x:c r="B16" s="69" t="n">
        <x:f>'Crew Pipeline'!B13</x:f>
        <x:v>14220</x:v>
      </x:c>
      <x:c r="C16" s="23" t="str">
        <x:v>positions</x:v>
      </x:c>
      <x:c r="D16" s="23" t="str">
        <x:v>Qualified operating formation</x:v>
      </x:c>
    </x:row>
    <x:row r="17">
      <x:c r="A17" s="23" t="str">
        <x:v>Initial qualification seats</x:v>
      </x:c>
      <x:c r="B17" s="69" t="n">
        <x:f>'Crew Pipeline'!E13</x:f>
        <x:v>16353</x:v>
      </x:c>
      <x:c r="C17" s="23" t="str">
        <x:v>seats</x:v>
      </x:c>
      <x:c r="D17" s="23" t="str">
        <x:v>Includes fifteen-percent reserve</x:v>
      </x:c>
    </x:row>
    <x:row r="18">
      <x:c r="A18" s="23" t="str">
        <x:v>Registered trials</x:v>
      </x:c>
      <x:c r="B18" s="69" t="n">
        <x:f>'Trial Register'!B15</x:f>
        <x:v>194</x:v>
      </x:c>
      <x:c r="C18" s="23" t="str">
        <x:v>trials</x:v>
      </x:c>
      <x:c r="D18" s="23" t="str">
        <x:v>Operational-acceptance campaign</x:v>
      </x:c>
    </x:row>
    <x:row r="19">
      <x:c r="A19" s="23" t="str">
        <x:v>Full mission service</x:v>
      </x:c>
      <x:c r="B19" s="69" t="n">
        <x:f>'Trial Register'!D15</x:f>
        <x:v>648</x:v>
      </x:c>
      <x:c r="C19" s="23" t="str">
        <x:v>hours</x:v>
      </x:c>
      <x:c r="D19" s="23" t="str">
        <x:v>Nine seventy-two-hour missions</x:v>
      </x:c>
    </x:row>
    <x:row r="20">
      <x:c r="A20" s="23" t="str">
        <x:v>First zero-ready interval</x:v>
      </x:c>
      <x:c r="B20" s="69" t="n">
        <x:f>'Reserve Exposure'!B12</x:f>
        <x:v>15</x:v>
      </x:c>
      <x:c r="C20" s="23" t="str">
        <x:v>hours</x:v>
      </x:c>
      <x:c r="D20" s="23" t="str">
        <x:v>Reserve launched before FG-01 returns</x:v>
      </x:c>
    </x:row>
    <x:row r="21">
      <x:c r="A21" s="23" t="str">
        <x:v>Second zero-ready interval</x:v>
      </x:c>
      <x:c r="B21" s="69" t="n">
        <x:f>'Reserve Exposure'!B15</x:f>
        <x:v>18</x:v>
      </x:c>
      <x:c r="C21" s="23" t="str">
        <x:v>hours</x:v>
      </x:c>
      <x:c r="D21" s="23" t="str">
        <x:v>FG-01 reissued before FG-02 returns</x:v>
      </x:c>
    </x:row>
    <x:row r="22">
      <x:c r="A22" s="23" t="str">
        <x:v>Two continuous lines supported</x:v>
      </x:c>
      <x:c r="B22" s="69" t="str">
        <x:f>'Reserve Exposure'!B16</x:f>
        <x:v>NO</x:v>
      </x:c>
      <x:c r="C22" s="23" t="str">
        <x:v>state</x:v>
      </x:c>
      <x:c r="D22" s="23" t="str">
        <x:v>Eight sets are insufficient</x:v>
      </x:c>
    </x:row>
    <x:row r="23">
      <x:c r="A23" s="23" t="str">
        <x:v>Capital</x:v>
      </x:c>
      <x:c r="B23" s="74" t="n">
        <x:f>'Capital'!D18</x:f>
        <x:v>162000</x:v>
      </x:c>
      <x:c r="C23" s="23" t="str">
        <x:v>USD M</x:v>
      </x:c>
      <x:c r="D23" s="23" t="str">
        <x:v>Representative production and acceptance</x:v>
      </x:c>
    </x:row>
    <x:row r="24">
      <x:c r="A24" s="23" t="str">
        <x:v>Peak annual support</x:v>
      </x:c>
      <x:c r="B24" s="74" t="n">
        <x:f>'Annual Support'!B14</x:f>
        <x:v>12000</x:v>
      </x:c>
      <x:c r="C24" s="23" t="str">
        <x:v>USD M/year</x:v>
      </x:c>
      <x:c r="D24" s="23" t="str">
        <x:v>RBU-1 program</x:v>
      </x:c>
    </x:row>
    <x:row r="25">
      <x:c r="A25" s="23" t="str">
        <x:v>Technology</x:v>
      </x:c>
      <x:c r="B25" s="74" t="n">
        <x:f>'Technology'!B18</x:f>
        <x:v>15000</x:v>
      </x:c>
      <x:c r="C25" s="23" t="str">
        <x:v>USD M</x:v>
      </x:c>
      <x:c r="D25" s="23" t="str">
        <x:v>Mission-led portfolio</x:v>
      </x:c>
    </x:row>
    <x:row r="26">
      <x:c r="A26" s="23" t="str">
        <x:v>Primary calendar</x:v>
      </x:c>
      <x:c r="B26" s="69" t="n">
        <x:f>'Schedule'!E17</x:f>
        <x:v>240</x:v>
      </x:c>
      <x:c r="C26" s="23" t="str">
        <x:v>weeks</x:v>
      </x:c>
      <x:c r="D26" s="23" t="str">
        <x:v>Release-aware primary</x:v>
      </x:c>
    </x:row>
    <x:row r="27">
      <x:c r="A27" s="23" t="str">
        <x:v>Maximum calendar</x:v>
      </x:c>
      <x:c r="B27" s="69" t="n">
        <x:f>'Schedule'!F17</x:f>
        <x:v>260</x:v>
      </x:c>
      <x:c r="C27" s="23" t="str">
        <x:v>weeks</x:v>
      </x:c>
      <x:c r="D27" s="23" t="str">
        <x:v>Release-aware maximum</x:v>
      </x:c>
    </x:row>
    <x:row r="28">
      <x:c r="A28" s="23" t="str">
        <x:v>Peak concurrent public positions</x:v>
      </x:c>
      <x:c r="B28" s="69" t="n">
        <x:f>'Parent Amendment'!D8</x:f>
        <x:v>35850</x:v>
      </x:c>
      <x:c r="C28" s="23" t="str">
        <x:v>positions</x:v>
      </x:c>
      <x:c r="D28" s="23" t="str">
        <x:v>Active overlap</x:v>
      </x:c>
    </x:row>
    <x:row r="29">
      <x:c r="A29" s="23" t="str">
        <x:v>Cumulative capital</x:v>
      </x:c>
      <x:c r="B29" s="74" t="n">
        <x:f>'Parent Amendment'!D9</x:f>
        <x:v>395680</x:v>
      </x:c>
      <x:c r="C29" s="23" t="str">
        <x:v>USD M</x:v>
      </x:c>
      <x:c r="D29" s="23" t="str">
        <x:v>Through RBU-1</x:v>
      </x:c>
    </x:row>
    <x:row r="30">
      <x:c r="A30" s="23" t="str">
        <x:v>New parent capital</x:v>
      </x:c>
      <x:c r="B30" s="74" t="n">
        <x:f>'Assumptions'!B60</x:f>
        <x:v>450000</x:v>
      </x:c>
      <x:c r="C30" s="23" t="str">
        <x:v>USD M</x:v>
      </x:c>
      <x:c r="D30" s="23" t="str">
        <x:v>RAS-3R11</x:v>
      </x:c>
    </x:row>
    <x:row r="31">
      <x:c r="A31" s="94" t="str">
        <x:v>Physical acceptance</x:v>
      </x:c>
      <x:c r="B31" s="95" t="str">
        <x:v>OPEN</x:v>
      </x:c>
      <x:c r="C31" s="94" t="str">
        <x:v>state</x:v>
      </x:c>
      <x:c r="D31" s="94" t="str">
        <x:v>No build or mission observation exists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72" hidden="0" customWidth="1"/>
  </x:cols>
  <x:sheetData>
    <x:row r="2" ht="24" customHeight="1">
      <x:c r="A2" s="96" t="str">
        <x:v>Registered RBU-1 assumptions</x:v>
      </x:c>
      <x:c r="B2" s="96"/>
      <x:c r="C2" s="96"/>
      <x:c r="D2" s="96"/>
    </x:row>
    <x:row r="3" ht="20" customHeight="1">
      <x:c r="A3" s="97" t="str">
        <x:v>Blue values are editable program hypotheses. Physical acceptance remains open.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Assumption</x:v>
      </x:c>
      <x:c r="B5" s="16" t="str">
        <x:v>Value</x:v>
      </x:c>
      <x:c r="C5" s="16" t="str">
        <x:v>Unit</x:v>
      </x:c>
      <x:c r="D5" s="17" t="str">
        <x:v>Interpretation</x:v>
      </x:c>
    </x:row>
    <x:row r="6">
      <x:c r="A6" s="22" t="str">
        <x:v>System bodies</x:v>
      </x:c>
      <x:c r="B6" s="31" t="n">
        <x:v>12</x:v>
      </x:c>
      <x:c r="C6" s="22" t="str">
        <x:v>systems</x:v>
      </x:c>
      <x:c r="D6" s="22" t="str">
        <x:v>Eight operational and four specialist systems</x:v>
      </x:c>
    </x:row>
    <x:row r="7">
      <x:c r="A7" s="23" t="str">
        <x:v>Operational sets</x:v>
      </x:c>
      <x:c r="B7" s="32" t="n">
        <x:v>8</x:v>
      </x:c>
      <x:c r="C7" s="23" t="str">
        <x:v>sets</x:v>
      </x:c>
      <x:c r="D7" s="23" t="str">
        <x:v>Seven line sets plus one protected reserve</x:v>
      </x:c>
    </x:row>
    <x:row r="8">
      <x:c r="A8" s="23" t="str">
        <x:v>Line sets</x:v>
      </x:c>
      <x:c r="B8" s="32" t="n">
        <x:v>7</x:v>
      </x:c>
      <x:c r="C8" s="23" t="str">
        <x:v>sets</x:v>
      </x:c>
      <x:c r="D8" s="23" t="str">
        <x:v>Continuous primary line</x:v>
      </x:c>
    </x:row>
    <x:row r="9">
      <x:c r="A9" s="23" t="str">
        <x:v>Protected reserve sets</x:v>
      </x:c>
      <x:c r="B9" s="32" t="n">
        <x:v>1</x:v>
      </x:c>
      <x:c r="C9" s="23" t="str">
        <x:v>set</x:v>
      </x:c>
      <x:c r="D9" s="23" t="str">
        <x:v>Not assigned to primary line</x:v>
      </x:c>
    </x:row>
    <x:row r="10">
      <x:c r="A10" s="23" t="str">
        <x:v>System roots</x:v>
      </x:c>
      <x:c r="B10" s="32" t="n">
        <x:v>2</x:v>
      </x:c>
      <x:c r="C10" s="23" t="str">
        <x:v>roots</x:v>
      </x:c>
      <x:c r="D10" s="23" t="str">
        <x:v>Independent builders</x:v>
      </x:c>
    </x:row>
    <x:row r="11">
      <x:c r="A11" s="23" t="str">
        <x:v>Systems per root</x:v>
      </x:c>
      <x:c r="B11" s="32" t="n">
        <x:v>6</x:v>
      </x:c>
      <x:c r="C11" s="23" t="str">
        <x:v>systems</x:v>
      </x:c>
      <x:c r="D11" s="23" t="str">
        <x:v>Four operational plus two specialist</x:v>
      </x:c>
    </x:row>
    <x:row r="12">
      <x:c r="A12" s="23" t="str">
        <x:v>Root 1 first completion</x:v>
      </x:c>
      <x:c r="B12" s="32" t="n">
        <x:v>40</x:v>
      </x:c>
      <x:c r="C12" s="23" t="str">
        <x:v>weeks</x:v>
      </x:c>
      <x:c r="D12" s="23" t="str">
        <x:v>FG-01</x:v>
      </x:c>
    </x:row>
    <x:row r="13">
      <x:c r="A13" s="23" t="str">
        <x:v>Root 2 first completion</x:v>
      </x:c>
      <x:c r="B13" s="32" t="n">
        <x:v>48</x:v>
      </x:c>
      <x:c r="C13" s="23" t="str">
        <x:v>weeks</x:v>
      </x:c>
      <x:c r="D13" s="23" t="str">
        <x:v>FG-02</x:v>
      </x:c>
    </x:row>
    <x:row r="14">
      <x:c r="A14" s="23" t="str">
        <x:v>System completion interval</x:v>
      </x:c>
      <x:c r="B14" s="32" t="n">
        <x:v>16</x:v>
      </x:c>
      <x:c r="C14" s="23" t="str">
        <x:v>weeks</x:v>
      </x:c>
      <x:c r="D14" s="23" t="str">
        <x:v>Per root after first system</x:v>
      </x:c>
    </x:row>
    <x:row r="15">
      <x:c r="A15" s="23" t="str">
        <x:v>Mission-module families</x:v>
      </x:c>
      <x:c r="B15" s="32" t="n">
        <x:v>17</x:v>
      </x:c>
      <x:c r="C15" s="23" t="str">
        <x:v>families</x:v>
      </x:c>
      <x:c r="D15" s="23" t="str">
        <x:v>Nonconsumable mission equipment</x:v>
      </x:c>
    </x:row>
    <x:row r="16">
      <x:c r="A16" s="23" t="str">
        <x:v>Transport families</x:v>
      </x:c>
      <x:c r="B16" s="32" t="n">
        <x:v>2</x:v>
      </x:c>
      <x:c r="C16" s="23" t="str">
        <x:v>families</x:v>
      </x:c>
      <x:c r="D16" s="23" t="str">
        <x:v>Prime mover and load frame</x:v>
      </x:c>
    </x:row>
    <x:row r="17">
      <x:c r="A17" s="23" t="str">
        <x:v>Roots per family</x:v>
      </x:c>
      <x:c r="B17" s="32" t="n">
        <x:v>2</x:v>
      </x:c>
      <x:c r="C17" s="23" t="str">
        <x:v>roots</x:v>
      </x:c>
      <x:c r="D17" s="23" t="str">
        <x:v>Minimum</x:v>
      </x:c>
    </x:row>
    <x:row r="18">
      <x:c r="A18" s="23" t="str">
        <x:v>Module campuses per root</x:v>
      </x:c>
      <x:c r="B18" s="32" t="n">
        <x:v>5</x:v>
      </x:c>
      <x:c r="C18" s="23" t="str">
        <x:v>sites</x:v>
      </x:c>
      <x:c r="D18" s="23" t="str">
        <x:v>Five functional clusters</x:v>
      </x:c>
    </x:row>
    <x:row r="19">
      <x:c r="A19" s="23" t="str">
        <x:v>Transport campuses</x:v>
      </x:c>
      <x:c r="B19" s="32" t="n">
        <x:v>2</x:v>
      </x:c>
      <x:c r="C19" s="23" t="str">
        <x:v>sites</x:v>
      </x:c>
      <x:c r="D19" s="23" t="str">
        <x:v>One per root</x:v>
      </x:c>
    </x:row>
    <x:row r="20">
      <x:c r="A20" s="23" t="str">
        <x:v>System integration campuses</x:v>
      </x:c>
      <x:c r="B20" s="32" t="n">
        <x:v>2</x:v>
      </x:c>
      <x:c r="C20" s="23" t="str">
        <x:v>sites</x:v>
      </x:c>
      <x:c r="D20" s="23" t="str">
        <x:v>One per system root</x:v>
      </x:c>
    </x:row>
    <x:row r="21">
      <x:c r="A21" s="23" t="str">
        <x:v>Standards plants</x:v>
      </x:c>
      <x:c r="B21" s="32" t="n">
        <x:v>1</x:v>
      </x:c>
      <x:c r="C21" s="23" t="str">
        <x:v>site</x:v>
      </x:c>
      <x:c r="D21" s="23" t="str">
        <x:v>Public standards and challenge plant</x:v>
      </x:c>
    </x:row>
    <x:row r="22">
      <x:c r="A22" s="23" t="str">
        <x:v>Arsenal sites</x:v>
      </x:c>
      <x:c r="B22" s="32" t="n">
        <x:v>3</x:v>
      </x:c>
      <x:c r="C22" s="23" t="str">
        <x:v>sites</x:v>
      </x:c>
      <x:c r="D22" s="23" t="str">
        <x:v>Separated regions</x:v>
      </x:c>
    </x:row>
    <x:row r="23">
      <x:c r="A23" s="23" t="str">
        <x:v>Service prime movers</x:v>
      </x:c>
      <x:c r="B23" s="32" t="n">
        <x:v>3200</x:v>
      </x:c>
      <x:c r="C23" s="23" t="str">
        <x:v>vehicles</x:v>
      </x:c>
      <x:c r="D23" s="23" t="str">
        <x:v>Eight-set group pool</x:v>
      </x:c>
    </x:row>
    <x:row r="24">
      <x:c r="A24" s="23" t="str">
        <x:v>Service load frames</x:v>
      </x:c>
      <x:c r="B24" s="32" t="n">
        <x:v>3000</x:v>
      </x:c>
      <x:c r="C24" s="23" t="str">
        <x:v>frames</x:v>
      </x:c>
      <x:c r="D24" s="23" t="str">
        <x:v>Eight-set group pool</x:v>
      </x:c>
    </x:row>
    <x:row r="25">
      <x:c r="A25" s="23" t="str">
        <x:v>Destructive prime movers</x:v>
      </x:c>
      <x:c r="B25" s="32" t="n">
        <x:v>64</x:v>
      </x:c>
      <x:c r="C25" s="23" t="str">
        <x:v>vehicles</x:v>
      </x:c>
      <x:c r="D25" s="23" t="str">
        <x:v>Thirty-two per root</x:v>
      </x:c>
    </x:row>
    <x:row r="26">
      <x:c r="A26" s="23" t="str">
        <x:v>Destructive load frames</x:v>
      </x:c>
      <x:c r="B26" s="32" t="n">
        <x:v>120</x:v>
      </x:c>
      <x:c r="C26" s="23" t="str">
        <x:v>frames</x:v>
      </x:c>
      <x:c r="D26" s="23" t="str">
        <x:v>Sixty per root</x:v>
      </x:c>
    </x:row>
    <x:row r="27">
      <x:c r="A27" s="23" t="str">
        <x:v>Universal mover route</x:v>
      </x:c>
      <x:c r="B27" s="32" t="n">
        <x:v>500</x:v>
      </x:c>
      <x:c r="C27" s="23" t="str">
        <x:v>km</x:v>
      </x:c>
      <x:c r="D27" s="23" t="str">
        <x:v>Every service mover</x:v>
      </x:c>
    </x:row>
    <x:row r="28">
      <x:c r="A28" s="23" t="str">
        <x:v>Extended-route movers</x:v>
      </x:c>
      <x:c r="B28" s="32" t="n">
        <x:v>800</x:v>
      </x:c>
      <x:c r="C28" s="23" t="str">
        <x:v>vehicles</x:v>
      </x:c>
      <x:c r="D28" s="23" t="str">
        <x:v>Four hundred per root</x:v>
      </x:c>
    </x:row>
    <x:row r="29">
      <x:c r="A29" s="23" t="str">
        <x:v>Additional extended route</x:v>
      </x:c>
      <x:c r="B29" s="32" t="n">
        <x:v>1500</x:v>
      </x:c>
      <x:c r="C29" s="23" t="str">
        <x:v>km</x:v>
      </x:c>
      <x:c r="D29" s="23" t="str">
        <x:v>Beyond universal route</x:v>
      </x:c>
    </x:row>
    <x:row r="30">
      <x:c r="A30" s="23" t="str">
        <x:v>Packets per set</x:v>
      </x:c>
      <x:c r="B30" s="32" t="n">
        <x:v>14</x:v>
      </x:c>
      <x:c r="C30" s="23" t="str">
        <x:v>packets</x:v>
      </x:c>
      <x:c r="D30" s="23" t="str">
        <x:v>Twenty-five movers per packet</x:v>
      </x:c>
    </x:row>
    <x:row r="31">
      <x:c r="A31" s="23" t="str">
        <x:v>Movers per packet</x:v>
      </x:c>
      <x:c r="B31" s="32" t="n">
        <x:v>25</x:v>
      </x:c>
      <x:c r="C31" s="23" t="str">
        <x:v>vehicles</x:v>
      </x:c>
      <x:c r="D31" s="23" t="str">
        <x:v>Governed maximum serial element</x:v>
      </x:c>
    </x:row>
    <x:row r="32">
      <x:c r="A32" s="23" t="str">
        <x:v>Prime movers per set</x:v>
      </x:c>
      <x:c r="B32" s="32" t="n">
        <x:v>350</x:v>
      </x:c>
      <x:c r="C32" s="23" t="str">
        <x:v>vehicles</x:v>
      </x:c>
      <x:c r="D32" s="23" t="str">
        <x:v>Thirty-eight unassigned within set</x:v>
      </x:c>
    </x:row>
    <x:row r="33">
      <x:c r="A33" s="23" t="str">
        <x:v>Load positions per set</x:v>
      </x:c>
      <x:c r="B33" s="32" t="n">
        <x:v>312</x:v>
      </x:c>
      <x:c r="C33" s="23" t="str">
        <x:v>positions</x:v>
      </x:c>
      <x:c r="D33" s="23" t="str">
        <x:v>304 assigned plus eight uncommitted</x:v>
      </x:c>
    </x:row>
    <x:row r="34">
      <x:c r="A34" s="23" t="str">
        <x:v>Operational group positions</x:v>
      </x:c>
      <x:c r="B34" s="32" t="n">
        <x:v>14220</x:v>
      </x:c>
      <x:c r="C34" s="23" t="str">
        <x:v>positions</x:v>
      </x:c>
      <x:c r="D34" s="23" t="str">
        <x:v>Eight crews plus common formation</x:v>
      </x:c>
    </x:row>
    <x:row r="35">
      <x:c r="A35" s="23" t="str">
        <x:v>Qualification reserve rate</x:v>
      </x:c>
      <x:c r="B35" s="34" t="n">
        <x:v>0.15</x:v>
      </x:c>
      <x:c r="C35" s="23" t="str">
        <x:v>fraction</x:v>
      </x:c>
      <x:c r="D35" s="23" t="str">
        <x:v>Initial pipeline reserve</x:v>
      </x:c>
    </x:row>
    <x:row r="36">
      <x:c r="A36" s="23" t="str">
        <x:v>Regional establishment</x:v>
      </x:c>
      <x:c r="B36" s="32" t="n">
        <x:v>18</x:v>
      </x:c>
      <x:c r="C36" s="23" t="str">
        <x:v>hours</x:v>
      </x:c>
      <x:c r="D36" s="23" t="str">
        <x:v>Order to effect</x:v>
      </x:c>
    </x:row>
    <x:row r="37">
      <x:c r="A37" s="23" t="str">
        <x:v>Mission duration</x:v>
      </x:c>
      <x:c r="B37" s="32" t="n">
        <x:v>72</x:v>
      </x:c>
      <x:c r="C37" s="23" t="str">
        <x:v>hours</x:v>
      </x:c>
      <x:c r="D37" s="23" t="str">
        <x:v>Full service interval</x:v>
      </x:c>
    </x:row>
    <x:row r="38">
      <x:c r="A38" s="23" t="str">
        <x:v>Relief and withdrawal</x:v>
      </x:c>
      <x:c r="B38" s="32" t="n">
        <x:v>24</x:v>
      </x:c>
      <x:c r="C38" s="23" t="str">
        <x:v>hours</x:v>
      </x:c>
      <x:c r="D38" s="23" t="str">
        <x:v>Before regeneration</x:v>
      </x:c>
    </x:row>
    <x:row r="39">
      <x:c r="A39" s="23" t="str">
        <x:v>Regeneration duration</x:v>
      </x:c>
      <x:c r="B39" s="32" t="n">
        <x:v>336</x:v>
      </x:c>
      <x:c r="C39" s="23" t="str">
        <x:v>hours</x:v>
      </x:c>
      <x:c r="D39" s="23" t="str">
        <x:v>Complete return</x:v>
      </x:c>
    </x:row>
    <x:row r="40">
      <x:c r="A40" s="23" t="str">
        <x:v>Primary order interval</x:v>
      </x:c>
      <x:c r="B40" s="32" t="n">
        <x:v>72</x:v>
      </x:c>
      <x:c r="C40" s="23" t="str">
        <x:v>hours</x:v>
      </x:c>
      <x:c r="D40" s="23" t="str">
        <x:v>Continuous service line</x:v>
      </x:c>
    </x:row>
    <x:row r="41">
      <x:c r="A41" s="23" t="str">
        <x:v>Reserve incident order</x:v>
      </x:c>
      <x:c r="B41" s="32" t="n">
        <x:v>435</x:v>
      </x:c>
      <x:c r="C41" s="23" t="str">
        <x:v>hour</x:v>
      </x:c>
      <x:c r="D41" s="23" t="str">
        <x:v>All seven line sets occupied</x:v>
      </x:c>
    </x:row>
    <x:row r="42">
      <x:c r="A42" s="23" t="str">
        <x:v>Arsenal bays per site</x:v>
      </x:c>
      <x:c r="B42" s="32" t="n">
        <x:v>3</x:v>
      </x:c>
      <x:c r="C42" s="23" t="str">
        <x:v>bays</x:v>
      </x:c>
      <x:c r="D42" s="23" t="str">
        <x:v>Complete-set bays</x:v>
      </x:c>
    </x:row>
    <x:row r="43">
      <x:c r="A43" s="23" t="str">
        <x:v>Equipment cost per system</x:v>
      </x:c>
      <x:c r="B43" s="32" t="n">
        <x:v>7611.1</x:v>
      </x:c>
      <x:c r="C43" s="23" t="str">
        <x:v>USD M</x:v>
      </x:c>
      <x:c r="D43" s="23" t="str">
        <x:v>Mission equipment and interfaces</x:v>
      </x:c>
    </x:row>
    <x:row r="44">
      <x:c r="A44" s="23" t="str">
        <x:v>Prime mover unit cost</x:v>
      </x:c>
      <x:c r="B44" s="32" t="n">
        <x:v>2.5</x:v>
      </x:c>
      <x:c r="C44" s="23" t="str">
        <x:v>USD M</x:v>
      </x:c>
      <x:c r="D44" s="23" t="str">
        <x:v>Planning hypothesis</x:v>
      </x:c>
    </x:row>
    <x:row r="45">
      <x:c r="A45" s="23" t="str">
        <x:v>Load frame unit cost</x:v>
      </x:c>
      <x:c r="B45" s="32" t="n">
        <x:v>0.8</x:v>
      </x:c>
      <x:c r="C45" s="23" t="str">
        <x:v>USD M</x:v>
      </x:c>
      <x:c r="D45" s="23" t="str">
        <x:v>Planning hypothesis</x:v>
      </x:c>
    </x:row>
    <x:row r="46">
      <x:c r="A46" s="23" t="str">
        <x:v>RBU execution positions</x:v>
      </x:c>
      <x:c r="B46" s="32" t="n">
        <x:v>18000</x:v>
      </x:c>
      <x:c r="C46" s="23" t="str">
        <x:v>positions</x:v>
      </x:c>
      <x:c r="D46" s="23" t="str">
        <x:v>Production and acceptance institution</x:v>
      </x:c>
    </x:row>
    <x:row r="47">
      <x:c r="A47" s="23" t="str">
        <x:v>Retained reference positions</x:v>
      </x:c>
      <x:c r="B47" s="32" t="n">
        <x:v>7350</x:v>
      </x:c>
      <x:c r="C47" s="23" t="str">
        <x:v>positions</x:v>
      </x:c>
      <x:c r="D47" s="23" t="str">
        <x:v>Reference and closure estate</x:v>
      </x:c>
    </x:row>
    <x:row r="48">
      <x:c r="A48" s="23" t="str">
        <x:v>RBT trailing positions</x:v>
      </x:c>
      <x:c r="B48" s="32" t="n">
        <x:v>10500</x:v>
      </x:c>
      <x:c r="C48" s="23" t="str">
        <x:v>positions</x:v>
      </x:c>
      <x:c r="D48" s="23" t="str">
        <x:v>Production-equivalent tail</x:v>
      </x:c>
    </x:row>
    <x:row r="49">
      <x:c r="A49" s="23" t="str">
        <x:v>RBU capital</x:v>
      </x:c>
      <x:c r="B49" s="32" t="n">
        <x:v>162000</x:v>
      </x:c>
      <x:c r="C49" s="23" t="str">
        <x:v>USD M</x:v>
      </x:c>
      <x:c r="D49" s="23" t="str">
        <x:v>This pass</x:v>
      </x:c>
    </x:row>
    <x:row r="50">
      <x:c r="A50" s="23" t="str">
        <x:v>RBU annual support</x:v>
      </x:c>
      <x:c r="B50" s="32" t="n">
        <x:v>12000</x:v>
      </x:c>
      <x:c r="C50" s="23" t="str">
        <x:v>USD M/year</x:v>
      </x:c>
      <x:c r="D50" s="23" t="str">
        <x:v>Peak</x:v>
      </x:c>
    </x:row>
    <x:row r="51">
      <x:c r="A51" s="23" t="str">
        <x:v>RBU technology</x:v>
      </x:c>
      <x:c r="B51" s="32" t="n">
        <x:v>15000</x:v>
      </x:c>
      <x:c r="C51" s="23" t="str">
        <x:v>USD M</x:v>
      </x:c>
      <x:c r="D51" s="23" t="str">
        <x:v>Mission-led portfolio</x:v>
      </x:c>
    </x:row>
    <x:row r="52">
      <x:c r="A52" s="23" t="str">
        <x:v>Prior primary weeks</x:v>
      </x:c>
      <x:c r="B52" s="32" t="n">
        <x:v>1570</x:v>
      </x:c>
      <x:c r="C52" s="23" t="str">
        <x:v>weeks</x:v>
      </x:c>
      <x:c r="D52" s="23" t="str">
        <x:v>Through RBT-1</x:v>
      </x:c>
    </x:row>
    <x:row r="53">
      <x:c r="A53" s="23" t="str">
        <x:v>Prior maximum weeks</x:v>
      </x:c>
      <x:c r="B53" s="32" t="n">
        <x:v>1654</x:v>
      </x:c>
      <x:c r="C53" s="23" t="str">
        <x:v>weeks</x:v>
      </x:c>
      <x:c r="D53" s="23" t="str">
        <x:v>Through RBT-1</x:v>
      </x:c>
    </x:row>
    <x:row r="54">
      <x:c r="A54" s="23" t="str">
        <x:v>Prior capital</x:v>
      </x:c>
      <x:c r="B54" s="32" t="n">
        <x:v>233680</x:v>
      </x:c>
      <x:c r="C54" s="23" t="str">
        <x:v>USD M</x:v>
      </x:c>
      <x:c r="D54" s="23" t="str">
        <x:v>Through RBT-1</x:v>
      </x:c>
    </x:row>
    <x:row r="55">
      <x:c r="A55" s="23" t="str">
        <x:v>Prior technology</x:v>
      </x:c>
      <x:c r="B55" s="32" t="n">
        <x:v>43235</x:v>
      </x:c>
      <x:c r="C55" s="23" t="str">
        <x:v>USD M</x:v>
      </x:c>
      <x:c r="D55" s="23" t="str">
        <x:v>Through RBT-1</x:v>
      </x:c>
    </x:row>
    <x:row r="56">
      <x:c r="A56" s="23" t="str">
        <x:v>Retained annual support</x:v>
      </x:c>
      <x:c r="B56" s="32" t="n">
        <x:v>1470</x:v>
      </x:c>
      <x:c r="C56" s="23" t="str">
        <x:v>USD M/year</x:v>
      </x:c>
      <x:c r="D56" s="23" t="str">
        <x:v>Reference estate</x:v>
      </x:c>
    </x:row>
    <x:row r="57">
      <x:c r="A57" s="23" t="str">
        <x:v>RBT annual support</x:v>
      </x:c>
      <x:c r="B57" s="32" t="n">
        <x:v>9500</x:v>
      </x:c>
      <x:c r="C57" s="23" t="str">
        <x:v>USD M/year</x:v>
      </x:c>
      <x:c r="D57" s="23" t="str">
        <x:v>Trailing program</x:v>
      </x:c>
    </x:row>
    <x:row r="58">
      <x:c r="A58" s="23" t="str">
        <x:v>New parent calendar</x:v>
      </x:c>
      <x:c r="B58" s="32" t="n">
        <x:v>2200</x:v>
      </x:c>
      <x:c r="C58" s="23" t="str">
        <x:v>weeks</x:v>
      </x:c>
      <x:c r="D58" s="23" t="str">
        <x:v>RAS-3R11</x:v>
      </x:c>
    </x:row>
    <x:row r="59">
      <x:c r="A59" s="23" t="str">
        <x:v>New parent positions</x:v>
      </x:c>
      <x:c r="B59" s="32" t="n">
        <x:v>45000</x:v>
      </x:c>
      <x:c r="C59" s="23" t="str">
        <x:v>positions</x:v>
      </x:c>
      <x:c r="D59" s="23" t="str">
        <x:v>RAS-3R11</x:v>
      </x:c>
    </x:row>
    <x:row r="60">
      <x:c r="A60" s="23" t="str">
        <x:v>New parent capital</x:v>
      </x:c>
      <x:c r="B60" s="32" t="n">
        <x:v>450000</x:v>
      </x:c>
      <x:c r="C60" s="23" t="str">
        <x:v>USD M</x:v>
      </x:c>
      <x:c r="D60" s="23" t="str">
        <x:v>RAS-3R11</x:v>
      </x:c>
    </x:row>
    <x:row r="61">
      <x:c r="A61" s="23" t="str">
        <x:v>New parent annual support</x:v>
      </x:c>
      <x:c r="B61" s="32" t="n">
        <x:v>27000</x:v>
      </x:c>
      <x:c r="C61" s="23" t="str">
        <x:v>USD M/year</x:v>
      </x:c>
      <x:c r="D61" s="23" t="str">
        <x:v>RAS-3R11</x:v>
      </x:c>
    </x:row>
    <x:row r="62">
      <x:c r="A62" s="24" t="str">
        <x:v>New parent technology</x:v>
      </x:c>
      <x:c r="B62" s="33" t="n">
        <x:v>80000</x:v>
      </x:c>
      <x:c r="C62" s="24" t="str">
        <x:v>USD M</x:v>
      </x:c>
      <x:c r="D62" s="24" t="str">
        <x:v>RAS-3R11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22" hidden="0" customWidth="1"/>
    <x:col min="7" max="7" width="18" hidden="0" customWidth="1"/>
    <x:col min="8" max="8" width="20" hidden="0" customWidth="1"/>
  </x:cols>
  <x:sheetData>
    <x:row r="2" ht="24" customHeight="1">
      <x:c r="A2" s="96" t="str">
        <x:v>Twelve-system production lot</x:v>
      </x:c>
      <x:c r="B2" s="96"/>
      <x:c r="C2" s="96"/>
      <x:c r="D2" s="96"/>
      <x:c r="E2" s="96"/>
      <x:c r="F2" s="96"/>
      <x:c r="G2" s="96"/>
      <x:c r="H2" s="96"/>
    </x:row>
    <x:row r="3" ht="20" customHeight="1">
      <x:c r="A3" s="97" t="str">
        <x:v>Completion weeks are formula-driven by root start and interval. Specialist systems receive no line-readiness credit.</x:v>
      </x:c>
      <x:c r="B3" s="97"/>
      <x:c r="C3" s="97"/>
      <x:c r="D3" s="97"/>
      <x:c r="E3" s="97"/>
      <x:c r="F3" s="97"/>
      <x:c r="G3" s="97"/>
      <x:c r="H3" s="97"/>
    </x:row>
    <x:row r="4">
      <x:c r="A4" s="98"/>
      <x:c r="B4" s="98"/>
      <x:c r="C4" s="98"/>
      <x:c r="D4" s="98"/>
      <x:c r="E4" s="98"/>
      <x:c r="F4" s="98"/>
      <x:c r="G4" s="98"/>
      <x:c r="H4" s="98"/>
    </x:row>
    <x:row r="5" ht="30" customHeight="1">
      <x:c r="A5" s="15" t="str">
        <x:v>Serial</x:v>
      </x:c>
      <x:c r="B5" s="16" t="str">
        <x:v>System root</x:v>
      </x:c>
      <x:c r="C5" s="16" t="str">
        <x:v>Root sequence</x:v>
      </x:c>
      <x:c r="D5" s="16" t="str">
        <x:v>Class</x:v>
      </x:c>
      <x:c r="E5" s="16" t="str">
        <x:v>Role</x:v>
      </x:c>
      <x:c r="F5" s="16" t="str">
        <x:v>Transport</x:v>
      </x:c>
      <x:c r="G5" s="16" t="str">
        <x:v>Terminal state</x:v>
      </x:c>
      <x:c r="H5" s="17" t="str">
        <x:v>Completion week</x:v>
      </x:c>
    </x:row>
    <x:row r="6">
      <x:c r="A6" s="22" t="str">
        <x:v>FG-01</x:v>
      </x:c>
      <x:c r="B6" s="22" t="str">
        <x:v>Root 1</x:v>
      </x:c>
      <x:c r="C6" s="38" t="n">
        <x:v>1</x:v>
      </x:c>
      <x:c r="D6" s="22" t="str">
        <x:v>Operational</x:v>
      </x:c>
      <x:c r="E6" s="22" t="str">
        <x:v>Set 1</x:v>
      </x:c>
      <x:c r="F6" s="22" t="str">
        <x:v>Group pool</x:v>
      </x:c>
      <x:c r="G6" s="22" t="str">
        <x:v>Retained</x:v>
      </x:c>
      <x:c r="H6" s="41" t="n">
        <x:f>'Assumptions'!B12+(C6-1)*'Assumptions'!B14</x:f>
        <x:v>40</x:v>
      </x:c>
    </x:row>
    <x:row r="7">
      <x:c r="A7" s="23" t="str">
        <x:v>FG-02</x:v>
      </x:c>
      <x:c r="B7" s="23" t="str">
        <x:v>Root 2</x:v>
      </x:c>
      <x:c r="C7" s="39" t="n">
        <x:v>1</x:v>
      </x:c>
      <x:c r="D7" s="23" t="str">
        <x:v>Operational</x:v>
      </x:c>
      <x:c r="E7" s="23" t="str">
        <x:v>Set 2</x:v>
      </x:c>
      <x:c r="F7" s="23" t="str">
        <x:v>Group pool</x:v>
      </x:c>
      <x:c r="G7" s="23" t="str">
        <x:v>Retained</x:v>
      </x:c>
      <x:c r="H7" s="42" t="n">
        <x:f>'Assumptions'!B13+(C7-1)*'Assumptions'!B14</x:f>
        <x:v>48</x:v>
      </x:c>
    </x:row>
    <x:row r="8">
      <x:c r="A8" s="23" t="str">
        <x:v>FG-03</x:v>
      </x:c>
      <x:c r="B8" s="23" t="str">
        <x:v>Root 1</x:v>
      </x:c>
      <x:c r="C8" s="39" t="n">
        <x:v>2</x:v>
      </x:c>
      <x:c r="D8" s="23" t="str">
        <x:v>Operational</x:v>
      </x:c>
      <x:c r="E8" s="23" t="str">
        <x:v>Set 3</x:v>
      </x:c>
      <x:c r="F8" s="23" t="str">
        <x:v>Group pool</x:v>
      </x:c>
      <x:c r="G8" s="23" t="str">
        <x:v>Retained</x:v>
      </x:c>
      <x:c r="H8" s="42" t="n">
        <x:f>'Assumptions'!B12+(C8-1)*'Assumptions'!B14</x:f>
        <x:v>56</x:v>
      </x:c>
    </x:row>
    <x:row r="9">
      <x:c r="A9" s="23" t="str">
        <x:v>FG-04</x:v>
      </x:c>
      <x:c r="B9" s="23" t="str">
        <x:v>Root 2</x:v>
      </x:c>
      <x:c r="C9" s="39" t="n">
        <x:v>2</x:v>
      </x:c>
      <x:c r="D9" s="23" t="str">
        <x:v>Operational</x:v>
      </x:c>
      <x:c r="E9" s="23" t="str">
        <x:v>Set 4</x:v>
      </x:c>
      <x:c r="F9" s="23" t="str">
        <x:v>Group pool</x:v>
      </x:c>
      <x:c r="G9" s="23" t="str">
        <x:v>Retained</x:v>
      </x:c>
      <x:c r="H9" s="42" t="n">
        <x:f>'Assumptions'!B13+(C9-1)*'Assumptions'!B14</x:f>
        <x:v>64</x:v>
      </x:c>
    </x:row>
    <x:row r="10">
      <x:c r="A10" s="23" t="str">
        <x:v>FG-05</x:v>
      </x:c>
      <x:c r="B10" s="23" t="str">
        <x:v>Root 1</x:v>
      </x:c>
      <x:c r="C10" s="39" t="n">
        <x:v>3</x:v>
      </x:c>
      <x:c r="D10" s="23" t="str">
        <x:v>Operational</x:v>
      </x:c>
      <x:c r="E10" s="23" t="str">
        <x:v>Set 5</x:v>
      </x:c>
      <x:c r="F10" s="23" t="str">
        <x:v>Group pool</x:v>
      </x:c>
      <x:c r="G10" s="23" t="str">
        <x:v>Retained</x:v>
      </x:c>
      <x:c r="H10" s="42" t="n">
        <x:f>'Assumptions'!B12+(C10-1)*'Assumptions'!B14</x:f>
        <x:v>72</x:v>
      </x:c>
    </x:row>
    <x:row r="11">
      <x:c r="A11" s="23" t="str">
        <x:v>FG-06</x:v>
      </x:c>
      <x:c r="B11" s="23" t="str">
        <x:v>Root 2</x:v>
      </x:c>
      <x:c r="C11" s="39" t="n">
        <x:v>3</x:v>
      </x:c>
      <x:c r="D11" s="23" t="str">
        <x:v>Operational</x:v>
      </x:c>
      <x:c r="E11" s="23" t="str">
        <x:v>Set 6</x:v>
      </x:c>
      <x:c r="F11" s="23" t="str">
        <x:v>Group pool</x:v>
      </x:c>
      <x:c r="G11" s="23" t="str">
        <x:v>Retained</x:v>
      </x:c>
      <x:c r="H11" s="42" t="n">
        <x:f>'Assumptions'!B13+(C11-1)*'Assumptions'!B14</x:f>
        <x:v>80</x:v>
      </x:c>
    </x:row>
    <x:row r="12">
      <x:c r="A12" s="23" t="str">
        <x:v>FG-07</x:v>
      </x:c>
      <x:c r="B12" s="23" t="str">
        <x:v>Root 1</x:v>
      </x:c>
      <x:c r="C12" s="39" t="n">
        <x:v>4</x:v>
      </x:c>
      <x:c r="D12" s="23" t="str">
        <x:v>Operational</x:v>
      </x:c>
      <x:c r="E12" s="23" t="str">
        <x:v>Set 7</x:v>
      </x:c>
      <x:c r="F12" s="23" t="str">
        <x:v>Group pool</x:v>
      </x:c>
      <x:c r="G12" s="23" t="str">
        <x:v>Retained</x:v>
      </x:c>
      <x:c r="H12" s="42" t="n">
        <x:f>'Assumptions'!B12+(C12-1)*'Assumptions'!B14</x:f>
        <x:v>88</x:v>
      </x:c>
    </x:row>
    <x:row r="13">
      <x:c r="A13" s="23" t="str">
        <x:v>FG-08</x:v>
      </x:c>
      <x:c r="B13" s="23" t="str">
        <x:v>Root 2</x:v>
      </x:c>
      <x:c r="C13" s="39" t="n">
        <x:v>4</x:v>
      </x:c>
      <x:c r="D13" s="23" t="str">
        <x:v>Operational</x:v>
      </x:c>
      <x:c r="E13" s="23" t="str">
        <x:v>Set 8 / reserve</x:v>
      </x:c>
      <x:c r="F13" s="23" t="str">
        <x:v>Group pool</x:v>
      </x:c>
      <x:c r="G13" s="23" t="str">
        <x:v>Retained</x:v>
      </x:c>
      <x:c r="H13" s="42" t="n">
        <x:f>'Assumptions'!B13+(C13-1)*'Assumptions'!B14</x:f>
        <x:v>96</x:v>
      </x:c>
    </x:row>
    <x:row r="14">
      <x:c r="A14" s="23" t="str">
        <x:v>TR-01</x:v>
      </x:c>
      <x:c r="B14" s="23" t="str">
        <x:v>Root 1</x:v>
      </x:c>
      <x:c r="C14" s="39" t="n">
        <x:v>5</x:v>
      </x:c>
      <x:c r="D14" s="23" t="str">
        <x:v>Specialist</x:v>
      </x:c>
      <x:c r="E14" s="23" t="str">
        <x:v>Formation school</x:v>
      </x:c>
      <x:c r="F14" s="23" t="str">
        <x:v>Scheduled access</x:v>
      </x:c>
      <x:c r="G14" s="23" t="str">
        <x:v>Retained</x:v>
      </x:c>
      <x:c r="H14" s="42" t="n">
        <x:f>'Assumptions'!B12+(C14-1)*'Assumptions'!B14</x:f>
        <x:v>104</x:v>
      </x:c>
    </x:row>
    <x:row r="15">
      <x:c r="A15" s="23" t="str">
        <x:v>EV-01</x:v>
      </x:c>
      <x:c r="B15" s="23" t="str">
        <x:v>Root 2</x:v>
      </x:c>
      <x:c r="C15" s="39" t="n">
        <x:v>5</x:v>
      </x:c>
      <x:c r="D15" s="23" t="str">
        <x:v>Specialist</x:v>
      </x:c>
      <x:c r="E15" s="23" t="str">
        <x:v>Independent evaluation</x:v>
      </x:c>
      <x:c r="F15" s="23" t="str">
        <x:v>Scheduled access</x:v>
      </x:c>
      <x:c r="G15" s="23" t="str">
        <x:v>Retained</x:v>
      </x:c>
      <x:c r="H15" s="42" t="n">
        <x:f>'Assumptions'!B13+(C15-1)*'Assumptions'!B14</x:f>
        <x:v>112</x:v>
      </x:c>
    </x:row>
    <x:row r="16">
      <x:c r="A16" s="23" t="str">
        <x:v>DS-01</x:v>
      </x:c>
      <x:c r="B16" s="23" t="str">
        <x:v>Root 1</x:v>
      </x:c>
      <x:c r="C16" s="39" t="n">
        <x:v>6</x:v>
      </x:c>
      <x:c r="D16" s="23" t="str">
        <x:v>Specialist</x:v>
      </x:c>
      <x:c r="E16" s="23" t="str">
        <x:v>Terminal system</x:v>
      </x:c>
      <x:c r="F16" s="23" t="str">
        <x:v>Test allocation</x:v>
      </x:c>
      <x:c r="G16" s="23" t="str">
        <x:v>Destroyed</x:v>
      </x:c>
      <x:c r="H16" s="42" t="n">
        <x:f>'Assumptions'!B12+(C16-1)*'Assumptions'!B14</x:f>
        <x:v>120</x:v>
      </x:c>
    </x:row>
    <x:row r="17">
      <x:c r="A17" s="24" t="str">
        <x:v>CS-01</x:v>
      </x:c>
      <x:c r="B17" s="24" t="str">
        <x:v>Root 2</x:v>
      </x:c>
      <x:c r="C17" s="40" t="n">
        <x:v>6</x:v>
      </x:c>
      <x:c r="D17" s="24" t="str">
        <x:v>Specialist</x:v>
      </x:c>
      <x:c r="E17" s="24" t="str">
        <x:v>Cold reference</x:v>
      </x:c>
      <x:c r="F17" s="24" t="str">
        <x:v>Scheduled access</x:v>
      </x:c>
      <x:c r="G17" s="24" t="str">
        <x:v>Protected</x:v>
      </x:c>
      <x:c r="H17" s="43" t="n">
        <x:f>'Assumptions'!B13+(C17-1)*'Assumptions'!B14</x:f>
        <x:v>128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8" hidden="0" customWidth="1"/>
    <x:col min="5" max="5" width="18" hidden="0" customWidth="1"/>
    <x:col min="6" max="6" width="19" hidden="0" customWidth="1"/>
    <x:col min="7" max="7" width="16" hidden="0" customWidth="1"/>
    <x:col min="8" max="8" width="16" hidden="0" customWidth="1"/>
  </x:cols>
  <x:sheetData>
    <x:row r="2" ht="24" customHeight="1">
      <x:c r="A2" s="96" t="str">
        <x:v>Mission-module production lot</x:v>
      </x:c>
      <x:c r="B2" s="96"/>
      <x:c r="C2" s="96"/>
      <x:c r="D2" s="96"/>
      <x:c r="E2" s="96"/>
      <x:c r="F2" s="96"/>
      <x:c r="G2" s="96"/>
      <x:c r="H2" s="96"/>
    </x:row>
    <x:row r="3" ht="20" customHeight="1">
      <x:c r="A3" s="97" t="str">
        <x:v>Per-system and reserve quantities are inputs from RBT-1. Totals divide exactly across two roots.</x:v>
      </x:c>
      <x:c r="B3" s="97"/>
      <x:c r="C3" s="97"/>
      <x:c r="D3" s="97"/>
      <x:c r="E3" s="97"/>
      <x:c r="F3" s="97"/>
      <x:c r="G3" s="97"/>
      <x:c r="H3" s="97"/>
    </x:row>
    <x:row r="4">
      <x:c r="A4" s="98"/>
      <x:c r="B4" s="98"/>
      <x:c r="C4" s="98"/>
      <x:c r="D4" s="98"/>
      <x:c r="E4" s="98"/>
      <x:c r="F4" s="98"/>
      <x:c r="G4" s="98"/>
      <x:c r="H4" s="98"/>
    </x:row>
    <x:row r="5" ht="30" customHeight="1">
      <x:c r="A5" s="15" t="str">
        <x:v>Family</x:v>
      </x:c>
      <x:c r="B5" s="16" t="str">
        <x:v>Article</x:v>
      </x:c>
      <x:c r="C5" s="16" t="str">
        <x:v>Per system</x:v>
      </x:c>
      <x:c r="D5" s="16" t="str">
        <x:v>Twelve systems</x:v>
      </x:c>
      <x:c r="E5" s="16" t="str">
        <x:v>Group reserve</x:v>
      </x:c>
      <x:c r="F5" s="16" t="str">
        <x:v>Production total</x:v>
      </x:c>
      <x:c r="G5" s="16" t="str">
        <x:v>Root 1</x:v>
      </x:c>
      <x:c r="H5" s="17" t="str">
        <x:v>Root 2</x:v>
      </x:c>
    </x:row>
    <x:row r="6">
      <x:c r="A6" s="22" t="str">
        <x:v>EFF-16</x:v>
      </x:c>
      <x:c r="B6" s="22" t="str">
        <x:v>Intervention cells</x:v>
      </x:c>
      <x:c r="C6" s="48" t="n">
        <x:v>16</x:v>
      </x:c>
      <x:c r="D6" s="41" t="n">
        <x:f>C6*'Assumptions'!B6</x:f>
        <x:v>192</x:v>
      </x:c>
      <x:c r="E6" s="48" t="n">
        <x:v>32</x:v>
      </x:c>
      <x:c r="F6" s="38" t="n">
        <x:f>D6+E6</x:f>
        <x:v>224</x:v>
      </x:c>
      <x:c r="G6" s="41" t="n">
        <x:f>F6/'Assumptions'!B17</x:f>
        <x:v>112</x:v>
      </x:c>
      <x:c r="H6" s="41" t="n">
        <x:f>F6/'Assumptions'!B17</x:f>
        <x:v>112</x:v>
      </x:c>
    </x:row>
    <x:row r="7">
      <x:c r="A7" s="23" t="str">
        <x:v>WPT-500</x:v>
      </x:c>
      <x:c r="B7" s="23" t="str">
        <x:v>Treatment trains</x:v>
      </x:c>
      <x:c r="C7" s="49" t="n">
        <x:v>6</x:v>
      </x:c>
      <x:c r="D7" s="42" t="n">
        <x:f>C7*'Assumptions'!B6</x:f>
        <x:v>72</x:v>
      </x:c>
      <x:c r="E7" s="49" t="n">
        <x:v>12</x:v>
      </x:c>
      <x:c r="F7" s="39" t="n">
        <x:f>D7+E7</x:f>
        <x:v>84</x:v>
      </x:c>
      <x:c r="G7" s="42" t="n">
        <x:f>F7/'Assumptions'!B17</x:f>
        <x:v>42</x:v>
      </x:c>
      <x:c r="H7" s="42" t="n">
        <x:f>F7/'Assumptions'!B17</x:f>
        <x:v>42</x:v>
      </x:c>
    </x:row>
    <x:row r="8">
      <x:c r="A8" s="23" t="str">
        <x:v>RAW-1000</x:v>
      </x:c>
      <x:c r="B8" s="23" t="str">
        <x:v>Intake paths</x:v>
      </x:c>
      <x:c r="C8" s="49" t="n">
        <x:v>3</x:v>
      </x:c>
      <x:c r="D8" s="42" t="n">
        <x:f>C8*'Assumptions'!B6</x:f>
        <x:v>36</x:v>
      </x:c>
      <x:c r="E8" s="49" t="n">
        <x:v>6</x:v>
      </x:c>
      <x:c r="F8" s="39" t="n">
        <x:f>D8+E8</x:f>
        <x:v>42</x:v>
      </x:c>
      <x:c r="G8" s="42" t="n">
        <x:f>F8/'Assumptions'!B17</x:f>
        <x:v>21</x:v>
      </x:c>
      <x:c r="H8" s="42" t="n">
        <x:f>F8/'Assumptions'!B17</x:f>
        <x:v>21</x:v>
      </x:c>
    </x:row>
    <x:row r="9">
      <x:c r="A9" s="23" t="str">
        <x:v>RTL-100</x:v>
      </x:c>
      <x:c r="B9" s="23" t="str">
        <x:v>100 m trunkline sections</x:v>
      </x:c>
      <x:c r="C9" s="49" t="n">
        <x:v>120</x:v>
      </x:c>
      <x:c r="D9" s="42" t="n">
        <x:f>C9*'Assumptions'!B6</x:f>
        <x:v>1440</x:v>
      </x:c>
      <x:c r="E9" s="49" t="n">
        <x:v>240</x:v>
      </x:c>
      <x:c r="F9" s="39" t="n">
        <x:f>D9+E9</x:f>
        <x:v>1680</x:v>
      </x:c>
      <x:c r="G9" s="42" t="n">
        <x:f>F9/'Assumptions'!B17</x:f>
        <x:v>840</x:v>
      </x:c>
      <x:c r="H9" s="42" t="n">
        <x:f>F9/'Assumptions'!B17</x:f>
        <x:v>840</x:v>
      </x:c>
    </x:row>
    <x:row r="10">
      <x:c r="A10" s="23" t="str">
        <x:v>RTR-12</x:v>
      </x:c>
      <x:c r="B10" s="23" t="str">
        <x:v>Route and repair robots</x:v>
      </x:c>
      <x:c r="C10" s="49" t="n">
        <x:v>24</x:v>
      </x:c>
      <x:c r="D10" s="42" t="n">
        <x:f>C10*'Assumptions'!B6</x:f>
        <x:v>288</x:v>
      </x:c>
      <x:c r="E10" s="49" t="n">
        <x:v>48</x:v>
      </x:c>
      <x:c r="F10" s="39" t="n">
        <x:f>D10+E10</x:f>
        <x:v>336</x:v>
      </x:c>
      <x:c r="G10" s="42" t="n">
        <x:f>F10/'Assumptions'!B17</x:f>
        <x:v>168</x:v>
      </x:c>
      <x:c r="H10" s="42" t="n">
        <x:f>F10/'Assumptions'!B17</x:f>
        <x:v>168</x:v>
      </x:c>
    </x:row>
    <x:row r="11">
      <x:c r="A11" s="23" t="str">
        <x:v>BUF-100</x:v>
      </x:c>
      <x:c r="B11" s="23" t="str">
        <x:v>Ready-storage cells</x:v>
      </x:c>
      <x:c r="C11" s="49" t="n">
        <x:v>15</x:v>
      </x:c>
      <x:c r="D11" s="42" t="n">
        <x:f>C11*'Assumptions'!B6</x:f>
        <x:v>180</x:v>
      </x:c>
      <x:c r="E11" s="49" t="n">
        <x:v>30</x:v>
      </x:c>
      <x:c r="F11" s="39" t="n">
        <x:f>D11+E11</x:f>
        <x:v>210</x:v>
      </x:c>
      <x:c r="G11" s="42" t="n">
        <x:f>F11/'Assumptions'!B17</x:f>
        <x:v>105</x:v>
      </x:c>
      <x:c r="H11" s="42" t="n">
        <x:f>F11/'Assumptions'!B17</x:f>
        <x:v>105</x:v>
      </x:c>
    </x:row>
    <x:row r="12">
      <x:c r="A12" s="23" t="str">
        <x:v>REC-185</x:v>
      </x:c>
      <x:c r="B12" s="23" t="str">
        <x:v>Recovery trains</x:v>
      </x:c>
      <x:c r="C12" s="49" t="n">
        <x:v>4</x:v>
      </x:c>
      <x:c r="D12" s="42" t="n">
        <x:f>C12*'Assumptions'!B6</x:f>
        <x:v>48</x:v>
      </x:c>
      <x:c r="E12" s="49" t="n">
        <x:v>12</x:v>
      </x:c>
      <x:c r="F12" s="39" t="n">
        <x:f>D12+E12</x:f>
        <x:v>60</x:v>
      </x:c>
      <x:c r="G12" s="42" t="n">
        <x:f>F12/'Assumptions'!B17</x:f>
        <x:v>30</x:v>
      </x:c>
      <x:c r="H12" s="42" t="n">
        <x:f>F12/'Assumptions'!B17</x:f>
        <x:v>30</x:v>
      </x:c>
    </x:row>
    <x:row r="13">
      <x:c r="A13" s="23" t="str">
        <x:v>SUR-100</x:v>
      </x:c>
      <x:c r="B13" s="23" t="str">
        <x:v>Surge-custody cells</x:v>
      </x:c>
      <x:c r="C13" s="49" t="n">
        <x:v>36</x:v>
      </x:c>
      <x:c r="D13" s="42" t="n">
        <x:f>C13*'Assumptions'!B6</x:f>
        <x:v>432</x:v>
      </x:c>
      <x:c r="E13" s="49" t="n">
        <x:v>72</x:v>
      </x:c>
      <x:c r="F13" s="39" t="n">
        <x:f>D13+E13</x:f>
        <x:v>504</x:v>
      </x:c>
      <x:c r="G13" s="42" t="n">
        <x:f>F13/'Assumptions'!B17</x:f>
        <x:v>252</x:v>
      </x:c>
      <x:c r="H13" s="42" t="n">
        <x:f>F13/'Assumptions'!B17</x:f>
        <x:v>252</x:v>
      </x:c>
    </x:row>
    <x:row r="14">
      <x:c r="A14" s="23" t="str">
        <x:v>ENG-5/7</x:v>
      </x:c>
      <x:c r="B14" s="23" t="str">
        <x:v>Energy islands</x:v>
      </x:c>
      <x:c r="C14" s="49" t="n">
        <x:v>6</x:v>
      </x:c>
      <x:c r="D14" s="42" t="n">
        <x:f>C14*'Assumptions'!B6</x:f>
        <x:v>72</x:v>
      </x:c>
      <x:c r="E14" s="49" t="n">
        <x:v>12</x:v>
      </x:c>
      <x:c r="F14" s="39" t="n">
        <x:f>D14+E14</x:f>
        <x:v>84</x:v>
      </x:c>
      <x:c r="G14" s="42" t="n">
        <x:f>F14/'Assumptions'!B17</x:f>
        <x:v>42</x:v>
      </x:c>
      <x:c r="H14" s="42" t="n">
        <x:f>F14/'Assumptions'!B17</x:f>
        <x:v>42</x:v>
      </x:c>
    </x:row>
    <x:row r="15">
      <x:c r="A15" s="23" t="str">
        <x:v>PWR-20</x:v>
      </x:c>
      <x:c r="B15" s="23" t="str">
        <x:v>Distribution units</x:v>
      </x:c>
      <x:c r="C15" s="49" t="n">
        <x:v>20</x:v>
      </x:c>
      <x:c r="D15" s="42" t="n">
        <x:f>C15*'Assumptions'!B6</x:f>
        <x:v>240</x:v>
      </x:c>
      <x:c r="E15" s="49" t="n">
        <x:v>40</x:v>
      </x:c>
      <x:c r="F15" s="39" t="n">
        <x:f>D15+E15</x:f>
        <x:v>280</x:v>
      </x:c>
      <x:c r="G15" s="42" t="n">
        <x:f>F15/'Assumptions'!B17</x:f>
        <x:v>140</x:v>
      </x:c>
      <x:c r="H15" s="42" t="n">
        <x:f>F15/'Assumptions'!B17</x:f>
        <x:v>140</x:v>
      </x:c>
    </x:row>
    <x:row r="16">
      <x:c r="A16" s="23" t="str">
        <x:v>LCN-12</x:v>
      </x:c>
      <x:c r="B16" s="23" t="str">
        <x:v>Local command nodes</x:v>
      </x:c>
      <x:c r="C16" s="49" t="n">
        <x:v>12</x:v>
      </x:c>
      <x:c r="D16" s="42" t="n">
        <x:f>C16*'Assumptions'!B6</x:f>
        <x:v>144</x:v>
      </x:c>
      <x:c r="E16" s="49" t="n">
        <x:v>24</x:v>
      </x:c>
      <x:c r="F16" s="39" t="n">
        <x:f>D16+E16</x:f>
        <x:v>168</x:v>
      </x:c>
      <x:c r="G16" s="42" t="n">
        <x:f>F16/'Assumptions'!B17</x:f>
        <x:v>84</x:v>
      </x:c>
      <x:c r="H16" s="42" t="n">
        <x:f>F16/'Assumptions'!B17</x:f>
        <x:v>84</x:v>
      </x:c>
    </x:row>
    <x:row r="17">
      <x:c r="A17" s="23" t="str">
        <x:v>SCN-2</x:v>
      </x:c>
      <x:c r="B17" s="23" t="str">
        <x:v>Set coordination nodes</x:v>
      </x:c>
      <x:c r="C17" s="49" t="n">
        <x:v>2</x:v>
      </x:c>
      <x:c r="D17" s="42" t="n">
        <x:f>C17*'Assumptions'!B6</x:f>
        <x:v>24</x:v>
      </x:c>
      <x:c r="E17" s="49" t="n">
        <x:v>4</x:v>
      </x:c>
      <x:c r="F17" s="39" t="n">
        <x:f>D17+E17</x:f>
        <x:v>28</x:v>
      </x:c>
      <x:c r="G17" s="42" t="n">
        <x:f>F17/'Assumptions'!B17</x:f>
        <x:v>14</x:v>
      </x:c>
      <x:c r="H17" s="42" t="n">
        <x:f>F17/'Assumptions'!B17</x:f>
        <x:v>14</x:v>
      </x:c>
    </x:row>
    <x:row r="18">
      <x:c r="A18" s="23" t="str">
        <x:v>RES-6</x:v>
      </x:c>
      <x:c r="B18" s="23" t="str">
        <x:v>Rescue and medical cells</x:v>
      </x:c>
      <x:c r="C18" s="49" t="n">
        <x:v>6</x:v>
      </x:c>
      <x:c r="D18" s="42" t="n">
        <x:f>C18*'Assumptions'!B6</x:f>
        <x:v>72</x:v>
      </x:c>
      <x:c r="E18" s="49" t="n">
        <x:v>12</x:v>
      </x:c>
      <x:c r="F18" s="39" t="n">
        <x:f>D18+E18</x:f>
        <x:v>84</x:v>
      </x:c>
      <x:c r="G18" s="42" t="n">
        <x:f>F18/'Assumptions'!B17</x:f>
        <x:v>42</x:v>
      </x:c>
      <x:c r="H18" s="42" t="n">
        <x:f>F18/'Assumptions'!B17</x:f>
        <x:v>42</x:v>
      </x:c>
    </x:row>
    <x:row r="19">
      <x:c r="A19" s="23" t="str">
        <x:v>REP-6</x:v>
      </x:c>
      <x:c r="B19" s="23" t="str">
        <x:v>Field repair shops</x:v>
      </x:c>
      <x:c r="C19" s="49" t="n">
        <x:v>6</x:v>
      </x:c>
      <x:c r="D19" s="42" t="n">
        <x:f>C19*'Assumptions'!B6</x:f>
        <x:v>72</x:v>
      </x:c>
      <x:c r="E19" s="49" t="n">
        <x:v>6</x:v>
      </x:c>
      <x:c r="F19" s="39" t="n">
        <x:f>D19+E19</x:f>
        <x:v>78</x:v>
      </x:c>
      <x:c r="G19" s="42" t="n">
        <x:f>F19/'Assumptions'!B17</x:f>
        <x:v>39</x:v>
      </x:c>
      <x:c r="H19" s="42" t="n">
        <x:f>F19/'Assumptions'!B17</x:f>
        <x:v>39</x:v>
      </x:c>
    </x:row>
    <x:row r="20">
      <x:c r="A20" s="23" t="str">
        <x:v>SPR-24</x:v>
      </x:c>
      <x:c r="B20" s="23" t="str">
        <x:v>Serialized repair packs</x:v>
      </x:c>
      <x:c r="C20" s="49" t="n">
        <x:v>24</x:v>
      </x:c>
      <x:c r="D20" s="42" t="n">
        <x:f>C20*'Assumptions'!B6</x:f>
        <x:v>288</x:v>
      </x:c>
      <x:c r="E20" s="49" t="n">
        <x:v>0</x:v>
      </x:c>
      <x:c r="F20" s="39" t="n">
        <x:f>D20+E20</x:f>
        <x:v>288</x:v>
      </x:c>
      <x:c r="G20" s="42" t="n">
        <x:f>F20/'Assumptions'!B17</x:f>
        <x:v>144</x:v>
      </x:c>
      <x:c r="H20" s="42" t="n">
        <x:f>F20/'Assumptions'!B17</x:f>
        <x:v>144</x:v>
      </x:c>
    </x:row>
    <x:row r="21">
      <x:c r="A21" s="23" t="str">
        <x:v>HAB-24</x:v>
      </x:c>
      <x:c r="B21" s="23" t="str">
        <x:v>Crew and sustainment units</x:v>
      </x:c>
      <x:c r="C21" s="49" t="n">
        <x:v>24</x:v>
      </x:c>
      <x:c r="D21" s="42" t="n">
        <x:f>C21*'Assumptions'!B6</x:f>
        <x:v>288</x:v>
      </x:c>
      <x:c r="E21" s="49" t="n">
        <x:v>0</x:v>
      </x:c>
      <x:c r="F21" s="39" t="n">
        <x:f>D21+E21</x:f>
        <x:v>288</x:v>
      </x:c>
      <x:c r="G21" s="42" t="n">
        <x:f>F21/'Assumptions'!B17</x:f>
        <x:v>144</x:v>
      </x:c>
      <x:c r="H21" s="42" t="n">
        <x:f>F21/'Assumptions'!B17</x:f>
        <x:v>144</x:v>
      </x:c>
    </x:row>
    <x:row r="22">
      <x:c r="A22" s="24" t="str">
        <x:v>TIA-30</x:v>
      </x:c>
      <x:c r="B22" s="24" t="str">
        <x:v>Transport-interface adapters</x:v>
      </x:c>
      <x:c r="C22" s="50" t="n">
        <x:v>30</x:v>
      </x:c>
      <x:c r="D22" s="43" t="n">
        <x:f>C22*'Assumptions'!B6</x:f>
        <x:v>360</x:v>
      </x:c>
      <x:c r="E22" s="50" t="n">
        <x:v>60</x:v>
      </x:c>
      <x:c r="F22" s="40" t="n">
        <x:f>D22+E22</x:f>
        <x:v>420</x:v>
      </x:c>
      <x:c r="G22" s="43" t="n">
        <x:f>F22/'Assumptions'!B17</x:f>
        <x:v>210</x:v>
      </x:c>
      <x:c r="H22" s="43" t="n">
        <x:f>F22/'Assumptions'!B17</x:f>
        <x:v>210</x:v>
      </x:c>
    </x:row>
    <x:row r="23">
      <x:c r="A23" s="61" t="str">
        <x:v>TOTAL</x:v>
      </x:c>
      <x:c r="B23" s="61" t="str">
        <x:v>Nonconsumable mission modules</x:v>
      </x:c>
      <x:c r="C23" s="62"/>
      <x:c r="D23" s="62" t="n">
        <x:f>SUM(D6:D22)</x:f>
        <x:v>4248</x:v>
      </x:c>
      <x:c r="E23" s="62" t="n">
        <x:f>SUM(E6:E22)</x:f>
        <x:v>610</x:v>
      </x:c>
      <x:c r="F23" s="62" t="n">
        <x:f>SUM(F6:F22)</x:f>
        <x:v>4858</x:v>
      </x:c>
      <x:c r="G23" s="62" t="n">
        <x:f>SUM(G6:G22)</x:f>
        <x:v>2429</x:v>
      </x:c>
      <x:c r="H23" s="62" t="n">
        <x:f>SUM(H6:H22)</x:f>
        <x:v>2429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8" hidden="0" customWidth="1"/>
    <x:col min="5" max="5" width="16" hidden="0" customWidth="1"/>
    <x:col min="6" max="6" width="48" hidden="0" customWidth="1"/>
  </x:cols>
  <x:sheetData>
    <x:row r="2" ht="24" customHeight="1">
      <x:c r="A2" s="96" t="str">
        <x:v>Representative industrial geography</x:v>
      </x:c>
      <x:c r="B2" s="96"/>
      <x:c r="C2" s="96"/>
      <x:c r="D2" s="96"/>
      <x:c r="E2" s="96"/>
      <x:c r="F2" s="96"/>
    </x:row>
    <x:row r="3" ht="20" customHeight="1">
      <x:c r="A3" s="97" t="str">
        <x:v>Eighteen sites represent independent failure boundaries, not buildings on one campus.</x:v>
      </x:c>
      <x:c r="B3" s="97"/>
      <x:c r="C3" s="97"/>
      <x:c r="D3" s="97"/>
      <x:c r="E3" s="97"/>
      <x:c r="F3" s="97"/>
    </x:row>
    <x:row r="4">
      <x:c r="A4" s="98"/>
      <x:c r="B4" s="98"/>
      <x:c r="C4" s="98"/>
      <x:c r="D4" s="98"/>
      <x:c r="E4" s="98"/>
      <x:c r="F4" s="98"/>
    </x:row>
    <x:row r="5" ht="30" customHeight="1">
      <x:c r="A5" s="15" t="str">
        <x:v>Site</x:v>
      </x:c>
      <x:c r="B5" s="16" t="str">
        <x:v>Class</x:v>
      </x:c>
      <x:c r="C5" s="16" t="str">
        <x:v>Macroregion</x:v>
      </x:c>
      <x:c r="D5" s="16" t="str">
        <x:v>Families or scope</x:v>
      </x:c>
      <x:c r="E5" s="16" t="str">
        <x:v>Family count</x:v>
      </x:c>
      <x:c r="F5" s="17" t="str">
        <x:v>Principal role</x:v>
      </x:c>
    </x:row>
    <x:row r="6">
      <x:c r="A6" s="22" t="str">
        <x:v>R1-A</x:v>
      </x:c>
      <x:c r="B6" s="22" t="str">
        <x:v>Root 1 module</x:v>
      </x:c>
      <x:c r="C6" s="22" t="str">
        <x:v>Region 1</x:v>
      </x:c>
      <x:c r="D6" s="22" t="str">
        <x:v>WPT, RAW, BUF</x:v>
      </x:c>
      <x:c r="E6" s="38" t="n">
        <x:v>3</x:v>
      </x:c>
      <x:c r="F6" s="22" t="str">
        <x:v>Water production and sanitary storage</x:v>
      </x:c>
    </x:row>
    <x:row r="7">
      <x:c r="A7" s="23" t="str">
        <x:v>R1-B</x:v>
      </x:c>
      <x:c r="B7" s="23" t="str">
        <x:v>Root 1 module</x:v>
      </x:c>
      <x:c r="C7" s="23" t="str">
        <x:v>Region 2</x:v>
      </x:c>
      <x:c r="D7" s="23" t="str">
        <x:v>RTL, RTR, REC, SUR</x:v>
      </x:c>
      <x:c r="E7" s="39" t="n">
        <x:v>4</x:v>
      </x:c>
      <x:c r="F7" s="23" t="str">
        <x:v>Conveyance, recovery and custody</x:v>
      </x:c>
    </x:row>
    <x:row r="8">
      <x:c r="A8" s="23" t="str">
        <x:v>R1-C</x:v>
      </x:c>
      <x:c r="B8" s="23" t="str">
        <x:v>Root 1 module</x:v>
      </x:c>
      <x:c r="C8" s="23" t="str">
        <x:v>Region 3</x:v>
      </x:c>
      <x:c r="D8" s="23" t="str">
        <x:v>ENG, PWR</x:v>
      </x:c>
      <x:c r="E8" s="39" t="n">
        <x:v>2</x:v>
      </x:c>
      <x:c r="F8" s="23" t="str">
        <x:v>Energy and electric service</x:v>
      </x:c>
    </x:row>
    <x:row r="9">
      <x:c r="A9" s="23" t="str">
        <x:v>R1-D</x:v>
      </x:c>
      <x:c r="B9" s="23" t="str">
        <x:v>Root 1 module</x:v>
      </x:c>
      <x:c r="C9" s="23" t="str">
        <x:v>Region 4</x:v>
      </x:c>
      <x:c r="D9" s="23" t="str">
        <x:v>EFF, RES</x:v>
      </x:c>
      <x:c r="E9" s="39" t="n">
        <x:v>2</x:v>
      </x:c>
      <x:c r="F9" s="23" t="str">
        <x:v>Intervention and public rescue</x:v>
      </x:c>
    </x:row>
    <x:row r="10">
      <x:c r="A10" s="23" t="str">
        <x:v>R1-E</x:v>
      </x:c>
      <x:c r="B10" s="23" t="str">
        <x:v>Root 1 module</x:v>
      </x:c>
      <x:c r="C10" s="23" t="str">
        <x:v>Region 5</x:v>
      </x:c>
      <x:c r="D10" s="23" t="str">
        <x:v>LCN, SCN, REP, SPR, HAB, TIA</x:v>
      </x:c>
      <x:c r="E10" s="39" t="n">
        <x:v>6</x:v>
      </x:c>
      <x:c r="F10" s="23" t="str">
        <x:v>Command, repair and sustainment</x:v>
      </x:c>
    </x:row>
    <x:row r="11">
      <x:c r="A11" s="23" t="str">
        <x:v>R2-A</x:v>
      </x:c>
      <x:c r="B11" s="23" t="str">
        <x:v>Root 2 module</x:v>
      </x:c>
      <x:c r="C11" s="23" t="str">
        <x:v>Region 6</x:v>
      </x:c>
      <x:c r="D11" s="23" t="str">
        <x:v>WPT, RAW, BUF</x:v>
      </x:c>
      <x:c r="E11" s="39" t="n">
        <x:v>3</x:v>
      </x:c>
      <x:c r="F11" s="23" t="str">
        <x:v>Unlike water root</x:v>
      </x:c>
    </x:row>
    <x:row r="12">
      <x:c r="A12" s="23" t="str">
        <x:v>R2-B</x:v>
      </x:c>
      <x:c r="B12" s="23" t="str">
        <x:v>Root 2 module</x:v>
      </x:c>
      <x:c r="C12" s="23" t="str">
        <x:v>Region 7</x:v>
      </x:c>
      <x:c r="D12" s="23" t="str">
        <x:v>RTL, RTR, REC, SUR</x:v>
      </x:c>
      <x:c r="E12" s="39" t="n">
        <x:v>4</x:v>
      </x:c>
      <x:c r="F12" s="23" t="str">
        <x:v>Unlike fluid-system root</x:v>
      </x:c>
    </x:row>
    <x:row r="13">
      <x:c r="A13" s="23" t="str">
        <x:v>R2-C</x:v>
      </x:c>
      <x:c r="B13" s="23" t="str">
        <x:v>Root 2 module</x:v>
      </x:c>
      <x:c r="C13" s="23" t="str">
        <x:v>Region 8</x:v>
      </x:c>
      <x:c r="D13" s="23" t="str">
        <x:v>ENG, PWR</x:v>
      </x:c>
      <x:c r="E13" s="39" t="n">
        <x:v>2</x:v>
      </x:c>
      <x:c r="F13" s="23" t="str">
        <x:v>Unlike energy root</x:v>
      </x:c>
    </x:row>
    <x:row r="14">
      <x:c r="A14" s="23" t="str">
        <x:v>R2-D</x:v>
      </x:c>
      <x:c r="B14" s="23" t="str">
        <x:v>Root 2 module</x:v>
      </x:c>
      <x:c r="C14" s="23" t="str">
        <x:v>Region 9</x:v>
      </x:c>
      <x:c r="D14" s="23" t="str">
        <x:v>EFF, RES</x:v>
      </x:c>
      <x:c r="E14" s="39" t="n">
        <x:v>2</x:v>
      </x:c>
      <x:c r="F14" s="23" t="str">
        <x:v>Unlike intervention root</x:v>
      </x:c>
    </x:row>
    <x:row r="15">
      <x:c r="A15" s="23" t="str">
        <x:v>R2-E</x:v>
      </x:c>
      <x:c r="B15" s="23" t="str">
        <x:v>Root 2 module</x:v>
      </x:c>
      <x:c r="C15" s="23" t="str">
        <x:v>Region 10</x:v>
      </x:c>
      <x:c r="D15" s="23" t="str">
        <x:v>LCN, SCN, REP, SPR, HAB, TIA</x:v>
      </x:c>
      <x:c r="E15" s="39" t="n">
        <x:v>6</x:v>
      </x:c>
      <x:c r="F15" s="23" t="str">
        <x:v>Unlike command and support root</x:v>
      </x:c>
    </x:row>
    <x:row r="16">
      <x:c r="A16" s="23" t="str">
        <x:v>TC-1</x:v>
      </x:c>
      <x:c r="B16" s="23" t="str">
        <x:v>Transport</x:v>
      </x:c>
      <x:c r="C16" s="23" t="str">
        <x:v>Region 11</x:v>
      </x:c>
      <x:c r="D16" s="23" t="str">
        <x:v>PM-30, LF-30</x:v>
      </x:c>
      <x:c r="E16" s="39" t="n">
        <x:v>2</x:v>
      </x:c>
      <x:c r="F16" s="23" t="str">
        <x:v>Root 1 mover and frame</x:v>
      </x:c>
    </x:row>
    <x:row r="17">
      <x:c r="A17" s="23" t="str">
        <x:v>TC-2</x:v>
      </x:c>
      <x:c r="B17" s="23" t="str">
        <x:v>Transport</x:v>
      </x:c>
      <x:c r="C17" s="23" t="str">
        <x:v>Region 12</x:v>
      </x:c>
      <x:c r="D17" s="23" t="str">
        <x:v>PM-30, LF-30</x:v>
      </x:c>
      <x:c r="E17" s="39" t="n">
        <x:v>2</x:v>
      </x:c>
      <x:c r="F17" s="23" t="str">
        <x:v>Root 2 mover and frame</x:v>
      </x:c>
    </x:row>
    <x:row r="18">
      <x:c r="A18" s="23" t="str">
        <x:v>SI-1</x:v>
      </x:c>
      <x:c r="B18" s="23" t="str">
        <x:v>System integration</x:v>
      </x:c>
      <x:c r="C18" s="23" t="str">
        <x:v>Region 13</x:v>
      </x:c>
      <x:c r="D18" s="23" t="str">
        <x:v>Complete systems</x:v>
      </x:c>
      <x:c r="E18" s="39" t="n">
        <x:v>1</x:v>
      </x:c>
      <x:c r="F18" s="23" t="str">
        <x:v>System Root 1</x:v>
      </x:c>
    </x:row>
    <x:row r="19">
      <x:c r="A19" s="23" t="str">
        <x:v>SI-2</x:v>
      </x:c>
      <x:c r="B19" s="23" t="str">
        <x:v>System integration</x:v>
      </x:c>
      <x:c r="C19" s="23" t="str">
        <x:v>Region 14</x:v>
      </x:c>
      <x:c r="D19" s="23" t="str">
        <x:v>Complete systems</x:v>
      </x:c>
      <x:c r="E19" s="39" t="n">
        <x:v>1</x:v>
      </x:c>
      <x:c r="F19" s="23" t="str">
        <x:v>System Root 2</x:v>
      </x:c>
    </x:row>
    <x:row r="20">
      <x:c r="A20" s="23" t="str">
        <x:v>PSC-1</x:v>
      </x:c>
      <x:c r="B20" s="23" t="str">
        <x:v>Public standard</x:v>
      </x:c>
      <x:c r="C20" s="23" t="str">
        <x:v>Region 15</x:v>
      </x:c>
      <x:c r="D20" s="23" t="str">
        <x:v>All interfaces</x:v>
      </x:c>
      <x:c r="E20" s="39" t="n">
        <x:v>19</x:v>
      </x:c>
      <x:c r="F20" s="23" t="str">
        <x:v>References, challenges and transfer</x:v>
      </x:c>
    </x:row>
    <x:row r="21">
      <x:c r="A21" s="23" t="str">
        <x:v>ARS-1</x:v>
      </x:c>
      <x:c r="B21" s="23" t="str">
        <x:v>Arsenal</x:v>
      </x:c>
      <x:c r="C21" s="23" t="str">
        <x:v>Region 16</x:v>
      </x:c>
      <x:c r="D21" s="23" t="str">
        <x:v>All operational families</x:v>
      </x:c>
      <x:c r="E21" s="39" t="n">
        <x:v>19</x:v>
      </x:c>
      <x:c r="F21" s="23" t="str">
        <x:v>Three complete-set bays</x:v>
      </x:c>
    </x:row>
    <x:row r="22">
      <x:c r="A22" s="23" t="str">
        <x:v>ARS-2</x:v>
      </x:c>
      <x:c r="B22" s="23" t="str">
        <x:v>Arsenal</x:v>
      </x:c>
      <x:c r="C22" s="23" t="str">
        <x:v>Region 17</x:v>
      </x:c>
      <x:c r="D22" s="23" t="str">
        <x:v>All operational families</x:v>
      </x:c>
      <x:c r="E22" s="39" t="n">
        <x:v>19</x:v>
      </x:c>
      <x:c r="F22" s="23" t="str">
        <x:v>Three complete-set bays</x:v>
      </x:c>
    </x:row>
    <x:row r="23">
      <x:c r="A23" s="24" t="str">
        <x:v>ARS-3</x:v>
      </x:c>
      <x:c r="B23" s="24" t="str">
        <x:v>Arsenal</x:v>
      </x:c>
      <x:c r="C23" s="24" t="str">
        <x:v>Region 18</x:v>
      </x:c>
      <x:c r="D23" s="24" t="str">
        <x:v>All operational families</x:v>
      </x:c>
      <x:c r="E23" s="40" t="n">
        <x:v>19</x:v>
      </x:c>
      <x:c r="F23" s="24" t="str">
        <x:v>Three complete-set bays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8" hidden="0" customWidth="1"/>
  </x:cols>
  <x:sheetData>
    <x:row r="2" ht="24" customHeight="1">
      <x:c r="A2" s="96" t="str">
        <x:v>Interleaved system-root completion</x:v>
      </x:c>
      <x:c r="B2" s="96"/>
      <x:c r="C2" s="96"/>
      <x:c r="D2" s="96"/>
      <x:c r="E2" s="96"/>
      <x:c r="F2" s="96"/>
    </x:row>
    <x:row r="3" ht="20" customHeight="1">
      <x:c r="A3" s="97" t="str">
        <x:v>Root 2 begins eight weeks after Root 1. Both use the same editable completion interval.</x:v>
      </x:c>
      <x:c r="B3" s="97"/>
      <x:c r="C3" s="97"/>
      <x:c r="D3" s="97"/>
      <x:c r="E3" s="97"/>
      <x:c r="F3" s="97"/>
    </x:row>
    <x:row r="4">
      <x:c r="A4" s="98"/>
      <x:c r="B4" s="98"/>
      <x:c r="C4" s="98"/>
      <x:c r="D4" s="98"/>
      <x:c r="E4" s="98"/>
      <x:c r="F4" s="98"/>
    </x:row>
    <x:row r="5" ht="30" customHeight="1">
      <x:c r="A5" s="15" t="str">
        <x:v>Serial</x:v>
      </x:c>
      <x:c r="B5" s="16" t="str">
        <x:v>Root</x:v>
      </x:c>
      <x:c r="C5" s="16" t="str">
        <x:v>Root sequence</x:v>
      </x:c>
      <x:c r="D5" s="16" t="str">
        <x:v>Completion week</x:v>
      </x:c>
      <x:c r="E5" s="16" t="str">
        <x:v>Cumulative systems</x:v>
      </x:c>
      <x:c r="F5" s="17" t="str">
        <x:v>Operational group complete</x:v>
      </x:c>
    </x:row>
    <x:row r="6">
      <x:c r="A6" s="22" t="str">
        <x:v>FG-01</x:v>
      </x:c>
      <x:c r="B6" s="22" t="str">
        <x:v>Root 1</x:v>
      </x:c>
      <x:c r="C6" s="38" t="n">
        <x:v>1</x:v>
      </x:c>
      <x:c r="D6" s="41" t="n">
        <x:f>'System Registry'!H6</x:f>
        <x:v>40</x:v>
      </x:c>
      <x:c r="E6" s="38" t="n">
        <x:v>1</x:v>
      </x:c>
      <x:c r="F6" s="22" t="str"/>
    </x:row>
    <x:row r="7">
      <x:c r="A7" s="23" t="str">
        <x:v>FG-02</x:v>
      </x:c>
      <x:c r="B7" s="23" t="str">
        <x:v>Root 2</x:v>
      </x:c>
      <x:c r="C7" s="39" t="n">
        <x:v>1</x:v>
      </x:c>
      <x:c r="D7" s="42" t="n">
        <x:f>'System Registry'!H7</x:f>
        <x:v>48</x:v>
      </x:c>
      <x:c r="E7" s="39" t="n">
        <x:v>2</x:v>
      </x:c>
      <x:c r="F7" s="23" t="str"/>
    </x:row>
    <x:row r="8">
      <x:c r="A8" s="23" t="str">
        <x:v>FG-03</x:v>
      </x:c>
      <x:c r="B8" s="23" t="str">
        <x:v>Root 1</x:v>
      </x:c>
      <x:c r="C8" s="39" t="n">
        <x:v>2</x:v>
      </x:c>
      <x:c r="D8" s="42" t="n">
        <x:f>'System Registry'!H8</x:f>
        <x:v>56</x:v>
      </x:c>
      <x:c r="E8" s="39" t="n">
        <x:v>3</x:v>
      </x:c>
      <x:c r="F8" s="23" t="str"/>
    </x:row>
    <x:row r="9">
      <x:c r="A9" s="23" t="str">
        <x:v>FG-04</x:v>
      </x:c>
      <x:c r="B9" s="23" t="str">
        <x:v>Root 2</x:v>
      </x:c>
      <x:c r="C9" s="39" t="n">
        <x:v>2</x:v>
      </x:c>
      <x:c r="D9" s="42" t="n">
        <x:f>'System Registry'!H9</x:f>
        <x:v>64</x:v>
      </x:c>
      <x:c r="E9" s="39" t="n">
        <x:v>4</x:v>
      </x:c>
      <x:c r="F9" s="23" t="str"/>
    </x:row>
    <x:row r="10">
      <x:c r="A10" s="23" t="str">
        <x:v>FG-05</x:v>
      </x:c>
      <x:c r="B10" s="23" t="str">
        <x:v>Root 1</x:v>
      </x:c>
      <x:c r="C10" s="39" t="n">
        <x:v>3</x:v>
      </x:c>
      <x:c r="D10" s="42" t="n">
        <x:f>'System Registry'!H10</x:f>
        <x:v>72</x:v>
      </x:c>
      <x:c r="E10" s="39" t="n">
        <x:v>5</x:v>
      </x:c>
      <x:c r="F10" s="23" t="str"/>
    </x:row>
    <x:row r="11">
      <x:c r="A11" s="23" t="str">
        <x:v>FG-06</x:v>
      </x:c>
      <x:c r="B11" s="23" t="str">
        <x:v>Root 2</x:v>
      </x:c>
      <x:c r="C11" s="39" t="n">
        <x:v>3</x:v>
      </x:c>
      <x:c r="D11" s="42" t="n">
        <x:f>'System Registry'!H11</x:f>
        <x:v>80</x:v>
      </x:c>
      <x:c r="E11" s="39" t="n">
        <x:v>6</x:v>
      </x:c>
      <x:c r="F11" s="23" t="str"/>
    </x:row>
    <x:row r="12">
      <x:c r="A12" s="23" t="str">
        <x:v>FG-07</x:v>
      </x:c>
      <x:c r="B12" s="23" t="str">
        <x:v>Root 1</x:v>
      </x:c>
      <x:c r="C12" s="39" t="n">
        <x:v>4</x:v>
      </x:c>
      <x:c r="D12" s="42" t="n">
        <x:f>'System Registry'!H12</x:f>
        <x:v>88</x:v>
      </x:c>
      <x:c r="E12" s="39" t="n">
        <x:v>7</x:v>
      </x:c>
      <x:c r="F12" s="23" t="str"/>
    </x:row>
    <x:row r="13">
      <x:c r="A13" s="23" t="str">
        <x:v>FG-08</x:v>
      </x:c>
      <x:c r="B13" s="23" t="str">
        <x:v>Root 2</x:v>
      </x:c>
      <x:c r="C13" s="39" t="n">
        <x:v>4</x:v>
      </x:c>
      <x:c r="D13" s="42" t="n">
        <x:f>'System Registry'!H13</x:f>
        <x:v>96</x:v>
      </x:c>
      <x:c r="E13" s="39" t="n">
        <x:v>8</x:v>
      </x:c>
      <x:c r="F13" s="23" t="str">
        <x:v>Yes</x:v>
      </x:c>
    </x:row>
    <x:row r="14">
      <x:c r="A14" s="23" t="str">
        <x:v>TR-01</x:v>
      </x:c>
      <x:c r="B14" s="23" t="str">
        <x:v>Root 1</x:v>
      </x:c>
      <x:c r="C14" s="39" t="n">
        <x:v>5</x:v>
      </x:c>
      <x:c r="D14" s="42" t="n">
        <x:f>'System Registry'!H14</x:f>
        <x:v>104</x:v>
      </x:c>
      <x:c r="E14" s="39" t="n">
        <x:v>9</x:v>
      </x:c>
      <x:c r="F14" s="23" t="str"/>
    </x:row>
    <x:row r="15">
      <x:c r="A15" s="23" t="str">
        <x:v>EV-01</x:v>
      </x:c>
      <x:c r="B15" s="23" t="str">
        <x:v>Root 2</x:v>
      </x:c>
      <x:c r="C15" s="39" t="n">
        <x:v>5</x:v>
      </x:c>
      <x:c r="D15" s="42" t="n">
        <x:f>'System Registry'!H15</x:f>
        <x:v>112</x:v>
      </x:c>
      <x:c r="E15" s="39" t="n">
        <x:v>10</x:v>
      </x:c>
      <x:c r="F15" s="23" t="str"/>
    </x:row>
    <x:row r="16">
      <x:c r="A16" s="23" t="str">
        <x:v>DS-01</x:v>
      </x:c>
      <x:c r="B16" s="23" t="str">
        <x:v>Root 1</x:v>
      </x:c>
      <x:c r="C16" s="39" t="n">
        <x:v>6</x:v>
      </x:c>
      <x:c r="D16" s="42" t="n">
        <x:f>'System Registry'!H16</x:f>
        <x:v>120</x:v>
      </x:c>
      <x:c r="E16" s="39" t="n">
        <x:v>11</x:v>
      </x:c>
      <x:c r="F16" s="23" t="str"/>
    </x:row>
    <x:row r="17">
      <x:c r="A17" s="24" t="str">
        <x:v>CS-01</x:v>
      </x:c>
      <x:c r="B17" s="24" t="str">
        <x:v>Root 2</x:v>
      </x:c>
      <x:c r="C17" s="40" t="n">
        <x:v>6</x:v>
      </x:c>
      <x:c r="D17" s="43" t="n">
        <x:f>'System Registry'!H17</x:f>
        <x:v>128</x:v>
      </x:c>
      <x:c r="E17" s="40" t="n">
        <x:v>12</x:v>
      </x:c>
      <x:c r="F17" s="2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8" hidden="0" customWidth="1"/>
    <x:col min="7" max="7" width="20" hidden="0" customWidth="1"/>
    <x:col min="8" max="8" width="20" hidden="0" customWidth="1"/>
  </x:cols>
  <x:sheetData>
    <x:row r="2" ht="24" customHeight="1">
      <x:c r="A2" s="96" t="str">
        <x:v>Transport production and reserve</x:v>
      </x:c>
      <x:c r="B2" s="96"/>
      <x:c r="C2" s="96"/>
      <x:c r="D2" s="96"/>
      <x:c r="E2" s="96"/>
      <x:c r="F2" s="96"/>
      <x:c r="G2" s="96"/>
      <x:c r="H2" s="96"/>
    </x:row>
    <x:row r="3" ht="20" customHeight="1">
      <x:c r="A3" s="97" t="str">
        <x:v>Service and terminal populations remain separate. Both service pools split equally across roots.</x:v>
      </x:c>
      <x:c r="B3" s="97"/>
      <x:c r="C3" s="97"/>
      <x:c r="D3" s="97"/>
      <x:c r="E3" s="97"/>
      <x:c r="F3" s="97"/>
      <x:c r="G3" s="97"/>
      <x:c r="H3" s="97"/>
    </x:row>
    <x:row r="4">
      <x:c r="A4" s="98"/>
      <x:c r="B4" s="98"/>
      <x:c r="C4" s="98"/>
      <x:c r="D4" s="98"/>
      <x:c r="E4" s="98"/>
      <x:c r="F4" s="98"/>
      <x:c r="G4" s="98"/>
      <x:c r="H4" s="98"/>
    </x:row>
    <x:row r="5" ht="30" customHeight="1">
      <x:c r="A5" s="15" t="str">
        <x:v>Asset</x:v>
      </x:c>
      <x:c r="B5" s="16" t="str">
        <x:v>Root 1 service</x:v>
      </x:c>
      <x:c r="C5" s="16" t="str">
        <x:v>Root 2 service</x:v>
      </x:c>
      <x:c r="D5" s="16" t="str">
        <x:v>Service total</x:v>
      </x:c>
      <x:c r="E5" s="16" t="str">
        <x:v>Terminal articles</x:v>
      </x:c>
      <x:c r="F5" s="16" t="str">
        <x:v>Built total</x:v>
      </x:c>
      <x:c r="G5" s="16" t="str">
        <x:v>Unit cost USD M</x:v>
      </x:c>
      <x:c r="H5" s="17" t="str">
        <x:v>Capital USD M</x:v>
      </x:c>
    </x:row>
    <x:row r="6">
      <x:c r="A6" s="22" t="str">
        <x:v>30-tonne-payload prime movers</x:v>
      </x:c>
      <x:c r="B6" s="55" t="n">
        <x:f>'Assumptions'!B23/2</x:f>
        <x:v>1600</x:v>
      </x:c>
      <x:c r="C6" s="55" t="n">
        <x:f>'Assumptions'!B23/2</x:f>
        <x:v>1600</x:v>
      </x:c>
      <x:c r="D6" s="56" t="n">
        <x:f>SUM(B6:C6)</x:f>
        <x:v>3200</x:v>
      </x:c>
      <x:c r="E6" s="55" t="n">
        <x:f>'Assumptions'!B25</x:f>
        <x:v>64</x:v>
      </x:c>
      <x:c r="F6" s="56" t="n">
        <x:f>D6+E6</x:f>
        <x:v>3264</x:v>
      </x:c>
      <x:c r="G6" s="55" t="n">
        <x:f>'Assumptions'!B44</x:f>
        <x:v>2.5</x:v>
      </x:c>
      <x:c r="H6" s="56" t="n">
        <x:f>F6*G6</x:f>
        <x:v>8160</x:v>
      </x:c>
    </x:row>
    <x:row r="7">
      <x:c r="A7" s="24" t="str">
        <x:v>Governed load frames</x:v>
      </x:c>
      <x:c r="B7" s="57" t="n">
        <x:f>'Assumptions'!B24/2</x:f>
        <x:v>1500</x:v>
      </x:c>
      <x:c r="C7" s="57" t="n">
        <x:f>'Assumptions'!B24/2</x:f>
        <x:v>1500</x:v>
      </x:c>
      <x:c r="D7" s="58" t="n">
        <x:f>SUM(B7:C7)</x:f>
        <x:v>3000</x:v>
      </x:c>
      <x:c r="E7" s="57" t="n">
        <x:f>'Assumptions'!B26</x:f>
        <x:v>120</x:v>
      </x:c>
      <x:c r="F7" s="58" t="n">
        <x:f>D7+E7</x:f>
        <x:v>3120</x:v>
      </x:c>
      <x:c r="G7" s="57" t="n">
        <x:f>'Assumptions'!B45</x:f>
        <x:v>0.8</x:v>
      </x:c>
      <x:c r="H7" s="58" t="n">
        <x:f>F7*G7</x:f>
        <x:v>2496</x:v>
      </x:c>
    </x:row>
    <x:row r="8">
      <x:c r="A8" s="98"/>
      <x:c r="B8" s="98"/>
      <x:c r="C8" s="98"/>
      <x:c r="D8" s="98"/>
      <x:c r="E8" s="98"/>
      <x:c r="F8" s="98"/>
      <x:c r="G8" s="98"/>
      <x:c r="H8" s="98"/>
    </x:row>
    <x:row r="9">
      <x:c r="A9" s="99" t="str">
        <x:v>SERVICE RESERVE</x:v>
      </x:c>
      <x:c r="B9" s="99"/>
      <x:c r="C9" s="99"/>
      <x:c r="D9" s="99"/>
      <x:c r="E9" s="99"/>
      <x:c r="F9" s="99"/>
      <x:c r="G9" s="99"/>
      <x:c r="H9" s="99"/>
    </x:row>
    <x:row r="10">
      <x:c r="A10" s="22" t="str">
        <x:v>Assigned movers in eight sets</x:v>
      </x:c>
      <x:c r="B10" s="41" t="n">
        <x:f>'Assumptions'!B7*'Assumptions'!B32</x:f>
        <x:v>2800</x:v>
      </x:c>
      <x:c r="C10" s="22" t="str">
        <x:v>vehicles</x:v>
      </x:c>
      <x:c r="D10" s="22" t="str">
        <x:v>Eight × 350</x:v>
      </x:c>
      <x:c r="E10" s="98"/>
      <x:c r="F10" s="98"/>
      <x:c r="G10" s="98"/>
      <x:c r="H10" s="98"/>
    </x:row>
    <x:row r="11">
      <x:c r="A11" s="24" t="str">
        <x:v>Unassigned service movers</x:v>
      </x:c>
      <x:c r="B11" s="43" t="n">
        <x:f>'Assumptions'!B23-B10</x:f>
        <x:v>400</x:v>
      </x:c>
      <x:c r="C11" s="24" t="str">
        <x:v>vehicles</x:v>
      </x:c>
      <x:c r="D11" s="24" t="str">
        <x:v>Pool less assigned</x:v>
      </x:c>
      <x:c r="E11" s="98"/>
      <x:c r="F11" s="98"/>
      <x:c r="G11" s="98"/>
      <x:c r="H11" s="98"/>
    </x:row>
    <x:row r="12">
      <x:c r="A12" s="22" t="str">
        <x:v>Loaded positions in eight sets</x:v>
      </x:c>
      <x:c r="B12" s="41" t="n">
        <x:f>'Assumptions'!B7*'Assumptions'!B33</x:f>
        <x:v>2496</x:v>
      </x:c>
      <x:c r="C12" s="22" t="str">
        <x:v>frames</x:v>
      </x:c>
      <x:c r="D12" s="22" t="str">
        <x:v>Eight × 312</x:v>
      </x:c>
      <x:c r="E12" s="98"/>
      <x:c r="F12" s="98"/>
      <x:c r="G12" s="98"/>
      <x:c r="H12" s="98"/>
    </x:row>
    <x:row r="13">
      <x:c r="A13" s="24" t="str">
        <x:v>Unassigned service frames</x:v>
      </x:c>
      <x:c r="B13" s="43" t="n">
        <x:f>'Assumptions'!B24-B12</x:f>
        <x:v>504</x:v>
      </x:c>
      <x:c r="C13" s="24" t="str">
        <x:v>frames</x:v>
      </x:c>
      <x:c r="D13" s="24" t="str">
        <x:v>Pool less loaded positions</x:v>
      </x:c>
      <x:c r="E13" s="98"/>
      <x:c r="F13" s="98"/>
      <x:c r="G13" s="98"/>
      <x:c r="H13" s="9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52" hidden="0" customWidth="1"/>
  </x:cols>
  <x:sheetData>
    <x:row r="2" ht="24" customHeight="1">
      <x:c r="A2" s="96" t="str">
        <x:v>Loaded mover acceptance</x:v>
      </x:c>
      <x:c r="B2" s="96"/>
      <x:c r="C2" s="96"/>
      <x:c r="D2" s="96"/>
      <x:c r="E2" s="96"/>
      <x:c r="F2" s="96"/>
      <x:c r="G2" s="96"/>
    </x:row>
    <x:row r="3" ht="20" customHeight="1">
      <x:c r="A3" s="97" t="str">
        <x:v>Distance is an exposure account. It does not establish a reliability estimate.</x:v>
      </x:c>
      <x:c r="B3" s="97"/>
      <x:c r="C3" s="97"/>
      <x:c r="D3" s="97"/>
      <x:c r="E3" s="97"/>
      <x:c r="F3" s="97"/>
      <x:c r="G3" s="97"/>
    </x:row>
    <x:row r="4">
      <x:c r="A4" s="98"/>
      <x:c r="B4" s="98"/>
      <x:c r="C4" s="98"/>
      <x:c r="D4" s="98"/>
      <x:c r="E4" s="98"/>
      <x:c r="F4" s="98"/>
      <x:c r="G4" s="98"/>
    </x:row>
    <x:row r="5" ht="30" customHeight="1">
      <x:c r="A5" s="15" t="str">
        <x:v>Exposure class</x:v>
      </x:c>
      <x:c r="B5" s="16" t="str">
        <x:v>Movers</x:v>
      </x:c>
      <x:c r="C5" s="16" t="str">
        <x:v>Distance per mover km</x:v>
      </x:c>
      <x:c r="D5" s="16" t="str">
        <x:v>Loaded vehicle-km</x:v>
      </x:c>
      <x:c r="E5" s="16" t="str">
        <x:v>Root 1 movers</x:v>
      </x:c>
      <x:c r="F5" s="16" t="str">
        <x:v>Root 2 movers</x:v>
      </x:c>
      <x:c r="G5" s="17" t="str">
        <x:v>Purpose</x:v>
      </x:c>
    </x:row>
    <x:row r="6">
      <x:c r="A6" s="22" t="str">
        <x:v>Universal loaded route</x:v>
      </x:c>
      <x:c r="B6" s="41" t="n">
        <x:f>'Assumptions'!B23</x:f>
        <x:v>3200</x:v>
      </x:c>
      <x:c r="C6" s="41" t="n">
        <x:f>'Assumptions'!B27</x:f>
        <x:v>500</x:v>
      </x:c>
      <x:c r="D6" s="38" t="n">
        <x:f>B6*C6</x:f>
        <x:v>1600000</x:v>
      </x:c>
      <x:c r="E6" s="38" t="n">
        <x:f>B6/2</x:f>
        <x:v>1600</x:v>
      </x:c>
      <x:c r="F6" s="38" t="n">
        <x:f>B6/2</x:f>
        <x:v>1600</x:v>
      </x:c>
      <x:c r="G6" s="22" t="str">
        <x:v>Every service mover</x:v>
      </x:c>
    </x:row>
    <x:row r="7">
      <x:c r="A7" s="23" t="str">
        <x:v>Additional extended route</x:v>
      </x:c>
      <x:c r="B7" s="42" t="n">
        <x:f>'Assumptions'!B28</x:f>
        <x:v>800</x:v>
      </x:c>
      <x:c r="C7" s="42" t="n">
        <x:f>'Assumptions'!B29</x:f>
        <x:v>1500</x:v>
      </x:c>
      <x:c r="D7" s="39" t="n">
        <x:f>B7*C7</x:f>
        <x:v>1200000</x:v>
      </x:c>
      <x:c r="E7" s="39" t="n">
        <x:f>B7/2</x:f>
        <x:v>400</x:v>
      </x:c>
      <x:c r="F7" s="39" t="n">
        <x:f>B7/2</x:f>
        <x:v>400</x:v>
      </x:c>
      <x:c r="G7" s="23" t="str">
        <x:v>Balanced 800-mover subset</x:v>
      </x:c>
    </x:row>
    <x:row r="8">
      <x:c r="A8" s="61" t="str">
        <x:v>TOTAL</x:v>
      </x:c>
      <x:c r="B8" s="62"/>
      <x:c r="C8" s="62"/>
      <x:c r="D8" s="62" t="n">
        <x:f>SUM(D6:D7)</x:f>
        <x:v>2800000</x:v>
      </x:c>
      <x:c r="E8" s="62"/>
      <x:c r="F8" s="62"/>
      <x:c r="G8" s="61" t="str">
        <x:v>Program loaded exposure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76" hidden="0" customWidth="1"/>
  </x:cols>
  <x:sheetData>
    <x:row r="2" ht="24" customHeight="1">
      <x:c r="A2" s="96" t="str">
        <x:v>Complete packet acceptance</x:v>
      </x:c>
      <x:c r="B2" s="96"/>
      <x:c r="C2" s="96"/>
      <x:c r="D2" s="96"/>
    </x:row>
    <x:row r="3" ht="20" customHeight="1">
      <x:c r="A3" s="97" t="str">
        <x:v>Each operational set executes all fourteen packet trials. Packet compositions remain architecture-controlled.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Metric</x:v>
      </x:c>
      <x:c r="B5" s="16" t="str">
        <x:v>Calculated</x:v>
      </x:c>
      <x:c r="C5" s="16" t="str">
        <x:v>Unit</x:v>
      </x:c>
      <x:c r="D5" s="17" t="str">
        <x:v>Interpretation</x:v>
      </x:c>
    </x:row>
    <x:row r="6">
      <x:c r="A6" s="22" t="str">
        <x:v>Operational sets</x:v>
      </x:c>
      <x:c r="B6" s="41" t="n">
        <x:f>'Assumptions'!B7</x:f>
        <x:v>8</x:v>
      </x:c>
      <x:c r="C6" s="22" t="str">
        <x:v>sets</x:v>
      </x:c>
      <x:c r="D6" s="22" t="str">
        <x:v>Group line and reserve</x:v>
      </x:c>
    </x:row>
    <x:row r="7">
      <x:c r="A7" s="23" t="str">
        <x:v>Packets per set</x:v>
      </x:c>
      <x:c r="B7" s="42" t="n">
        <x:f>'Assumptions'!B30</x:f>
        <x:v>14</x:v>
      </x:c>
      <x:c r="C7" s="23" t="str">
        <x:v>packets/set</x:v>
      </x:c>
      <x:c r="D7" s="23" t="str">
        <x:v>Governed maximum serial elements</x:v>
      </x:c>
    </x:row>
    <x:row r="8">
      <x:c r="A8" s="23" t="str">
        <x:v>Full packet trials</x:v>
      </x:c>
      <x:c r="B8" s="39" t="n">
        <x:f>B6*B7</x:f>
        <x:v>112</x:v>
      </x:c>
      <x:c r="C8" s="23" t="str">
        <x:v>trials</x:v>
      </x:c>
      <x:c r="D8" s="23" t="str">
        <x:v>Every packet once</x:v>
      </x:c>
    </x:row>
    <x:row r="9">
      <x:c r="A9" s="23" t="str">
        <x:v>Movers per packet</x:v>
      </x:c>
      <x:c r="B9" s="42" t="n">
        <x:f>'Assumptions'!B31</x:f>
        <x:v>25</x:v>
      </x:c>
      <x:c r="C9" s="23" t="str">
        <x:v>vehicles</x:v>
      </x:c>
      <x:c r="D9" s="23" t="str">
        <x:v>Assigned packet size</x:v>
      </x:c>
    </x:row>
    <x:row r="10">
      <x:c r="A10" s="23" t="str">
        <x:v>Packet vehicle exposures</x:v>
      </x:c>
      <x:c r="B10" s="39" t="n">
        <x:f>B8*B9</x:f>
        <x:v>2800</x:v>
      </x:c>
      <x:c r="C10" s="23" t="str">
        <x:v>positions</x:v>
      </x:c>
      <x:c r="D10" s="23" t="str">
        <x:v>Trials × vehicles</x:v>
      </x:c>
    </x:row>
    <x:row r="11">
      <x:c r="A11" s="23" t="str">
        <x:v>Assigned movers in eight sets</x:v>
      </x:c>
      <x:c r="B11" s="42" t="n">
        <x:f>'Assumptions'!B7*'Assumptions'!B32</x:f>
        <x:v>2800</x:v>
      </x:c>
      <x:c r="C11" s="23" t="str">
        <x:v>vehicles</x:v>
      </x:c>
      <x:c r="D11" s="23" t="str">
        <x:v>Independent reconciliation</x:v>
      </x:c>
    </x:row>
    <x:row r="12">
      <x:c r="A12" s="61" t="str">
        <x:v>Difference</x:v>
      </x:c>
      <x:c r="B12" s="62" t="n">
        <x:f>B10-B11</x:f>
        <x:v>0</x:v>
      </x:c>
      <x:c r="C12" s="61" t="str">
        <x:v>vehicles</x:v>
      </x:c>
      <x:c r="D12" s="61" t="str">
        <x:v>Must equal zero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26" hidden="0" customWidth="1"/>
    <x:col min="4" max="4" width="18" hidden="0" customWidth="1"/>
    <x:col min="5" max="5" width="18" hidden="0" customWidth="1"/>
  </x:cols>
  <x:sheetData>
    <x:row r="2" ht="24" customHeight="1">
      <x:c r="A2" s="96" t="str">
        <x:v>Initial formation pipeline</x:v>
      </x:c>
      <x:c r="B2" s="96"/>
      <x:c r="C2" s="96"/>
      <x:c r="D2" s="96"/>
      <x:c r="E2" s="96"/>
    </x:row>
    <x:row r="3" ht="20" customHeight="1">
      <x:c r="A3" s="97" t="str">
        <x:v>Qualification reserve seats support attrition and qualification loss. They are not an extra operating shift.</x:v>
      </x:c>
      <x:c r="B3" s="97"/>
      <x:c r="C3" s="97"/>
      <x:c r="D3" s="97"/>
      <x:c r="E3" s="97"/>
    </x:row>
    <x:row r="4">
      <x:c r="A4" s="98"/>
      <x:c r="B4" s="98"/>
      <x:c r="C4" s="98"/>
      <x:c r="D4" s="98"/>
      <x:c r="E4" s="98"/>
    </x:row>
    <x:row r="5" ht="30" customHeight="1">
      <x:c r="A5" s="15" t="str">
        <x:v>Formation element</x:v>
      </x:c>
      <x:c r="B5" s="16" t="str">
        <x:v>Operational positions</x:v>
      </x:c>
      <x:c r="C5" s="16" t="str">
        <x:v>Qualification reserve rate</x:v>
      </x:c>
      <x:c r="D5" s="16" t="str">
        <x:v>Reserve seats</x:v>
      </x:c>
      <x:c r="E5" s="17" t="str">
        <x:v>Initial seats</x:v>
      </x:c>
    </x:row>
    <x:row r="6">
      <x:c r="A6" s="22" t="str">
        <x:v>Eight set crews</x:v>
      </x:c>
      <x:c r="B6" s="38" t="n">
        <x:v>11520</x:v>
      </x:c>
      <x:c r="C6" s="63" t="n">
        <x:f>'Assumptions'!B35</x:f>
        <x:v>0.15</x:v>
      </x:c>
      <x:c r="D6" s="38" t="n">
        <x:f>B6*C6</x:f>
        <x:v>1728</x:v>
      </x:c>
      <x:c r="E6" s="38" t="n">
        <x:f>B6+D6</x:f>
        <x:v>13248</x:v>
      </x:c>
    </x:row>
    <x:row r="7">
      <x:c r="A7" s="23" t="str">
        <x:v>Group command and operations</x:v>
      </x:c>
      <x:c r="B7" s="39" t="n">
        <x:v>280</x:v>
      </x:c>
      <x:c r="C7" s="64" t="n">
        <x:f>'Assumptions'!B35</x:f>
        <x:v>0.15</x:v>
      </x:c>
      <x:c r="D7" s="39" t="n">
        <x:f>B7*C7</x:f>
        <x:v>42</x:v>
      </x:c>
      <x:c r="E7" s="39" t="n">
        <x:f>B7+D7</x:f>
        <x:v>322</x:v>
      </x:c>
    </x:row>
    <x:row r="8">
      <x:c r="A8" s="23" t="str">
        <x:v>Three regional arsenals</x:v>
      </x:c>
      <x:c r="B8" s="39" t="n">
        <x:v>1260</x:v>
      </x:c>
      <x:c r="C8" s="64" t="n">
        <x:f>'Assumptions'!B35</x:f>
        <x:v>0.15</x:v>
      </x:c>
      <x:c r="D8" s="39" t="n">
        <x:f>B8*C8</x:f>
        <x:v>189</x:v>
      </x:c>
      <x:c r="E8" s="39" t="n">
        <x:f>B8+D8</x:f>
        <x:v>1449</x:v>
      </x:c>
    </x:row>
    <x:row r="9">
      <x:c r="A9" s="23" t="str">
        <x:v>Training and standards</x:v>
      </x:c>
      <x:c r="B9" s="39" t="n">
        <x:v>360</x:v>
      </x:c>
      <x:c r="C9" s="64" t="n">
        <x:f>'Assumptions'!B35</x:f>
        <x:v>0.15</x:v>
      </x:c>
      <x:c r="D9" s="39" t="n">
        <x:f>B9*C9</x:f>
        <x:v>54</x:v>
      </x:c>
      <x:c r="E9" s="39" t="n">
        <x:f>B9+D9</x:f>
        <x:v>414</x:v>
      </x:c>
    </x:row>
    <x:row r="10">
      <x:c r="A10" s="23" t="str">
        <x:v>Outside evaluation and reconstruction</x:v>
      </x:c>
      <x:c r="B10" s="39" t="n">
        <x:v>300</x:v>
      </x:c>
      <x:c r="C10" s="64" t="n">
        <x:f>'Assumptions'!B35</x:f>
        <x:v>0.15</x:v>
      </x:c>
      <x:c r="D10" s="39" t="n">
        <x:f>B10*C10</x:f>
        <x:v>45</x:v>
      </x:c>
      <x:c r="E10" s="39" t="n">
        <x:f>B10+D10</x:f>
        <x:v>345</x:v>
      </x:c>
    </x:row>
    <x:row r="11">
      <x:c r="A11" s="23" t="str">
        <x:v>Industrial-readiness liaison</x:v>
      </x:c>
      <x:c r="B11" s="39" t="n">
        <x:v>240</x:v>
      </x:c>
      <x:c r="C11" s="64" t="n">
        <x:f>'Assumptions'!B35</x:f>
        <x:v>0.15</x:v>
      </x:c>
      <x:c r="D11" s="39" t="n">
        <x:f>B11*C11</x:f>
        <x:v>36</x:v>
      </x:c>
      <x:c r="E11" s="39" t="n">
        <x:f>B11+D11</x:f>
        <x:v>276</x:v>
      </x:c>
    </x:row>
    <x:row r="12">
      <x:c r="A12" s="24" t="str">
        <x:v>Public configuration and rights authority</x:v>
      </x:c>
      <x:c r="B12" s="40" t="n">
        <x:v>260</x:v>
      </x:c>
      <x:c r="C12" s="65" t="n">
        <x:f>'Assumptions'!B35</x:f>
        <x:v>0.15</x:v>
      </x:c>
      <x:c r="D12" s="40" t="n">
        <x:f>B12*C12</x:f>
        <x:v>39</x:v>
      </x:c>
      <x:c r="E12" s="40" t="n">
        <x:f>B12+D12</x:f>
        <x:v>299</x:v>
      </x:c>
    </x:row>
    <x:row r="13">
      <x:c r="A13" s="61" t="str">
        <x:v>TOTAL</x:v>
      </x:c>
      <x:c r="B13" s="62" t="n">
        <x:f>SUM(B6:B12)</x:f>
        <x:v>14220</x:v>
      </x:c>
      <x:c r="C13" s="61"/>
      <x:c r="D13" s="62" t="n">
        <x:f>SUM(D6:D12)</x:f>
        <x:v>2133</x:v>
      </x:c>
      <x:c r="E13" s="62" t="n">
        <x:f>SUM(E6:E12)</x:f>
        <x:v>16353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0" hidden="0" customWidth="1"/>
    <x:col min="4" max="4" width="68" hidden="0" customWidth="1"/>
  </x:cols>
  <x:sheetData>
    <x:row r="2" ht="24" customHeight="1">
      <x:c r="A2" s="96" t="str">
        <x:v>Set-crew qualification structure</x:v>
      </x:c>
      <x:c r="B2" s="96"/>
      <x:c r="C2" s="96"/>
      <x:c r="D2" s="96"/>
    </x:row>
    <x:row r="3" ht="20" customHeight="1">
      <x:c r="A3" s="97" t="str">
        <x:v>Task qualification binds role, version, root, denied case and independent assessment.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Function</x:v>
      </x:c>
      <x:c r="B5" s="16" t="str">
        <x:v>Positions per set</x:v>
      </x:c>
      <x:c r="C5" s="16" t="str">
        <x:v>Eight sets</x:v>
      </x:c>
      <x:c r="D5" s="17" t="str">
        <x:v>Qualification focus</x:v>
      </x:c>
    </x:row>
    <x:row r="6">
      <x:c r="A6" s="22" t="str">
        <x:v>Four watches for continuous stations</x:v>
      </x:c>
      <x:c r="B6" s="38" t="n">
        <x:v>948</x:v>
      </x:c>
      <x:c r="C6" s="41" t="n">
        <x:f>B6*'Assumptions'!B7</x:f>
        <x:v>7584</x:v>
      </x:c>
      <x:c r="D6" s="22" t="str">
        <x:v>237 stations × four watches</x:v>
      </x:c>
    </x:row>
    <x:row r="7">
      <x:c r="A7" s="23" t="str">
        <x:v>Deployment engineering and survey</x:v>
      </x:c>
      <x:c r="B7" s="39" t="n">
        <x:v>96</x:v>
      </x:c>
      <x:c r="C7" s="42" t="n">
        <x:f>B7*'Assumptions'!B7</x:f>
        <x:v>768</x:v>
      </x:c>
      <x:c r="D7" s="23" t="str">
        <x:v>Receiver, route and establishment</x:v>
      </x:c>
    </x:row>
    <x:row r="8">
      <x:c r="A8" s="23" t="str">
        <x:v>Field maintenance and repair</x:v>
      </x:c>
      <x:c r="B8" s="39" t="n">
        <x:v>144</x:v>
      </x:c>
      <x:c r="C8" s="42" t="n">
        <x:f>B8*'Assumptions'!B7</x:f>
        <x:v>1152</x:v>
      </x:c>
      <x:c r="D8" s="23" t="str">
        <x:v>Module exchange, calibration and safeing</x:v>
      </x:c>
    </x:row>
    <x:row r="9">
      <x:c r="A9" s="23" t="str">
        <x:v>Logistics and transport</x:v>
      </x:c>
      <x:c r="B9" s="39" t="n">
        <x:v>160</x:v>
      </x:c>
      <x:c r="C9" s="42" t="n">
        <x:f>B9*'Assumptions'!B7</x:f>
        <x:v>1280</x:v>
      </x:c>
      <x:c r="D9" s="23" t="str">
        <x:v>Packets, loading, route and custody</x:v>
      </x:c>
    </x:row>
    <x:row r="10">
      <x:c r="A10" s="23" t="str">
        <x:v>Command, liaison and planning</x:v>
      </x:c>
      <x:c r="B10" s="39" t="n">
        <x:v>52</x:v>
      </x:c>
      <x:c r="C10" s="42" t="n">
        <x:f>B10*'Assumptions'!B7</x:f>
        <x:v>416</x:v>
      </x:c>
      <x:c r="D10" s="23" t="str">
        <x:v>Local and group authority</x:v>
      </x:c>
    </x:row>
    <x:row r="11">
      <x:c r="A11" s="24" t="str">
        <x:v>Crew health, feeding and welfare</x:v>
      </x:c>
      <x:c r="B11" s="40" t="n">
        <x:v>40</x:v>
      </x:c>
      <x:c r="C11" s="43" t="n">
        <x:f>B11*'Assumptions'!B7</x:f>
        <x:v>320</x:v>
      </x:c>
      <x:c r="D11" s="24" t="str">
        <x:v>Heat, smoke, contamination and sustainment</x:v>
      </x:c>
    </x:row>
    <x:row r="12">
      <x:c r="A12" s="61" t="str">
        <x:v>TOTAL</x:v>
      </x:c>
      <x:c r="B12" s="62" t="n">
        <x:f>SUM(B6:B11)</x:f>
        <x:v>1440</x:v>
      </x:c>
      <x:c r="C12" s="62" t="n">
        <x:f>SUM(C6:C11)</x:f>
        <x:v>11520</x:v>
      </x:c>
      <x:c r="D12" s="61" t="str">
        <x:v>Operational set crews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2" ht="24" customHeight="1">
      <x:c r="A2" s="96" t="str">
        <x:v>Primary seventy-two-hour order line</x:v>
      </x:c>
      <x:c r="B2" s="96"/>
      <x:c r="C2" s="96"/>
      <x:c r="D2" s="96"/>
      <x:c r="E2" s="96"/>
      <x:c r="F2" s="96"/>
      <x:c r="G2" s="96"/>
    </x:row>
    <x:row r="3" ht="20" customHeight="1">
      <x:c r="A3" s="97" t="str">
        <x:v>Order, effect, service end and ready time are separate formula-driven states.</x:v>
      </x:c>
      <x:c r="B3" s="97"/>
      <x:c r="C3" s="97"/>
      <x:c r="D3" s="97"/>
      <x:c r="E3" s="97"/>
      <x:c r="F3" s="97"/>
      <x:c r="G3" s="97"/>
    </x:row>
    <x:row r="4">
      <x:c r="A4" s="98"/>
      <x:c r="B4" s="98"/>
      <x:c r="C4" s="98"/>
      <x:c r="D4" s="98"/>
      <x:c r="E4" s="98"/>
      <x:c r="F4" s="98"/>
      <x:c r="G4" s="98"/>
    </x:row>
    <x:row r="5" ht="30" customHeight="1">
      <x:c r="A5" s="15" t="str">
        <x:v>Order</x:v>
      </x:c>
      <x:c r="B5" s="16" t="str">
        <x:v>Set</x:v>
      </x:c>
      <x:c r="C5" s="16" t="str">
        <x:v>Order hour</x:v>
      </x:c>
      <x:c r="D5" s="16" t="str">
        <x:v>Effect hour</x:v>
      </x:c>
      <x:c r="E5" s="16" t="str">
        <x:v>Service ends</x:v>
      </x:c>
      <x:c r="F5" s="16" t="str">
        <x:v>Ready again</x:v>
      </x:c>
      <x:c r="G5" s="17" t="str">
        <x:v>Role</x:v>
      </x:c>
    </x:row>
    <x:row r="6">
      <x:c r="A6" s="38" t="n">
        <x:v>1</x:v>
      </x:c>
      <x:c r="B6" s="38" t="str">
        <x:v>FG-01</x:v>
      </x:c>
      <x:c r="C6" s="41" t="n">
        <x:f>(A6-1)*'Assumptions'!B40</x:f>
        <x:v>0</x:v>
      </x:c>
      <x:c r="D6" s="41" t="n">
        <x:f>C6+'Assumptions'!B36</x:f>
        <x:v>18</x:v>
      </x:c>
      <x:c r="E6" s="41" t="n">
        <x:f>D6+'Assumptions'!B37</x:f>
        <x:v>90</x:v>
      </x:c>
      <x:c r="F6" s="41" t="n">
        <x:f>C6+'Assumptions'!B36+'Assumptions'!B37+'Assumptions'!B38+'Assumptions'!B39</x:f>
        <x:v>450</x:v>
      </x:c>
      <x:c r="G6" s="22" t="str">
        <x:v>Primary line</x:v>
      </x:c>
    </x:row>
    <x:row r="7">
      <x:c r="A7" s="39" t="n">
        <x:v>2</x:v>
      </x:c>
      <x:c r="B7" s="39" t="str">
        <x:v>FG-02</x:v>
      </x:c>
      <x:c r="C7" s="42" t="n">
        <x:f>(A7-1)*'Assumptions'!B40</x:f>
        <x:v>72</x:v>
      </x:c>
      <x:c r="D7" s="42" t="n">
        <x:f>C7+'Assumptions'!B36</x:f>
        <x:v>90</x:v>
      </x:c>
      <x:c r="E7" s="42" t="n">
        <x:f>D7+'Assumptions'!B37</x:f>
        <x:v>162</x:v>
      </x:c>
      <x:c r="F7" s="42" t="n">
        <x:f>C7+'Assumptions'!B36+'Assumptions'!B37+'Assumptions'!B38+'Assumptions'!B39</x:f>
        <x:v>522</x:v>
      </x:c>
      <x:c r="G7" s="23" t="str">
        <x:v>Primary line</x:v>
      </x:c>
    </x:row>
    <x:row r="8">
      <x:c r="A8" s="39" t="n">
        <x:v>3</x:v>
      </x:c>
      <x:c r="B8" s="39" t="str">
        <x:v>FG-03</x:v>
      </x:c>
      <x:c r="C8" s="42" t="n">
        <x:f>(A8-1)*'Assumptions'!B40</x:f>
        <x:v>144</x:v>
      </x:c>
      <x:c r="D8" s="42" t="n">
        <x:f>C8+'Assumptions'!B36</x:f>
        <x:v>162</x:v>
      </x:c>
      <x:c r="E8" s="42" t="n">
        <x:f>D8+'Assumptions'!B37</x:f>
        <x:v>234</x:v>
      </x:c>
      <x:c r="F8" s="42" t="n">
        <x:f>C8+'Assumptions'!B36+'Assumptions'!B37+'Assumptions'!B38+'Assumptions'!B39</x:f>
        <x:v>594</x:v>
      </x:c>
      <x:c r="G8" s="23" t="str">
        <x:v>Primary line</x:v>
      </x:c>
    </x:row>
    <x:row r="9">
      <x:c r="A9" s="39" t="n">
        <x:v>4</x:v>
      </x:c>
      <x:c r="B9" s="39" t="str">
        <x:v>FG-04</x:v>
      </x:c>
      <x:c r="C9" s="42" t="n">
        <x:f>(A9-1)*'Assumptions'!B40</x:f>
        <x:v>216</x:v>
      </x:c>
      <x:c r="D9" s="42" t="n">
        <x:f>C9+'Assumptions'!B36</x:f>
        <x:v>234</x:v>
      </x:c>
      <x:c r="E9" s="42" t="n">
        <x:f>D9+'Assumptions'!B37</x:f>
        <x:v>306</x:v>
      </x:c>
      <x:c r="F9" s="42" t="n">
        <x:f>C9+'Assumptions'!B36+'Assumptions'!B37+'Assumptions'!B38+'Assumptions'!B39</x:f>
        <x:v>666</x:v>
      </x:c>
      <x:c r="G9" s="23" t="str">
        <x:v>Primary line</x:v>
      </x:c>
    </x:row>
    <x:row r="10">
      <x:c r="A10" s="39" t="n">
        <x:v>5</x:v>
      </x:c>
      <x:c r="B10" s="39" t="str">
        <x:v>FG-05</x:v>
      </x:c>
      <x:c r="C10" s="42" t="n">
        <x:f>(A10-1)*'Assumptions'!B40</x:f>
        <x:v>288</x:v>
      </x:c>
      <x:c r="D10" s="42" t="n">
        <x:f>C10+'Assumptions'!B36</x:f>
        <x:v>306</x:v>
      </x:c>
      <x:c r="E10" s="42" t="n">
        <x:f>D10+'Assumptions'!B37</x:f>
        <x:v>378</x:v>
      </x:c>
      <x:c r="F10" s="42" t="n">
        <x:f>C10+'Assumptions'!B36+'Assumptions'!B37+'Assumptions'!B38+'Assumptions'!B39</x:f>
        <x:v>738</x:v>
      </x:c>
      <x:c r="G10" s="23" t="str">
        <x:v>Primary line</x:v>
      </x:c>
    </x:row>
    <x:row r="11">
      <x:c r="A11" s="39" t="n">
        <x:v>6</x:v>
      </x:c>
      <x:c r="B11" s="39" t="str">
        <x:v>FG-06</x:v>
      </x:c>
      <x:c r="C11" s="42" t="n">
        <x:f>(A11-1)*'Assumptions'!B40</x:f>
        <x:v>360</x:v>
      </x:c>
      <x:c r="D11" s="42" t="n">
        <x:f>C11+'Assumptions'!B36</x:f>
        <x:v>378</x:v>
      </x:c>
      <x:c r="E11" s="42" t="n">
        <x:f>D11+'Assumptions'!B37</x:f>
        <x:v>450</x:v>
      </x:c>
      <x:c r="F11" s="42" t="n">
        <x:f>C11+'Assumptions'!B36+'Assumptions'!B37+'Assumptions'!B38+'Assumptions'!B39</x:f>
        <x:v>810</x:v>
      </x:c>
      <x:c r="G11" s="23" t="str">
        <x:v>Primary line</x:v>
      </x:c>
    </x:row>
    <x:row r="12">
      <x:c r="A12" s="39" t="n">
        <x:v>7</x:v>
      </x:c>
      <x:c r="B12" s="39" t="str">
        <x:v>FG-07</x:v>
      </x:c>
      <x:c r="C12" s="42" t="n">
        <x:f>(A12-1)*'Assumptions'!B40</x:f>
        <x:v>432</x:v>
      </x:c>
      <x:c r="D12" s="42" t="n">
        <x:f>C12+'Assumptions'!B36</x:f>
        <x:v>450</x:v>
      </x:c>
      <x:c r="E12" s="42" t="n">
        <x:f>D12+'Assumptions'!B37</x:f>
        <x:v>522</x:v>
      </x:c>
      <x:c r="F12" s="42" t="n">
        <x:f>C12+'Assumptions'!B36+'Assumptions'!B37+'Assumptions'!B38+'Assumptions'!B39</x:f>
        <x:v>882</x:v>
      </x:c>
      <x:c r="G12" s="23" t="str">
        <x:v>Primary line</x:v>
      </x:c>
    </x:row>
    <x:row r="13">
      <x:c r="A13" s="40" t="n">
        <x:v>8</x:v>
      </x:c>
      <x:c r="B13" s="40" t="str">
        <x:v>FG-01</x:v>
      </x:c>
      <x:c r="C13" s="43" t="n">
        <x:f>(A13-1)*'Assumptions'!B40</x:f>
        <x:v>504</x:v>
      </x:c>
      <x:c r="D13" s="43" t="n">
        <x:f>C13+'Assumptions'!B36</x:f>
        <x:v>522</x:v>
      </x:c>
      <x:c r="E13" s="43" t="n">
        <x:f>D13+'Assumptions'!B37</x:f>
        <x:v>594</x:v>
      </x:c>
      <x:c r="F13" s="43" t="n">
        <x:f>C13+'Assumptions'!B36+'Assumptions'!B37+'Assumptions'!B38+'Assumptions'!B39</x:f>
        <x:v>954</x:v>
      </x:c>
      <x:c r="G13" s="24" t="str">
        <x:v>Reissued line set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8" hidden="0" customWidth="1"/>
    <x:col min="3" max="3" width="16" hidden="0" customWidth="1"/>
    <x:col min="4" max="4" width="78" hidden="0" customWidth="1"/>
  </x:cols>
  <x:sheetData>
    <x:row r="2" ht="24" customHeight="1">
      <x:c r="A2" s="96" t="str">
        <x:v>Forced reserve mission and zero-ready intervals</x:v>
      </x:c>
      <x:c r="B2" s="96"/>
      <x:c r="C2" s="96"/>
      <x:c r="D2" s="96"/>
    </x:row>
    <x:row r="3" ht="20" customHeight="1">
      <x:c r="A3" s="97" t="str">
        <x:v>FG-08 receives an order while all seven line sets remain occupied.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Metric</x:v>
      </x:c>
      <x:c r="B5" s="16" t="str">
        <x:v>Calculated hour or duration</x:v>
      </x:c>
      <x:c r="C5" s="16" t="str">
        <x:v>Unit</x:v>
      </x:c>
      <x:c r="D5" s="17" t="str">
        <x:v>Interpretation</x:v>
      </x:c>
    </x:row>
    <x:row r="6">
      <x:c r="A6" s="22" t="str">
        <x:v>Reserve incident order</x:v>
      </x:c>
      <x:c r="B6" s="41" t="n">
        <x:f>'Assumptions'!B41</x:f>
        <x:v>435</x:v>
      </x:c>
      <x:c r="C6" s="22" t="str">
        <x:v>hour</x:v>
      </x:c>
      <x:c r="D6" s="22" t="str">
        <x:v>Unannounced second incident</x:v>
      </x:c>
    </x:row>
    <x:row r="7">
      <x:c r="A7" s="23" t="str">
        <x:v>Reserve first effect</x:v>
      </x:c>
      <x:c r="B7" s="42" t="n">
        <x:f>B6+'Assumptions'!B36</x:f>
        <x:v>453</x:v>
      </x:c>
      <x:c r="C7" s="23" t="str">
        <x:v>hour</x:v>
      </x:c>
      <x:c r="D7" s="23" t="str">
        <x:v>Order plus regional establishment</x:v>
      </x:c>
    </x:row>
    <x:row r="8">
      <x:c r="A8" s="23" t="str">
        <x:v>Reserve service ends</x:v>
      </x:c>
      <x:c r="B8" s="42" t="n">
        <x:f>B7+'Assumptions'!B37</x:f>
        <x:v>525</x:v>
      </x:c>
      <x:c r="C8" s="23" t="str">
        <x:v>hour</x:v>
      </x:c>
      <x:c r="D8" s="23" t="str">
        <x:v>Seventy-two-hour service</x:v>
      </x:c>
    </x:row>
    <x:row r="9">
      <x:c r="A9" s="23" t="str">
        <x:v>Reserve withdrawal ends</x:v>
      </x:c>
      <x:c r="B9" s="42" t="n">
        <x:f>B8+'Assumptions'!B38</x:f>
        <x:v>549</x:v>
      </x:c>
      <x:c r="C9" s="23" t="str">
        <x:v>hour</x:v>
      </x:c>
      <x:c r="D9" s="23" t="str">
        <x:v>Service end plus relief</x:v>
      </x:c>
    </x:row>
    <x:row r="10">
      <x:c r="A10" s="23" t="str">
        <x:v>Reserve ready again</x:v>
      </x:c>
      <x:c r="B10" s="42" t="n">
        <x:f>B9+'Assumptions'!B39</x:f>
        <x:v>885</x:v>
      </x:c>
      <x:c r="C10" s="23" t="str">
        <x:v>hour</x:v>
      </x:c>
      <x:c r="D10" s="23" t="str">
        <x:v>Order plus full occupied interval</x:v>
      </x:c>
    </x:row>
    <x:row r="11">
      <x:c r="A11" s="23" t="str">
        <x:v>FG-01 first ready</x:v>
      </x:c>
      <x:c r="B11" s="42" t="n">
        <x:f>'Mission Sequence'!F6</x:f>
        <x:v>450</x:v>
      </x:c>
      <x:c r="C11" s="23" t="str">
        <x:v>hour</x:v>
      </x:c>
      <x:c r="D11" s="23" t="str">
        <x:v>After primary Order 1</x:v>
      </x:c>
    </x:row>
    <x:row r="12">
      <x:c r="A12" s="23" t="str">
        <x:v>First zero-ready interval</x:v>
      </x:c>
      <x:c r="B12" s="39" t="n">
        <x:f>B11-B6</x:f>
        <x:v>15</x:v>
      </x:c>
      <x:c r="C12" s="23" t="str">
        <x:v>hours</x:v>
      </x:c>
      <x:c r="D12" s="23" t="str">
        <x:v>Reserve order to FG-01 return</x:v>
      </x:c>
    </x:row>
    <x:row r="13">
      <x:c r="A13" s="23" t="str">
        <x:v>Primary Order 8</x:v>
      </x:c>
      <x:c r="B13" s="42" t="n">
        <x:f>'Mission Sequence'!C13</x:f>
        <x:v>504</x:v>
      </x:c>
      <x:c r="C13" s="23" t="str">
        <x:v>hour</x:v>
      </x:c>
      <x:c r="D13" s="23" t="str">
        <x:v>FG-01 reissued</x:v>
      </x:c>
    </x:row>
    <x:row r="14">
      <x:c r="A14" s="23" t="str">
        <x:v>FG-02 first ready</x:v>
      </x:c>
      <x:c r="B14" s="42" t="n">
        <x:f>'Mission Sequence'!F7</x:f>
        <x:v>522</x:v>
      </x:c>
      <x:c r="C14" s="23" t="str">
        <x:v>hour</x:v>
      </x:c>
      <x:c r="D14" s="23" t="str">
        <x:v>After primary Order 2</x:v>
      </x:c>
    </x:row>
    <x:row r="15">
      <x:c r="A15" s="23" t="str">
        <x:v>Second zero-ready interval</x:v>
      </x:c>
      <x:c r="B15" s="39" t="n">
        <x:f>B14-B13</x:f>
        <x:v>18</x:v>
      </x:c>
      <x:c r="C15" s="23" t="str">
        <x:v>hours</x:v>
      </x:c>
      <x:c r="D15" s="23" t="str">
        <x:v>Order 8 to FG-02 return</x:v>
      </x:c>
    </x:row>
    <x:row r="16">
      <x:c r="A16" s="24" t="str">
        <x:v>Two continuous lines supported</x:v>
      </x:c>
      <x:c r="B16" s="67" t="str">
        <x:f>IF('Assumptions'!B7&gt;=2*'Assumptions'!B8+1,"YES","NO")</x:f>
        <x:v>NO</x:v>
      </x:c>
      <x:c r="C16" s="24" t="str">
        <x:v>state</x:v>
      </x:c>
      <x:c r="D16" s="24" t="str">
        <x:v>Eight sets are insufficient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16" hidden="0" customWidth="1"/>
    <x:col min="4" max="4" width="76" hidden="0" customWidth="1"/>
  </x:cols>
  <x:sheetData>
    <x:row r="2" ht="24" customHeight="1">
      <x:c r="A2" s="96" t="str">
        <x:v>Three-arsenal return and site-denial test</x:v>
      </x:c>
      <x:c r="B2" s="96"/>
      <x:c r="C2" s="96"/>
      <x:c r="D2" s="96"/>
    </x:row>
    <x:row r="3" ht="20" customHeight="1">
      <x:c r="A3" s="97" t="str">
        <x:v>Every arsenal becomes the denied site once. Residual bays must preserve the same release standard.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Metric or exercise</x:v>
      </x:c>
      <x:c r="B5" s="16" t="str">
        <x:v>Calculated</x:v>
      </x:c>
      <x:c r="C5" s="16" t="str">
        <x:v>Unit</x:v>
      </x:c>
      <x:c r="D5" s="17" t="str">
        <x:v>Interpretation</x:v>
      </x:c>
    </x:row>
    <x:row r="6">
      <x:c r="A6" s="22" t="str">
        <x:v>Regeneration duration</x:v>
      </x:c>
      <x:c r="B6" s="55" t="n">
        <x:f>'Assumptions'!B39</x:f>
        <x:v>336</x:v>
      </x:c>
      <x:c r="C6" s="22" t="str">
        <x:v>hours</x:v>
      </x:c>
      <x:c r="D6" s="22" t="str">
        <x:v>Complete-set return</x:v>
      </x:c>
    </x:row>
    <x:row r="7">
      <x:c r="A7" s="23" t="str">
        <x:v>Primary order interval</x:v>
      </x:c>
      <x:c r="B7" s="68" t="n">
        <x:f>'Assumptions'!B40</x:f>
        <x:v>72</x:v>
      </x:c>
      <x:c r="C7" s="23" t="str">
        <x:v>hours</x:v>
      </x:c>
      <x:c r="D7" s="23" t="str">
        <x:v>New primary order cadence</x:v>
      </x:c>
    </x:row>
    <x:row r="8">
      <x:c r="A8" s="23" t="str">
        <x:v>Average occupied bays</x:v>
      </x:c>
      <x:c r="B8" s="69" t="n">
        <x:f>B6/B7</x:f>
        <x:v>4.666666666666667</x:v>
      </x:c>
      <x:c r="C8" s="23" t="str">
        <x:v>bays</x:v>
      </x:c>
      <x:c r="D8" s="23" t="str">
        <x:v>Regeneration demand</x:v>
      </x:c>
    </x:row>
    <x:row r="9">
      <x:c r="A9" s="23" t="str">
        <x:v>Installed bays</x:v>
      </x:c>
      <x:c r="B9" s="68" t="n">
        <x:f>'Assumptions'!B22*'Assumptions'!B42</x:f>
        <x:v>9</x:v>
      </x:c>
      <x:c r="C9" s="23" t="str">
        <x:v>bays</x:v>
      </x:c>
      <x:c r="D9" s="23" t="str">
        <x:v>Three sites × three bays</x:v>
      </x:c>
    </x:row>
    <x:row r="10">
      <x:c r="A10" s="23" t="str">
        <x:v>Installed utilization</x:v>
      </x:c>
      <x:c r="B10" s="70" t="n">
        <x:f>B8/B9</x:f>
        <x:v>0.5185185185185186</x:v>
      </x:c>
      <x:c r="C10" s="23" t="str">
        <x:v>fraction</x:v>
      </x:c>
      <x:c r="D10" s="23" t="str">
        <x:v>Average demand / installed</x:v>
      </x:c>
    </x:row>
    <x:row r="11">
      <x:c r="A11" s="23" t="str">
        <x:v>Bays after one-site loss</x:v>
      </x:c>
      <x:c r="B11" s="68" t="n">
        <x:f>('Assumptions'!B22-1)*'Assumptions'!B42</x:f>
        <x:v>6</x:v>
      </x:c>
      <x:c r="C11" s="23" t="str">
        <x:v>bays</x:v>
      </x:c>
      <x:c r="D11" s="23" t="str">
        <x:v>Two surviving arsenals</x:v>
      </x:c>
    </x:row>
    <x:row r="12">
      <x:c r="A12" s="23" t="str">
        <x:v>One-site-loss utilization</x:v>
      </x:c>
      <x:c r="B12" s="70" t="n">
        <x:f>B8/B11</x:f>
        <x:v>0.7777777777777778</x:v>
      </x:c>
      <x:c r="C12" s="23" t="str">
        <x:v>fraction</x:v>
      </x:c>
      <x:c r="D12" s="23" t="str">
        <x:v>Average demand / residual</x:v>
      </x:c>
    </x:row>
    <x:row r="13">
      <x:c r="A13" s="23" t="str">
        <x:v>ARS-1 denied</x:v>
      </x:c>
      <x:c r="B13" s="39" t="n">
        <x:v>6</x:v>
      </x:c>
      <x:c r="C13" s="23" t="str">
        <x:v>residual bays</x:v>
      </x:c>
      <x:c r="D13" s="23" t="str">
        <x:v>ARS-2 and ARS-3 release</x:v>
      </x:c>
    </x:row>
    <x:row r="14">
      <x:c r="A14" s="23" t="str">
        <x:v>ARS-2 denied</x:v>
      </x:c>
      <x:c r="B14" s="39" t="n">
        <x:v>6</x:v>
      </x:c>
      <x:c r="C14" s="23" t="str">
        <x:v>residual bays</x:v>
      </x:c>
      <x:c r="D14" s="23" t="str">
        <x:v>ARS-1 and ARS-3 release</x:v>
      </x:c>
    </x:row>
    <x:row r="15">
      <x:c r="A15" s="23" t="str">
        <x:v>ARS-3 denied</x:v>
      </x:c>
      <x:c r="B15" s="39" t="n">
        <x:v>6</x:v>
      </x:c>
      <x:c r="C15" s="23" t="str">
        <x:v>residual bays</x:v>
      </x:c>
      <x:c r="D15" s="23" t="str">
        <x:v>ARS-1 and ARS-2 release</x:v>
      </x:c>
    </x:row>
    <x:row r="16">
      <x:c r="A16" s="24" t="str">
        <x:v>Denial exercises</x:v>
      </x:c>
      <x:c r="B16" s="40" t="n">
        <x:v>3</x:v>
      </x:c>
      <x:c r="C16" s="24" t="str">
        <x:v>exercises</x:v>
      </x:c>
      <x:c r="D16" s="24" t="str">
        <x:v>Every site denied once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22" hidden="0" customWidth="1"/>
    <x:col min="5" max="5" width="58" hidden="0" customWidth="1"/>
    <x:col min="6" max="6" width="14" hidden="0" customWidth="1"/>
  </x:cols>
  <x:sheetData>
    <x:row r="2" ht="24" customHeight="1">
      <x:c r="A2" s="96" t="str">
        <x:v>Operational-acceptance trial census</x:v>
      </x:c>
      <x:c r="B2" s="96"/>
      <x:c r="C2" s="96"/>
      <x:c r="D2" s="96"/>
      <x:c r="E2" s="96"/>
      <x:c r="F2" s="96"/>
    </x:row>
    <x:row r="3" ht="20" customHeight="1">
      <x:c r="A3" s="97" t="str">
        <x:v>Trial counts and mission hours remain distinct. Physical outcomes begin open.</x:v>
      </x:c>
      <x:c r="B3" s="97"/>
      <x:c r="C3" s="97"/>
      <x:c r="D3" s="97"/>
      <x:c r="E3" s="97"/>
      <x:c r="F3" s="97"/>
    </x:row>
    <x:row r="4">
      <x:c r="A4" s="98"/>
      <x:c r="B4" s="98"/>
      <x:c r="C4" s="98"/>
      <x:c r="D4" s="98"/>
      <x:c r="E4" s="98"/>
      <x:c r="F4" s="98"/>
    </x:row>
    <x:row r="5" ht="30" customHeight="1">
      <x:c r="A5" s="15" t="str">
        <x:v>Trial class</x:v>
      </x:c>
      <x:c r="B5" s="16" t="str">
        <x:v>Count</x:v>
      </x:c>
      <x:c r="C5" s="16" t="str">
        <x:v>Hours each</x:v>
      </x:c>
      <x:c r="D5" s="16" t="str">
        <x:v>Total mission hours</x:v>
      </x:c>
      <x:c r="E5" s="16" t="str">
        <x:v>Principal question</x:v>
      </x:c>
      <x:c r="F5" s="17" t="str">
        <x:v>Status</x:v>
      </x:c>
    </x:row>
    <x:row r="6">
      <x:c r="A6" s="22" t="str">
        <x:v>System commissioning</x:v>
      </x:c>
      <x:c r="B6" s="38" t="n">
        <x:v>12</x:v>
      </x:c>
      <x:c r="C6" s="38" t="n">
        <x:v>0</x:v>
      </x:c>
      <x:c r="D6" s="38" t="n">
        <x:f>B6*C6</x:f>
        <x:v>0</x:v>
      </x:c>
      <x:c r="E6" s="22" t="str">
        <x:v>Serial completeness and measurable state</x:v>
      </x:c>
      <x:c r="F6" s="22" t="str">
        <x:v>OPEN</x:v>
      </x:c>
    </x:row>
    <x:row r="7">
      <x:c r="A7" s="23" t="str">
        <x:v>Loaded set acceptance</x:v>
      </x:c>
      <x:c r="B7" s="39" t="n">
        <x:v>12</x:v>
      </x:c>
      <x:c r="C7" s="39" t="n">
        <x:v>0</x:v>
      </x:c>
      <x:c r="D7" s="39" t="n">
        <x:f>B7*C7</x:f>
        <x:v>0</x:v>
      </x:c>
      <x:c r="E7" s="23" t="str">
        <x:v>Complete body-to-transport interface</x:v>
      </x:c>
      <x:c r="F7" s="23" t="str">
        <x:v>OPEN</x:v>
      </x:c>
    </x:row>
    <x:row r="8">
      <x:c r="A8" s="23" t="str">
        <x:v>Packet trials</x:v>
      </x:c>
      <x:c r="B8" s="39" t="n">
        <x:v>112</x:v>
      </x:c>
      <x:c r="C8" s="39" t="n">
        <x:v>0</x:v>
      </x:c>
      <x:c r="D8" s="39" t="n">
        <x:f>B8*C8</x:f>
        <x:v>0</x:v>
      </x:c>
      <x:c r="E8" s="23" t="str">
        <x:v>Independent arrival and residual service</x:v>
      </x:c>
      <x:c r="F8" s="23" t="str">
        <x:v>OPEN</x:v>
      </x:c>
    </x:row>
    <x:row r="9">
      <x:c r="A9" s="23" t="str">
        <x:v>Seventy-two-hour missions</x:v>
      </x:c>
      <x:c r="B9" s="39" t="n">
        <x:v>9</x:v>
      </x:c>
      <x:c r="C9" s="39" t="n">
        <x:v>72</x:v>
      </x:c>
      <x:c r="D9" s="39" t="n">
        <x:f>B9*C9</x:f>
        <x:v>648</x:v>
      </x:c>
      <x:c r="E9" s="23" t="str">
        <x:v>Eight primary orders plus reserve mission</x:v>
      </x:c>
      <x:c r="F9" s="23" t="str">
        <x:v>OPEN</x:v>
      </x:c>
    </x:row>
    <x:row r="10">
      <x:c r="A10" s="23" t="str">
        <x:v>Set-casualty trials</x:v>
      </x:c>
      <x:c r="B10" s="39" t="n">
        <x:v>24</x:v>
      </x:c>
      <x:c r="C10" s="39" t="n">
        <x:v>0</x:v>
      </x:c>
      <x:c r="D10" s="39" t="n">
        <x:f>B10*C10</x:f>
        <x:v>0</x:v>
      </x:c>
      <x:c r="E10" s="23" t="str">
        <x:v>Three per operational set</x:v>
      </x:c>
      <x:c r="F10" s="23" t="str">
        <x:v>OPEN</x:v>
      </x:c>
    </x:row>
    <x:row r="11">
      <x:c r="A11" s="23" t="str">
        <x:v>Regeneration releases</x:v>
      </x:c>
      <x:c r="B11" s="39" t="n">
        <x:v>9</x:v>
      </x:c>
      <x:c r="C11" s="39" t="n">
        <x:v>0</x:v>
      </x:c>
      <x:c r="D11" s="39" t="n">
        <x:f>B11*C11</x:f>
        <x:v>0</x:v>
      </x:c>
      <x:c r="E11" s="23" t="str">
        <x:v>Return after full missions</x:v>
      </x:c>
      <x:c r="F11" s="23" t="str">
        <x:v>OPEN</x:v>
      </x:c>
    </x:row>
    <x:row r="12">
      <x:c r="A12" s="23" t="str">
        <x:v>Arsenal-denial exercises</x:v>
      </x:c>
      <x:c r="B12" s="39" t="n">
        <x:v>3</x:v>
      </x:c>
      <x:c r="C12" s="39" t="n">
        <x:v>0</x:v>
      </x:c>
      <x:c r="D12" s="39" t="n">
        <x:f>B12*C12</x:f>
        <x:v>0</x:v>
      </x:c>
      <x:c r="E12" s="23" t="str">
        <x:v>Every arsenal denied once</x:v>
      </x:c>
      <x:c r="F12" s="23" t="str">
        <x:v>OPEN</x:v>
      </x:c>
    </x:row>
    <x:row r="13">
      <x:c r="A13" s="23" t="str">
        <x:v>Outside reconstructions</x:v>
      </x:c>
      <x:c r="B13" s="39" t="n">
        <x:v>12</x:v>
      </x:c>
      <x:c r="C13" s="39" t="n">
        <x:v>0</x:v>
      </x:c>
      <x:c r="D13" s="39" t="n">
        <x:f>B13*C13</x:f>
        <x:v>0</x:v>
      </x:c>
      <x:c r="E13" s="23" t="str">
        <x:v>One per system body</x:v>
      </x:c>
      <x:c r="F13" s="23" t="str">
        <x:v>OPEN</x:v>
      </x:c>
    </x:row>
    <x:row r="14">
      <x:c r="A14" s="24" t="str">
        <x:v>Terminal full-system destruction</x:v>
      </x:c>
      <x:c r="B14" s="40" t="n">
        <x:v>1</x:v>
      </x:c>
      <x:c r="C14" s="40" t="n">
        <x:v>0</x:v>
      </x:c>
      <x:c r="D14" s="40" t="n">
        <x:f>B14*C14</x:f>
        <x:v>0</x:v>
      </x:c>
      <x:c r="E14" s="24" t="str">
        <x:v>DS-01</x:v>
      </x:c>
      <x:c r="F14" s="24" t="str">
        <x:v>OPEN</x:v>
      </x:c>
    </x:row>
    <x:row r="15">
      <x:c r="A15" s="61" t="str">
        <x:v>TOTAL</x:v>
      </x:c>
      <x:c r="B15" s="62" t="n">
        <x:f>SUM(B6:B14)</x:f>
        <x:v>194</x:v>
      </x:c>
      <x:c r="C15" s="62"/>
      <x:c r="D15" s="62" t="n">
        <x:f>SUM(D6:D14)</x:f>
        <x:v>648</x:v>
      </x:c>
      <x:c r="E15" s="61" t="str">
        <x:v>Registered campaign</x:v>
      </x:c>
      <x:c r="F15" s="61" t="str">
        <x:v>OPEN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84" hidden="0" customWidth="1"/>
  </x:cols>
  <x:sheetData>
    <x:row r="2" ht="24" customHeight="1">
      <x:c r="A2" s="96" t="str">
        <x:v>Transport and terminal-system destructive population</x:v>
      </x:c>
      <x:c r="B2" s="96"/>
      <x:c r="C2" s="96"/>
      <x:c r="D2" s="96"/>
      <x:c r="E2" s="96"/>
    </x:row>
    <x:row r="3" ht="20" customHeight="1">
      <x:c r="A3" s="97" t="str">
        <x:v>Terminal articles define failure mechanisms and inspection requirements. They never become service inventory.</x:v>
      </x:c>
      <x:c r="B3" s="97"/>
      <x:c r="C3" s="97"/>
      <x:c r="D3" s="97"/>
      <x:c r="E3" s="97"/>
    </x:row>
    <x:row r="4">
      <x:c r="A4" s="98"/>
      <x:c r="B4" s="98"/>
      <x:c r="C4" s="98"/>
      <x:c r="D4" s="98"/>
      <x:c r="E4" s="98"/>
    </x:row>
    <x:row r="5" ht="30" customHeight="1">
      <x:c r="A5" s="15" t="str">
        <x:v>Article</x:v>
      </x:c>
      <x:c r="B5" s="16" t="str">
        <x:v>Root 1</x:v>
      </x:c>
      <x:c r="C5" s="16" t="str">
        <x:v>Root 2</x:v>
      </x:c>
      <x:c r="D5" s="16" t="str">
        <x:v>Total</x:v>
      </x:c>
      <x:c r="E5" s="17" t="str">
        <x:v>Primary cases</x:v>
      </x:c>
    </x:row>
    <x:row r="6">
      <x:c r="A6" s="22" t="str">
        <x:v>Prime movers</x:v>
      </x:c>
      <x:c r="B6" s="38" t="n">
        <x:v>32</x:v>
      </x:c>
      <x:c r="C6" s="38" t="n">
        <x:v>32</x:v>
      </x:c>
      <x:c r="D6" s="38" t="n">
        <x:f>SUM(B6:C6)</x:f>
        <x:v>64</x:v>
      </x:c>
      <x:c r="E6" s="22" t="str">
        <x:v>Crash, rollover, heat, water, energy isolation, degraded route and recovery</x:v>
      </x:c>
    </x:row>
    <x:row r="7">
      <x:c r="A7" s="23" t="str">
        <x:v>Load frames</x:v>
      </x:c>
      <x:c r="B7" s="39" t="n">
        <x:v>60</x:v>
      </x:c>
      <x:c r="C7" s="39" t="n">
        <x:v>60</x:v>
      </x:c>
      <x:c r="D7" s="39" t="n">
        <x:f>SUM(B7:C7)</x:f>
        <x:v>120</x:v>
      </x:c>
      <x:c r="E7" s="23" t="str">
        <x:v>Overload, eccentric load, lift, rail shock, salt, seizure and substitution</x:v>
      </x:c>
    </x:row>
    <x:row r="8">
      <x:c r="A8" s="24" t="str">
        <x:v>Complete system DS-01</x:v>
      </x:c>
      <x:c r="B8" s="40" t="n">
        <x:v>1</x:v>
      </x:c>
      <x:c r="C8" s="40" t="n">
        <x:v>0</x:v>
      </x:c>
      <x:c r="D8" s="40" t="n">
        <x:f>SUM(B8:C8)</x:f>
        <x:v>1</x:v>
      </x:c>
      <x:c r="E8" s="24" t="str">
        <x:v>Structural breakup, contaminated custody, energy casualty, command loss and evidence survival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</x:cols>
  <x:sheetData>
    <x:row r="2" ht="24" customHeight="1">
      <x:c r="A2" s="96" t="str">
        <x:v>RBU-1 capital constitution</x:v>
      </x:c>
      <x:c r="B2" s="96"/>
      <x:c r="C2" s="96"/>
      <x:c r="D2" s="96"/>
      <x:c r="E2" s="96"/>
    </x:row>
    <x:row r="3" ht="20" customHeight="1">
      <x:c r="A3" s="97" t="str">
        <x:v>2026 constant-dollar design hypotheses. Transport is financed once as a shared service pool.</x:v>
      </x:c>
      <x:c r="B3" s="97"/>
      <x:c r="C3" s="97"/>
      <x:c r="D3" s="97"/>
      <x:c r="E3" s="97"/>
    </x:row>
    <x:row r="4">
      <x:c r="A4" s="98"/>
      <x:c r="B4" s="98"/>
      <x:c r="C4" s="98"/>
      <x:c r="D4" s="98"/>
      <x:c r="E4" s="98"/>
    </x:row>
    <x:row r="5" ht="30" customHeight="1">
      <x:c r="A5" s="15" t="str">
        <x:v>Program element</x:v>
      </x:c>
      <x:c r="B5" s="16" t="str">
        <x:v>Quantity</x:v>
      </x:c>
      <x:c r="C5" s="16" t="str">
        <x:v>Unit cost USD M</x:v>
      </x:c>
      <x:c r="D5" s="16" t="str">
        <x:v>Capital USD M</x:v>
      </x:c>
      <x:c r="E5" s="17" t="str">
        <x:v>Capital USD B</x:v>
      </x:c>
    </x:row>
    <x:row r="6">
      <x:c r="A6" s="22" t="str">
        <x:v>Twelve equipment-and-interface systems</x:v>
      </x:c>
      <x:c r="B6" s="48" t="n">
        <x:v>12</x:v>
      </x:c>
      <x:c r="C6" s="71" t="n">
        <x:v>7611.1</x:v>
      </x:c>
      <x:c r="D6" s="72" t="n">
        <x:f>B6*C6</x:f>
        <x:v>91333.20000000001</x:v>
      </x:c>
      <x:c r="E6" s="78" t="n">
        <x:f>D6/1000</x:f>
        <x:v>91.3332</x:v>
      </x:c>
    </x:row>
    <x:row r="7">
      <x:c r="A7" s="23" t="str">
        <x:v>Service prime movers</x:v>
      </x:c>
      <x:c r="B7" s="49" t="n">
        <x:v>3200</x:v>
      </x:c>
      <x:c r="C7" s="73" t="n">
        <x:v>2.5</x:v>
      </x:c>
      <x:c r="D7" s="74" t="n">
        <x:f>B7*C7</x:f>
        <x:v>8000</x:v>
      </x:c>
      <x:c r="E7" s="79" t="n">
        <x:f>D7/1000</x:f>
        <x:v>8</x:v>
      </x:c>
    </x:row>
    <x:row r="8">
      <x:c r="A8" s="23" t="str">
        <x:v>Service load frames</x:v>
      </x:c>
      <x:c r="B8" s="49" t="n">
        <x:v>3000</x:v>
      </x:c>
      <x:c r="C8" s="73" t="n">
        <x:v>0.8</x:v>
      </x:c>
      <x:c r="D8" s="74" t="n">
        <x:f>B8*C8</x:f>
        <x:v>2400</x:v>
      </x:c>
      <x:c r="E8" s="79" t="n">
        <x:f>D8/1000</x:f>
        <x:v>2.4</x:v>
      </x:c>
    </x:row>
    <x:row r="9">
      <x:c r="A9" s="23" t="str">
        <x:v>Destructive prime movers</x:v>
      </x:c>
      <x:c r="B9" s="49" t="n">
        <x:v>64</x:v>
      </x:c>
      <x:c r="C9" s="73" t="n">
        <x:v>2.5</x:v>
      </x:c>
      <x:c r="D9" s="74" t="n">
        <x:f>B9*C9</x:f>
        <x:v>160</x:v>
      </x:c>
      <x:c r="E9" s="79" t="n">
        <x:f>D9/1000</x:f>
        <x:v>0.16</x:v>
      </x:c>
    </x:row>
    <x:row r="10">
      <x:c r="A10" s="23" t="str">
        <x:v>Destructive load frames</x:v>
      </x:c>
      <x:c r="B10" s="49" t="n">
        <x:v>120</x:v>
      </x:c>
      <x:c r="C10" s="73" t="n">
        <x:v>0.8</x:v>
      </x:c>
      <x:c r="D10" s="74" t="n">
        <x:f>B10*C10</x:f>
        <x:v>96</x:v>
      </x:c>
      <x:c r="E10" s="79" t="n">
        <x:f>D10/1000</x:f>
        <x:v>0.096</x:v>
      </x:c>
    </x:row>
    <x:row r="11">
      <x:c r="A11" s="23" t="str">
        <x:v>Central module reserve</x:v>
      </x:c>
      <x:c r="B11" s="49" t="n">
        <x:v>1</x:v>
      </x:c>
      <x:c r="C11" s="73" t="n">
        <x:v>13706</x:v>
      </x:c>
      <x:c r="D11" s="74" t="n">
        <x:f>B11*C11</x:f>
        <x:v>13706</x:v>
      </x:c>
      <x:c r="E11" s="79" t="n">
        <x:f>D11/1000</x:f>
        <x:v>13.706</x:v>
      </x:c>
    </x:row>
    <x:row r="12">
      <x:c r="A12" s="23" t="str">
        <x:v>Operational receiver and mission campaign</x:v>
      </x:c>
      <x:c r="B12" s="49" t="n">
        <x:v>1</x:v>
      </x:c>
      <x:c r="C12" s="73" t="n">
        <x:v>20000</x:v>
      </x:c>
      <x:c r="D12" s="74" t="n">
        <x:f>B12*C12</x:f>
        <x:v>20000</x:v>
      </x:c>
      <x:c r="E12" s="79" t="n">
        <x:f>D12/1000</x:f>
        <x:v>20</x:v>
      </x:c>
    </x:row>
    <x:row r="13">
      <x:c r="A13" s="23" t="str">
        <x:v>Formation school and initial qualification</x:v>
      </x:c>
      <x:c r="B13" s="49" t="n">
        <x:v>1</x:v>
      </x:c>
      <x:c r="C13" s="73" t="n">
        <x:v>8000</x:v>
      </x:c>
      <x:c r="D13" s="74" t="n">
        <x:f>B13*C13</x:f>
        <x:v>8000</x:v>
      </x:c>
      <x:c r="E13" s="79" t="n">
        <x:f>D13/1000</x:f>
        <x:v>8</x:v>
      </x:c>
    </x:row>
    <x:row r="14">
      <x:c r="A14" s="23" t="str">
        <x:v>Three-arsenal denial campaign</x:v>
      </x:c>
      <x:c r="B14" s="49" t="n">
        <x:v>1</x:v>
      </x:c>
      <x:c r="C14" s="73" t="n">
        <x:v>5000</x:v>
      </x:c>
      <x:c r="D14" s="74" t="n">
        <x:f>B14*C14</x:f>
        <x:v>5000</x:v>
      </x:c>
      <x:c r="E14" s="79" t="n">
        <x:f>D14/1000</x:f>
        <x:v>5</x:v>
      </x:c>
    </x:row>
    <x:row r="15">
      <x:c r="A15" s="23" t="str">
        <x:v>Outside acceptance and forensic reconstruction</x:v>
      </x:c>
      <x:c r="B15" s="49" t="n">
        <x:v>1</x:v>
      </x:c>
      <x:c r="C15" s="73" t="n">
        <x:v>4000</x:v>
      </x:c>
      <x:c r="D15" s="74" t="n">
        <x:f>B15*C15</x:f>
        <x:v>4000</x:v>
      </x:c>
      <x:c r="E15" s="79" t="n">
        <x:f>D15/1000</x:f>
        <x:v>4</x:v>
      </x:c>
    </x:row>
    <x:row r="16">
      <x:c r="A16" s="23" t="str">
        <x:v>Second-region route and receiver corridors</x:v>
      </x:c>
      <x:c r="B16" s="49" t="n">
        <x:v>1</x:v>
      </x:c>
      <x:c r="C16" s="73" t="n">
        <x:v>6000</x:v>
      </x:c>
      <x:c r="D16" s="74" t="n">
        <x:f>B16*C16</x:f>
        <x:v>6000</x:v>
      </x:c>
      <x:c r="E16" s="79" t="n">
        <x:f>D16/1000</x:f>
        <x:v>6</x:v>
      </x:c>
    </x:row>
    <x:row r="17">
      <x:c r="A17" s="24" t="str">
        <x:v>Operational integration capacity</x:v>
      </x:c>
      <x:c r="B17" s="50" t="n">
        <x:v>1</x:v>
      </x:c>
      <x:c r="C17" s="75" t="n">
        <x:v>3304.8</x:v>
      </x:c>
      <x:c r="D17" s="76" t="n">
        <x:f>B17*C17</x:f>
        <x:v>3304.8</x:v>
      </x:c>
      <x:c r="E17" s="80" t="n">
        <x:f>D17/1000</x:f>
        <x:v>3.3048</x:v>
      </x:c>
    </x:row>
    <x:row r="18">
      <x:c r="A18" s="61" t="str">
        <x:v>TOTAL</x:v>
      </x:c>
      <x:c r="B18" s="61"/>
      <x:c r="C18" s="100"/>
      <x:c r="D18" s="100" t="n">
        <x:f>SUM(D6:D17)</x:f>
        <x:v>162000</x:v>
      </x:c>
      <x:c r="E18" s="101" t="n">
        <x:f>SUM(E6:E17)</x:f>
        <x:v>162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4" hidden="0" customWidth="1"/>
    <x:col min="2" max="2" width="22" hidden="0" customWidth="1"/>
    <x:col min="3" max="3" width="20" hidden="0" customWidth="1"/>
    <x:col min="4" max="4" width="18" hidden="0" customWidth="1"/>
  </x:cols>
  <x:sheetData>
    <x:row r="2" ht="24" customHeight="1">
      <x:c r="A2" s="96" t="str">
        <x:v>Peak annual support</x:v>
      </x:c>
      <x:c r="B2" s="96"/>
      <x:c r="C2" s="96"/>
      <x:c r="D2" s="96"/>
    </x:row>
    <x:row r="3" ht="20" customHeight="1">
      <x:c r="A3" s="97" t="str">
        <x:v>Peak overlapping requirement. It is not a flat annual lifecycle forecast.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Function</x:v>
      </x:c>
      <x:c r="B5" s="16" t="str">
        <x:v>USD M/year</x:v>
      </x:c>
      <x:c r="C5" s="16" t="str">
        <x:v>USD B/year</x:v>
      </x:c>
      <x:c r="D5" s="17" t="str">
        <x:v>Share</x:v>
      </x:c>
    </x:row>
    <x:row r="6">
      <x:c r="A6" s="22" t="str">
        <x:v>System-line operations and integration</x:v>
      </x:c>
      <x:c r="B6" s="71" t="n">
        <x:v>3500</x:v>
      </x:c>
      <x:c r="C6" s="82" t="n">
        <x:f>B6/1000</x:f>
        <x:v>3.5</x:v>
      </x:c>
      <x:c r="D6" s="63" t="n">
        <x:f>B6/'Assumptions'!B50</x:f>
        <x:v>0.2916666666666667</x:v>
      </x:c>
    </x:row>
    <x:row r="7">
      <x:c r="A7" s="23" t="str">
        <x:v>Module campuses and root readiness</x:v>
      </x:c>
      <x:c r="B7" s="73" t="n">
        <x:v>2200</x:v>
      </x:c>
      <x:c r="C7" s="83" t="n">
        <x:f>B7/1000</x:f>
        <x:v>2.2</x:v>
      </x:c>
      <x:c r="D7" s="64" t="n">
        <x:f>B7/'Assumptions'!B50</x:f>
        <x:v>0.18333333333333332</x:v>
      </x:c>
    </x:row>
    <x:row r="8">
      <x:c r="A8" s="23" t="str">
        <x:v>Transport acceptance and route operations</x:v>
      </x:c>
      <x:c r="B8" s="73" t="n">
        <x:v>1400</x:v>
      </x:c>
      <x:c r="C8" s="83" t="n">
        <x:f>B8/1000</x:f>
        <x:v>1.4</x:v>
      </x:c>
      <x:c r="D8" s="64" t="n">
        <x:f>B8/'Assumptions'!B50</x:f>
        <x:v>0.11666666666666667</x:v>
      </x:c>
    </x:row>
    <x:row r="9">
      <x:c r="A9" s="23" t="str">
        <x:v>Group missions and receivers</x:v>
      </x:c>
      <x:c r="B9" s="73" t="n">
        <x:v>1800</x:v>
      </x:c>
      <x:c r="C9" s="83" t="n">
        <x:f>B9/1000</x:f>
        <x:v>1.8</x:v>
      </x:c>
      <x:c r="D9" s="64" t="n">
        <x:f>B9/'Assumptions'!B50</x:f>
        <x:v>0.15</x:v>
      </x:c>
    </x:row>
    <x:row r="10">
      <x:c r="A10" s="23" t="str">
        <x:v>Arsenals and regeneration</x:v>
      </x:c>
      <x:c r="B10" s="73" t="n">
        <x:v>1200</x:v>
      </x:c>
      <x:c r="C10" s="83" t="n">
        <x:f>B10/1000</x:f>
        <x:v>1.2</x:v>
      </x:c>
      <x:c r="D10" s="64" t="n">
        <x:f>B10/'Assumptions'!B50</x:f>
        <x:v>0.1</x:v>
      </x:c>
    </x:row>
    <x:row r="11">
      <x:c r="A11" s="23" t="str">
        <x:v>Formation school and crew qualification</x:v>
      </x:c>
      <x:c r="B11" s="73" t="n">
        <x:v>800</x:v>
      </x:c>
      <x:c r="C11" s="83" t="n">
        <x:f>B11/1000</x:f>
        <x:v>0.8</x:v>
      </x:c>
      <x:c r="D11" s="64" t="n">
        <x:f>B11/'Assumptions'!B50</x:f>
        <x:v>0.06666666666666667</x:v>
      </x:c>
    </x:row>
    <x:row r="12">
      <x:c r="A12" s="23" t="str">
        <x:v>Evidence and outside reconstruction</x:v>
      </x:c>
      <x:c r="B12" s="73" t="n">
        <x:v>600</x:v>
      </x:c>
      <x:c r="C12" s="83" t="n">
        <x:f>B12/1000</x:f>
        <x:v>0.6</x:v>
      </x:c>
      <x:c r="D12" s="64" t="n">
        <x:f>B12/'Assumptions'!B50</x:f>
        <x:v>0.05</x:v>
      </x:c>
    </x:row>
    <x:row r="13">
      <x:c r="A13" s="24" t="str">
        <x:v>Public command and configuration</x:v>
      </x:c>
      <x:c r="B13" s="75" t="n">
        <x:v>500</x:v>
      </x:c>
      <x:c r="C13" s="84" t="n">
        <x:f>B13/1000</x:f>
        <x:v>0.5</x:v>
      </x:c>
      <x:c r="D13" s="65" t="n">
        <x:f>B13/'Assumptions'!B50</x:f>
        <x:v>0.041666666666666664</x:v>
      </x:c>
    </x:row>
    <x:row r="14">
      <x:c r="A14" s="61" t="str">
        <x:v>TOTAL</x:v>
      </x:c>
      <x:c r="B14" s="100" t="n">
        <x:f>SUM(B6:B13)</x:f>
        <x:v>12000</x:v>
      </x:c>
      <x:c r="C14" s="102" t="n">
        <x:f>SUM(C6:C13)</x:f>
        <x:v>12</x:v>
      </x:c>
      <x:c r="D14" s="103" t="n">
        <x:f>SUM(D6:D13)</x:f>
        <x:v>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4" hidden="0" customWidth="1"/>
    <x:col min="2" max="2" width="20" hidden="0" customWidth="1"/>
    <x:col min="3" max="3" width="18" hidden="0" customWidth="1"/>
    <x:col min="4" max="4" width="18" hidden="0" customWidth="1"/>
  </x:cols>
  <x:sheetData>
    <x:row r="2" ht="24" customHeight="1">
      <x:c r="A2" s="96" t="str">
        <x:v>Mission-led technology portfolio</x:v>
      </x:c>
      <x:c r="B2" s="96"/>
      <x:c r="C2" s="96"/>
      <x:c r="D2" s="96"/>
    </x:row>
    <x:row r="3" ht="20" customHeight="1">
      <x:c r="A3" s="97" t="str">
        <x:v>Funding buys rival paths and failure discovery. It does not lower acceptance criteria.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Technology program</x:v>
      </x:c>
      <x:c r="B5" s="16" t="str">
        <x:v>USD M</x:v>
      </x:c>
      <x:c r="C5" s="16" t="str">
        <x:v>USD B</x:v>
      </x:c>
      <x:c r="D5" s="17" t="str">
        <x:v>Share</x:v>
      </x:c>
    </x:row>
    <x:row r="6">
      <x:c r="A6" s="22" t="str">
        <x:v>Production automation and transferable process control</x:v>
      </x:c>
      <x:c r="B6" s="71" t="n">
        <x:v>2000</x:v>
      </x:c>
      <x:c r="C6" s="82" t="n">
        <x:f>B6/1000</x:f>
        <x:v>2</x:v>
      </x:c>
      <x:c r="D6" s="63" t="n">
        <x:f>B6/'Assumptions'!B51</x:f>
        <x:v>0.13333333333333333</x:v>
      </x:c>
    </x:row>
    <x:row r="7">
      <x:c r="A7" s="23" t="str">
        <x:v>Unlike prime movers and adaptive load frames</x:v>
      </x:c>
      <x:c r="B7" s="73" t="n">
        <x:v>1500</x:v>
      </x:c>
      <x:c r="C7" s="83" t="n">
        <x:f>B7/1000</x:f>
        <x:v>1.5</x:v>
      </x:c>
      <x:c r="D7" s="64" t="n">
        <x:f>B7/'Assumptions'!B51</x:f>
        <x:v>0.1</x:v>
      </x:c>
    </x:row>
    <x:row r="8">
      <x:c r="A8" s="23" t="str">
        <x:v>Supervised autonomous convoy and damaged-route operation</x:v>
      </x:c>
      <x:c r="B8" s="73" t="n">
        <x:v>1200</x:v>
      </x:c>
      <x:c r="C8" s="83" t="n">
        <x:f>B8/1000</x:f>
        <x:v>1.2</x:v>
      </x:c>
      <x:c r="D8" s="64" t="n">
        <x:f>B8/'Assumptions'!B51</x:f>
        <x:v>0.08</x:v>
      </x:c>
    </x:row>
    <x:row r="9">
      <x:c r="A9" s="23" t="str">
        <x:v>Offline packet dispatch, timing and identity</x:v>
      </x:c>
      <x:c r="B9" s="73" t="n">
        <x:v>800</x:v>
      </x:c>
      <x:c r="C9" s="83" t="n">
        <x:f>B9/1000</x:f>
        <x:v>0.8</x:v>
      </x:c>
      <x:c r="D9" s="64" t="n">
        <x:f>B9/'Assumptions'!B51</x:f>
        <x:v>0.05333333333333334</x:v>
      </x:c>
    </x:row>
    <x:row r="10">
      <x:c r="A10" s="23" t="str">
        <x:v>High-specific-output modular energy</x:v>
      </x:c>
      <x:c r="B10" s="73" t="n">
        <x:v>2000</x:v>
      </x:c>
      <x:c r="C10" s="83" t="n">
        <x:f>B10/1000</x:f>
        <x:v>2</x:v>
      </x:c>
      <x:c r="D10" s="64" t="n">
        <x:f>B10/'Assumptions'!B51</x:f>
        <x:v>0.13333333333333333</x:v>
      </x:c>
    </x:row>
    <x:row r="11">
      <x:c r="A11" s="23" t="str">
        <x:v>Multi-water treatment and concentrate control</x:v>
      </x:c>
      <x:c r="B11" s="73" t="n">
        <x:v>1800</x:v>
      </x:c>
      <x:c r="C11" s="83" t="n">
        <x:f>B11/1000</x:f>
        <x:v>1.8</x:v>
      </x:c>
      <x:c r="D11" s="64" t="n">
        <x:f>B11/'Assumptions'!B51</x:f>
        <x:v>0.12</x:v>
      </x:c>
    </x:row>
    <x:row r="12">
      <x:c r="A12" s="23" t="str">
        <x:v>Intervention-cell mechanisms and local autonomy</x:v>
      </x:c>
      <x:c r="B12" s="73" t="n">
        <x:v>1500</x:v>
      </x:c>
      <x:c r="C12" s="83" t="n">
        <x:f>B12/1000</x:f>
        <x:v>1.5</x:v>
      </x:c>
      <x:c r="D12" s="64" t="n">
        <x:f>B12/'Assumptions'!B51</x:f>
        <x:v>0.1</x:v>
      </x:c>
    </x:row>
    <x:row r="13">
      <x:c r="A13" s="23" t="str">
        <x:v>Mixed-liquid recovery, separation and terminal custody</x:v>
      </x:c>
      <x:c r="B13" s="73" t="n">
        <x:v>1000</x:v>
      </x:c>
      <x:c r="C13" s="83" t="n">
        <x:f>B13/1000</x:f>
        <x:v>1</x:v>
      </x:c>
      <x:c r="D13" s="64" t="n">
        <x:f>B13/'Assumptions'!B51</x:f>
        <x:v>0.06666666666666667</x:v>
      </x:c>
    </x:row>
    <x:row r="14">
      <x:c r="A14" s="23" t="str">
        <x:v>Arsenal automation and contaminated regeneration</x:v>
      </x:c>
      <x:c r="B14" s="73" t="n">
        <x:v>1000</x:v>
      </x:c>
      <x:c r="C14" s="83" t="n">
        <x:f>B14/1000</x:f>
        <x:v>1</x:v>
      </x:c>
      <x:c r="D14" s="64" t="n">
        <x:f>B14/'Assumptions'!B51</x:f>
        <x:v>0.06666666666666667</x:v>
      </x:c>
    </x:row>
    <x:row r="15">
      <x:c r="A15" s="23" t="str">
        <x:v>Crew heat, smoke and contamination protection</x:v>
      </x:c>
      <x:c r="B15" s="73" t="n">
        <x:v>800</x:v>
      </x:c>
      <x:c r="C15" s="83" t="n">
        <x:f>B15/1000</x:f>
        <x:v>0.8</x:v>
      </x:c>
      <x:c r="D15" s="64" t="n">
        <x:f>B15/'Assumptions'!B51</x:f>
        <x:v>0.05333333333333334</x:v>
      </x:c>
    </x:row>
    <x:row r="16">
      <x:c r="A16" s="23" t="str">
        <x:v>Native evidence, metrology and causal reconstruction</x:v>
      </x:c>
      <x:c r="B16" s="73" t="n">
        <x:v>700</x:v>
      </x:c>
      <x:c r="C16" s="83" t="n">
        <x:f>B16/1000</x:f>
        <x:v>0.7</x:v>
      </x:c>
      <x:c r="D16" s="64" t="n">
        <x:f>B16/'Assumptions'!B51</x:f>
        <x:v>0.04666666666666667</x:v>
      </x:c>
    </x:row>
    <x:row r="17">
      <x:c r="A17" s="24" t="str">
        <x:v>Public substitution and distributed manufacturing</x:v>
      </x:c>
      <x:c r="B17" s="75" t="n">
        <x:v>700</x:v>
      </x:c>
      <x:c r="C17" s="84" t="n">
        <x:f>B17/1000</x:f>
        <x:v>0.7</x:v>
      </x:c>
      <x:c r="D17" s="65" t="n">
        <x:f>B17/'Assumptions'!B51</x:f>
        <x:v>0.04666666666666667</x:v>
      </x:c>
    </x:row>
    <x:row r="18">
      <x:c r="A18" s="61" t="str">
        <x:v>TOTAL</x:v>
      </x:c>
      <x:c r="B18" s="100" t="n">
        <x:f>SUM(B6:B17)</x:f>
        <x:v>15000</x:v>
      </x:c>
      <x:c r="C18" s="102" t="n">
        <x:f>SUM(C6:C17)</x:f>
        <x:v>15</x:v>
      </x:c>
      <x:c r="D18" s="103" t="n">
        <x:f>SUM(D6:D17)</x:f>
        <x:v>0.9999999999999999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</x:cols>
  <x:sheetData>
    <x:row r="2" ht="24" customHeight="1">
      <x:c r="A2" s="96" t="str">
        <x:v>Release-aware program calendar</x:v>
      </x:c>
      <x:c r="B2" s="96"/>
      <x:c r="C2" s="96"/>
      <x:c r="D2" s="96"/>
      <x:c r="E2" s="96"/>
      <x:c r="F2" s="96"/>
      <x:c r="G2" s="96"/>
    </x:row>
    <x:row r="3" ht="20" customHeight="1">
      <x:c r="A3" s="97" t="str">
        <x:v>Gross work less registered overlap yields primary and maximum schedules.</x:v>
      </x:c>
      <x:c r="B3" s="97"/>
      <x:c r="C3" s="97"/>
      <x:c r="D3" s="97"/>
      <x:c r="E3" s="97"/>
      <x:c r="F3" s="97"/>
      <x:c r="G3" s="97"/>
    </x:row>
    <x:row r="4">
      <x:c r="A4" s="98"/>
      <x:c r="B4" s="98"/>
      <x:c r="C4" s="98"/>
      <x:c r="D4" s="98"/>
      <x:c r="E4" s="98"/>
      <x:c r="F4" s="98"/>
      <x:c r="G4" s="98"/>
    </x:row>
    <x:row r="5" ht="30" customHeight="1">
      <x:c r="A5" s="15" t="str">
        <x:v>Work package</x:v>
      </x:c>
      <x:c r="B5" s="16" t="str">
        <x:v>Gross weeks</x:v>
      </x:c>
      <x:c r="C5" s="16" t="str">
        <x:v>Primary overlap</x:v>
      </x:c>
      <x:c r="D5" s="16" t="str">
        <x:v>Maximum overlap</x:v>
      </x:c>
      <x:c r="E5" s="16" t="str">
        <x:v>Primary weeks</x:v>
      </x:c>
      <x:c r="F5" s="16" t="str">
        <x:v>Maximum weeks</x:v>
      </x:c>
      <x:c r="G5" s="17" t="str">
        <x:v>Terminal artifact</x:v>
      </x:c>
    </x:row>
    <x:row r="6">
      <x:c r="A6" s="22" t="str">
        <x:v>Factory and public-standard hardening</x:v>
      </x:c>
      <x:c r="B6" s="38" t="n">
        <x:v>24</x:v>
      </x:c>
      <x:c r="C6" s="38" t="n">
        <x:v>0</x:v>
      </x:c>
      <x:c r="D6" s="38" t="n">
        <x:v>0</x:v>
      </x:c>
      <x:c r="E6" s="38" t="n">
        <x:f>B6-C6</x:f>
        <x:v>24</x:v>
      </x:c>
      <x:c r="F6" s="38" t="n">
        <x:f>B6-D6</x:f>
        <x:v>24</x:v>
      </x:c>
      <x:c r="G6" s="22" t="str">
        <x:v>Eighteen-site boundary</x:v>
      </x:c>
    </x:row>
    <x:row r="7">
      <x:c r="A7" s="23" t="str">
        <x:v>Transport-root qualification</x:v>
      </x:c>
      <x:c r="B7" s="39" t="n">
        <x:v>48</x:v>
      </x:c>
      <x:c r="C7" s="39" t="n">
        <x:v>24</x:v>
      </x:c>
      <x:c r="D7" s="39" t="n">
        <x:v>22</x:v>
      </x:c>
      <x:c r="E7" s="39" t="n">
        <x:f>B7-C7</x:f>
        <x:v>24</x:v>
      </x:c>
      <x:c r="F7" s="39" t="n">
        <x:f>B7-D7</x:f>
        <x:v>26</x:v>
      </x:c>
      <x:c r="G7" s="23" t="str">
        <x:v>Two mover and frame roots</x:v>
      </x:c>
    </x:row>
    <x:row r="8">
      <x:c r="A8" s="23" t="str">
        <x:v>Twelve system builds</x:v>
      </x:c>
      <x:c r="B8" s="39" t="n">
        <x:v>128</x:v>
      </x:c>
      <x:c r="C8" s="39" t="n">
        <x:v>0</x:v>
      </x:c>
      <x:c r="D8" s="39" t="n">
        <x:v>0</x:v>
      </x:c>
      <x:c r="E8" s="39" t="n">
        <x:f>B8-C8</x:f>
        <x:v>128</x:v>
      </x:c>
      <x:c r="F8" s="39" t="n">
        <x:f>B8-D8</x:f>
        <x:v>128</x:v>
      </x:c>
      <x:c r="G8" s="23" t="str">
        <x:v>Complete serial lot</x:v>
      </x:c>
    </x:row>
    <x:row r="9">
      <x:c r="A9" s="23" t="str">
        <x:v>Crew formation</x:v>
      </x:c>
      <x:c r="B9" s="39" t="n">
        <x:v>52</x:v>
      </x:c>
      <x:c r="C9" s="39" t="n">
        <x:v>36</x:v>
      </x:c>
      <x:c r="D9" s="39" t="n">
        <x:v>32</x:v>
      </x:c>
      <x:c r="E9" s="39" t="n">
        <x:f>B9-C9</x:f>
        <x:v>16</x:v>
      </x:c>
      <x:c r="F9" s="39" t="n">
        <x:f>B9-D9</x:f>
        <x:v>20</x:v>
      </x:c>
      <x:c r="G9" s="23" t="str">
        <x:v>16,353 initial seats</x:v>
      </x:c>
    </x:row>
    <x:row r="10">
      <x:c r="A10" s="23" t="str">
        <x:v>Individual-set acceptance</x:v>
      </x:c>
      <x:c r="B10" s="39" t="n">
        <x:v>48</x:v>
      </x:c>
      <x:c r="C10" s="39" t="n">
        <x:v>36</x:v>
      </x:c>
      <x:c r="D10" s="39" t="n">
        <x:v>30</x:v>
      </x:c>
      <x:c r="E10" s="39" t="n">
        <x:f>B10-C10</x:f>
        <x:v>12</x:v>
      </x:c>
      <x:c r="F10" s="39" t="n">
        <x:f>B10-D10</x:f>
        <x:v>18</x:v>
      </x:c>
      <x:c r="G10" s="23" t="str">
        <x:v>Twelve accepted bodies</x:v>
      </x:c>
    </x:row>
    <x:row r="11">
      <x:c r="A11" s="23" t="str">
        <x:v>Packet and strategic transport</x:v>
      </x:c>
      <x:c r="B11" s="39" t="n">
        <x:v>36</x:v>
      </x:c>
      <x:c r="C11" s="39" t="n">
        <x:v>28</x:v>
      </x:c>
      <x:c r="D11" s="39" t="n">
        <x:v>24</x:v>
      </x:c>
      <x:c r="E11" s="39" t="n">
        <x:f>B11-C11</x:f>
        <x:v>8</x:v>
      </x:c>
      <x:c r="F11" s="39" t="n">
        <x:f>B11-D11</x:f>
        <x:v>12</x:v>
      </x:c>
      <x:c r="G11" s="23" t="str">
        <x:v>112 packets and 2.8M vehicle-km</x:v>
      </x:c>
    </x:row>
    <x:row r="12">
      <x:c r="A12" s="23" t="str">
        <x:v>Arsenal one-site-loss campaign</x:v>
      </x:c>
      <x:c r="B12" s="39" t="n">
        <x:v>32</x:v>
      </x:c>
      <x:c r="C12" s="39" t="n">
        <x:v>24</x:v>
      </x:c>
      <x:c r="D12" s="39" t="n">
        <x:v>20</x:v>
      </x:c>
      <x:c r="E12" s="39" t="n">
        <x:f>B12-C12</x:f>
        <x:v>8</x:v>
      </x:c>
      <x:c r="F12" s="39" t="n">
        <x:f>B12-D12</x:f>
        <x:v>12</x:v>
      </x:c>
      <x:c r="G12" s="23" t="str">
        <x:v>Three denial records</x:v>
      </x:c>
    </x:row>
    <x:row r="13">
      <x:c r="A13" s="23" t="str">
        <x:v>Group operational sequence</x:v>
      </x:c>
      <x:c r="B13" s="39" t="n">
        <x:v>16</x:v>
      </x:c>
      <x:c r="C13" s="39" t="n">
        <x:v>16</x:v>
      </x:c>
      <x:c r="D13" s="39" t="n">
        <x:v>12</x:v>
      </x:c>
      <x:c r="E13" s="39" t="n">
        <x:f>B13-C13</x:f>
        <x:v>0</x:v>
      </x:c>
      <x:c r="F13" s="39" t="n">
        <x:f>B13-D13</x:f>
        <x:v>4</x:v>
      </x:c>
      <x:c r="G13" s="23" t="str">
        <x:v>Primary line and reserve mission</x:v>
      </x:c>
    </x:row>
    <x:row r="14">
      <x:c r="A14" s="23" t="str">
        <x:v>Destructive and forensic closure</x:v>
      </x:c>
      <x:c r="B14" s="39" t="n">
        <x:v>24</x:v>
      </x:c>
      <x:c r="C14" s="39" t="n">
        <x:v>20</x:v>
      </x:c>
      <x:c r="D14" s="39" t="n">
        <x:v>18</x:v>
      </x:c>
      <x:c r="E14" s="39" t="n">
        <x:f>B14-C14</x:f>
        <x:v>4</x:v>
      </x:c>
      <x:c r="F14" s="39" t="n">
        <x:f>B14-D14</x:f>
        <x:v>6</x:v>
      </x:c>
      <x:c r="G14" s="23" t="str">
        <x:v>Terminal findings</x:v>
      </x:c>
    </x:row>
    <x:row r="15">
      <x:c r="A15" s="23" t="str">
        <x:v>Outside acceptance</x:v>
      </x:c>
      <x:c r="B15" s="39" t="n">
        <x:v>20</x:v>
      </x:c>
      <x:c r="C15" s="39" t="n">
        <x:v>8</x:v>
      </x:c>
      <x:c r="D15" s="39" t="n">
        <x:v>10</x:v>
      </x:c>
      <x:c r="E15" s="39" t="n">
        <x:f>B15-C15</x:f>
        <x:v>12</x:v>
      </x:c>
      <x:c r="F15" s="39" t="n">
        <x:f>B15-D15</x:f>
        <x:v>10</x:v>
      </x:c>
      <x:c r="G15" s="23" t="str">
        <x:v>Twelve reconstructions</x:v>
      </x:c>
    </x:row>
    <x:row r="16">
      <x:c r="A16" s="24" t="str">
        <x:v>Public release board</x:v>
      </x:c>
      <x:c r="B16" s="40" t="n">
        <x:v>12</x:v>
      </x:c>
      <x:c r="C16" s="40" t="n">
        <x:v>8</x:v>
      </x:c>
      <x:c r="D16" s="40" t="n">
        <x:v>12</x:v>
      </x:c>
      <x:c r="E16" s="40" t="n">
        <x:f>B16-C16</x:f>
        <x:v>4</x:v>
      </x:c>
      <x:c r="F16" s="40" t="n">
        <x:f>B16-D16</x:f>
        <x:v>0</x:v>
      </x:c>
      <x:c r="G16" s="24" t="str">
        <x:v>RBV-1 authority or denial</x:v>
      </x:c>
    </x:row>
    <x:row r="17">
      <x:c r="A17" s="61" t="str">
        <x:v>TOTAL</x:v>
      </x:c>
      <x:c r="B17" s="62" t="n">
        <x:f>SUM(B6:B16)</x:f>
        <x:v>440</x:v>
      </x:c>
      <x:c r="C17" s="62" t="n">
        <x:f>SUM(C6:C16)</x:f>
        <x:v>200</x:v>
      </x:c>
      <x:c r="D17" s="62" t="n">
        <x:f>SUM(D6:D16)</x:f>
        <x:v>180</x:v>
      </x:c>
      <x:c r="E17" s="62" t="n">
        <x:f>SUM(E6:E16)</x:f>
        <x:v>240</x:v>
      </x:c>
      <x:c r="F17" s="62" t="n">
        <x:f>SUM(F6:F16)</x:f>
        <x:v>260</x:v>
      </x:c>
      <x:c r="G17" s="61" t="str">
        <x:v>Release-aware program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</x:cols>
  <x:sheetData>
    <x:row r="2" ht="24" customHeight="1">
      <x:c r="A2" s="96" t="str">
        <x:v>RAS-3R11 capacity amendment</x:v>
      </x:c>
      <x:c r="B2" s="96"/>
      <x:c r="C2" s="96"/>
      <x:c r="D2" s="96"/>
      <x:c r="E2" s="96"/>
      <x:c r="F2" s="96"/>
      <x:c r="G2" s="96"/>
    </x:row>
    <x:row r="3" ht="20" customHeight="1">
      <x:c r="A3" s="97" t="str">
        <x:v>Cumulative use adds RBU-1 to the prior chain. Peak staffing and annual support use active overlap only.</x:v>
      </x:c>
      <x:c r="B3" s="97"/>
      <x:c r="C3" s="97"/>
      <x:c r="D3" s="97"/>
      <x:c r="E3" s="97"/>
      <x:c r="F3" s="97"/>
      <x:c r="G3" s="97"/>
    </x:row>
    <x:row r="4">
      <x:c r="A4" s="98"/>
      <x:c r="B4" s="98"/>
      <x:c r="C4" s="98"/>
      <x:c r="D4" s="98"/>
      <x:c r="E4" s="98"/>
      <x:c r="F4" s="98"/>
      <x:c r="G4" s="98"/>
    </x:row>
    <x:row r="5" ht="30" customHeight="1">
      <x:c r="A5" s="15" t="str">
        <x:v>Capacity</x:v>
      </x:c>
      <x:c r="B5" s="16" t="str">
        <x:v>Prior use</x:v>
      </x:c>
      <x:c r="C5" s="16" t="str">
        <x:v>RBU-1 addition</x:v>
      </x:c>
      <x:c r="D5" s="16" t="str">
        <x:v>Through RBU-1</x:v>
      </x:c>
      <x:c r="E5" s="16" t="str">
        <x:v>New parent</x:v>
      </x:c>
      <x:c r="F5" s="16" t="str">
        <x:v>Remaining</x:v>
      </x:c>
      <x:c r="G5" s="17" t="str">
        <x:v>Unit</x:v>
      </x:c>
    </x:row>
    <x:row r="6">
      <x:c r="A6" s="22" t="str">
        <x:v>Primary calendar</x:v>
      </x:c>
      <x:c r="B6" s="55" t="n">
        <x:f>'Assumptions'!B52</x:f>
        <x:v>1570</x:v>
      </x:c>
      <x:c r="C6" s="55" t="n">
        <x:f>'Schedule'!E17</x:f>
        <x:v>240</x:v>
      </x:c>
      <x:c r="D6" s="56" t="n">
        <x:f>B6+C6</x:f>
        <x:v>1810</x:v>
      </x:c>
      <x:c r="E6" s="55" t="n">
        <x:f>'Assumptions'!B58</x:f>
        <x:v>2200</x:v>
      </x:c>
      <x:c r="F6" s="56" t="n">
        <x:f>E6-D6</x:f>
        <x:v>390</x:v>
      </x:c>
      <x:c r="G6" s="22" t="str">
        <x:v>weeks</x:v>
      </x:c>
    </x:row>
    <x:row r="7">
      <x:c r="A7" s="23" t="str">
        <x:v>Maximum calendar</x:v>
      </x:c>
      <x:c r="B7" s="68" t="n">
        <x:f>'Assumptions'!B53</x:f>
        <x:v>1654</x:v>
      </x:c>
      <x:c r="C7" s="68" t="n">
        <x:f>'Schedule'!F17</x:f>
        <x:v>260</x:v>
      </x:c>
      <x:c r="D7" s="69" t="n">
        <x:f>B7+C7</x:f>
        <x:v>1914</x:v>
      </x:c>
      <x:c r="E7" s="68" t="n">
        <x:f>'Assumptions'!B58</x:f>
        <x:v>2200</x:v>
      </x:c>
      <x:c r="F7" s="69" t="n">
        <x:f>E7-D7</x:f>
        <x:v>286</x:v>
      </x:c>
      <x:c r="G7" s="23" t="str">
        <x:v>weeks</x:v>
      </x:c>
    </x:row>
    <x:row r="8">
      <x:c r="A8" s="23" t="str">
        <x:v>Concurrent public positions</x:v>
      </x:c>
      <x:c r="B8" s="68" t="n">
        <x:f>'Assumptions'!B47+'Assumptions'!B48</x:f>
        <x:v>17850</x:v>
      </x:c>
      <x:c r="C8" s="68" t="n">
        <x:f>'Assumptions'!B46</x:f>
        <x:v>18000</x:v>
      </x:c>
      <x:c r="D8" s="69" t="n">
        <x:f>B8+C8</x:f>
        <x:v>35850</x:v>
      </x:c>
      <x:c r="E8" s="68" t="n">
        <x:f>'Assumptions'!B59</x:f>
        <x:v>45000</x:v>
      </x:c>
      <x:c r="F8" s="69" t="n">
        <x:f>E8-D8</x:f>
        <x:v>9150</x:v>
      </x:c>
      <x:c r="G8" s="23" t="str">
        <x:v>positions</x:v>
      </x:c>
    </x:row>
    <x:row r="9">
      <x:c r="A9" s="23" t="str">
        <x:v>Capital</x:v>
      </x:c>
      <x:c r="B9" s="68" t="n">
        <x:f>'Assumptions'!B54</x:f>
        <x:v>233680</x:v>
      </x:c>
      <x:c r="C9" s="68" t="n">
        <x:f>'Capital'!D18</x:f>
        <x:v>162000</x:v>
      </x:c>
      <x:c r="D9" s="69" t="n">
        <x:f>B9+C9</x:f>
        <x:v>395680</x:v>
      </x:c>
      <x:c r="E9" s="68" t="n">
        <x:f>'Assumptions'!B60</x:f>
        <x:v>450000</x:v>
      </x:c>
      <x:c r="F9" s="69" t="n">
        <x:f>E9-D9</x:f>
        <x:v>54320</x:v>
      </x:c>
      <x:c r="G9" s="23" t="str">
        <x:v>USD M</x:v>
      </x:c>
    </x:row>
    <x:row r="10">
      <x:c r="A10" s="23" t="str">
        <x:v>Peak annual support</x:v>
      </x:c>
      <x:c r="B10" s="68" t="n">
        <x:f>'Assumptions'!B56+'Assumptions'!B57</x:f>
        <x:v>10970</x:v>
      </x:c>
      <x:c r="C10" s="68" t="n">
        <x:f>'Annual Support'!B14</x:f>
        <x:v>12000</x:v>
      </x:c>
      <x:c r="D10" s="69" t="n">
        <x:f>B10+C10</x:f>
        <x:v>22970</x:v>
      </x:c>
      <x:c r="E10" s="68" t="n">
        <x:f>'Assumptions'!B61</x:f>
        <x:v>27000</x:v>
      </x:c>
      <x:c r="F10" s="69" t="n">
        <x:f>E10-D10</x:f>
        <x:v>4030</x:v>
      </x:c>
      <x:c r="G10" s="23" t="str">
        <x:v>USD M/year</x:v>
      </x:c>
    </x:row>
    <x:row r="11">
      <x:c r="A11" s="23" t="str">
        <x:v>Technology</x:v>
      </x:c>
      <x:c r="B11" s="68" t="n">
        <x:f>'Assumptions'!B55</x:f>
        <x:v>43235</x:v>
      </x:c>
      <x:c r="C11" s="68" t="n">
        <x:f>'Technology'!B18</x:f>
        <x:v>15000</x:v>
      </x:c>
      <x:c r="D11" s="69" t="n">
        <x:f>B11+C11</x:f>
        <x:v>58235</x:v>
      </x:c>
      <x:c r="E11" s="68" t="n">
        <x:f>'Assumptions'!B62</x:f>
        <x:v>80000</x:v>
      </x:c>
      <x:c r="F11" s="69" t="n">
        <x:f>E11-D11</x:f>
        <x:v>21765</x:v>
      </x:c>
      <x:c r="G11" s="23" t="str">
        <x:v>USD M</x:v>
      </x:c>
    </x:row>
    <x:row r="12">
      <x:c r="A12" s="24" t="str">
        <x:v>Physical acceptance</x:v>
      </x:c>
      <x:c r="B12" s="24"/>
      <x:c r="C12" s="24"/>
      <x:c r="D12" s="24"/>
      <x:c r="E12" s="24"/>
      <x:c r="F12" s="24"/>
      <x:c r="G12" s="24" t="str">
        <x:v>OPEN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92" hidden="0" customWidth="1"/>
    <x:col min="4" max="4" width="16" hidden="0" customWidth="1"/>
    <x:col min="5" max="5" width="46" hidden="0" customWidth="1"/>
  </x:cols>
  <x:sheetData>
    <x:row r="2" ht="24" customHeight="1">
      <x:c r="A2" s="96" t="str">
        <x:v>Conjunctive release gates</x:v>
      </x:c>
      <x:c r="B2" s="96"/>
      <x:c r="C2" s="96"/>
      <x:c r="D2" s="96"/>
      <x:c r="E2" s="96"/>
    </x:row>
    <x:row r="3" ht="20" customHeight="1">
      <x:c r="A3" s="97" t="str">
        <x:v>Every physical gate begins OPEN. No score or schedule result can close it.</x:v>
      </x:c>
      <x:c r="B3" s="97"/>
      <x:c r="C3" s="97"/>
      <x:c r="D3" s="97"/>
      <x:c r="E3" s="97"/>
    </x:row>
    <x:row r="4">
      <x:c r="A4" s="98"/>
      <x:c r="B4" s="98"/>
      <x:c r="C4" s="98"/>
      <x:c r="D4" s="98"/>
      <x:c r="E4" s="98"/>
    </x:row>
    <x:row r="5" ht="30" customHeight="1">
      <x:c r="A5" s="15" t="str">
        <x:v>Gate</x:v>
      </x:c>
      <x:c r="B5" s="16" t="str">
        <x:v>Domain</x:v>
      </x:c>
      <x:c r="C5" s="16" t="str">
        <x:v>Required condition</x:v>
      </x:c>
      <x:c r="D5" s="16" t="str">
        <x:v>Status</x:v>
      </x:c>
      <x:c r="E5" s="17" t="str">
        <x:v>Release consequence</x:v>
      </x:c>
    </x:row>
    <x:row r="6">
      <x:c r="A6" s="22" t="str">
        <x:v>I-01</x:v>
      </x:c>
      <x:c r="B6" s="22" t="str">
        <x:v>Industry</x:v>
      </x:c>
      <x:c r="C6" s="22" t="str">
        <x:v>All nineteen families have two accepted roots</x:v>
      </x:c>
      <x:c r="D6" s="22" t="str">
        <x:v>OPEN</x:v>
      </x:c>
      <x:c r="E6" s="22" t="str">
        <x:v>Root-diverse production held</x:v>
      </x:c>
    </x:row>
    <x:row r="7">
      <x:c r="A7" s="23" t="str">
        <x:v>I-02</x:v>
      </x:c>
      <x:c r="B7" s="23" t="str">
        <x:v>Industry</x:v>
      </x:c>
      <x:c r="C7" s="23" t="str">
        <x:v>All 4,858 modules reconcile to serial and root</x:v>
      </x:c>
      <x:c r="D7" s="23" t="str">
        <x:v>OPEN</x:v>
      </x:c>
      <x:c r="E7" s="23" t="str">
        <x:v>Lot acceptance held</x:v>
      </x:c>
    </x:row>
    <x:row r="8">
      <x:c r="A8" s="23" t="str">
        <x:v>I-03</x:v>
      </x:c>
      <x:c r="B8" s="23" t="str">
        <x:v>Industry</x:v>
      </x:c>
      <x:c r="C8" s="23" t="str">
        <x:v>Each system root completes six released-process systems</x:v>
      </x:c>
      <x:c r="D8" s="23" t="str">
        <x:v>OPEN</x:v>
      </x:c>
      <x:c r="E8" s="23" t="str">
        <x:v>Line-rate claim held</x:v>
      </x:c>
    </x:row>
    <x:row r="9">
      <x:c r="A9" s="23" t="str">
        <x:v>I-04</x:v>
      </x:c>
      <x:c r="B9" s="23" t="str">
        <x:v>Industry</x:v>
      </x:c>
      <x:c r="C9" s="23" t="str">
        <x:v>One-site loss preserves every essential family</x:v>
      </x:c>
      <x:c r="D9" s="23" t="str">
        <x:v>OPEN</x:v>
      </x:c>
      <x:c r="E9" s="23" t="str">
        <x:v>Industrial release held</x:v>
      </x:c>
    </x:row>
    <x:row r="10">
      <x:c r="A10" s="23" t="str">
        <x:v>T-01</x:v>
      </x:c>
      <x:c r="B10" s="23" t="str">
        <x:v>Transport</x:v>
      </x:c>
      <x:c r="C10" s="23" t="str">
        <x:v>3,200 service movers and 3,000 service frames accepted</x:v>
      </x:c>
      <x:c r="D10" s="23" t="str">
        <x:v>OPEN</x:v>
      </x:c>
      <x:c r="E10" s="23" t="str">
        <x:v>Group transport held</x:v>
      </x:c>
    </x:row>
    <x:row r="11">
      <x:c r="A11" s="23" t="str">
        <x:v>T-02</x:v>
      </x:c>
      <x:c r="B11" s="23" t="str">
        <x:v>Transport</x:v>
      </x:c>
      <x:c r="C11" s="23" t="str">
        <x:v>2.8 million loaded vehicle-kilometres reconcile</x:v>
      </x:c>
      <x:c r="D11" s="23" t="str">
        <x:v>OPEN</x:v>
      </x:c>
      <x:c r="E11" s="23" t="str">
        <x:v>Route acceptance held</x:v>
      </x:c>
    </x:row>
    <x:row r="12">
      <x:c r="A12" s="23" t="str">
        <x:v>T-03</x:v>
      </x:c>
      <x:c r="B12" s="23" t="str">
        <x:v>Transport</x:v>
      </x:c>
      <x:c r="C12" s="23" t="str">
        <x:v>All 112 packet trials preserve bounded useful service</x:v>
      </x:c>
      <x:c r="D12" s="23" t="str">
        <x:v>OPEN</x:v>
      </x:c>
      <x:c r="E12" s="23" t="str">
        <x:v>Packet release held</x:v>
      </x:c>
    </x:row>
    <x:row r="13">
      <x:c r="A13" s="23" t="str">
        <x:v>F-01</x:v>
      </x:c>
      <x:c r="B13" s="23" t="str">
        <x:v>Formation</x:v>
      </x:c>
      <x:c r="C13" s="23" t="str">
        <x:v>14,220 positions hold current task qualifications</x:v>
      </x:c>
      <x:c r="D13" s="23" t="str">
        <x:v>OPEN</x:v>
      </x:c>
      <x:c r="E13" s="23" t="str">
        <x:v>Crew release held</x:v>
      </x:c>
    </x:row>
    <x:row r="14">
      <x:c r="A14" s="23" t="str">
        <x:v>F-02</x:v>
      </x:c>
      <x:c r="B14" s="23" t="str">
        <x:v>Formation</x:v>
      </x:c>
      <x:c r="C14" s="23" t="str">
        <x:v>2,133 reserve seats are not double-assigned</x:v>
      </x:c>
      <x:c r="D14" s="23" t="str">
        <x:v>OPEN</x:v>
      </x:c>
      <x:c r="E14" s="23" t="str">
        <x:v>Pipeline claim held</x:v>
      </x:c>
    </x:row>
    <x:row r="15">
      <x:c r="A15" s="23" t="str">
        <x:v>F-03</x:v>
      </x:c>
      <x:c r="B15" s="23" t="str">
        <x:v>Formation</x:v>
      </x:c>
      <x:c r="C15" s="23" t="str">
        <x:v>FG-08 launches at hour 435 without line-set assets</x:v>
      </x:c>
      <x:c r="D15" s="23" t="str">
        <x:v>OPEN</x:v>
      </x:c>
      <x:c r="E15" s="23" t="str">
        <x:v>Reserve claim held</x:v>
      </x:c>
    </x:row>
    <x:row r="16">
      <x:c r="A16" s="23" t="str">
        <x:v>A-01</x:v>
      </x:c>
      <x:c r="B16" s="23" t="str">
        <x:v>Arsenal</x:v>
      </x:c>
      <x:c r="C16" s="23" t="str">
        <x:v>All three sites complete normal returns</x:v>
      </x:c>
      <x:c r="D16" s="23" t="str">
        <x:v>OPEN</x:v>
      </x:c>
      <x:c r="E16" s="23" t="str">
        <x:v>Return claim held</x:v>
      </x:c>
    </x:row>
    <x:row r="17">
      <x:c r="A17" s="23" t="str">
        <x:v>A-02</x:v>
      </x:c>
      <x:c r="B17" s="23" t="str">
        <x:v>Arsenal</x:v>
      </x:c>
      <x:c r="C17" s="23" t="str">
        <x:v>Every site is separately denied once</x:v>
      </x:c>
      <x:c r="D17" s="23" t="str">
        <x:v>OPEN</x:v>
      </x:c>
      <x:c r="E17" s="23" t="str">
        <x:v>Site-loss claim held</x:v>
      </x:c>
    </x:row>
    <x:row r="18">
      <x:c r="A18" s="23" t="str">
        <x:v>A-03</x:v>
      </x:c>
      <x:c r="B18" s="23" t="str">
        <x:v>Arsenal</x:v>
      </x:c>
      <x:c r="C18" s="23" t="str">
        <x:v>Six residual bays preserve the 336-hour standard</x:v>
      </x:c>
      <x:c r="D18" s="23" t="str">
        <x:v>OPEN</x:v>
      </x:c>
      <x:c r="E18" s="23" t="str">
        <x:v>Cadence claim held</x:v>
      </x:c>
    </x:row>
    <x:row r="19">
      <x:c r="A19" s="23" t="str">
        <x:v>E-01</x:v>
      </x:c>
      <x:c r="B19" s="23" t="str">
        <x:v>Evidence</x:v>
      </x:c>
      <x:c r="C19" s="23" t="str">
        <x:v>Twelve outside reconstructions close from protected originals</x:v>
      </x:c>
      <x:c r="D19" s="23" t="str">
        <x:v>OPEN</x:v>
      </x:c>
      <x:c r="E19" s="23" t="str">
        <x:v>Public release held</x:v>
      </x:c>
    </x:row>
    <x:row r="20">
      <x:c r="A20" s="23" t="str">
        <x:v>E-02</x:v>
      </x:c>
      <x:c r="B20" s="23" t="str">
        <x:v>Evidence</x:v>
      </x:c>
      <x:c r="C20" s="23" t="str">
        <x:v>DS-01 completes terminal examination</x:v>
      </x:c>
      <x:c r="D20" s="23" t="str">
        <x:v>OPEN</x:v>
      </x:c>
      <x:c r="E20" s="23" t="str">
        <x:v>Failure-mechanism claim held</x:v>
      </x:c>
    </x:row>
    <x:row r="21">
      <x:c r="A21" s="24" t="str">
        <x:v>P-01</x:v>
      </x:c>
      <x:c r="B21" s="24" t="str">
        <x:v>Parent</x:v>
      </x:c>
      <x:c r="C21" s="24" t="str">
        <x:v>Program stays inside RAS-3R11 capacity</x:v>
      </x:c>
      <x:c r="D21" s="24" t="str">
        <x:v>OPEN</x:v>
      </x:c>
      <x:c r="E21" s="24" t="str">
        <x:v>RBV-1 authority held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2">
      <x:c r="A2" s="96" t="str">
        <x:v>Internal review material</x:v>
      </x:c>
      <x:c r="B2" s="96"/>
      <x:c r="C2" s="96"/>
      <x:c r="D2" s="96"/>
    </x:row>
    <x:row r="3">
      <x:c r="A3" s="98"/>
      <x:c r="B3" s="98"/>
      <x:c r="C3" s="98"/>
      <x:c r="D3" s="98"/>
    </x:row>
    <x:row r="4">
      <x:c r="A4" s="87" t="str">
        <x:v>Purpose</x:v>
      </x:c>
      <x:c r="B4" s="87" t="str">
        <x:v>Separate terminal checks and source notes from operating views</x:v>
      </x:c>
      <x:c r="C4" s="87"/>
      <x:c r="D4" s="87"/>
    </x:row>
    <x:row r="5">
      <x:c r="A5" s="87" t="str">
        <x:v>Dependency rule</x:v>
      </x:c>
      <x:c r="B5" s="87" t="str">
        <x:v>No output, build or assumption formula reads Audit</x:v>
      </x:c>
      <x:c r="C5" s="87"/>
      <x:c r="D5" s="87"/>
    </x:row>
    <x:row r="6">
      <x:c r="A6" s="87" t="str">
        <x:v>Physical status</x:v>
      </x:c>
      <x:c r="B6" s="87" t="str">
        <x:v>All acceptance gates remain OPEN</x:v>
      </x:c>
      <x:c r="C6" s="87"/>
      <x:c r="D6" s="87"/>
    </x:row>
    <x:row r="7">
      <x:c r="A7" s="87" t="str">
        <x:v>Rendering</x:v>
      </x:c>
      <x:c r="B7" s="87" t="str">
        <x:v>Exterior vehicle rendering remains blocked</x:v>
      </x:c>
      <x:c r="C7" s="87"/>
      <x:c r="D7" s="87"/>
    </x:row>
    <x:row r="8">
      <x:c r="A8" s="87" t="str">
        <x:v>Next pass</x:v>
      </x:c>
      <x:c r="B8" s="87" t="str">
        <x:v>RBV-1 national quantity, basing and readiness allocation</x:v>
      </x:c>
      <x:c r="C8" s="87"/>
      <x:c r="D8" s="87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28" hidden="0" customWidth="1"/>
  </x:cols>
  <x:sheetData>
    <x:row r="2" ht="24" customHeight="1">
      <x:c r="A2" s="96" t="str">
        <x:v>Terminal calculation audit</x:v>
      </x:c>
      <x:c r="B2" s="96"/>
      <x:c r="C2" s="96"/>
      <x:c r="D2" s="96"/>
    </x:row>
    <x:row r="3" ht="20" customHeight="1">
      <x:c r="A3" s="97" t="str">
        <x:v>These checks read the model. No output, build or assumption formula may depend on this sheet.</x:v>
      </x:c>
      <x:c r="B3" s="97"/>
      <x:c r="C3" s="97"/>
      <x:c r="D3" s="97"/>
    </x:row>
    <x:row r="4">
      <x:c r="A4" s="98"/>
      <x:c r="B4" s="98"/>
      <x:c r="C4" s="98"/>
      <x:c r="D4" s="98"/>
    </x:row>
    <x:row r="5" ht="30" customHeight="1">
      <x:c r="A5" s="15" t="str">
        <x:v>Check</x:v>
      </x:c>
      <x:c r="B5" s="16" t="str">
        <x:v>Subject</x:v>
      </x:c>
      <x:c r="C5" s="16" t="str">
        <x:v>Result</x:v>
      </x:c>
      <x:c r="D5" s="17" t="str">
        <x:v>Expected</x:v>
      </x:c>
    </x:row>
    <x:row r="6">
      <x:c r="A6" s="22" t="str">
        <x:v>A-001</x:v>
      </x:c>
      <x:c r="B6" s="22" t="str">
        <x:v>System body count</x:v>
      </x:c>
      <x:c r="C6" s="22" t="str">
        <x:f>IF('Assumptions'!B6=12,"PASS","FAIL")</x:f>
        <x:v>PASS</x:v>
      </x:c>
      <x:c r="D6" s="22" t="str">
        <x:v>12 systems</x:v>
      </x:c>
    </x:row>
    <x:row r="7">
      <x:c r="A7" s="23" t="str">
        <x:v>A-002</x:v>
      </x:c>
      <x:c r="B7" s="23" t="str">
        <x:v>Operational set count</x:v>
      </x:c>
      <x:c r="C7" s="23" t="str">
        <x:f>IF('Assumptions'!B7=8,"PASS","FAIL")</x:f>
        <x:v>PASS</x:v>
      </x:c>
      <x:c r="D7" s="23" t="str">
        <x:v>8 sets</x:v>
      </x:c>
    </x:row>
    <x:row r="8">
      <x:c r="A8" s="23" t="str">
        <x:v>A-003</x:v>
      </x:c>
      <x:c r="B8" s="23" t="str">
        <x:v>System roots</x:v>
      </x:c>
      <x:c r="C8" s="23" t="str">
        <x:f>IF('Assumptions'!B10=2,"PASS","FAIL")</x:f>
        <x:v>PASS</x:v>
      </x:c>
      <x:c r="D8" s="23" t="str">
        <x:v>2 roots</x:v>
      </x:c>
    </x:row>
    <x:row r="9">
      <x:c r="A9" s="23" t="str">
        <x:v>A-004</x:v>
      </x:c>
      <x:c r="B9" s="23" t="str">
        <x:v>Root 1 systems</x:v>
      </x:c>
      <x:c r="C9" s="23" t="str">
        <x:f>IF(COUNTIFS('System Registry'!B6:B17,"Root 1")=6,"PASS","FAIL")</x:f>
        <x:v>PASS</x:v>
      </x:c>
      <x:c r="D9" s="23" t="str">
        <x:v>6</x:v>
      </x:c>
    </x:row>
    <x:row r="10">
      <x:c r="A10" s="23" t="str">
        <x:v>A-005</x:v>
      </x:c>
      <x:c r="B10" s="23" t="str">
        <x:v>Root 2 systems</x:v>
      </x:c>
      <x:c r="C10" s="23" t="str">
        <x:f>IF(COUNTIFS('System Registry'!B6:B17,"Root 2")=6,"PASS","FAIL")</x:f>
        <x:v>PASS</x:v>
      </x:c>
      <x:c r="D10" s="23" t="str">
        <x:v>6</x:v>
      </x:c>
    </x:row>
    <x:row r="11">
      <x:c r="A11" s="23" t="str">
        <x:v>A-006</x:v>
      </x:c>
      <x:c r="B11" s="23" t="str">
        <x:v>Operational systems</x:v>
      </x:c>
      <x:c r="C11" s="23" t="str">
        <x:f>IF(COUNTIFS('System Registry'!D6:D17,"Operational")=8,"PASS","FAIL")</x:f>
        <x:v>PASS</x:v>
      </x:c>
      <x:c r="D11" s="23" t="str">
        <x:v>8</x:v>
      </x:c>
    </x:row>
    <x:row r="12">
      <x:c r="A12" s="23" t="str">
        <x:v>A-007</x:v>
      </x:c>
      <x:c r="B12" s="23" t="str">
        <x:v>Specialist systems</x:v>
      </x:c>
      <x:c r="C12" s="23" t="str">
        <x:f>IF(COUNTIFS('System Registry'!D6:D17,"Specialist")=4,"PASS","FAIL")</x:f>
        <x:v>PASS</x:v>
      </x:c>
      <x:c r="D12" s="23" t="str">
        <x:v>4</x:v>
      </x:c>
    </x:row>
    <x:row r="13">
      <x:c r="A13" s="23" t="str">
        <x:v>A-008</x:v>
      </x:c>
      <x:c r="B13" s="23" t="str">
        <x:v>Last completion week</x:v>
      </x:c>
      <x:c r="C13" s="23" t="str">
        <x:f>IF('System Registry'!H17=128,"PASS","FAIL")</x:f>
        <x:v>PASS</x:v>
      </x:c>
      <x:c r="D13" s="23" t="str">
        <x:v>128</x:v>
      </x:c>
    </x:row>
    <x:row r="14">
      <x:c r="A14" s="23" t="str">
        <x:v>A-009</x:v>
      </x:c>
      <x:c r="B14" s="23" t="str">
        <x:v>Operational group complete</x:v>
      </x:c>
      <x:c r="C14" s="23" t="str">
        <x:f>IF('System Registry'!H13=96,"PASS","FAIL")</x:f>
        <x:v>PASS</x:v>
      </x:c>
      <x:c r="D14" s="23" t="str">
        <x:v>96</x:v>
      </x:c>
    </x:row>
    <x:row r="15">
      <x:c r="A15" s="23" t="str">
        <x:v>A-010</x:v>
      </x:c>
      <x:c r="B15" s="23" t="str">
        <x:v>Production families</x:v>
      </x:c>
      <x:c r="C15" s="23" t="str">
        <x:f>IF('Assumptions'!B15+'Assumptions'!B16=19,"PASS","FAIL")</x:f>
        <x:v>PASS</x:v>
      </x:c>
      <x:c r="D15" s="23" t="str">
        <x:v>19</x:v>
      </x:c>
    </x:row>
    <x:row r="16">
      <x:c r="A16" s="23" t="str">
        <x:v>A-011</x:v>
      </x:c>
      <x:c r="B16" s="23" t="str">
        <x:v>Production-root cells</x:v>
      </x:c>
      <x:c r="C16" s="23" t="str">
        <x:f>IF(('Assumptions'!B15+'Assumptions'!B16)*'Assumptions'!B17=38,"PASS","FAIL")</x:f>
        <x:v>PASS</x:v>
      </x:c>
      <x:c r="D16" s="23" t="str">
        <x:v>38</x:v>
      </x:c>
    </x:row>
    <x:row r="17">
      <x:c r="A17" s="23" t="str">
        <x:v>A-012</x:v>
      </x:c>
      <x:c r="B17" s="23" t="str">
        <x:v>Twelve-system module quantity</x:v>
      </x:c>
      <x:c r="C17" s="23" t="str">
        <x:f>IF('Module Production'!D23=4248,"PASS","FAIL")</x:f>
        <x:v>PASS</x:v>
      </x:c>
      <x:c r="D17" s="23" t="str">
        <x:v>4,248</x:v>
      </x:c>
    </x:row>
    <x:row r="18">
      <x:c r="A18" s="23" t="str">
        <x:v>A-013</x:v>
      </x:c>
      <x:c r="B18" s="23" t="str">
        <x:v>Reserve module quantity</x:v>
      </x:c>
      <x:c r="C18" s="23" t="str">
        <x:f>IF('Module Production'!E23=610,"PASS","FAIL")</x:f>
        <x:v>PASS</x:v>
      </x:c>
      <x:c r="D18" s="23" t="str">
        <x:v>610</x:v>
      </x:c>
    </x:row>
    <x:row r="19">
      <x:c r="A19" s="23" t="str">
        <x:v>A-014</x:v>
      </x:c>
      <x:c r="B19" s="23" t="str">
        <x:v>Total module quantity</x:v>
      </x:c>
      <x:c r="C19" s="23" t="str">
        <x:f>IF('Module Production'!F23=4858,"PASS","FAIL")</x:f>
        <x:v>PASS</x:v>
      </x:c>
      <x:c r="D19" s="23" t="str">
        <x:v>4,858</x:v>
      </x:c>
    </x:row>
    <x:row r="20">
      <x:c r="A20" s="23" t="str">
        <x:v>A-015</x:v>
      </x:c>
      <x:c r="B20" s="23" t="str">
        <x:v>Root 1 module quantity</x:v>
      </x:c>
      <x:c r="C20" s="23" t="str">
        <x:f>IF('Module Production'!G23=2429,"PASS","FAIL")</x:f>
        <x:v>PASS</x:v>
      </x:c>
      <x:c r="D20" s="23" t="str">
        <x:v>2,429</x:v>
      </x:c>
    </x:row>
    <x:row r="21">
      <x:c r="A21" s="23" t="str">
        <x:v>A-016</x:v>
      </x:c>
      <x:c r="B21" s="23" t="str">
        <x:v>Root 2 module quantity</x:v>
      </x:c>
      <x:c r="C21" s="23" t="str">
        <x:f>IF('Module Production'!H23=2429,"PASS","FAIL")</x:f>
        <x:v>PASS</x:v>
      </x:c>
      <x:c r="D21" s="23" t="str">
        <x:v>2,429</x:v>
      </x:c>
    </x:row>
    <x:row r="22">
      <x:c r="A22" s="23" t="str">
        <x:v>A-017</x:v>
      </x:c>
      <x:c r="B22" s="23" t="str">
        <x:v>Industrial sites</x:v>
      </x:c>
      <x:c r="C22" s="23" t="str">
        <x:f>IF(COUNTA('Industrial Sites'!A6:A23)=18,"PASS","FAIL")</x:f>
        <x:v>PASS</x:v>
      </x:c>
      <x:c r="D22" s="23" t="str">
        <x:v>18</x:v>
      </x:c>
    </x:row>
    <x:row r="23">
      <x:c r="A23" s="23" t="str">
        <x:v>A-018</x:v>
      </x:c>
      <x:c r="B23" s="23" t="str">
        <x:v>Service movers</x:v>
      </x:c>
      <x:c r="C23" s="23" t="str">
        <x:f>IF('Transport Build'!D6=3200,"PASS","FAIL")</x:f>
        <x:v>PASS</x:v>
      </x:c>
      <x:c r="D23" s="23" t="str">
        <x:v>3,200</x:v>
      </x:c>
    </x:row>
    <x:row r="24">
      <x:c r="A24" s="23" t="str">
        <x:v>A-019</x:v>
      </x:c>
      <x:c r="B24" s="23" t="str">
        <x:v>Service frames</x:v>
      </x:c>
      <x:c r="C24" s="23" t="str">
        <x:f>IF('Transport Build'!D7=3000,"PASS","FAIL")</x:f>
        <x:v>PASS</x:v>
      </x:c>
      <x:c r="D24" s="23" t="str">
        <x:v>3,000</x:v>
      </x:c>
    </x:row>
    <x:row r="25">
      <x:c r="A25" s="23" t="str">
        <x:v>A-020</x:v>
      </x:c>
      <x:c r="B25" s="23" t="str">
        <x:v>Built movers</x:v>
      </x:c>
      <x:c r="C25" s="23" t="str">
        <x:f>IF('Transport Build'!F6=3264,"PASS","FAIL")</x:f>
        <x:v>PASS</x:v>
      </x:c>
      <x:c r="D25" s="23" t="str">
        <x:v>3,264</x:v>
      </x:c>
    </x:row>
    <x:row r="26">
      <x:c r="A26" s="23" t="str">
        <x:v>A-021</x:v>
      </x:c>
      <x:c r="B26" s="23" t="str">
        <x:v>Built frames</x:v>
      </x:c>
      <x:c r="C26" s="23" t="str">
        <x:f>IF('Transport Build'!F7=3120,"PASS","FAIL")</x:f>
        <x:v>PASS</x:v>
      </x:c>
      <x:c r="D26" s="23" t="str">
        <x:v>3,120</x:v>
      </x:c>
    </x:row>
    <x:row r="27">
      <x:c r="A27" s="23" t="str">
        <x:v>A-022</x:v>
      </x:c>
      <x:c r="B27" s="23" t="str">
        <x:v>Mover reserve</x:v>
      </x:c>
      <x:c r="C27" s="23" t="str">
        <x:f>IF('Transport Build'!B11=400,"PASS","FAIL")</x:f>
        <x:v>PASS</x:v>
      </x:c>
      <x:c r="D27" s="23" t="str">
        <x:v>400</x:v>
      </x:c>
    </x:row>
    <x:row r="28">
      <x:c r="A28" s="23" t="str">
        <x:v>A-023</x:v>
      </x:c>
      <x:c r="B28" s="23" t="str">
        <x:v>Frame reserve</x:v>
      </x:c>
      <x:c r="C28" s="23" t="str">
        <x:f>IF('Transport Build'!B13=504,"PASS","FAIL")</x:f>
        <x:v>PASS</x:v>
      </x:c>
      <x:c r="D28" s="23" t="str">
        <x:v>504</x:v>
      </x:c>
    </x:row>
    <x:row r="29">
      <x:c r="A29" s="23" t="str">
        <x:v>A-024</x:v>
      </x:c>
      <x:c r="B29" s="23" t="str">
        <x:v>Universal vehicle-km</x:v>
      </x:c>
      <x:c r="C29" s="23" t="str">
        <x:f>IF('Transport Acceptance'!D6=1600000,"PASS","FAIL")</x:f>
        <x:v>PASS</x:v>
      </x:c>
      <x:c r="D29" s="23" t="str">
        <x:v>1,600,000</x:v>
      </x:c>
    </x:row>
    <x:row r="30">
      <x:c r="A30" s="23" t="str">
        <x:v>A-025</x:v>
      </x:c>
      <x:c r="B30" s="23" t="str">
        <x:v>Extended vehicle-km</x:v>
      </x:c>
      <x:c r="C30" s="23" t="str">
        <x:f>IF('Transport Acceptance'!D7=1200000,"PASS","FAIL")</x:f>
        <x:v>PASS</x:v>
      </x:c>
      <x:c r="D30" s="23" t="str">
        <x:v>1,200,000</x:v>
      </x:c>
    </x:row>
    <x:row r="31">
      <x:c r="A31" s="23" t="str">
        <x:v>A-026</x:v>
      </x:c>
      <x:c r="B31" s="23" t="str">
        <x:v>Total vehicle-km</x:v>
      </x:c>
      <x:c r="C31" s="23" t="str">
        <x:f>IF('Transport Acceptance'!D8=2800000,"PASS","FAIL")</x:f>
        <x:v>PASS</x:v>
      </x:c>
      <x:c r="D31" s="23" t="str">
        <x:v>2,800,000</x:v>
      </x:c>
    </x:row>
    <x:row r="32">
      <x:c r="A32" s="23" t="str">
        <x:v>A-027</x:v>
      </x:c>
      <x:c r="B32" s="23" t="str">
        <x:v>Packet trials</x:v>
      </x:c>
      <x:c r="C32" s="23" t="str">
        <x:f>IF('Packet Trials'!B8=112,"PASS","FAIL")</x:f>
        <x:v>PASS</x:v>
      </x:c>
      <x:c r="D32" s="23" t="str">
        <x:v>112</x:v>
      </x:c>
    </x:row>
    <x:row r="33">
      <x:c r="A33" s="23" t="str">
        <x:v>A-028</x:v>
      </x:c>
      <x:c r="B33" s="23" t="str">
        <x:v>Packet vehicle exposures</x:v>
      </x:c>
      <x:c r="C33" s="23" t="str">
        <x:f>IF('Packet Trials'!B10=2800,"PASS","FAIL")</x:f>
        <x:v>PASS</x:v>
      </x:c>
      <x:c r="D33" s="23" t="str">
        <x:v>2,800</x:v>
      </x:c>
    </x:row>
    <x:row r="34">
      <x:c r="A34" s="23" t="str">
        <x:v>A-029</x:v>
      </x:c>
      <x:c r="B34" s="23" t="str">
        <x:v>Packet mover reconciliation</x:v>
      </x:c>
      <x:c r="C34" s="23" t="str">
        <x:f>IF('Packet Trials'!B12=0,"PASS","FAIL")</x:f>
        <x:v>PASS</x:v>
      </x:c>
      <x:c r="D34" s="23" t="str">
        <x:v>0</x:v>
      </x:c>
    </x:row>
    <x:row r="35">
      <x:c r="A35" s="23" t="str">
        <x:v>A-030</x:v>
      </x:c>
      <x:c r="B35" s="23" t="str">
        <x:v>Operational group positions</x:v>
      </x:c>
      <x:c r="C35" s="23" t="str">
        <x:f>IF('Crew Pipeline'!B13=14220,"PASS","FAIL")</x:f>
        <x:v>PASS</x:v>
      </x:c>
      <x:c r="D35" s="23" t="str">
        <x:v>14,220</x:v>
      </x:c>
    </x:row>
    <x:row r="36">
      <x:c r="A36" s="23" t="str">
        <x:v>A-031</x:v>
      </x:c>
      <x:c r="B36" s="23" t="str">
        <x:v>Qualification reserve seats</x:v>
      </x:c>
      <x:c r="C36" s="23" t="str">
        <x:f>IF('Crew Pipeline'!D13=2133,"PASS","FAIL")</x:f>
        <x:v>PASS</x:v>
      </x:c>
      <x:c r="D36" s="23" t="str">
        <x:v>2,133</x:v>
      </x:c>
    </x:row>
    <x:row r="37">
      <x:c r="A37" s="23" t="str">
        <x:v>A-032</x:v>
      </x:c>
      <x:c r="B37" s="23" t="str">
        <x:v>Initial pipeline seats</x:v>
      </x:c>
      <x:c r="C37" s="23" t="str">
        <x:f>IF('Crew Pipeline'!E13=16353,"PASS","FAIL")</x:f>
        <x:v>PASS</x:v>
      </x:c>
      <x:c r="D37" s="23" t="str">
        <x:v>16,353</x:v>
      </x:c>
    </x:row>
    <x:row r="38">
      <x:c r="A38" s="23" t="str">
        <x:v>A-033</x:v>
      </x:c>
      <x:c r="B38" s="23" t="str">
        <x:v>Crew per set</x:v>
      </x:c>
      <x:c r="C38" s="23" t="str">
        <x:f>IF('Crew Qualifications'!B12=1440,"PASS","FAIL")</x:f>
        <x:v>PASS</x:v>
      </x:c>
      <x:c r="D38" s="23" t="str">
        <x:v>1,440</x:v>
      </x:c>
    </x:row>
    <x:row r="39">
      <x:c r="A39" s="23" t="str">
        <x:v>A-034</x:v>
      </x:c>
      <x:c r="B39" s="23" t="str">
        <x:v>Eight set crews</x:v>
      </x:c>
      <x:c r="C39" s="23" t="str">
        <x:f>IF('Crew Qualifications'!C12=11520,"PASS","FAIL")</x:f>
        <x:v>PASS</x:v>
      </x:c>
      <x:c r="D39" s="23" t="str">
        <x:v>11,520</x:v>
      </x:c>
    </x:row>
    <x:row r="40">
      <x:c r="A40" s="23" t="str">
        <x:v>A-035</x:v>
      </x:c>
      <x:c r="B40" s="23" t="str">
        <x:v>Primary Order 8</x:v>
      </x:c>
      <x:c r="C40" s="23" t="str">
        <x:f>IF('Mission Sequence'!C13=504,"PASS","FAIL")</x:f>
        <x:v>PASS</x:v>
      </x:c>
      <x:c r="D40" s="23" t="str">
        <x:v>504</x:v>
      </x:c>
    </x:row>
    <x:row r="41">
      <x:c r="A41" s="23" t="str">
        <x:v>A-036</x:v>
      </x:c>
      <x:c r="B41" s="23" t="str">
        <x:v>FG-01 first ready</x:v>
      </x:c>
      <x:c r="C41" s="23" t="str">
        <x:f>IF('Mission Sequence'!F6=450,"PASS","FAIL")</x:f>
        <x:v>PASS</x:v>
      </x:c>
      <x:c r="D41" s="23" t="str">
        <x:v>450</x:v>
      </x:c>
    </x:row>
    <x:row r="42">
      <x:c r="A42" s="23" t="str">
        <x:v>A-037</x:v>
      </x:c>
      <x:c r="B42" s="23" t="str">
        <x:v>FG-02 first ready</x:v>
      </x:c>
      <x:c r="C42" s="23" t="str">
        <x:f>IF('Mission Sequence'!F7=522,"PASS","FAIL")</x:f>
        <x:v>PASS</x:v>
      </x:c>
      <x:c r="D42" s="23" t="str">
        <x:v>522</x:v>
      </x:c>
    </x:row>
    <x:row r="43">
      <x:c r="A43" s="23" t="str">
        <x:v>A-038</x:v>
      </x:c>
      <x:c r="B43" s="23" t="str">
        <x:v>Reserve first effect</x:v>
      </x:c>
      <x:c r="C43" s="23" t="str">
        <x:f>IF('Reserve Exposure'!B7=453,"PASS","FAIL")</x:f>
        <x:v>PASS</x:v>
      </x:c>
      <x:c r="D43" s="23" t="str">
        <x:v>453</x:v>
      </x:c>
    </x:row>
    <x:row r="44">
      <x:c r="A44" s="23" t="str">
        <x:v>A-039</x:v>
      </x:c>
      <x:c r="B44" s="23" t="str">
        <x:v>Reserve service end</x:v>
      </x:c>
      <x:c r="C44" s="23" t="str">
        <x:f>IF('Reserve Exposure'!B8=525,"PASS","FAIL")</x:f>
        <x:v>PASS</x:v>
      </x:c>
      <x:c r="D44" s="23" t="str">
        <x:v>525</x:v>
      </x:c>
    </x:row>
    <x:row r="45">
      <x:c r="A45" s="23" t="str">
        <x:v>A-040</x:v>
      </x:c>
      <x:c r="B45" s="23" t="str">
        <x:v>Reserve ready</x:v>
      </x:c>
      <x:c r="C45" s="23" t="str">
        <x:f>IF('Reserve Exposure'!B10=885,"PASS","FAIL")</x:f>
        <x:v>PASS</x:v>
      </x:c>
      <x:c r="D45" s="23" t="str">
        <x:v>885</x:v>
      </x:c>
    </x:row>
    <x:row r="46">
      <x:c r="A46" s="23" t="str">
        <x:v>A-041</x:v>
      </x:c>
      <x:c r="B46" s="23" t="str">
        <x:v>First zero-ready interval</x:v>
      </x:c>
      <x:c r="C46" s="23" t="str">
        <x:f>IF('Reserve Exposure'!B12=15,"PASS","FAIL")</x:f>
        <x:v>PASS</x:v>
      </x:c>
      <x:c r="D46" s="23" t="str">
        <x:v>15</x:v>
      </x:c>
    </x:row>
    <x:row r="47">
      <x:c r="A47" s="23" t="str">
        <x:v>A-042</x:v>
      </x:c>
      <x:c r="B47" s="23" t="str">
        <x:v>Second zero-ready interval</x:v>
      </x:c>
      <x:c r="C47" s="23" t="str">
        <x:f>IF('Reserve Exposure'!B15=18,"PASS","FAIL")</x:f>
        <x:v>PASS</x:v>
      </x:c>
      <x:c r="D47" s="23" t="str">
        <x:v>18</x:v>
      </x:c>
    </x:row>
    <x:row r="48">
      <x:c r="A48" s="23" t="str">
        <x:v>A-043</x:v>
      </x:c>
      <x:c r="B48" s="23" t="str">
        <x:v>Two-line claim rejected</x:v>
      </x:c>
      <x:c r="C48" s="23" t="str">
        <x:f>IF('Reserve Exposure'!B16="NO","PASS","FAIL")</x:f>
        <x:v>PASS</x:v>
      </x:c>
      <x:c r="D48" s="23" t="str">
        <x:v>NO</x:v>
      </x:c>
    </x:row>
    <x:row r="49">
      <x:c r="A49" s="23" t="str">
        <x:v>A-044</x:v>
      </x:c>
      <x:c r="B49" s="23" t="str">
        <x:v>Average occupied bays</x:v>
      </x:c>
      <x:c r="C49" s="23" t="str">
        <x:f>IF(ABS('Arsenal Exercise'!B8-4.6666667)&lt;0.0001,"PASS","FAIL")</x:f>
        <x:v>PASS</x:v>
      </x:c>
      <x:c r="D49" s="23" t="str">
        <x:v>4.667</x:v>
      </x:c>
    </x:row>
    <x:row r="50">
      <x:c r="A50" s="23" t="str">
        <x:v>A-045</x:v>
      </x:c>
      <x:c r="B50" s="23" t="str">
        <x:v>Residual bays</x:v>
      </x:c>
      <x:c r="C50" s="23" t="str">
        <x:f>IF('Arsenal Exercise'!B11=6,"PASS","FAIL")</x:f>
        <x:v>PASS</x:v>
      </x:c>
      <x:c r="D50" s="23" t="str">
        <x:v>6</x:v>
      </x:c>
    </x:row>
    <x:row r="51">
      <x:c r="A51" s="23" t="str">
        <x:v>A-046</x:v>
      </x:c>
      <x:c r="B51" s="23" t="str">
        <x:v>Residual bay utilization</x:v>
      </x:c>
      <x:c r="C51" s="23" t="str">
        <x:f>IF(ABS('Arsenal Exercise'!B12-0.7777778)&lt;0.0001,"PASS","FAIL")</x:f>
        <x:v>PASS</x:v>
      </x:c>
      <x:c r="D51" s="23" t="str">
        <x:v>77.8%</x:v>
      </x:c>
    </x:row>
    <x:row r="52">
      <x:c r="A52" s="23" t="str">
        <x:v>A-047</x:v>
      </x:c>
      <x:c r="B52" s="23" t="str">
        <x:v>Trial count</x:v>
      </x:c>
      <x:c r="C52" s="23" t="str">
        <x:f>IF('Trial Register'!B15=194,"PASS","FAIL")</x:f>
        <x:v>PASS</x:v>
      </x:c>
      <x:c r="D52" s="23" t="str">
        <x:v>194</x:v>
      </x:c>
    </x:row>
    <x:row r="53">
      <x:c r="A53" s="23" t="str">
        <x:v>A-048</x:v>
      </x:c>
      <x:c r="B53" s="23" t="str">
        <x:v>Full mission hours</x:v>
      </x:c>
      <x:c r="C53" s="23" t="str">
        <x:f>IF('Trial Register'!D15=648,"PASS","FAIL")</x:f>
        <x:v>PASS</x:v>
      </x:c>
      <x:c r="D53" s="23" t="str">
        <x:v>648</x:v>
      </x:c>
    </x:row>
    <x:row r="54">
      <x:c r="A54" s="23" t="str">
        <x:v>A-049</x:v>
      </x:c>
      <x:c r="B54" s="23" t="str">
        <x:v>Capital total</x:v>
      </x:c>
      <x:c r="C54" s="23" t="str">
        <x:f>IF(ABS('Capital'!D18-162000)&lt;0.01,"PASS","FAIL")</x:f>
        <x:v>PASS</x:v>
      </x:c>
      <x:c r="D54" s="23" t="str">
        <x:v>USD 162,000M</x:v>
      </x:c>
    </x:row>
    <x:row r="55">
      <x:c r="A55" s="23" t="str">
        <x:v>A-050</x:v>
      </x:c>
      <x:c r="B55" s="23" t="str">
        <x:v>Annual support total</x:v>
      </x:c>
      <x:c r="C55" s="23" t="str">
        <x:f>IF(ABS('Annual Support'!B14-12000)&lt;0.01,"PASS","FAIL")</x:f>
        <x:v>PASS</x:v>
      </x:c>
      <x:c r="D55" s="23" t="str">
        <x:v>USD 12,000M</x:v>
      </x:c>
    </x:row>
    <x:row r="56">
      <x:c r="A56" s="23" t="str">
        <x:v>A-051</x:v>
      </x:c>
      <x:c r="B56" s="23" t="str">
        <x:v>Technology total</x:v>
      </x:c>
      <x:c r="C56" s="23" t="str">
        <x:f>IF(ABS('Technology'!B18-15000)&lt;0.01,"PASS","FAIL")</x:f>
        <x:v>PASS</x:v>
      </x:c>
      <x:c r="D56" s="23" t="str">
        <x:v>USD 15,000M</x:v>
      </x:c>
    </x:row>
    <x:row r="57">
      <x:c r="A57" s="23" t="str">
        <x:v>A-052</x:v>
      </x:c>
      <x:c r="B57" s="23" t="str">
        <x:v>Gross schedule</x:v>
      </x:c>
      <x:c r="C57" s="23" t="str">
        <x:f>IF('Schedule'!B17=440,"PASS","FAIL")</x:f>
        <x:v>PASS</x:v>
      </x:c>
      <x:c r="D57" s="23" t="str">
        <x:v>440</x:v>
      </x:c>
    </x:row>
    <x:row r="58">
      <x:c r="A58" s="23" t="str">
        <x:v>A-053</x:v>
      </x:c>
      <x:c r="B58" s="23" t="str">
        <x:v>Primary schedule</x:v>
      </x:c>
      <x:c r="C58" s="23" t="str">
        <x:f>IF('Schedule'!E17=240,"PASS","FAIL")</x:f>
        <x:v>PASS</x:v>
      </x:c>
      <x:c r="D58" s="23" t="str">
        <x:v>240</x:v>
      </x:c>
    </x:row>
    <x:row r="59">
      <x:c r="A59" s="23" t="str">
        <x:v>A-054</x:v>
      </x:c>
      <x:c r="B59" s="23" t="str">
        <x:v>Maximum schedule</x:v>
      </x:c>
      <x:c r="C59" s="23" t="str">
        <x:f>IF('Schedule'!F17=260,"PASS","FAIL")</x:f>
        <x:v>PASS</x:v>
      </x:c>
      <x:c r="D59" s="23" t="str">
        <x:v>260</x:v>
      </x:c>
    </x:row>
    <x:row r="60">
      <x:c r="A60" s="23" t="str">
        <x:v>A-055</x:v>
      </x:c>
      <x:c r="B60" s="23" t="str">
        <x:v>Cumulative primary</x:v>
      </x:c>
      <x:c r="C60" s="23" t="str">
        <x:f>IF('Parent Amendment'!D6=1810,"PASS","FAIL")</x:f>
        <x:v>PASS</x:v>
      </x:c>
      <x:c r="D60" s="23" t="str">
        <x:v>1,810</x:v>
      </x:c>
    </x:row>
    <x:row r="61">
      <x:c r="A61" s="23" t="str">
        <x:v>A-056</x:v>
      </x:c>
      <x:c r="B61" s="23" t="str">
        <x:v>Cumulative maximum</x:v>
      </x:c>
      <x:c r="C61" s="23" t="str">
        <x:f>IF('Parent Amendment'!D7=1914,"PASS","FAIL")</x:f>
        <x:v>PASS</x:v>
      </x:c>
      <x:c r="D61" s="23" t="str">
        <x:v>1,914</x:v>
      </x:c>
    </x:row>
    <x:row r="62">
      <x:c r="A62" s="23" t="str">
        <x:v>A-057</x:v>
      </x:c>
      <x:c r="B62" s="23" t="str">
        <x:v>Peak positions</x:v>
      </x:c>
      <x:c r="C62" s="23" t="str">
        <x:f>IF('Parent Amendment'!D8=35850,"PASS","FAIL")</x:f>
        <x:v>PASS</x:v>
      </x:c>
      <x:c r="D62" s="23" t="str">
        <x:v>35,850</x:v>
      </x:c>
    </x:row>
    <x:row r="63">
      <x:c r="A63" s="23" t="str">
        <x:v>A-058</x:v>
      </x:c>
      <x:c r="B63" s="23" t="str">
        <x:v>Cumulative capital</x:v>
      </x:c>
      <x:c r="C63" s="23" t="str">
        <x:f>IF('Parent Amendment'!D9=395680,"PASS","FAIL")</x:f>
        <x:v>PASS</x:v>
      </x:c>
      <x:c r="D63" s="23" t="str">
        <x:v>USD 395,680M</x:v>
      </x:c>
    </x:row>
    <x:row r="64">
      <x:c r="A64" s="23" t="str">
        <x:v>A-059</x:v>
      </x:c>
      <x:c r="B64" s="23" t="str">
        <x:v>Peak annual support</x:v>
      </x:c>
      <x:c r="C64" s="23" t="str">
        <x:f>IF('Parent Amendment'!D10=22970,"PASS","FAIL")</x:f>
        <x:v>PASS</x:v>
      </x:c>
      <x:c r="D64" s="23" t="str">
        <x:v>USD 22,970M</x:v>
      </x:c>
    </x:row>
    <x:row r="65">
      <x:c r="A65" s="23" t="str">
        <x:v>A-060</x:v>
      </x:c>
      <x:c r="B65" s="23" t="str">
        <x:v>Cumulative technology</x:v>
      </x:c>
      <x:c r="C65" s="23" t="str">
        <x:f>IF('Parent Amendment'!D11=58235,"PASS","FAIL")</x:f>
        <x:v>PASS</x:v>
      </x:c>
      <x:c r="D65" s="23" t="str">
        <x:v>USD 58,235M</x:v>
      </x:c>
    </x:row>
    <x:row r="66">
      <x:c r="A66" s="23" t="str">
        <x:v>A-061</x:v>
      </x:c>
      <x:c r="B66" s="23" t="str">
        <x:v>Primary calendar remaining</x:v>
      </x:c>
      <x:c r="C66" s="23" t="str">
        <x:f>IF('Parent Amendment'!F6=390,"PASS","FAIL")</x:f>
        <x:v>PASS</x:v>
      </x:c>
      <x:c r="D66" s="23" t="str">
        <x:v>390</x:v>
      </x:c>
    </x:row>
    <x:row r="67">
      <x:c r="A67" s="23" t="str">
        <x:v>A-062</x:v>
      </x:c>
      <x:c r="B67" s="23" t="str">
        <x:v>Maximum calendar remaining</x:v>
      </x:c>
      <x:c r="C67" s="23" t="str">
        <x:f>IF('Parent Amendment'!F7=286,"PASS","FAIL")</x:f>
        <x:v>PASS</x:v>
      </x:c>
      <x:c r="D67" s="23" t="str">
        <x:v>286</x:v>
      </x:c>
    </x:row>
    <x:row r="68">
      <x:c r="A68" s="23" t="str">
        <x:v>A-063</x:v>
      </x:c>
      <x:c r="B68" s="23" t="str">
        <x:v>Positions remaining</x:v>
      </x:c>
      <x:c r="C68" s="23" t="str">
        <x:f>IF('Parent Amendment'!F8=9150,"PASS","FAIL")</x:f>
        <x:v>PASS</x:v>
      </x:c>
      <x:c r="D68" s="23" t="str">
        <x:v>9,150</x:v>
      </x:c>
    </x:row>
    <x:row r="69">
      <x:c r="A69" s="23" t="str">
        <x:v>A-064</x:v>
      </x:c>
      <x:c r="B69" s="23" t="str">
        <x:v>Capital remaining</x:v>
      </x:c>
      <x:c r="C69" s="23" t="str">
        <x:f>IF('Parent Amendment'!F9=54320,"PASS","FAIL")</x:f>
        <x:v>PASS</x:v>
      </x:c>
      <x:c r="D69" s="23" t="str">
        <x:v>USD 54,320M</x:v>
      </x:c>
    </x:row>
    <x:row r="70">
      <x:c r="A70" s="23" t="str">
        <x:v>A-065</x:v>
      </x:c>
      <x:c r="B70" s="23" t="str">
        <x:v>Annual support remaining</x:v>
      </x:c>
      <x:c r="C70" s="23" t="str">
        <x:f>IF('Parent Amendment'!F10=4030,"PASS","FAIL")</x:f>
        <x:v>PASS</x:v>
      </x:c>
      <x:c r="D70" s="23" t="str">
        <x:v>USD 4,030M</x:v>
      </x:c>
    </x:row>
    <x:row r="71">
      <x:c r="A71" s="24" t="str">
        <x:v>A-066</x:v>
      </x:c>
      <x:c r="B71" s="24" t="str">
        <x:v>Technology remaining</x:v>
      </x:c>
      <x:c r="C71" s="24" t="str">
        <x:f>IF('Parent Amendment'!F11=21765,"PASS","FAIL")</x:f>
        <x:v>PASS</x:v>
      </x:c>
      <x:c r="D71" s="24" t="str">
        <x:v>USD 21,765M</x:v>
      </x:c>
    </x:row>
  </x:sheetData>
  <x:conditionalFormatting sqref="C6:C71">
    <x:cfRule type="containsText" dxfId="0" priority="1" operator="containsText" text="FAIL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4" hidden="0" customWidth="1"/>
    <x:col min="3" max="3" width="78" hidden="0" customWidth="1"/>
  </x:cols>
  <x:sheetData>
    <x:row r="2" ht="24" customHeight="1">
      <x:c r="A2" s="96" t="str">
        <x:v>Internal sources and provenance</x:v>
      </x:c>
      <x:c r="B2" s="96"/>
      <x:c r="C2" s="96"/>
    </x:row>
    <x:row r="3" ht="20" customHeight="1">
      <x:c r="A3" s="97" t="str">
        <x:v>Repository sources only. Values introduced in this pass are design hypotheses, not observations.</x:v>
      </x:c>
      <x:c r="B3" s="97"/>
      <x:c r="C3" s="97"/>
    </x:row>
    <x:row r="4">
      <x:c r="A4" s="98"/>
      <x:c r="B4" s="98"/>
      <x:c r="C4" s="98"/>
    </x:row>
    <x:row r="5" ht="30" customHeight="1">
      <x:c r="A5" s="15" t="str">
        <x:v>Source</x:v>
      </x:c>
      <x:c r="B5" s="16" t="str">
        <x:v>Repository path</x:v>
      </x:c>
      <x:c r="C5" s="17" t="str">
        <x:v>Use in model</x:v>
      </x:c>
    </x:row>
    <x:row r="6">
      <x:c r="A6" s="22" t="str">
        <x:v>RBS-1</x:v>
      </x:c>
      <x:c r="B6" s="22" t="str">
        <x:v>research/force/generation/f36-cisa40-sa6-root-a-denied-infrastructure-fire-control-mission-envelope-and-architecture-competition.md</x:v>
      </x:c>
      <x:c r="C6" s="22" t="str">
        <x:v>DFC-72 mission and candidate boundary</x:v>
      </x:c>
    </x:row>
    <x:row r="7">
      <x:c r="A7" s="23" t="str">
        <x:v>RBT-1</x:v>
      </x:c>
      <x:c r="B7" s="23" t="str">
        <x:v>research/force/generation/f36-cisa40-sa6-root-a-production-equivalent-fire-control-group-set-crew-industrial-and-regeneration-constitution.md</x:v>
      </x:c>
      <x:c r="C7" s="23" t="str">
        <x:v>Set bill, crew, rotation, module reserve, arsenals and prior use</x:v>
      </x:c>
    </x:row>
    <x:row r="8">
      <x:c r="A8" s="23" t="str">
        <x:v>RBR-1</x:v>
      </x:c>
      <x:c r="B8" s="23" t="str">
        <x:v>research/force/generation/f36-cisa40-sa6-root-a-am06-whole-ladder-closure-transfer-ceiling-and-candidate-entry-constitution.md</x:v>
      </x:c>
      <x:c r="C8" s="23" t="str">
        <x:v>Causal ladder and claim-transfer limits</x:v>
      </x:c>
    </x:row>
    <x:row r="9">
      <x:c r="A9" s="23" t="str">
        <x:v>AIMC-POS</x:v>
      </x:c>
      <x:c r="B9" s="23" t="str">
        <x:v>research/force/generation/aimc-common-program-office-operating-system-and-technical-data-constitution.md</x:v>
      </x:c>
      <x:c r="C9" s="23" t="str">
        <x:v>Authority separation and configuration control</x:v>
      </x:c>
    </x:row>
    <x:row r="10">
      <x:c r="A10" s="24" t="str">
        <x:v>RBU-1</x:v>
      </x:c>
      <x:c r="B10" s="24" t="str">
        <x:v>research/force/generation/f36-cisa40-sa6-root-a-first-fire-control-group-production-line-transport-and-operational-acceptance-constitution.md</x:v>
      </x:c>
      <x:c r="C10" s="24" t="str">
        <x:v>Current design hypotheses and decision law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</x:cols>
  <x:sheetData>
    <x:row r="2" ht="24" customHeight="1">
      <x:c r="A2" s="96" t="str">
        <x:v>RBU-1 model contract</x:v>
      </x:c>
      <x:c r="B2" s="96"/>
    </x:row>
    <x:row r="3" ht="20" customHeight="1">
      <x:c r="A3" s="97" t="str">
        <x:v>Use the assumptions to test the formation. Restore the registered case before relying on reported outputs.</x:v>
      </x:c>
      <x:c r="B3" s="97"/>
    </x:row>
    <x:row r="4">
      <x:c r="A4" s="98"/>
      <x:c r="B4" s="98"/>
    </x:row>
    <x:row r="5" ht="30" customHeight="1">
      <x:c r="A5" s="15" t="str">
        <x:v>Topic</x:v>
      </x:c>
      <x:c r="B5" s="17" t="str">
        <x:v>Guidance</x:v>
      </x:c>
    </x:row>
    <x:row r="6" ht="36" customHeight="1">
      <x:c r="A6" s="22" t="str">
        <x:v>Decision</x:v>
      </x:c>
      <x:c r="B6" s="88" t="str">
        <x:v>Can the first eight-set group be built across independent roots, transported, crewed, operated and regenerated while its protected reserve answers a second incident?</x:v>
      </x:c>
    </x:row>
    <x:row r="7" ht="36" customHeight="1">
      <x:c r="A7" s="23" t="str">
        <x:v>Primary output</x:v>
      </x:c>
      <x:c r="B7" s="89" t="str">
        <x:v>Summary links to the owning build schedules. It does not read Audit.</x:v>
      </x:c>
    </x:row>
    <x:row r="8" ht="36" customHeight="1">
      <x:c r="A8" s="23" t="str">
        <x:v>Inputs</x:v>
      </x:c>
      <x:c r="B8" s="89" t="str">
        <x:v>Blue cells on Assumptions and selected financial schedules are editable design hypotheses.</x:v>
      </x:c>
    </x:row>
    <x:row r="9" ht="36" customHeight="1">
      <x:c r="A9" s="23" t="str">
        <x:v>Formula colors</x:v>
      </x:c>
      <x:c r="B9" s="89" t="str">
        <x:v>Green formulas link across sheets. Black formulas calculate within a sheet. Summary results use black text.</x:v>
      </x:c>
    </x:row>
    <x:row r="10" ht="36" customHeight="1">
      <x:c r="A10" s="23" t="str">
        <x:v>Physical status</x:v>
      </x:c>
      <x:c r="B10" s="89" t="str">
        <x:v>Every release gate is OPEN. A reconciled formula is not physical acceptance.</x:v>
      </x:c>
    </x:row>
    <x:row r="11" ht="36" customHeight="1">
      <x:c r="A11" s="23" t="str">
        <x:v>Regeneration test</x:v>
      </x:c>
      <x:c r="B11" s="89" t="str">
        <x:v>Change Assumptions regeneration duration from 336 to 400 hours. Ready times and reserve gaps must increase. Restore 336.</x:v>
      </x:c>
    </x:row>
    <x:row r="12" ht="36" customHeight="1">
      <x:c r="A12" s="23" t="str">
        <x:v>Line test</x:v>
      </x:c>
      <x:c r="B12" s="89" t="str">
        <x:v>Change system completion interval from 16 to 20 weeks. Later system completions must move. Restore 16.</x:v>
      </x:c>
    </x:row>
    <x:row r="13" ht="36" customHeight="1">
      <x:c r="A13" s="23" t="str">
        <x:v>Route test</x:v>
      </x:c>
      <x:c r="B13" s="89" t="str">
        <x:v>Change universal mover route from 500 to 600 km. Total loaded vehicle-km must increase. Restore 500.</x:v>
      </x:c>
    </x:row>
    <x:row r="14" ht="36" customHeight="1">
      <x:c r="A14" s="23" t="str">
        <x:v>Transport accounting</x:v>
      </x:c>
      <x:c r="B14" s="89" t="str">
        <x:v>Twelve system bodies share the eight-set transport pool. The four specialist bodies do not receive permanently paired vehicle fleets.</x:v>
      </x:c>
    </x:row>
    <x:row r="15" ht="36" customHeight="1">
      <x:c r="A15" s="24" t="str">
        <x:v>Next decision</x:v>
      </x:c>
      <x:c r="B15" s="90" t="str">
        <x:v>RBV-1 must derive national quantity, basing, one-line and two-line readiness, industrial replenishment and mature economy.</x:v>
      </x:c>
    </x:row>
  </x:sheetData>
  <x:pageMargins left="0.7" right="0.7" top="0.75" bottom="0.75" header="0.3" footer="0.3"/>
</x:worksheet>
</file>