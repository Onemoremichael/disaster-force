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02f90ccbf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5eda3f8b1e41a7"/>
    <x:sheet xmlns:r="http://schemas.openxmlformats.org/officeDocument/2006/relationships" name="Controls" sheetId="2" r:id="R27c3905e394e4d44"/>
    <x:sheet xmlns:r="http://schemas.openxmlformats.org/officeDocument/2006/relationships" name="Article Bank" sheetId="3" r:id="R70846c38732042ef"/>
    <x:sheet xmlns:r="http://schemas.openxmlformats.org/officeDocument/2006/relationships" name="Event Matrix" sheetId="4" r:id="R63959d06c2f545a0"/>
    <x:sheet xmlns:r="http://schemas.openxmlformats.org/officeDocument/2006/relationships" name="Boundary ID" sheetId="5" r:id="R58ddf4b5e9084f0a"/>
    <x:sheet xmlns:r="http://schemas.openxmlformats.org/officeDocument/2006/relationships" name="Energy Ballast" sheetId="6" r:id="Rdc5b8a15985b42c6"/>
    <x:sheet xmlns:r="http://schemas.openxmlformats.org/officeDocument/2006/relationships" name="Collar Campaign" sheetId="7" r:id="Ra9a7194d2ee24463"/>
    <x:sheet xmlns:r="http://schemas.openxmlformats.org/officeDocument/2006/relationships" name="Bus Protection" sheetId="8" r:id="Rfec74f58283c407f"/>
    <x:sheet xmlns:r="http://schemas.openxmlformats.org/officeDocument/2006/relationships" name="Structural Thermal" sheetId="9" r:id="R3776a17277b1447f"/>
    <x:sheet xmlns:r="http://schemas.openxmlformats.org/officeDocument/2006/relationships" name="Defect Population" sheetId="10" r:id="R1c9ec4f5416d4877"/>
    <x:sheet xmlns:r="http://schemas.openxmlformats.org/officeDocument/2006/relationships" name="Blinding" sheetId="11" r:id="R7a08d45d0e1b4e3d"/>
    <x:sheet xmlns:r="http://schemas.openxmlformats.org/officeDocument/2006/relationships" name="Instruments" sheetId="12" r:id="R16f2f450ae9d4524"/>
    <x:sheet xmlns:r="http://schemas.openxmlformats.org/officeDocument/2006/relationships" name="Safe States" sheetId="13" r:id="Ra9156b9408e74de6"/>
    <x:sheet xmlns:r="http://schemas.openxmlformats.org/officeDocument/2006/relationships" name="Data Custody" sheetId="14" r:id="R8d3c5d8f86c74604"/>
    <x:sheet xmlns:r="http://schemas.openxmlformats.org/officeDocument/2006/relationships" name="Destructive Order" sheetId="15" r:id="Rec7636c3899443e0"/>
    <x:sheet xmlns:r="http://schemas.openxmlformats.org/officeDocument/2006/relationships" name="Schedule" sheetId="16" r:id="R04538ace172b4e72"/>
    <x:sheet xmlns:r="http://schemas.openxmlformats.org/officeDocument/2006/relationships" name="Workforce" sheetId="17" r:id="R141b4a21b18e4618"/>
    <x:sheet xmlns:r="http://schemas.openxmlformats.org/officeDocument/2006/relationships" name="Capital" sheetId="18" r:id="R4ee995e47ce44e0b"/>
    <x:sheet xmlns:r="http://schemas.openxmlformats.org/officeDocument/2006/relationships" name="Annual Support" sheetId="19" r:id="Re6f17672e7404a4f"/>
    <x:sheet xmlns:r="http://schemas.openxmlformats.org/officeDocument/2006/relationships" name="Release Gates" sheetId="20" r:id="R74a9a824de4648e3"/>
    <x:sheet xmlns:r="http://schemas.openxmlformats.org/officeDocument/2006/relationships" name="Audit" sheetId="21" r:id="R9ec9d1c4582d4c0d"/>
    <x:sheet xmlns:r="http://schemas.openxmlformats.org/officeDocument/2006/relationships" name="ReadMe" sheetId="22" r:id="Rfa01446ac1f142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0.00000"/>
    <x:numFmt numFmtId="202" formatCode="0.00%"/>
    <x:numFmt numFmtId="203" formatCode="0.00"/>
    <x:numFmt numFmtId="204" formatCode="0.0%"/>
    <x:numFmt numFmtId="205" formatCode="$0.000"/>
  </x:numFmts>
  <x:fonts count="8">
    <x:font>
      <x:sz val="11"/>
      <x:name val="Carlito"/>
    </x:font>
    <x:font>
      <x:b/>
      <x:sz val="15"/>
      <x:color rgb="FF17324D"/>
      <x:name val="Arial"/>
    </x:font>
    <x:font>
      <x:i/>
      <x:sz val="10"/>
      <x:color rgb="FF5D6B78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0070C0"/>
      <x:name val="Arial"/>
    </x:font>
    <x:font>
      <x:b/>
      <x:sz val="10"/>
      <x:color rgb="FF273444"/>
      <x:name val="Arial"/>
    </x:font>
    <x:font>
      <x:b/>
      <x:sz val="10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5"/>
      </x:patternFill>
    </x:fill>
  </x:fills>
  <x:borders count="3">
    <x:border/>
    <x:border>
      <x:bottom style="thin">
        <x:color rgb="FF17324D"/>
      </x:bottom>
    </x:border>
    <x:border>
      <x:bottom style="thin">
        <x:color rgb="FFC8D3DD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6" fillId="3" borderId="0" xfId="0" applyNumberFormat="1" applyFont="1" applyFill="1" applyBorder="1" applyAlignment="1">
      <x:alignment vertical="center"/>
    </x:xf>
    <x:xf numFmtId="205" fontId="3" fillId="2" borderId="0" xfId="0" applyNumberFormat="1" applyFont="1" applyFill="1" applyBorder="1" applyAlignment="1">
      <x:alignment horizontal="center" vertical="center"/>
    </x:xf>
    <x:xf numFmtId="205" fontId="4" fillId="0" borderId="2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4" fillId="0" borderId="1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364"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bdf0e386974fbb" /><Relationship Type="http://schemas.openxmlformats.org/officeDocument/2006/relationships/theme" Target="/xl/theme/theme1.xml" Id="R1f766a16cb5446fd" /><Relationship Type="http://schemas.openxmlformats.org/officeDocument/2006/relationships/sharedStrings" Target="/xl/sharedStrings.xml" Id="R3b37a6b9616c4496" /><Relationship Type="http://schemas.openxmlformats.org/officeDocument/2006/relationships/worksheet" Target="/xl/worksheets/sheet1.xml" Id="R8e5eda3f8b1e41a7" /><Relationship Type="http://schemas.openxmlformats.org/officeDocument/2006/relationships/worksheet" Target="/xl/worksheets/sheet2.xml" Id="R27c3905e394e4d44" /><Relationship Type="http://schemas.openxmlformats.org/officeDocument/2006/relationships/worksheet" Target="/xl/worksheets/sheet3.xml" Id="R70846c38732042ef" /><Relationship Type="http://schemas.openxmlformats.org/officeDocument/2006/relationships/worksheet" Target="/xl/worksheets/sheet4.xml" Id="R63959d06c2f545a0" /><Relationship Type="http://schemas.openxmlformats.org/officeDocument/2006/relationships/worksheet" Target="/xl/worksheets/sheet5.xml" Id="R58ddf4b5e9084f0a" /><Relationship Type="http://schemas.openxmlformats.org/officeDocument/2006/relationships/worksheet" Target="/xl/worksheets/sheet6.xml" Id="Rdc5b8a15985b42c6" /><Relationship Type="http://schemas.openxmlformats.org/officeDocument/2006/relationships/worksheet" Target="/xl/worksheets/sheet7.xml" Id="Ra9a7194d2ee24463" /><Relationship Type="http://schemas.openxmlformats.org/officeDocument/2006/relationships/worksheet" Target="/xl/worksheets/sheet8.xml" Id="Rfec74f58283c407f" /><Relationship Type="http://schemas.openxmlformats.org/officeDocument/2006/relationships/worksheet" Target="/xl/worksheets/sheet9.xml" Id="R3776a17277b1447f" /><Relationship Type="http://schemas.openxmlformats.org/officeDocument/2006/relationships/worksheet" Target="/xl/worksheets/sheet10.xml" Id="R1c9ec4f5416d4877" /><Relationship Type="http://schemas.openxmlformats.org/officeDocument/2006/relationships/worksheet" Target="/xl/worksheets/sheet11.xml" Id="R7a08d45d0e1b4e3d" /><Relationship Type="http://schemas.openxmlformats.org/officeDocument/2006/relationships/worksheet" Target="/xl/worksheets/sheet12.xml" Id="R16f2f450ae9d4524" /><Relationship Type="http://schemas.openxmlformats.org/officeDocument/2006/relationships/worksheet" Target="/xl/worksheets/sheet13.xml" Id="Ra9156b9408e74de6" /><Relationship Type="http://schemas.openxmlformats.org/officeDocument/2006/relationships/worksheet" Target="/xl/worksheets/sheet14.xml" Id="R8d3c5d8f86c74604" /><Relationship Type="http://schemas.openxmlformats.org/officeDocument/2006/relationships/worksheet" Target="/xl/worksheets/sheet15.xml" Id="Rec7636c3899443e0" /><Relationship Type="http://schemas.openxmlformats.org/officeDocument/2006/relationships/worksheet" Target="/xl/worksheets/sheet16.xml" Id="R04538ace172b4e72" /><Relationship Type="http://schemas.openxmlformats.org/officeDocument/2006/relationships/worksheet" Target="/xl/worksheets/sheet17.xml" Id="R141b4a21b18e4618" /><Relationship Type="http://schemas.openxmlformats.org/officeDocument/2006/relationships/worksheet" Target="/xl/worksheets/sheet18.xml" Id="R4ee995e47ce44e0b" /><Relationship Type="http://schemas.openxmlformats.org/officeDocument/2006/relationships/worksheet" Target="/xl/worksheets/sheet19.xml" Id="Re6f17672e7404a4f" /><Relationship Type="http://schemas.openxmlformats.org/officeDocument/2006/relationships/worksheet" Target="/xl/worksheets/sheet20.xml" Id="R74a9a824de4648e3" /><Relationship Type="http://schemas.openxmlformats.org/officeDocument/2006/relationships/worksheet" Target="/xl/worksheets/sheet21.xml" Id="R9ec9d1c4582d4c0d" /><Relationship Type="http://schemas.openxmlformats.org/officeDocument/2006/relationships/worksheet" Target="/xl/worksheets/sheet22.xml" Id="Rfa01446ac1f142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35" hidden="0" customWidth="1"/>
    <x:col min="3" max="3" width="16" hidden="0" customWidth="1"/>
    <x:col min="4" max="4" width="16" hidden="0" customWidth="1"/>
    <x:col min="5" max="5" width="32" hidden="0" customWidth="1"/>
    <x:col min="6" max="6" width="38" hidden="0" customWidth="1"/>
    <x:col min="7" max="7" width="4" hidden="0" customWidth="1"/>
    <x:col min="8" max="8" width="39" hidden="0" customWidth="1"/>
    <x:col min="9" max="9" width="18" hidden="0" customWidth="1"/>
    <x:col min="10" max="10" width="18" hidden="0" customWidth="1"/>
    <x:col min="11" max="11" width="16" hidden="0" customWidth="1"/>
    <x:col min="12" max="12" width="12" hidden="0" customWidth="1"/>
    <x:col min="13" max="13" width="15" hidden="0" customWidth="1"/>
    <x:col min="14" max="14" width="45" hidden="0" customWidth="1"/>
  </x:cols>
  <x:sheetData>
    <x:row r="2">
      <x:c r="B2" s="32" t="str">
        <x:v>SDEC-1 physical-campaign decision surface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>
      <x:c r="B3" s="33" t="str">
        <x:v>The campaign is executable as a design, but money, ranges, specimens and observations remain source-empty.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</x:row>
    <x:row r="6">
      <x:c r="B6" s="17" t="str">
        <x:v>Decision counters</x:v>
      </x:c>
      <x:c r="C6" s="17" t="str">
        <x:v>Decision counters</x:v>
      </x:c>
      <x:c r="D6" s="17" t="str">
        <x:v>Decision counters</x:v>
      </x:c>
      <x:c r="E6" s="17" t="str">
        <x:v>Decision counters</x:v>
      </x:c>
      <x:c r="F6" s="17" t="str">
        <x:v>Decision counters</x:v>
      </x:c>
      <x:c r="G6" s="17" t="str">
        <x:v>Decision counters</x:v>
      </x:c>
      <x:c r="H6" s="17" t="str">
        <x:v>Decision counters</x:v>
      </x:c>
      <x:c r="I6" s="17" t="str">
        <x:v>Decision counters</x:v>
      </x:c>
      <x:c r="J6" s="17" t="str">
        <x:v>Decision counters</x:v>
      </x:c>
      <x:c r="K6" s="17" t="str">
        <x:v>Decision counters</x:v>
      </x:c>
      <x:c r="L6" s="17" t="str">
        <x:v>Decision counters</x:v>
      </x:c>
      <x:c r="M6" s="17" t="str">
        <x:v>Decision counters</x:v>
      </x:c>
      <x:c r="N6" s="17" t="str">
        <x:v>Decision counters</x:v>
      </x:c>
    </x:row>
    <x:row r="7">
      <x:c r="B7" s="7" t="str">
        <x:v>Metric</x:v>
      </x:c>
      <x:c r="C7" s="7" t="str">
        <x:v>Calculated</x:v>
      </x:c>
      <x:c r="D7" s="7" t="str">
        <x:v>Required</x:v>
      </x:c>
      <x:c r="E7" s="7" t="str">
        <x:v>Status</x:v>
      </x:c>
      <x:c r="F7" s="7" t="str">
        <x:v>Meaning</x:v>
      </x:c>
      <x:c r="G7" s="9"/>
      <x:c r="H7" s="17" t="str">
        <x:v>Governing calculated consequences</x:v>
      </x:c>
      <x:c r="I7" s="17" t="str">
        <x:v>Governing calculated consequences</x:v>
      </x:c>
      <x:c r="J7" s="17" t="str">
        <x:v>Governing calculated consequences</x:v>
      </x:c>
      <x:c r="K7" s="17" t="str">
        <x:v>Governing calculated consequences</x:v>
      </x:c>
      <x:c r="L7" s="17" t="str">
        <x:v>Governing calculated consequences</x:v>
      </x:c>
      <x:c r="M7" s="17" t="str">
        <x:v>Governing calculated consequences</x:v>
      </x:c>
      <x:c r="N7" s="17" t="str">
        <x:v>Governing calculated consequences</x:v>
      </x:c>
    </x:row>
    <x:row r="8">
      <x:c r="B8" s="9" t="str">
        <x:v>design families</x:v>
      </x:c>
      <x:c r="C8" s="9" t="n">
        <x:f>2*COUNTA('Event Matrix'!B7:B12)</x:f>
        <x:v>12</x:v>
      </x:c>
      <x:c r="D8" s="9" t="n">
        <x:f>'Controls'!$D$7</x:f>
        <x:v>12</x:v>
      </x:c>
      <x:c r="E8" s="9" t="str">
        <x:f>IF(C8=D8,"PASS","FAIL")</x:f>
        <x:v>PASS</x:v>
      </x:c>
      <x:c r="F8" s="9" t="str">
        <x:v>six per root</x:v>
      </x:c>
      <x:c r="G8" s="9"/>
      <x:c r="H8" s="7" t="str">
        <x:v>Metric</x:v>
      </x:c>
      <x:c r="I8" s="7" t="str">
        <x:v>Calculated</x:v>
      </x:c>
      <x:c r="J8" s="7" t="str">
        <x:v>Threshold</x:v>
      </x:c>
      <x:c r="K8" s="7" t="str">
        <x:v>Unit</x:v>
      </x:c>
      <x:c r="L8" s="7" t="str">
        <x:v>Test</x:v>
      </x:c>
      <x:c r="M8" s="7" t="str">
        <x:v>Status</x:v>
      </x:c>
      <x:c r="N8" s="7" t="str">
        <x:v>Decision</x:v>
      </x:c>
    </x:row>
    <x:row r="9">
      <x:c r="B9" s="9" t="str">
        <x:v>serialized specimens</x:v>
      </x:c>
      <x:c r="C9" s="9" t="n">
        <x:f>COUNTA('Article Bank'!B7:B70)</x:f>
        <x:v>64</x:v>
      </x:c>
      <x:c r="D9" s="9" t="n">
        <x:f>'Controls'!$D$8</x:f>
        <x:v>64</x:v>
      </x:c>
      <x:c r="E9" s="9" t="str">
        <x:f>IF(C9=D9,"PASS","FAIL")</x:f>
        <x:v>PASS</x:v>
      </x:c>
      <x:c r="F9" s="9" t="str">
        <x:v>population replaces twelve-object shortcut</x:v>
      </x:c>
      <x:c r="G9" s="9"/>
      <x:c r="H9" s="9" t="str">
        <x:v>zero-miss lower detection bound</x:v>
      </x:c>
      <x:c r="I9" s="21" t="n">
        <x:f>POWER(0.05,1/'Controls'!$D$12)</x:f>
        <x:v>0.9018553723227043</x:v>
      </x:c>
      <x:c r="J9" s="21" t="n">
        <x:f>'Controls'!$D$44</x:f>
        <x:v>0.9</x:v>
      </x:c>
      <x:c r="K9" s="9" t="str">
        <x:v>fraction</x:v>
      </x:c>
      <x:c r="L9" s="9" t="str">
        <x:f>IF(I9&gt;=J9,"PASS","FAIL")</x:f>
        <x:v>PASS</x:v>
      </x:c>
      <x:c r="M9" s="9" t="str">
        <x:f>L9</x:f>
        <x:v>PASS</x:v>
      </x:c>
      <x:c r="N9" s="9" t="str">
        <x:v>twenty-nine unique positives</x:v>
      </x:c>
    </x:row>
    <x:row r="10">
      <x:c r="B10" s="9" t="str">
        <x:v>full-scale events</x:v>
      </x:c>
      <x:c r="C10" s="9" t="n">
        <x:f>SUM('Event Matrix'!I7:I12)</x:f>
        <x:v>40520</x:v>
      </x:c>
      <x:c r="D10" s="9" t="n">
        <x:f>'Controls'!$D$9</x:f>
        <x:v>40520</x:v>
      </x:c>
      <x:c r="E10" s="9" t="str">
        <x:f>IF(C10=D10,"PASS","FAIL")</x:f>
        <x:v>PASS</x:v>
      </x:c>
      <x:c r="F10" s="9" t="str">
        <x:v>screening exposures</x:v>
      </x:c>
      <x:c r="G10" s="9"/>
      <x:c r="H10" s="9" t="str">
        <x:v>negative-case false-reject upper bound</x:v>
      </x:c>
      <x:c r="I10" s="21" t="n">
        <x:f>1-POWER(0.05,1/(2*'Controls'!$D$12))</x:f>
        <x:v>0.05033933833042015</x:v>
      </x:c>
      <x:c r="J10" s="21" t="n">
        <x:f>'Controls'!$D$45</x:f>
        <x:v>0.051</x:v>
      </x:c>
      <x:c r="K10" s="9" t="str">
        <x:v>fraction</x:v>
      </x:c>
      <x:c r="L10" s="9" t="str">
        <x:f>IF(I10&lt;=J10,"PASS","FAIL")</x:f>
        <x:v>PASS</x:v>
      </x:c>
      <x:c r="M10" s="9" t="str">
        <x:f>L10</x:f>
        <x:v>PASS</x:v>
      </x:c>
      <x:c r="N10" s="9" t="str">
        <x:v>fifty-eight unique negatives</x:v>
      </x:c>
    </x:row>
    <x:row r="11">
      <x:c r="B11" s="9" t="str">
        <x:v>controlled-defect cells</x:v>
      </x:c>
      <x:c r="C11" s="9" t="n">
        <x:f>COUNTA('Defect Population'!B7:B30)</x:f>
        <x:v>24</x:v>
      </x:c>
      <x:c r="D11" s="9" t="n">
        <x:f>'Controls'!$D$10</x:f>
        <x:v>24</x:v>
      </x:c>
      <x:c r="E11" s="9" t="str">
        <x:f>IF(C11=D11,"PASS","FAIL")</x:f>
        <x:v>PASS</x:v>
      </x:c>
      <x:c r="F11" s="9" t="str">
        <x:v>no cross-cell pooling</x:v>
      </x:c>
      <x:c r="G11" s="9"/>
      <x:c r="H11" s="9" t="str">
        <x:v>custody test-uncertainty ratio</x:v>
      </x:c>
      <x:c r="I11" s="21" t="n">
        <x:f>'Controls'!$D$25/'Controls'!$D$43</x:f>
        <x:v>4</x:v>
      </x:c>
      <x:c r="J11" s="21" t="n">
        <x:f>'Controls'!$D$24</x:f>
        <x:v>4</x:v>
      </x:c>
      <x:c r="K11" s="9" t="str">
        <x:v>ratio</x:v>
      </x:c>
      <x:c r="L11" s="9" t="str">
        <x:f>IF(I11&gt;=J11,"PASS","FAIL")</x:f>
        <x:v>PASS</x:v>
      </x:c>
      <x:c r="M11" s="9" t="str">
        <x:f>L11</x:f>
        <x:v>PASS</x:v>
      </x:c>
      <x:c r="N11" s="9" t="str">
        <x:v>0.005 t threshold is measurable</x:v>
      </x:c>
    </x:row>
    <x:row r="12">
      <x:c r="B12" s="9" t="str">
        <x:v>primary presentations</x:v>
      </x:c>
      <x:c r="C12" s="9" t="n">
        <x:f>SUM('Defect Population'!I7:I30)</x:f>
        <x:v>2784</x:v>
      </x:c>
      <x:c r="D12" s="9" t="n">
        <x:f>'Controls'!$D$13</x:f>
        <x:v>2784</x:v>
      </x:c>
      <x:c r="E12" s="9" t="str">
        <x:f>IF(C12=D12,"PASS","FAIL")</x:f>
        <x:v>PASS</x:v>
      </x:c>
      <x:c r="F12" s="9" t="str">
        <x:v>unique truth objects</x:v>
      </x:c>
      <x:c r="G12" s="9"/>
      <x:c r="H12" s="9" t="str">
        <x:v>raw full-scale numerical data</x:v>
      </x:c>
      <x:c r="I12" s="21" t="n">
        <x:f>'Data Custody'!B19</x:f>
        <x:v>1.165824</x:v>
      </x:c>
      <x:c r="J12" s="21" t="n">
        <x:v>0</x:v>
      </x:c>
      <x:c r="K12" s="9" t="str">
        <x:v>TB</x:v>
      </x:c>
      <x:c r="L12" s="9" t="str">
        <x:f>IF(I12&gt;=J12,"PASS","FAIL")</x:f>
        <x:v>PASS</x:v>
      </x:c>
      <x:c r="M12" s="9" t="str">
        <x:f>L12</x:f>
        <x:v>PASS</x:v>
      </x:c>
      <x:c r="N12" s="9" t="str">
        <x:v>declared channel arithmetic</x:v>
      </x:c>
    </x:row>
    <x:row r="13">
      <x:c r="B13" s="9" t="str">
        <x:v>secondary acquisitions</x:v>
      </x:c>
      <x:c r="C13" s="9" t="n">
        <x:f>'Controls'!$D$14</x:f>
        <x:v>2784</x:v>
      </x:c>
      <x:c r="D13" s="9" t="n">
        <x:f>'Controls'!$D$14</x:f>
        <x:v>2784</x:v>
      </x:c>
      <x:c r="E13" s="9" t="str">
        <x:f>IF(C13=D13,"PASS","FAIL")</x:f>
        <x:v>PASS</x:v>
      </x:c>
      <x:c r="F13" s="9" t="str">
        <x:v>repeatability only</x:v>
      </x:c>
      <x:c r="G13" s="9"/>
      <x:c r="H13" s="9" t="str">
        <x:v>two-original custody allocation</x:v>
      </x:c>
      <x:c r="I13" s="21" t="n">
        <x:f>'Data Custody'!H19</x:f>
        <x:v>137.03103360000003</x:v>
      </x:c>
      <x:c r="J13" s="21" t="n">
        <x:v>130</x:v>
      </x:c>
      <x:c r="K13" s="9" t="str">
        <x:v>TB</x:v>
      </x:c>
      <x:c r="L13" s="9" t="str">
        <x:f>IF(I13&gt;=J13,"PASS","FAIL")</x:f>
        <x:v>PASS</x:v>
      </x:c>
      <x:c r="M13" s="9" t="str">
        <x:f>L13</x:f>
        <x:v>PASS</x:v>
      </x:c>
      <x:c r="N13" s="9" t="str">
        <x:v>raw, NDE, auxiliary, derived, overhead</x:v>
      </x:c>
    </x:row>
    <x:row r="14">
      <x:c r="B14" s="9" t="str">
        <x:v>destructive cuts</x:v>
      </x:c>
      <x:c r="C14" s="9" t="n">
        <x:f>COUNTA('Destructive Order'!B7:B66)</x:f>
        <x:v>60</x:v>
      </x:c>
      <x:c r="D14" s="9" t="n">
        <x:f>'Controls'!$D$15</x:f>
        <x:v>60</x:v>
      </x:c>
      <x:c r="E14" s="9" t="str">
        <x:f>IF(C14=D14,"PASS","FAIL")</x:f>
        <x:v>PASS</x:v>
      </x:c>
      <x:c r="F14" s="9" t="str">
        <x:v>five per root-family cell</x:v>
      </x:c>
      <x:c r="G14" s="9"/>
      <x:c r="H14" s="9" t="str">
        <x:v>capital shortfall</x:v>
      </x:c>
      <x:c r="I14" s="21" t="n">
        <x:f>Capital!F22</x:f>
        <x:v>0.4140000000000001</x:v>
      </x:c>
      <x:c r="J14" s="21" t="n">
        <x:v>0</x:v>
      </x:c>
      <x:c r="K14" s="9" t="str">
        <x:v>USD B</x:v>
      </x:c>
      <x:c r="L14" s="9" t="str">
        <x:f>IF(I14&gt;=J14,"PASS","FAIL")</x:f>
        <x:v>PASS</x:v>
      </x:c>
      <x:c r="M14" s="9" t="str">
        <x:f>L14</x:f>
        <x:v>PASS</x:v>
      </x:c>
      <x:c r="N14" s="9" t="str">
        <x:v>positive shortfall triggers N4</x:v>
      </x:c>
    </x:row>
    <x:row r="15">
      <x:c r="B15" s="9" t="str">
        <x:v>workforce</x:v>
      </x:c>
      <x:c r="C15" s="9" t="n">
        <x:f>Workforce!B21</x:f>
        <x:v>448</x:v>
      </x:c>
      <x:c r="D15" s="9" t="n">
        <x:f>'Controls'!$D$17</x:f>
        <x:v>448</x:v>
      </x:c>
      <x:c r="E15" s="9" t="str">
        <x:f>IF(C15=D15,"PASS","FAIL")</x:f>
        <x:v>PASS</x:v>
      </x:c>
      <x:c r="F15" s="9" t="str">
        <x:v>standing campaign formation</x:v>
      </x:c>
      <x:c r="G15" s="9"/>
      <x:c r="H15" s="9" t="str">
        <x:v>annual shortfall</x:v>
      </x:c>
      <x:c r="I15" s="21" t="n">
        <x:f>'Annual Support'!F19</x:f>
        <x:v>0.09500000000000003</x:v>
      </x:c>
      <x:c r="J15" s="21" t="n">
        <x:v>0</x:v>
      </x:c>
      <x:c r="K15" s="9" t="str">
        <x:v>USD B/year</x:v>
      </x:c>
      <x:c r="L15" s="9" t="str">
        <x:f>IF(I15&gt;=J15,"PASS","FAIL")</x:f>
        <x:v>PASS</x:v>
      </x:c>
      <x:c r="M15" s="9" t="str">
        <x:f>L15</x:f>
        <x:v>PASS</x:v>
      </x:c>
      <x:c r="N15" s="9" t="str">
        <x:v>positive shortfall triggers N4</x:v>
      </x:c>
    </x:row>
    <x:row r="16">
      <x:c r="B16" s="9" t="str">
        <x:v>duration</x:v>
      </x:c>
      <x:c r="C16" s="9" t="n">
        <x:f>MAX(Schedule!D7:D16)</x:f>
        <x:v>30</x:v>
      </x:c>
      <x:c r="D16" s="9" t="n">
        <x:f>'Controls'!$D$16</x:f>
        <x:v>30</x:v>
      </x:c>
      <x:c r="E16" s="9" t="str">
        <x:f>IF(C16=D16,"PASS","FAIL")</x:f>
        <x:v>PASS</x:v>
      </x:c>
      <x:c r="F16" s="9" t="str">
        <x:v>months</x:v>
      </x:c>
      <x:c r="G16" s="9"/>
      <x:c r="H16" s="9" t="str">
        <x:v>thirty-month campaign draw</x:v>
      </x:c>
      <x:c r="I16" s="21" t="n">
        <x:f>'Annual Support'!H19</x:f>
        <x:v>0.675</x:v>
      </x:c>
      <x:c r="J16" s="21" t="n">
        <x:v>0.675</x:v>
      </x:c>
      <x:c r="K16" s="9" t="str">
        <x:v>USD B</x:v>
      </x:c>
      <x:c r="L16" s="9" t="str">
        <x:f>IF(ABS(I16-J16)&lt;0.000001,"PASS","FAIL")</x:f>
        <x:v>PASS</x:v>
      </x:c>
      <x:c r="M16" s="9" t="str">
        <x:f>L16</x:f>
        <x:v>PASS</x:v>
      </x:c>
      <x:c r="N16" s="9" t="str">
        <x:v>capital plus support</x:v>
      </x:c>
    </x:row>
    <x:row r="17">
      <x:c r="B17" s="9" t="str">
        <x:v>planning gates passing</x:v>
      </x:c>
      <x:c r="C17" s="9" t="n">
        <x:f>COUNTIF('Release Gates'!H7:H70,"PASS")</x:f>
        <x:v>64</x:v>
      </x:c>
      <x:c r="D17" s="9" t="n">
        <x:f>'Controls'!$D$33</x:f>
        <x:v>64</x:v>
      </x:c>
      <x:c r="E17" s="9" t="str">
        <x:f>IF(C17=D17,"PASS","FAIL")</x:f>
        <x:v>PASS</x:v>
      </x:c>
      <x:c r="F17" s="9" t="str">
        <x:v>design only</x:v>
      </x:c>
      <x:c r="G17" s="9"/>
      <x:c r="H17" s="9" t="str">
        <x:v>financial authorization</x:v>
      </x:c>
      <x:c r="I17" s="21" t="n">
        <x:f>'Controls'!$D$46</x:f>
        <x:v>0</x:v>
      </x:c>
      <x:c r="J17" s="21" t="n">
        <x:v>0</x:v>
      </x:c>
      <x:c r="K17" s="9" t="str">
        <x:v>binary</x:v>
      </x:c>
      <x:c r="L17" s="9" t="str">
        <x:f>IF(ABS(I17-J17)&lt;0.000001,"PASS","FAIL")</x:f>
        <x:v>PASS</x:v>
      </x:c>
      <x:c r="M17" s="9" t="str">
        <x:f>L17</x:f>
        <x:v>PASS</x:v>
      </x:c>
      <x:c r="N17" s="9" t="str">
        <x:v>execution remains unauthorized</x:v>
      </x:c>
    </x:row>
    <x:row r="18">
      <x:c r="B18" s="9" t="str">
        <x:v>source gates open</x:v>
      </x:c>
      <x:c r="C18" s="9" t="n">
        <x:f>COUNTIF('Release Gates'!H71:H102,"OPEN")</x:f>
        <x:v>32</x:v>
      </x:c>
      <x:c r="D18" s="9" t="n">
        <x:f>'Controls'!$D$34</x:f>
        <x:v>32</x:v>
      </x:c>
      <x:c r="E18" s="9" t="str">
        <x:f>IF(C18=D18,"PASS","FAIL")</x:f>
        <x:v>PASS</x:v>
      </x:c>
      <x:c r="F18" s="9" t="str">
        <x:v>requires real sources</x:v>
      </x:c>
      <x:c r="G18" s="9"/>
      <x:c r="H18" s="9"/>
      <x:c r="I18" s="9"/>
      <x:c r="J18" s="9"/>
      <x:c r="K18" s="9"/>
      <x:c r="L18" s="9"/>
      <x:c r="M18" s="9"/>
      <x:c r="N18" s="9"/>
    </x:row>
    <x:row r="19">
      <x:c r="B19" s="9" t="str">
        <x:v>downstream blocked</x:v>
      </x:c>
      <x:c r="C19" s="9" t="n">
        <x:f>COUNTIF('Release Gates'!H103:H106,"BLOCKED")</x:f>
        <x:v>4</x:v>
      </x:c>
      <x:c r="D19" s="9" t="n">
        <x:f>'Controls'!$D$35</x:f>
        <x:v>4</x:v>
      </x:c>
      <x:c r="E19" s="9" t="str">
        <x:f>IF(C19=D19,"PASS","FAIL")</x:f>
        <x:v>PASS</x:v>
      </x:c>
      <x:c r="F19" s="9" t="str">
        <x:v>article, CRC, production, rendering</x:v>
      </x:c>
      <x:c r="G19" s="9"/>
      <x:c r="H19" s="9"/>
      <x:c r="I19" s="9"/>
      <x:c r="J19" s="9"/>
      <x:c r="K19" s="9"/>
      <x:c r="L19" s="9"/>
      <x:c r="M19" s="9"/>
      <x:c r="N19" s="9"/>
    </x:row>
    <x:row r="20"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</x:row>
    <x:row r="21"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</x:row>
    <x:row r="22"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</x:row>
    <x:row r="23">
      <x:c r="B23" s="17" t="str">
        <x:v>Authority boundary</x:v>
      </x:c>
      <x:c r="C23" s="17" t="str">
        <x:v>Authority boundary</x:v>
      </x:c>
      <x:c r="D23" s="17" t="str">
        <x:v>Authority boundary</x:v>
      </x:c>
      <x:c r="E23" s="17" t="str">
        <x:v>Authority boundary</x:v>
      </x:c>
      <x:c r="F23" s="17" t="str">
        <x:v>Authority boundary</x:v>
      </x:c>
      <x:c r="G23" s="17" t="str">
        <x:v>Authority boundary</x:v>
      </x:c>
      <x:c r="H23" s="17" t="str">
        <x:v>Authority boundary</x:v>
      </x:c>
      <x:c r="I23" s="17" t="str">
        <x:v>Authority boundary</x:v>
      </x:c>
      <x:c r="J23" s="17" t="str">
        <x:v>Authority boundary</x:v>
      </x:c>
      <x:c r="K23" s="17" t="str">
        <x:v>Authority boundary</x:v>
      </x:c>
      <x:c r="L23" s="17" t="str">
        <x:v>Authority boundary</x:v>
      </x:c>
      <x:c r="M23" s="17" t="str">
        <x:v>Authority boundary</x:v>
      </x:c>
      <x:c r="N23" s="17" t="str">
        <x:v>Authority boundary</x:v>
      </x:c>
    </x:row>
    <x:row r="24">
      <x:c r="B24" s="7" t="str">
        <x:v>Authority</x:v>
      </x:c>
      <x:c r="C24" s="7" t="str">
        <x:v>Count</x:v>
      </x:c>
      <x:c r="D24" s="7" t="str">
        <x:v>Status</x:v>
      </x:c>
      <x:c r="E24" s="7" t="str">
        <x:v>Immediate consequence</x:v>
      </x:c>
      <x:c r="F24" s="7" t="str">
        <x:v>Next decision</x:v>
      </x:c>
      <x:c r="G24" s="9"/>
      <x:c r="H24" s="9"/>
      <x:c r="I24" s="9"/>
      <x:c r="J24" s="9"/>
      <x:c r="K24" s="9"/>
      <x:c r="L24" s="9"/>
      <x:c r="M24" s="9"/>
      <x:c r="N24" s="9"/>
    </x:row>
    <x:row r="25">
      <x:c r="B25" s="9" t="str">
        <x:v>planning</x:v>
      </x:c>
      <x:c r="C25" s="9" t="n">
        <x:v>64</x:v>
      </x:c>
      <x:c r="D25" s="9" t="str">
        <x:f>IF(COUNTIF('Release Gates'!H7:H70,"PASS")=64,"AUTHORIZED","HOLD")</x:f>
        <x:v>AUTHORIZED</x:v>
      </x:c>
      <x:c r="E25" s="9" t="str">
        <x:v>campaign design may govern</x:v>
      </x:c>
      <x:c r="F25" s="9" t="str">
        <x:v>commission facilities</x:v>
      </x:c>
      <x:c r="G25" s="9"/>
      <x:c r="H25" s="9"/>
      <x:c r="I25" s="9"/>
      <x:c r="J25" s="9"/>
      <x:c r="K25" s="9"/>
      <x:c r="L25" s="9"/>
      <x:c r="M25" s="9"/>
      <x:c r="N25" s="9"/>
    </x:row>
    <x:row r="26">
      <x:c r="B26" s="9" t="str">
        <x:v>source-dependent</x:v>
      </x:c>
      <x:c r="C26" s="9" t="n">
        <x:v>32</x:v>
      </x:c>
      <x:c r="D26" s="9" t="str">
        <x:f>IF(COUNTIF('Release Gates'!H71:H102,"PASS")=32,"AUTHORIZED","OPEN")</x:f>
        <x:v>OPEN</x:v>
      </x:c>
      <x:c r="E26" s="9" t="str">
        <x:v>no physical claim</x:v>
      </x:c>
      <x:c r="F26" s="9" t="str">
        <x:v>produce source objects</x:v>
      </x:c>
      <x:c r="G26" s="9"/>
      <x:c r="H26" s="9"/>
      <x:c r="I26" s="9"/>
      <x:c r="J26" s="9"/>
      <x:c r="K26" s="9"/>
      <x:c r="L26" s="9"/>
      <x:c r="M26" s="9"/>
      <x:c r="N26" s="9"/>
    </x:row>
    <x:row r="27">
      <x:c r="B27" s="9" t="str">
        <x:v>downstream</x:v>
      </x:c>
      <x:c r="C27" s="9" t="n">
        <x:v>4</x:v>
      </x:c>
      <x:c r="D27" s="9" t="str">
        <x:f>IF(COUNTIF('Release Gates'!H103:H106,"PASS")=4,"AUTHORIZED","BLOCKED")</x:f>
        <x:v>BLOCKED</x:v>
      </x:c>
      <x:c r="E27" s="9" t="str">
        <x:v>no article or production authority</x:v>
      </x:c>
      <x:c r="F27" s="9" t="str">
        <x:v>later boards</x:v>
      </x:c>
      <x:c r="G27" s="9"/>
      <x:c r="H27" s="9"/>
      <x:c r="I27" s="9"/>
      <x:c r="J27" s="9"/>
      <x:c r="K27" s="9"/>
      <x:c r="L27" s="9"/>
      <x:c r="M27" s="9"/>
      <x:c r="N27" s="9"/>
    </x:row>
    <x:row r="28">
      <x:c r="B28" s="10" t="str">
        <x:v>exterior rendering</x:v>
      </x:c>
      <x:c r="C28" s="10" t="n">
        <x:v>0</x:v>
      </x:c>
      <x:c r="D28" s="10" t="str">
        <x:f>IF('Controls'!$D$57=1,"AUTHORIZED","BLOCKED")</x:f>
        <x:v>BLOCKED</x:v>
      </x:c>
      <x:c r="E28" s="10" t="str">
        <x:v>internal evidence diagrams only</x:v>
      </x:c>
      <x:c r="F28" s="10" t="str">
        <x:v>physics remains open</x:v>
      </x:c>
      <x:c r="G28" s="10"/>
      <x:c r="H28" s="10"/>
      <x:c r="I28" s="10"/>
      <x:c r="J28" s="10"/>
      <x:c r="K28" s="10"/>
      <x:c r="L28" s="10"/>
      <x:c r="M28" s="10"/>
      <x:c r="N28" s="10"/>
    </x:row>
  </x:sheetData>
  <x:mergeCells>
    <x:mergeCell ref="B2:N2"/>
    <x:mergeCell ref="B3:N3"/>
    <x:mergeCell ref="B6:N6"/>
    <x:mergeCell ref="H7:N7"/>
    <x:mergeCell ref="B23:N23"/>
  </x:mergeCells>
  <x:conditionalFormatting sqref="E8:E19">
    <x:cfRule type="containsText" dxfId="312" priority="1" operator="containsText" text="PASS"/>
    <x:cfRule type="containsText" dxfId="313" priority="2" operator="containsText" text="AUTHORIZED"/>
    <x:cfRule type="containsText" dxfId="314" priority="3" operator="containsText" text="DEFINED"/>
    <x:cfRule type="containsText" dxfId="315" priority="4" operator="containsText" text="READY"/>
    <x:cfRule type="containsText" dxfId="316" priority="5" operator="containsText" text="HOLD"/>
    <x:cfRule type="containsText" dxfId="317" priority="6" operator="containsText" text="OPEN"/>
    <x:cfRule type="containsText" dxfId="318" priority="7" operator="containsText" text="BLOCKED"/>
    <x:cfRule type="containsText" dxfId="319" priority="8" operator="containsText" text="PLANNING"/>
    <x:cfRule type="containsText" dxfId="320" priority="9" operator="containsText" text="QUARANTINE"/>
    <x:cfRule type="containsText" dxfId="321" priority="10" operator="containsText" text="FAIL"/>
    <x:cfRule type="containsText" dxfId="322" priority="11" operator="containsText" text="REJECT"/>
    <x:cfRule type="containsText" dxfId="323" priority="12" operator="containsText" text="INCOMPLETE"/>
    <x:cfRule type="containsText" dxfId="324" priority="13" operator="containsText" text="STOP"/>
  </x:conditionalFormatting>
  <x:conditionalFormatting sqref="M9:M17">
    <x:cfRule type="containsText" dxfId="325" priority="14" operator="containsText" text="PASS"/>
    <x:cfRule type="containsText" dxfId="326" priority="15" operator="containsText" text="AUTHORIZED"/>
    <x:cfRule type="containsText" dxfId="327" priority="16" operator="containsText" text="DEFINED"/>
    <x:cfRule type="containsText" dxfId="328" priority="17" operator="containsText" text="READY"/>
    <x:cfRule type="containsText" dxfId="329" priority="18" operator="containsText" text="HOLD"/>
    <x:cfRule type="containsText" dxfId="330" priority="19" operator="containsText" text="OPEN"/>
    <x:cfRule type="containsText" dxfId="331" priority="20" operator="containsText" text="BLOCKED"/>
    <x:cfRule type="containsText" dxfId="332" priority="21" operator="containsText" text="PLANNING"/>
    <x:cfRule type="containsText" dxfId="333" priority="22" operator="containsText" text="QUARANTINE"/>
    <x:cfRule type="containsText" dxfId="334" priority="23" operator="containsText" text="FAIL"/>
    <x:cfRule type="containsText" dxfId="335" priority="24" operator="containsText" text="REJECT"/>
    <x:cfRule type="containsText" dxfId="336" priority="25" operator="containsText" text="INCOMPLETE"/>
    <x:cfRule type="containsText" dxfId="337" priority="26" operator="containsText" text="STOP"/>
  </x:conditionalFormatting>
  <x:conditionalFormatting sqref="D25:D28">
    <x:cfRule type="containsText" dxfId="338" priority="27" operator="containsText" text="PASS"/>
    <x:cfRule type="containsText" dxfId="339" priority="28" operator="containsText" text="AUTHORIZED"/>
    <x:cfRule type="containsText" dxfId="340" priority="29" operator="containsText" text="DEFINED"/>
    <x:cfRule type="containsText" dxfId="341" priority="30" operator="containsText" text="READY"/>
    <x:cfRule type="containsText" dxfId="342" priority="31" operator="containsText" text="HOLD"/>
    <x:cfRule type="containsText" dxfId="343" priority="32" operator="containsText" text="OPEN"/>
    <x:cfRule type="containsText" dxfId="344" priority="33" operator="containsText" text="BLOCKED"/>
    <x:cfRule type="containsText" dxfId="345" priority="34" operator="containsText" text="PLANNING"/>
    <x:cfRule type="containsText" dxfId="346" priority="35" operator="containsText" text="QUARANTINE"/>
    <x:cfRule type="containsText" dxfId="347" priority="36" operator="containsText" text="FAIL"/>
    <x:cfRule type="containsText" dxfId="348" priority="37" operator="containsText" text="REJECT"/>
    <x:cfRule type="containsText" dxfId="349" priority="38" operator="containsText" text="INCOMPLETE"/>
    <x:cfRule type="containsText" dxfId="350" priority="39" operator="containsText" text="STOP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77C9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8" hidden="0" customWidth="1"/>
    <x:col min="4" max="4" width="18" hidden="0" customWidth="1"/>
    <x:col min="5" max="5" width="18" hidden="0" customWidth="1"/>
    <x:col min="6" max="6" width="16" hidden="0" customWidth="1"/>
    <x:col min="7" max="7" width="22" hidden="0" customWidth="1"/>
  </x:cols>
  <x:sheetData>
    <x:row r="2">
      <x:c r="B2" s="32" t="str">
        <x:v>SDEC-1 controls</x:v>
      </x:c>
      <x:c r="C2" s="9"/>
      <x:c r="D2" s="9"/>
      <x:c r="E2" s="9"/>
      <x:c r="F2" s="9"/>
      <x:c r="G2" s="9"/>
      <x:c r="H2" s="9"/>
    </x:row>
    <x:row r="3">
      <x:c r="B3" s="33" t="str">
        <x:v>Blue values are inherited boundaries or declared hypotheses. Source controls remain zero.</x:v>
      </x:c>
      <x:c r="C3" s="9"/>
      <x:c r="D3" s="9"/>
      <x:c r="E3" s="9"/>
      <x:c r="F3" s="9"/>
      <x:c r="G3" s="9"/>
      <x:c r="H3" s="9"/>
    </x:row>
    <x:row r="4">
      <x:c r="B4" s="34"/>
      <x:c r="C4" s="34"/>
      <x:c r="D4" s="34"/>
      <x:c r="E4" s="34"/>
      <x:c r="F4" s="34"/>
      <x:c r="G4" s="34"/>
      <x:c r="H4" s="34"/>
    </x:row>
    <x:row r="5">
      <x:c r="B5" s="9"/>
      <x:c r="C5" s="9"/>
      <x:c r="D5" s="9"/>
      <x:c r="E5" s="9"/>
      <x:c r="F5" s="9"/>
      <x:c r="G5" s="9"/>
      <x:c r="H5" s="9"/>
    </x:row>
    <x:row r="6">
      <x:c r="B6" s="7" t="str">
        <x:v>ID</x:v>
      </x:c>
      <x:c r="C6" s="7" t="str">
        <x:v>Control</x:v>
      </x:c>
      <x:c r="D6" s="7" t="str">
        <x:v>Value</x:v>
      </x:c>
      <x:c r="E6" s="7" t="str">
        <x:v>Unit</x:v>
      </x:c>
      <x:c r="F6" s="7" t="str">
        <x:v>State</x:v>
      </x:c>
      <x:c r="G6" s="7" t="str">
        <x:v>Authority</x:v>
      </x:c>
      <x:c r="H6" s="9"/>
    </x:row>
    <x:row r="7">
      <x:c r="B7" s="9" t="str">
        <x:v>C01</x:v>
      </x:c>
      <x:c r="C7" s="9" t="str">
        <x:v>Subarticle design families</x:v>
      </x:c>
      <x:c r="D7" s="13" t="n">
        <x:v>12</x:v>
      </x:c>
      <x:c r="E7" s="9" t="str">
        <x:v>designs</x:v>
      </x:c>
      <x:c r="F7" s="9" t="str">
        <x:v>DESIGN</x:v>
      </x:c>
      <x:c r="G7" s="9" t="str">
        <x:v>Pass 114 planning</x:v>
      </x:c>
      <x:c r="H7" s="9"/>
    </x:row>
    <x:row r="8">
      <x:c r="B8" s="9" t="str">
        <x:v>C02</x:v>
      </x:c>
      <x:c r="C8" s="9" t="str">
        <x:v>Serialized full-scale specimens</x:v>
      </x:c>
      <x:c r="D8" s="13" t="n">
        <x:v>64</x:v>
      </x:c>
      <x:c r="E8" s="9" t="str">
        <x:v>specimens</x:v>
      </x:c>
      <x:c r="F8" s="9" t="str">
        <x:v>DESIGN</x:v>
      </x:c>
      <x:c r="G8" s="9" t="str">
        <x:v>Pass 114 planning</x:v>
      </x:c>
      <x:c r="H8" s="9"/>
    </x:row>
    <x:row r="9">
      <x:c r="B9" s="9" t="str">
        <x:v>C03</x:v>
      </x:c>
      <x:c r="C9" s="9" t="str">
        <x:v>Full-scale campaign events</x:v>
      </x:c>
      <x:c r="D9" s="13" t="n">
        <x:v>40520</x:v>
      </x:c>
      <x:c r="E9" s="9" t="str">
        <x:v>events</x:v>
      </x:c>
      <x:c r="F9" s="9" t="str">
        <x:v>DESIGN</x:v>
      </x:c>
      <x:c r="G9" s="9" t="str">
        <x:v>Pass 114 planning</x:v>
      </x:c>
      <x:c r="H9" s="9"/>
    </x:row>
    <x:row r="10">
      <x:c r="B10" s="9" t="str">
        <x:v>C04</x:v>
      </x:c>
      <x:c r="C10" s="9" t="str">
        <x:v>Controlled-defect admission cells</x:v>
      </x:c>
      <x:c r="D10" s="13" t="n">
        <x:v>24</x:v>
      </x:c>
      <x:c r="E10" s="9" t="str">
        <x:v>cells</x:v>
      </x:c>
      <x:c r="F10" s="9" t="str">
        <x:v>DESIGN</x:v>
      </x:c>
      <x:c r="G10" s="9" t="str">
        <x:v>Pass 114 planning</x:v>
      </x:c>
      <x:c r="H10" s="9"/>
    </x:row>
    <x:row r="11">
      <x:c r="B11" s="9" t="str">
        <x:v>C05</x:v>
      </x:c>
      <x:c r="C11" s="9" t="str">
        <x:v>Truth strata per cell</x:v>
      </x:c>
      <x:c r="D11" s="13" t="n">
        <x:v>4</x:v>
      </x:c>
      <x:c r="E11" s="9" t="str">
        <x:v>strata</x:v>
      </x:c>
      <x:c r="F11" s="9" t="str">
        <x:v>DESIGN</x:v>
      </x:c>
      <x:c r="G11" s="9" t="str">
        <x:v>Pass 114 planning</x:v>
      </x:c>
      <x:c r="H11" s="9"/>
    </x:row>
    <x:row r="12">
      <x:c r="B12" s="9" t="str">
        <x:v>C06</x:v>
      </x:c>
      <x:c r="C12" s="9" t="str">
        <x:v>Independent presentations per stratum</x:v>
      </x:c>
      <x:c r="D12" s="13" t="n">
        <x:v>29</x:v>
      </x:c>
      <x:c r="E12" s="9" t="str">
        <x:v>presentations</x:v>
      </x:c>
      <x:c r="F12" s="9" t="str">
        <x:v>DESIGN</x:v>
      </x:c>
      <x:c r="G12" s="9" t="str">
        <x:v>Pass 114 planning</x:v>
      </x:c>
      <x:c r="H12" s="9"/>
    </x:row>
    <x:row r="13">
      <x:c r="B13" s="9" t="str">
        <x:v>C07</x:v>
      </x:c>
      <x:c r="C13" s="9" t="str">
        <x:v>Unique primary presentations</x:v>
      </x:c>
      <x:c r="D13" s="13" t="n">
        <x:v>2784</x:v>
      </x:c>
      <x:c r="E13" s="9" t="str">
        <x:v>presentations</x:v>
      </x:c>
      <x:c r="F13" s="9" t="str">
        <x:v>DESIGN</x:v>
      </x:c>
      <x:c r="G13" s="9" t="str">
        <x:v>Pass 114 planning</x:v>
      </x:c>
      <x:c r="H13" s="9"/>
    </x:row>
    <x:row r="14">
      <x:c r="B14" s="9" t="str">
        <x:v>C08</x:v>
      </x:c>
      <x:c r="C14" s="9" t="str">
        <x:v>Secondary acquisitions</x:v>
      </x:c>
      <x:c r="D14" s="13" t="n">
        <x:v>2784</x:v>
      </x:c>
      <x:c r="E14" s="9" t="str">
        <x:v>acquisitions</x:v>
      </x:c>
      <x:c r="F14" s="9" t="str">
        <x:v>DESIGN</x:v>
      </x:c>
      <x:c r="G14" s="9" t="str">
        <x:v>Pass 114 planning</x:v>
      </x:c>
      <x:c r="H14" s="9"/>
    </x:row>
    <x:row r="15">
      <x:c r="B15" s="9" t="str">
        <x:v>C09</x:v>
      </x:c>
      <x:c r="C15" s="9" t="str">
        <x:v>Destructive cut locations</x:v>
      </x:c>
      <x:c r="D15" s="13" t="n">
        <x:v>60</x:v>
      </x:c>
      <x:c r="E15" s="9" t="str">
        <x:v>cuts</x:v>
      </x:c>
      <x:c r="F15" s="9" t="str">
        <x:v>DESIGN</x:v>
      </x:c>
      <x:c r="G15" s="9" t="str">
        <x:v>Pass 114 planning</x:v>
      </x:c>
      <x:c r="H15" s="9"/>
    </x:row>
    <x:row r="16">
      <x:c r="B16" s="9" t="str">
        <x:v>C10</x:v>
      </x:c>
      <x:c r="C16" s="9" t="str">
        <x:v>Campaign duration</x:v>
      </x:c>
      <x:c r="D16" s="13" t="n">
        <x:v>30</x:v>
      </x:c>
      <x:c r="E16" s="9" t="str">
        <x:v>months</x:v>
      </x:c>
      <x:c r="F16" s="9" t="str">
        <x:v>DESIGN</x:v>
      </x:c>
      <x:c r="G16" s="9" t="str">
        <x:v>Pass 114 planning</x:v>
      </x:c>
      <x:c r="H16" s="9"/>
    </x:row>
    <x:row r="17">
      <x:c r="B17" s="9" t="str">
        <x:v>C11</x:v>
      </x:c>
      <x:c r="C17" s="9" t="str">
        <x:v>Campaign workforce</x:v>
      </x:c>
      <x:c r="D17" s="13" t="n">
        <x:v>448</x:v>
      </x:c>
      <x:c r="E17" s="9" t="str">
        <x:v>people</x:v>
      </x:c>
      <x:c r="F17" s="9" t="str">
        <x:v>DESIGN</x:v>
      </x:c>
      <x:c r="G17" s="9" t="str">
        <x:v>Pass 114 planning</x:v>
      </x:c>
      <x:c r="H17" s="9"/>
    </x:row>
    <x:row r="18">
      <x:c r="B18" s="9" t="str">
        <x:v>C12</x:v>
      </x:c>
      <x:c r="C18" s="9" t="str">
        <x:v>Incremental campaign capital</x:v>
      </x:c>
      <x:c r="D18" s="13" t="n">
        <x:v>0.43</x:v>
      </x:c>
      <x:c r="E18" s="9" t="str">
        <x:v>USD B</x:v>
      </x:c>
      <x:c r="F18" s="9" t="str">
        <x:v>DESIGN</x:v>
      </x:c>
      <x:c r="G18" s="9" t="str">
        <x:v>Pass 114 planning</x:v>
      </x:c>
      <x:c r="H18" s="9"/>
    </x:row>
    <x:row r="19">
      <x:c r="B19" s="9" t="str">
        <x:v>C13</x:v>
      </x:c>
      <x:c r="C19" s="9" t="str">
        <x:v>Incremental annual support</x:v>
      </x:c>
      <x:c r="D19" s="13" t="n">
        <x:v>0.098</x:v>
      </x:c>
      <x:c r="E19" s="9" t="str">
        <x:v>USD B/year</x:v>
      </x:c>
      <x:c r="F19" s="9" t="str">
        <x:v>DESIGN</x:v>
      </x:c>
      <x:c r="G19" s="9" t="str">
        <x:v>Pass 114 planning</x:v>
      </x:c>
      <x:c r="H19" s="9"/>
    </x:row>
    <x:row r="20">
      <x:c r="B20" s="9" t="str">
        <x:v>C14</x:v>
      </x:c>
      <x:c r="C20" s="9" t="str">
        <x:v>Prior BRD-1 capital</x:v>
      </x:c>
      <x:c r="D20" s="13" t="n">
        <x:v>0.318</x:v>
      </x:c>
      <x:c r="E20" s="9" t="str">
        <x:v>USD B</x:v>
      </x:c>
      <x:c r="F20" s="9" t="str">
        <x:v>FROZEN</x:v>
      </x:c>
      <x:c r="G20" s="9" t="str">
        <x:v>Pass 114 planning</x:v>
      </x:c>
      <x:c r="H20" s="9"/>
    </x:row>
    <x:row r="21">
      <x:c r="B21" s="9" t="str">
        <x:v>C15</x:v>
      </x:c>
      <x:c r="C21" s="9" t="str">
        <x:v>Prior BRD-1 annual support</x:v>
      </x:c>
      <x:c r="D21" s="13" t="n">
        <x:v>0.084</x:v>
      </x:c>
      <x:c r="E21" s="9" t="str">
        <x:v>USD B/year</x:v>
      </x:c>
      <x:c r="F21" s="9" t="str">
        <x:v>FROZEN</x:v>
      </x:c>
      <x:c r="G21" s="9" t="str">
        <x:v>Pass 114 planning</x:v>
      </x:c>
      <x:c r="H21" s="9"/>
    </x:row>
    <x:row r="22">
      <x:c r="B22" s="9" t="str">
        <x:v>C16</x:v>
      </x:c>
      <x:c r="C22" s="9" t="str">
        <x:v>Inherited capital remainder</x:v>
      </x:c>
      <x:c r="D22" s="13" t="n">
        <x:v>0.016</x:v>
      </x:c>
      <x:c r="E22" s="9" t="str">
        <x:v>USD B</x:v>
      </x:c>
      <x:c r="F22" s="9" t="str">
        <x:v>FROZEN</x:v>
      </x:c>
      <x:c r="G22" s="9" t="str">
        <x:v>Pass 114 planning</x:v>
      </x:c>
      <x:c r="H22" s="9"/>
    </x:row>
    <x:row r="23">
      <x:c r="B23" s="9" t="str">
        <x:v>C17</x:v>
      </x:c>
      <x:c r="C23" s="9" t="str">
        <x:v>Inherited annual remainder</x:v>
      </x:c>
      <x:c r="D23" s="13" t="n">
        <x:v>0.003</x:v>
      </x:c>
      <x:c r="E23" s="9" t="str">
        <x:v>USD B/year</x:v>
      </x:c>
      <x:c r="F23" s="9" t="str">
        <x:v>FROZEN</x:v>
      </x:c>
      <x:c r="G23" s="9" t="str">
        <x:v>Pass 114 planning</x:v>
      </x:c>
      <x:c r="H23" s="9"/>
    </x:row>
    <x:row r="24">
      <x:c r="B24" s="9" t="str">
        <x:v>C18</x:v>
      </x:c>
      <x:c r="C24" s="9" t="str">
        <x:v>Required test-uncertainty ratio</x:v>
      </x:c>
      <x:c r="D24" s="13" t="n">
        <x:v>4</x:v>
      </x:c>
      <x:c r="E24" s="9" t="str">
        <x:v>ratio</x:v>
      </x:c>
      <x:c r="F24" s="9" t="str">
        <x:v>DESIGN</x:v>
      </x:c>
      <x:c r="G24" s="9" t="str">
        <x:v>Pass 114 planning</x:v>
      </x:c>
      <x:c r="H24" s="9"/>
    </x:row>
    <x:row r="25">
      <x:c r="B25" s="9" t="str">
        <x:v>C19</x:v>
      </x:c>
      <x:c r="C25" s="9" t="str">
        <x:v>Custody discrepancy threshold</x:v>
      </x:c>
      <x:c r="D25" s="13" t="n">
        <x:v>0.005</x:v>
      </x:c>
      <x:c r="E25" s="9" t="str">
        <x:v>t</x:v>
      </x:c>
      <x:c r="F25" s="9" t="str">
        <x:v>DESIGN</x:v>
      </x:c>
      <x:c r="G25" s="9" t="str">
        <x:v>Pass 114 planning</x:v>
      </x:c>
      <x:c r="H25" s="9"/>
    </x:row>
    <x:row r="26">
      <x:c r="B26" s="9" t="str">
        <x:v>C20</x:v>
      </x:c>
      <x:c r="C26" s="9" t="str">
        <x:v>Cassette mass band</x:v>
      </x:c>
      <x:c r="D26" s="13" t="n">
        <x:v>0.01</x:v>
      </x:c>
      <x:c r="E26" s="9" t="str">
        <x:v>t</x:v>
      </x:c>
      <x:c r="F26" s="9" t="str">
        <x:v>DESIGN</x:v>
      </x:c>
      <x:c r="G26" s="9" t="str">
        <x:v>Pass 114 planning</x:v>
      </x:c>
      <x:c r="H26" s="9"/>
    </x:row>
    <x:row r="27">
      <x:c r="B27" s="9" t="str">
        <x:v>C21</x:v>
      </x:c>
      <x:c r="C27" s="9" t="str">
        <x:v>Cross-cassette imbalance band</x:v>
      </x:c>
      <x:c r="D27" s="13" t="n">
        <x:v>0.02</x:v>
      </x:c>
      <x:c r="E27" s="9" t="str">
        <x:v>t</x:v>
      </x:c>
      <x:c r="F27" s="9" t="str">
        <x:v>DESIGN</x:v>
      </x:c>
      <x:c r="G27" s="9" t="str">
        <x:v>Pass 114 planning</x:v>
      </x:c>
      <x:c r="H27" s="9"/>
    </x:row>
    <x:row r="28">
      <x:c r="B28" s="9" t="str">
        <x:v>C22</x:v>
      </x:c>
      <x:c r="C28" s="9" t="str">
        <x:v>Energy-ballast cycles per serial</x:v>
      </x:c>
      <x:c r="D28" s="13" t="n">
        <x:v>100</x:v>
      </x:c>
      <x:c r="E28" s="9" t="str">
        <x:v>cycles</x:v>
      </x:c>
      <x:c r="F28" s="9" t="str">
        <x:v>DESIGN</x:v>
      </x:c>
      <x:c r="G28" s="9" t="str">
        <x:v>Pass 114 planning</x:v>
      </x:c>
      <x:c r="H28" s="9"/>
    </x:row>
    <x:row r="29">
      <x:c r="B29" s="9" t="str">
        <x:v>C23</x:v>
      </x:c>
      <x:c r="C29" s="9" t="str">
        <x:v>Collar cycles per serial</x:v>
      </x:c>
      <x:c r="D29" s="13" t="n">
        <x:v>2000</x:v>
      </x:c>
      <x:c r="E29" s="9" t="str">
        <x:v>cycles</x:v>
      </x:c>
      <x:c r="F29" s="9" t="str">
        <x:v>DESIGN</x:v>
      </x:c>
      <x:c r="G29" s="9" t="str">
        <x:v>Pass 114 planning</x:v>
      </x:c>
      <x:c r="H29" s="9"/>
    </x:row>
    <x:row r="30">
      <x:c r="B30" s="9" t="str">
        <x:v>C24</x:v>
      </x:c>
      <x:c r="C30" s="9" t="str">
        <x:v>Bus fault shots per serial</x:v>
      </x:c>
      <x:c r="D30" s="13" t="n">
        <x:v>10</x:v>
      </x:c>
      <x:c r="E30" s="9" t="str">
        <x:v>shots</x:v>
      </x:c>
      <x:c r="F30" s="9" t="str">
        <x:v>DESIGN</x:v>
      </x:c>
      <x:c r="G30" s="9" t="str">
        <x:v>Pass 114 planning</x:v>
      </x:c>
      <x:c r="H30" s="9"/>
    </x:row>
    <x:row r="31">
      <x:c r="B31" s="9" t="str">
        <x:v>C25</x:v>
      </x:c>
      <x:c r="C31" s="9" t="str">
        <x:v>Thermal cycles per serial</x:v>
      </x:c>
      <x:c r="D31" s="13" t="n">
        <x:v>500</x:v>
      </x:c>
      <x:c r="E31" s="9" t="str">
        <x:v>cycles</x:v>
      </x:c>
      <x:c r="F31" s="9" t="str">
        <x:v>DESIGN</x:v>
      </x:c>
      <x:c r="G31" s="9" t="str">
        <x:v>Pass 114 planning</x:v>
      </x:c>
      <x:c r="H31" s="9"/>
    </x:row>
    <x:row r="32">
      <x:c r="B32" s="9" t="str">
        <x:v>C26</x:v>
      </x:c>
      <x:c r="C32" s="9" t="str">
        <x:v>Structural load blocks per serial</x:v>
      </x:c>
      <x:c r="D32" s="13" t="n">
        <x:v>200</x:v>
      </x:c>
      <x:c r="E32" s="9" t="str">
        <x:v>blocks</x:v>
      </x:c>
      <x:c r="F32" s="9" t="str">
        <x:v>DESIGN</x:v>
      </x:c>
      <x:c r="G32" s="9" t="str">
        <x:v>Pass 114 planning</x:v>
      </x:c>
      <x:c r="H32" s="9"/>
    </x:row>
    <x:row r="33">
      <x:c r="B33" s="9" t="str">
        <x:v>C27</x:v>
      </x:c>
      <x:c r="C33" s="9" t="str">
        <x:v>Planning gates</x:v>
      </x:c>
      <x:c r="D33" s="13" t="n">
        <x:v>64</x:v>
      </x:c>
      <x:c r="E33" s="9" t="str">
        <x:v>gates</x:v>
      </x:c>
      <x:c r="F33" s="9" t="str">
        <x:v>DESIGN</x:v>
      </x:c>
      <x:c r="G33" s="9" t="str">
        <x:v>Pass 114 planning</x:v>
      </x:c>
      <x:c r="H33" s="9"/>
    </x:row>
    <x:row r="34">
      <x:c r="B34" s="9" t="str">
        <x:v>C28</x:v>
      </x:c>
      <x:c r="C34" s="9" t="str">
        <x:v>Source-dependent gates</x:v>
      </x:c>
      <x:c r="D34" s="13" t="n">
        <x:v>32</x:v>
      </x:c>
      <x:c r="E34" s="9" t="str">
        <x:v>gates</x:v>
      </x:c>
      <x:c r="F34" s="9" t="str">
        <x:v>DESIGN</x:v>
      </x:c>
      <x:c r="G34" s="9" t="str">
        <x:v>Pass 114 planning</x:v>
      </x:c>
      <x:c r="H34" s="9"/>
    </x:row>
    <x:row r="35">
      <x:c r="B35" s="9" t="str">
        <x:v>C29</x:v>
      </x:c>
      <x:c r="C35" s="9" t="str">
        <x:v>Downstream gates</x:v>
      </x:c>
      <x:c r="D35" s="13" t="n">
        <x:v>4</x:v>
      </x:c>
      <x:c r="E35" s="9" t="str">
        <x:v>gates</x:v>
      </x:c>
      <x:c r="F35" s="9" t="str">
        <x:v>DESIGN</x:v>
      </x:c>
      <x:c r="G35" s="9" t="str">
        <x:v>Pass 114 planning</x:v>
      </x:c>
      <x:c r="H35" s="9"/>
    </x:row>
    <x:row r="36">
      <x:c r="B36" s="9" t="str">
        <x:v>C30</x:v>
      </x:c>
      <x:c r="C36" s="9" t="str">
        <x:v>NDE acquisition size</x:v>
      </x:c>
      <x:c r="D36" s="13" t="n">
        <x:v>8</x:v>
      </x:c>
      <x:c r="E36" s="9" t="str">
        <x:v>GB/acquisition</x:v>
      </x:c>
      <x:c r="F36" s="9" t="str">
        <x:v>DESIGN</x:v>
      </x:c>
      <x:c r="G36" s="9" t="str">
        <x:v>Pass 114 planning</x:v>
      </x:c>
      <x:c r="H36" s="9"/>
    </x:row>
    <x:row r="37">
      <x:c r="B37" s="9" t="str">
        <x:v>C31</x:v>
      </x:c>
      <x:c r="C37" s="9" t="str">
        <x:v>Auxiliary raw evidence</x:v>
      </x:c>
      <x:c r="D37" s="13" t="n">
        <x:v>6</x:v>
      </x:c>
      <x:c r="E37" s="9" t="str">
        <x:v>TB</x:v>
      </x:c>
      <x:c r="F37" s="9" t="str">
        <x:v>DESIGN</x:v>
      </x:c>
      <x:c r="G37" s="9" t="str">
        <x:v>Pass 114 planning</x:v>
      </x:c>
      <x:c r="H37" s="9"/>
    </x:row>
    <x:row r="38">
      <x:c r="B38" s="9" t="str">
        <x:v>C32</x:v>
      </x:c>
      <x:c r="C38" s="9" t="str">
        <x:v>Derived-object allowance</x:v>
      </x:c>
      <x:c r="D38" s="13" t="n">
        <x:v>0.25</x:v>
      </x:c>
      <x:c r="E38" s="9" t="str">
        <x:v>fraction</x:v>
      </x:c>
      <x:c r="F38" s="9" t="str">
        <x:v>DESIGN</x:v>
      </x:c>
      <x:c r="G38" s="9" t="str">
        <x:v>Pass 114 planning</x:v>
      </x:c>
      <x:c r="H38" s="9"/>
    </x:row>
    <x:row r="39">
      <x:c r="B39" s="9" t="str">
        <x:v>C33</x:v>
      </x:c>
      <x:c r="C39" s="9" t="str">
        <x:v>Package and index overhead</x:v>
      </x:c>
      <x:c r="D39" s="13" t="n">
        <x:v>0.06</x:v>
      </x:c>
      <x:c r="E39" s="9" t="str">
        <x:v>fraction</x:v>
      </x:c>
      <x:c r="F39" s="9" t="str">
        <x:v>DESIGN</x:v>
      </x:c>
      <x:c r="G39" s="9" t="str">
        <x:v>Pass 114 planning</x:v>
      </x:c>
      <x:c r="H39" s="9"/>
    </x:row>
    <x:row r="40">
      <x:c r="B40" s="9" t="str">
        <x:v>C34</x:v>
      </x:c>
      <x:c r="C40" s="9" t="str">
        <x:v>Independent originals</x:v>
      </x:c>
      <x:c r="D40" s="13" t="n">
        <x:v>2</x:v>
      </x:c>
      <x:c r="E40" s="9" t="str">
        <x:v>copies</x:v>
      </x:c>
      <x:c r="F40" s="9" t="str">
        <x:v>DESIGN</x:v>
      </x:c>
      <x:c r="G40" s="9" t="str">
        <x:v>Pass 114 planning</x:v>
      </x:c>
      <x:c r="H40" s="9"/>
    </x:row>
    <x:row r="41">
      <x:c r="B41" s="9" t="str">
        <x:v>C35</x:v>
      </x:c>
      <x:c r="C41" s="9" t="str">
        <x:v>Bytes per sample</x:v>
      </x:c>
      <x:c r="D41" s="13" t="n">
        <x:v>4</x:v>
      </x:c>
      <x:c r="E41" s="9" t="str">
        <x:v>bytes</x:v>
      </x:c>
      <x:c r="F41" s="9" t="str">
        <x:v>DESIGN</x:v>
      </x:c>
      <x:c r="G41" s="9" t="str">
        <x:v>Pass 114 planning</x:v>
      </x:c>
      <x:c r="H41" s="9"/>
    </x:row>
    <x:row r="42">
      <x:c r="B42" s="9" t="str">
        <x:v>C36</x:v>
      </x:c>
      <x:c r="C42" s="9" t="str">
        <x:v>Cassette mass expanded uncertainty</x:v>
      </x:c>
      <x:c r="D42" s="13" t="n">
        <x:v>0.001</x:v>
      </x:c>
      <x:c r="E42" s="9" t="str">
        <x:v>t</x:v>
      </x:c>
      <x:c r="F42" s="9" t="str">
        <x:v>DESIGN</x:v>
      </x:c>
      <x:c r="G42" s="9" t="str">
        <x:v>Pass 114 planning</x:v>
      </x:c>
      <x:c r="H42" s="9"/>
    </x:row>
    <x:row r="43">
      <x:c r="B43" s="9" t="str">
        <x:v>C37</x:v>
      </x:c>
      <x:c r="C43" s="9" t="str">
        <x:v>Custody combined expanded uncertainty</x:v>
      </x:c>
      <x:c r="D43" s="13" t="n">
        <x:v>0.00125</x:v>
      </x:c>
      <x:c r="E43" s="9" t="str">
        <x:v>t</x:v>
      </x:c>
      <x:c r="F43" s="9" t="str">
        <x:v>DESIGN</x:v>
      </x:c>
      <x:c r="G43" s="9" t="str">
        <x:v>Pass 114 planning</x:v>
      </x:c>
      <x:c r="H43" s="9"/>
    </x:row>
    <x:row r="44">
      <x:c r="B44" s="9" t="str">
        <x:v>C38</x:v>
      </x:c>
      <x:c r="C44" s="9" t="str">
        <x:v>Detection lower-bound target</x:v>
      </x:c>
      <x:c r="D44" s="13" t="n">
        <x:v>0.9</x:v>
      </x:c>
      <x:c r="E44" s="9" t="str">
        <x:v>fraction</x:v>
      </x:c>
      <x:c r="F44" s="9" t="str">
        <x:v>DESIGN</x:v>
      </x:c>
      <x:c r="G44" s="9" t="str">
        <x:v>Pass 114 planning</x:v>
      </x:c>
      <x:c r="H44" s="9"/>
    </x:row>
    <x:row r="45">
      <x:c r="B45" s="9" t="str">
        <x:v>C39</x:v>
      </x:c>
      <x:c r="C45" s="9" t="str">
        <x:v>False-reject upper limit</x:v>
      </x:c>
      <x:c r="D45" s="13" t="n">
        <x:v>0.051</x:v>
      </x:c>
      <x:c r="E45" s="9" t="str">
        <x:v>fraction</x:v>
      </x:c>
      <x:c r="F45" s="9" t="str">
        <x:v>DESIGN</x:v>
      </x:c>
      <x:c r="G45" s="9" t="str">
        <x:v>Pass 114 planning</x:v>
      </x:c>
      <x:c r="H45" s="9"/>
    </x:row>
    <x:row r="46">
      <x:c r="B46" s="9" t="str">
        <x:v>C40</x:v>
      </x:c>
      <x:c r="C46" s="9" t="str">
        <x:v>Financial baseline authorization</x:v>
      </x:c>
      <x:c r="D46" s="13" t="n">
        <x:v>0</x:v>
      </x:c>
      <x:c r="E46" s="9" t="str">
        <x:v>binary</x:v>
      </x:c>
      <x:c r="F46" s="9" t="str">
        <x:v>OPEN</x:v>
      </x:c>
      <x:c r="G46" s="9" t="str">
        <x:v>source evidence</x:v>
      </x:c>
      <x:c r="H46" s="9"/>
    </x:row>
    <x:row r="47">
      <x:c r="B47" s="9" t="str">
        <x:v>C41</x:v>
      </x:c>
      <x:c r="C47" s="9" t="str">
        <x:v>Commissioned range families</x:v>
      </x:c>
      <x:c r="D47" s="13" t="n">
        <x:v>0</x:v>
      </x:c>
      <x:c r="E47" s="9" t="str">
        <x:v>families</x:v>
      </x:c>
      <x:c r="F47" s="9" t="str">
        <x:v>OPEN</x:v>
      </x:c>
      <x:c r="G47" s="9" t="str">
        <x:v>source evidence</x:v>
      </x:c>
      <x:c r="H47" s="9"/>
    </x:row>
    <x:row r="48">
      <x:c r="B48" s="9" t="str">
        <x:v>C42</x:v>
      </x:c>
      <x:c r="C48" s="9" t="str">
        <x:v>Accepted full-scale specimens</x:v>
      </x:c>
      <x:c r="D48" s="13" t="n">
        <x:v>0</x:v>
      </x:c>
      <x:c r="E48" s="9" t="str">
        <x:v>specimens</x:v>
      </x:c>
      <x:c r="F48" s="9" t="str">
        <x:v>OPEN</x:v>
      </x:c>
      <x:c r="G48" s="9" t="str">
        <x:v>source evidence</x:v>
      </x:c>
      <x:c r="H48" s="9"/>
    </x:row>
    <x:row r="49">
      <x:c r="B49" s="9" t="str">
        <x:v>C43</x:v>
      </x:c>
      <x:c r="C49" s="9" t="str">
        <x:v>Accepted truth objects</x:v>
      </x:c>
      <x:c r="D49" s="13" t="n">
        <x:v>0</x:v>
      </x:c>
      <x:c r="E49" s="9" t="str">
        <x:v>objects</x:v>
      </x:c>
      <x:c r="F49" s="9" t="str">
        <x:v>OPEN</x:v>
      </x:c>
      <x:c r="G49" s="9" t="str">
        <x:v>source evidence</x:v>
      </x:c>
      <x:c r="H49" s="9"/>
    </x:row>
    <x:row r="50">
      <x:c r="B50" s="9" t="str">
        <x:v>C44</x:v>
      </x:c>
      <x:c r="C50" s="9" t="str">
        <x:v>Valid full-scale events</x:v>
      </x:c>
      <x:c r="D50" s="13" t="n">
        <x:v>0</x:v>
      </x:c>
      <x:c r="E50" s="9" t="str">
        <x:v>events</x:v>
      </x:c>
      <x:c r="F50" s="9" t="str">
        <x:v>OPEN</x:v>
      </x:c>
      <x:c r="G50" s="9" t="str">
        <x:v>source evidence</x:v>
      </x:c>
      <x:c r="H50" s="9"/>
    </x:row>
    <x:row r="51">
      <x:c r="B51" s="9" t="str">
        <x:v>C45</x:v>
      </x:c>
      <x:c r="C51" s="9" t="str">
        <x:v>Sealed primary decisions</x:v>
      </x:c>
      <x:c r="D51" s="13" t="n">
        <x:v>0</x:v>
      </x:c>
      <x:c r="E51" s="9" t="str">
        <x:v>decisions</x:v>
      </x:c>
      <x:c r="F51" s="9" t="str">
        <x:v>OPEN</x:v>
      </x:c>
      <x:c r="G51" s="9" t="str">
        <x:v>source evidence</x:v>
      </x:c>
      <x:c r="H51" s="9"/>
    </x:row>
    <x:row r="52">
      <x:c r="B52" s="9" t="str">
        <x:v>C46</x:v>
      </x:c>
      <x:c r="C52" s="9" t="str">
        <x:v>Safe-state rehearsals accepted</x:v>
      </x:c>
      <x:c r="D52" s="13" t="n">
        <x:v>0</x:v>
      </x:c>
      <x:c r="E52" s="9" t="str">
        <x:v>root-family cells</x:v>
      </x:c>
      <x:c r="F52" s="9" t="str">
        <x:v>OPEN</x:v>
      </x:c>
      <x:c r="G52" s="9" t="str">
        <x:v>source evidence</x:v>
      </x:c>
      <x:c r="H52" s="9"/>
    </x:row>
    <x:row r="53">
      <x:c r="B53" s="9" t="str">
        <x:v>C47</x:v>
      </x:c>
      <x:c r="C53" s="9" t="str">
        <x:v>Independent reconstructions</x:v>
      </x:c>
      <x:c r="D53" s="13" t="n">
        <x:v>0</x:v>
      </x:c>
      <x:c r="E53" s="9" t="str">
        <x:v>roots</x:v>
      </x:c>
      <x:c r="F53" s="9" t="str">
        <x:v>OPEN</x:v>
      </x:c>
      <x:c r="G53" s="9" t="str">
        <x:v>source evidence</x:v>
      </x:c>
      <x:c r="H53" s="9"/>
    </x:row>
    <x:row r="54">
      <x:c r="B54" s="9" t="str">
        <x:v>C48</x:v>
      </x:c>
      <x:c r="C54" s="9" t="str">
        <x:v>Complete-article admission</x:v>
      </x:c>
      <x:c r="D54" s="13" t="n">
        <x:v>0</x:v>
      </x:c>
      <x:c r="E54" s="9" t="str">
        <x:v>binary</x:v>
      </x:c>
      <x:c r="F54" s="9" t="str">
        <x:v>BLOCKED</x:v>
      </x:c>
      <x:c r="G54" s="9" t="str">
        <x:v>source evidence</x:v>
      </x:c>
      <x:c r="H54" s="9"/>
    </x:row>
    <x:row r="55">
      <x:c r="B55" s="9" t="str">
        <x:v>C49</x:v>
      </x:c>
      <x:c r="C55" s="9" t="str">
        <x:v>CRC-E01 admission</x:v>
      </x:c>
      <x:c r="D55" s="13" t="n">
        <x:v>0</x:v>
      </x:c>
      <x:c r="E55" s="9" t="str">
        <x:v>binary</x:v>
      </x:c>
      <x:c r="F55" s="9" t="str">
        <x:v>BLOCKED</x:v>
      </x:c>
      <x:c r="G55" s="9" t="str">
        <x:v>source evidence</x:v>
      </x:c>
      <x:c r="H55" s="9"/>
    </x:row>
    <x:row r="56">
      <x:c r="B56" s="9" t="str">
        <x:v>C50</x:v>
      </x:c>
      <x:c r="C56" s="9" t="str">
        <x:v>Production authority</x:v>
      </x:c>
      <x:c r="D56" s="13" t="n">
        <x:v>0</x:v>
      </x:c>
      <x:c r="E56" s="9" t="str">
        <x:v>binary</x:v>
      </x:c>
      <x:c r="F56" s="9" t="str">
        <x:v>BLOCKED</x:v>
      </x:c>
      <x:c r="G56" s="9" t="str">
        <x:v>source evidence</x:v>
      </x:c>
      <x:c r="H56" s="9"/>
    </x:row>
    <x:row r="57">
      <x:c r="B57" s="10" t="str">
        <x:v>C51</x:v>
      </x:c>
      <x:c r="C57" s="10" t="str">
        <x:v>Exterior rendering authority</x:v>
      </x:c>
      <x:c r="D57" s="14" t="n">
        <x:v>0</x:v>
      </x:c>
      <x:c r="E57" s="10" t="str">
        <x:v>binary</x:v>
      </x:c>
      <x:c r="F57" s="10" t="str">
        <x:v>BLOCKED</x:v>
      </x:c>
      <x:c r="G57" s="10" t="str">
        <x:v>source evidence</x:v>
      </x:c>
      <x:c r="H57" s="9"/>
    </x:row>
  </x:sheetData>
  <x:mergeCells>
    <x:mergeCell ref="B2:H2"/>
    <x:mergeCell ref="B3:H3"/>
  </x:mergeCells>
  <x:conditionalFormatting sqref="F7:F57">
    <x:cfRule type="containsText" dxfId="0" priority="1" operator="containsText" text="PASS"/>
    <x:cfRule type="containsText" dxfId="1" priority="2" operator="containsText" text="AUTHORIZED"/>
    <x:cfRule type="containsText" dxfId="2" priority="3" operator="containsText" text="DEFINED"/>
    <x:cfRule type="containsText" dxfId="3" priority="4" operator="containsText" text="READY"/>
    <x:cfRule type="containsText" dxfId="4" priority="5" operator="containsText" text="HOLD"/>
    <x:cfRule type="containsText" dxfId="5" priority="6" operator="containsText" text="OPEN"/>
    <x:cfRule type="containsText" dxfId="6" priority="7" operator="containsText" text="BLOCKED"/>
    <x:cfRule type="containsText" dxfId="7" priority="8" operator="containsText" text="PLANNING"/>
    <x:cfRule type="containsText" dxfId="8" priority="9" operator="containsText" text="QUARANTINE"/>
    <x:cfRule type="containsText" dxfId="9" priority="10" operator="containsText" text="FAIL"/>
    <x:cfRule type="containsText" dxfId="10" priority="11" operator="containsText" text="REJECT"/>
    <x:cfRule type="containsText" dxfId="11" priority="12" operator="containsText" text="INCOMPLETE"/>
    <x:cfRule type="containsText" dxfId="12" priority="13" operator="containsText" text="STOP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5" hidden="0" customWidth="1"/>
    <x:col min="3" max="3" width="14" hidden="0" customWidth="1"/>
    <x:col min="4" max="4" width="11" hidden="0" customWidth="1"/>
    <x:col min="5" max="5" width="28" hidden="0" customWidth="1"/>
    <x:col min="6" max="6" width="10" hidden="0" customWidth="1"/>
    <x:col min="7" max="7" width="14" hidden="0" customWidth="1"/>
    <x:col min="8" max="8" width="15" hidden="0" customWidth="1"/>
    <x:col min="9" max="9" width="48" hidden="0" customWidth="1"/>
    <x:col min="10" max="10" width="13" hidden="0" customWidth="1"/>
    <x:col min="11" max="11" width="16" hidden="0" customWidth="1"/>
    <x:col min="12" max="12" width="15" hidden="0" customWidth="1"/>
    <x:col min="13" max="13" width="15" hidden="0" customWidth="1"/>
  </x:cols>
  <x:sheetData>
    <x:row r="2">
      <x:c r="B2" s="32" t="str">
        <x:v>Sixty-four serialized full-scale specimens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>
      <x:c r="B3" s="33" t="str">
        <x:v>Cycles are exposure on a serial, not independent population observations.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</x:row>
    <x:row r="6">
      <x:c r="B6" s="7" t="str">
        <x:v>Specimen</x:v>
      </x:c>
      <x:c r="C6" s="7" t="str">
        <x:v>Root</x:v>
      </x:c>
      <x:c r="D6" s="7" t="str">
        <x:v>Family</x:v>
      </x:c>
      <x:c r="E6" s="7" t="str">
        <x:v>Design</x:v>
      </x:c>
      <x:c r="F6" s="7" t="str">
        <x:v>Serial</x:v>
      </x:c>
      <x:c r="G6" s="7" t="str">
        <x:v>Exposure</x:v>
      </x:c>
      <x:c r="H6" s="7" t="str">
        <x:v>Unit</x:v>
      </x:c>
      <x:c r="I6" s="7" t="str">
        <x:v>Governing question</x:v>
      </x:c>
      <x:c r="J6" s="7" t="str">
        <x:v>Definition</x:v>
      </x:c>
      <x:c r="K6" s="7" t="str">
        <x:v>Accepted source</x:v>
      </x:c>
      <x:c r="L6" s="7" t="str">
        <x:v>Planning gate</x:v>
      </x:c>
      <x:c r="M6" s="7" t="str">
        <x:v>Physical gate</x:v>
      </x:c>
    </x:row>
    <x:row r="7">
      <x:c r="B7" s="9" t="str">
        <x:v>SA1-A-01</x:v>
      </x:c>
      <x:c r="C7" s="9" t="str">
        <x:v>ROOT_A</x:v>
      </x:c>
      <x:c r="D7" s="9" t="str">
        <x:v>SA1</x:v>
      </x:c>
      <x:c r="E7" s="9" t="str">
        <x:v>support/reaction node</x:v>
      </x:c>
      <x:c r="F7" s="9" t="n">
        <x:v>1</x:v>
      </x:c>
      <x:c r="G7" s="9" t="n">
        <x:v>200</x:v>
      </x:c>
      <x:c r="H7" s="9" t="str">
        <x:v>load blocks</x:v>
      </x:c>
      <x:c r="I7" s="9" t="str">
        <x:v>reaction transfer, settlement, stiffness, residual set</x:v>
      </x:c>
      <x:c r="J7" s="11" t="n">
        <x:v>1</x:v>
      </x:c>
      <x:c r="K7" s="11" t="n">
        <x:v>0</x:v>
      </x:c>
      <x:c r="L7" s="9" t="str">
        <x:f>IF(J7=1,"PASS","FAIL")</x:f>
        <x:v>PASS</x:v>
      </x:c>
      <x:c r="M7" s="9" t="str">
        <x:f>IF(K7=1,"PASS","OPEN")</x:f>
        <x:v>OPEN</x:v>
      </x:c>
    </x:row>
    <x:row r="8">
      <x:c r="B8" s="9" t="str">
        <x:v>SA1-A-02</x:v>
      </x:c>
      <x:c r="C8" s="9" t="str">
        <x:v>ROOT_A</x:v>
      </x:c>
      <x:c r="D8" s="9" t="str">
        <x:v>SA1</x:v>
      </x:c>
      <x:c r="E8" s="9" t="str">
        <x:v>support/reaction node</x:v>
      </x:c>
      <x:c r="F8" s="9" t="n">
        <x:v>2</x:v>
      </x:c>
      <x:c r="G8" s="9" t="n">
        <x:v>200</x:v>
      </x:c>
      <x:c r="H8" s="9" t="str">
        <x:v>load blocks</x:v>
      </x:c>
      <x:c r="I8" s="9" t="str">
        <x:v>reaction transfer, settlement, stiffness, residual set</x:v>
      </x:c>
      <x:c r="J8" s="11" t="n">
        <x:v>1</x:v>
      </x:c>
      <x:c r="K8" s="11" t="n">
        <x:v>0</x:v>
      </x:c>
      <x:c r="L8" s="9" t="str">
        <x:f>IF(J8=1,"PASS","FAIL")</x:f>
        <x:v>PASS</x:v>
      </x:c>
      <x:c r="M8" s="9" t="str">
        <x:f>IF(K8=1,"PASS","OPEN")</x:f>
        <x:v>OPEN</x:v>
      </x:c>
    </x:row>
    <x:row r="9">
      <x:c r="B9" s="9" t="str">
        <x:v>SA1-A-03</x:v>
      </x:c>
      <x:c r="C9" s="9" t="str">
        <x:v>ROOT_A</x:v>
      </x:c>
      <x:c r="D9" s="9" t="str">
        <x:v>SA1</x:v>
      </x:c>
      <x:c r="E9" s="9" t="str">
        <x:v>support/reaction node</x:v>
      </x:c>
      <x:c r="F9" s="9" t="n">
        <x:v>3</x:v>
      </x:c>
      <x:c r="G9" s="9" t="n">
        <x:v>200</x:v>
      </x:c>
      <x:c r="H9" s="9" t="str">
        <x:v>load blocks</x:v>
      </x:c>
      <x:c r="I9" s="9" t="str">
        <x:v>reaction transfer, settlement, stiffness, residual set</x:v>
      </x:c>
      <x:c r="J9" s="11" t="n">
        <x:v>1</x:v>
      </x:c>
      <x:c r="K9" s="11" t="n">
        <x:v>0</x:v>
      </x:c>
      <x:c r="L9" s="9" t="str">
        <x:f>IF(J9=1,"PASS","FAIL")</x:f>
        <x:v>PASS</x:v>
      </x:c>
      <x:c r="M9" s="9" t="str">
        <x:f>IF(K9=1,"PASS","OPEN")</x:f>
        <x:v>OPEN</x:v>
      </x:c>
    </x:row>
    <x:row r="10">
      <x:c r="B10" s="9" t="str">
        <x:v>SA1-A-04</x:v>
      </x:c>
      <x:c r="C10" s="9" t="str">
        <x:v>ROOT_A</x:v>
      </x:c>
      <x:c r="D10" s="9" t="str">
        <x:v>SA1</x:v>
      </x:c>
      <x:c r="E10" s="9" t="str">
        <x:v>support/reaction node</x:v>
      </x:c>
      <x:c r="F10" s="9" t="n">
        <x:v>4</x:v>
      </x:c>
      <x:c r="G10" s="9" t="n">
        <x:v>200</x:v>
      </x:c>
      <x:c r="H10" s="9" t="str">
        <x:v>load blocks</x:v>
      </x:c>
      <x:c r="I10" s="9" t="str">
        <x:v>reaction transfer, settlement, stiffness, residual set</x:v>
      </x:c>
      <x:c r="J10" s="11" t="n">
        <x:v>1</x:v>
      </x:c>
      <x:c r="K10" s="11" t="n">
        <x:v>0</x:v>
      </x:c>
      <x:c r="L10" s="9" t="str">
        <x:f>IF(J10=1,"PASS","FAIL")</x:f>
        <x:v>PASS</x:v>
      </x:c>
      <x:c r="M10" s="9" t="str">
        <x:f>IF(K10=1,"PASS","OPEN")</x:f>
        <x:v>OPEN</x:v>
      </x:c>
    </x:row>
    <x:row r="11">
      <x:c r="B11" s="9" t="str">
        <x:v>SA1-B-01</x:v>
      </x:c>
      <x:c r="C11" s="9" t="str">
        <x:v>ROOT_B</x:v>
      </x:c>
      <x:c r="D11" s="9" t="str">
        <x:v>SA1</x:v>
      </x:c>
      <x:c r="E11" s="9" t="str">
        <x:v>support/reaction node</x:v>
      </x:c>
      <x:c r="F11" s="9" t="n">
        <x:v>1</x:v>
      </x:c>
      <x:c r="G11" s="9" t="n">
        <x:v>200</x:v>
      </x:c>
      <x:c r="H11" s="9" t="str">
        <x:v>load blocks</x:v>
      </x:c>
      <x:c r="I11" s="9" t="str">
        <x:v>reaction transfer, settlement, stiffness, residual set</x:v>
      </x:c>
      <x:c r="J11" s="11" t="n">
        <x:v>1</x:v>
      </x:c>
      <x:c r="K11" s="11" t="n">
        <x:v>0</x:v>
      </x:c>
      <x:c r="L11" s="9" t="str">
        <x:f>IF(J11=1,"PASS","FAIL")</x:f>
        <x:v>PASS</x:v>
      </x:c>
      <x:c r="M11" s="9" t="str">
        <x:f>IF(K11=1,"PASS","OPEN")</x:f>
        <x:v>OPEN</x:v>
      </x:c>
    </x:row>
    <x:row r="12">
      <x:c r="B12" s="9" t="str">
        <x:v>SA1-B-02</x:v>
      </x:c>
      <x:c r="C12" s="9" t="str">
        <x:v>ROOT_B</x:v>
      </x:c>
      <x:c r="D12" s="9" t="str">
        <x:v>SA1</x:v>
      </x:c>
      <x:c r="E12" s="9" t="str">
        <x:v>support/reaction node</x:v>
      </x:c>
      <x:c r="F12" s="9" t="n">
        <x:v>2</x:v>
      </x:c>
      <x:c r="G12" s="9" t="n">
        <x:v>200</x:v>
      </x:c>
      <x:c r="H12" s="9" t="str">
        <x:v>load blocks</x:v>
      </x:c>
      <x:c r="I12" s="9" t="str">
        <x:v>reaction transfer, settlement, stiffness, residual set</x:v>
      </x:c>
      <x:c r="J12" s="11" t="n">
        <x:v>1</x:v>
      </x:c>
      <x:c r="K12" s="11" t="n">
        <x:v>0</x:v>
      </x:c>
      <x:c r="L12" s="9" t="str">
        <x:f>IF(J12=1,"PASS","FAIL")</x:f>
        <x:v>PASS</x:v>
      </x:c>
      <x:c r="M12" s="9" t="str">
        <x:f>IF(K12=1,"PASS","OPEN")</x:f>
        <x:v>OPEN</x:v>
      </x:c>
    </x:row>
    <x:row r="13">
      <x:c r="B13" s="9" t="str">
        <x:v>SA1-B-03</x:v>
      </x:c>
      <x:c r="C13" s="9" t="str">
        <x:v>ROOT_B</x:v>
      </x:c>
      <x:c r="D13" s="9" t="str">
        <x:v>SA1</x:v>
      </x:c>
      <x:c r="E13" s="9" t="str">
        <x:v>support/reaction node</x:v>
      </x:c>
      <x:c r="F13" s="9" t="n">
        <x:v>3</x:v>
      </x:c>
      <x:c r="G13" s="9" t="n">
        <x:v>200</x:v>
      </x:c>
      <x:c r="H13" s="9" t="str">
        <x:v>load blocks</x:v>
      </x:c>
      <x:c r="I13" s="9" t="str">
        <x:v>reaction transfer, settlement, stiffness, residual set</x:v>
      </x:c>
      <x:c r="J13" s="11" t="n">
        <x:v>1</x:v>
      </x:c>
      <x:c r="K13" s="11" t="n">
        <x:v>0</x:v>
      </x:c>
      <x:c r="L13" s="9" t="str">
        <x:f>IF(J13=1,"PASS","FAIL")</x:f>
        <x:v>PASS</x:v>
      </x:c>
      <x:c r="M13" s="9" t="str">
        <x:f>IF(K13=1,"PASS","OPEN")</x:f>
        <x:v>OPEN</x:v>
      </x:c>
    </x:row>
    <x:row r="14">
      <x:c r="B14" s="9" t="str">
        <x:v>SA1-B-04</x:v>
      </x:c>
      <x:c r="C14" s="9" t="str">
        <x:v>ROOT_B</x:v>
      </x:c>
      <x:c r="D14" s="9" t="str">
        <x:v>SA1</x:v>
      </x:c>
      <x:c r="E14" s="9" t="str">
        <x:v>support/reaction node</x:v>
      </x:c>
      <x:c r="F14" s="9" t="n">
        <x:v>4</x:v>
      </x:c>
      <x:c r="G14" s="9" t="n">
        <x:v>200</x:v>
      </x:c>
      <x:c r="H14" s="9" t="str">
        <x:v>load blocks</x:v>
      </x:c>
      <x:c r="I14" s="9" t="str">
        <x:v>reaction transfer, settlement, stiffness, residual set</x:v>
      </x:c>
      <x:c r="J14" s="11" t="n">
        <x:v>1</x:v>
      </x:c>
      <x:c r="K14" s="11" t="n">
        <x:v>0</x:v>
      </x:c>
      <x:c r="L14" s="9" t="str">
        <x:f>IF(J14=1,"PASS","FAIL")</x:f>
        <x:v>PASS</x:v>
      </x:c>
      <x:c r="M14" s="9" t="str">
        <x:f>IF(K14=1,"PASS","OPEN")</x:f>
        <x:v>OPEN</x:v>
      </x:c>
    </x:row>
    <x:row r="15">
      <x:c r="B15" s="9" t="str">
        <x:v>SA2-A-01</x:v>
      </x:c>
      <x:c r="C15" s="9" t="str">
        <x:v>ROOT_A</x:v>
      </x:c>
      <x:c r="D15" s="9" t="str">
        <x:v>SA2</x:v>
      </x:c>
      <x:c r="E15" s="9" t="str">
        <x:v>anchor/lift node</x:v>
      </x:c>
      <x:c r="F15" s="9" t="n">
        <x:v>1</x:v>
      </x:c>
      <x:c r="G15" s="9" t="n">
        <x:v>200</x:v>
      </x:c>
      <x:c r="H15" s="9" t="str">
        <x:v>load blocks</x:v>
      </x:c>
      <x:c r="I15" s="9" t="str">
        <x:v>vector load, hinge/pin transfer, capture</x:v>
      </x:c>
      <x:c r="J15" s="11" t="n">
        <x:v>1</x:v>
      </x:c>
      <x:c r="K15" s="11" t="n">
        <x:v>0</x:v>
      </x:c>
      <x:c r="L15" s="9" t="str">
        <x:f>IF(J15=1,"PASS","FAIL")</x:f>
        <x:v>PASS</x:v>
      </x:c>
      <x:c r="M15" s="9" t="str">
        <x:f>IF(K15=1,"PASS","OPEN")</x:f>
        <x:v>OPEN</x:v>
      </x:c>
    </x:row>
    <x:row r="16">
      <x:c r="B16" s="9" t="str">
        <x:v>SA2-A-02</x:v>
      </x:c>
      <x:c r="C16" s="9" t="str">
        <x:v>ROOT_A</x:v>
      </x:c>
      <x:c r="D16" s="9" t="str">
        <x:v>SA2</x:v>
      </x:c>
      <x:c r="E16" s="9" t="str">
        <x:v>anchor/lift node</x:v>
      </x:c>
      <x:c r="F16" s="9" t="n">
        <x:v>2</x:v>
      </x:c>
      <x:c r="G16" s="9" t="n">
        <x:v>200</x:v>
      </x:c>
      <x:c r="H16" s="9" t="str">
        <x:v>load blocks</x:v>
      </x:c>
      <x:c r="I16" s="9" t="str">
        <x:v>vector load, hinge/pin transfer, capture</x:v>
      </x:c>
      <x:c r="J16" s="11" t="n">
        <x:v>1</x:v>
      </x:c>
      <x:c r="K16" s="11" t="n">
        <x:v>0</x:v>
      </x:c>
      <x:c r="L16" s="9" t="str">
        <x:f>IF(J16=1,"PASS","FAIL")</x:f>
        <x:v>PASS</x:v>
      </x:c>
      <x:c r="M16" s="9" t="str">
        <x:f>IF(K16=1,"PASS","OPEN")</x:f>
        <x:v>OPEN</x:v>
      </x:c>
    </x:row>
    <x:row r="17">
      <x:c r="B17" s="9" t="str">
        <x:v>SA2-A-03</x:v>
      </x:c>
      <x:c r="C17" s="9" t="str">
        <x:v>ROOT_A</x:v>
      </x:c>
      <x:c r="D17" s="9" t="str">
        <x:v>SA2</x:v>
      </x:c>
      <x:c r="E17" s="9" t="str">
        <x:v>anchor/lift node</x:v>
      </x:c>
      <x:c r="F17" s="9" t="n">
        <x:v>3</x:v>
      </x:c>
      <x:c r="G17" s="9" t="n">
        <x:v>200</x:v>
      </x:c>
      <x:c r="H17" s="9" t="str">
        <x:v>load blocks</x:v>
      </x:c>
      <x:c r="I17" s="9" t="str">
        <x:v>vector load, hinge/pin transfer, capture</x:v>
      </x:c>
      <x:c r="J17" s="11" t="n">
        <x:v>1</x:v>
      </x:c>
      <x:c r="K17" s="11" t="n">
        <x:v>0</x:v>
      </x:c>
      <x:c r="L17" s="9" t="str">
        <x:f>IF(J17=1,"PASS","FAIL")</x:f>
        <x:v>PASS</x:v>
      </x:c>
      <x:c r="M17" s="9" t="str">
        <x:f>IF(K17=1,"PASS","OPEN")</x:f>
        <x:v>OPEN</x:v>
      </x:c>
    </x:row>
    <x:row r="18">
      <x:c r="B18" s="9" t="str">
        <x:v>SA2-A-04</x:v>
      </x:c>
      <x:c r="C18" s="9" t="str">
        <x:v>ROOT_A</x:v>
      </x:c>
      <x:c r="D18" s="9" t="str">
        <x:v>SA2</x:v>
      </x:c>
      <x:c r="E18" s="9" t="str">
        <x:v>anchor/lift node</x:v>
      </x:c>
      <x:c r="F18" s="9" t="n">
        <x:v>4</x:v>
      </x:c>
      <x:c r="G18" s="9" t="n">
        <x:v>200</x:v>
      </x:c>
      <x:c r="H18" s="9" t="str">
        <x:v>load blocks</x:v>
      </x:c>
      <x:c r="I18" s="9" t="str">
        <x:v>vector load, hinge/pin transfer, capture</x:v>
      </x:c>
      <x:c r="J18" s="11" t="n">
        <x:v>1</x:v>
      </x:c>
      <x:c r="K18" s="11" t="n">
        <x:v>0</x:v>
      </x:c>
      <x:c r="L18" s="9" t="str">
        <x:f>IF(J18=1,"PASS","FAIL")</x:f>
        <x:v>PASS</x:v>
      </x:c>
      <x:c r="M18" s="9" t="str">
        <x:f>IF(K18=1,"PASS","OPEN")</x:f>
        <x:v>OPEN</x:v>
      </x:c>
    </x:row>
    <x:row r="19">
      <x:c r="B19" s="9" t="str">
        <x:v>SA2-B-01</x:v>
      </x:c>
      <x:c r="C19" s="9" t="str">
        <x:v>ROOT_B</x:v>
      </x:c>
      <x:c r="D19" s="9" t="str">
        <x:v>SA2</x:v>
      </x:c>
      <x:c r="E19" s="9" t="str">
        <x:v>anchor/lift node</x:v>
      </x:c>
      <x:c r="F19" s="9" t="n">
        <x:v>1</x:v>
      </x:c>
      <x:c r="G19" s="9" t="n">
        <x:v>200</x:v>
      </x:c>
      <x:c r="H19" s="9" t="str">
        <x:v>load blocks</x:v>
      </x:c>
      <x:c r="I19" s="9" t="str">
        <x:v>vector load, hinge/pin transfer, capture</x:v>
      </x:c>
      <x:c r="J19" s="11" t="n">
        <x:v>1</x:v>
      </x:c>
      <x:c r="K19" s="11" t="n">
        <x:v>0</x:v>
      </x:c>
      <x:c r="L19" s="9" t="str">
        <x:f>IF(J19=1,"PASS","FAIL")</x:f>
        <x:v>PASS</x:v>
      </x:c>
      <x:c r="M19" s="9" t="str">
        <x:f>IF(K19=1,"PASS","OPEN")</x:f>
        <x:v>OPEN</x:v>
      </x:c>
    </x:row>
    <x:row r="20">
      <x:c r="B20" s="9" t="str">
        <x:v>SA2-B-02</x:v>
      </x:c>
      <x:c r="C20" s="9" t="str">
        <x:v>ROOT_B</x:v>
      </x:c>
      <x:c r="D20" s="9" t="str">
        <x:v>SA2</x:v>
      </x:c>
      <x:c r="E20" s="9" t="str">
        <x:v>anchor/lift node</x:v>
      </x:c>
      <x:c r="F20" s="9" t="n">
        <x:v>2</x:v>
      </x:c>
      <x:c r="G20" s="9" t="n">
        <x:v>200</x:v>
      </x:c>
      <x:c r="H20" s="9" t="str">
        <x:v>load blocks</x:v>
      </x:c>
      <x:c r="I20" s="9" t="str">
        <x:v>vector load, hinge/pin transfer, capture</x:v>
      </x:c>
      <x:c r="J20" s="11" t="n">
        <x:v>1</x:v>
      </x:c>
      <x:c r="K20" s="11" t="n">
        <x:v>0</x:v>
      </x:c>
      <x:c r="L20" s="9" t="str">
        <x:f>IF(J20=1,"PASS","FAIL")</x:f>
        <x:v>PASS</x:v>
      </x:c>
      <x:c r="M20" s="9" t="str">
        <x:f>IF(K20=1,"PASS","OPEN")</x:f>
        <x:v>OPEN</x:v>
      </x:c>
    </x:row>
    <x:row r="21">
      <x:c r="B21" s="9" t="str">
        <x:v>SA2-B-03</x:v>
      </x:c>
      <x:c r="C21" s="9" t="str">
        <x:v>ROOT_B</x:v>
      </x:c>
      <x:c r="D21" s="9" t="str">
        <x:v>SA2</x:v>
      </x:c>
      <x:c r="E21" s="9" t="str">
        <x:v>anchor/lift node</x:v>
      </x:c>
      <x:c r="F21" s="9" t="n">
        <x:v>3</x:v>
      </x:c>
      <x:c r="G21" s="9" t="n">
        <x:v>200</x:v>
      </x:c>
      <x:c r="H21" s="9" t="str">
        <x:v>load blocks</x:v>
      </x:c>
      <x:c r="I21" s="9" t="str">
        <x:v>vector load, hinge/pin transfer, capture</x:v>
      </x:c>
      <x:c r="J21" s="11" t="n">
        <x:v>1</x:v>
      </x:c>
      <x:c r="K21" s="11" t="n">
        <x:v>0</x:v>
      </x:c>
      <x:c r="L21" s="9" t="str">
        <x:f>IF(J21=1,"PASS","FAIL")</x:f>
        <x:v>PASS</x:v>
      </x:c>
      <x:c r="M21" s="9" t="str">
        <x:f>IF(K21=1,"PASS","OPEN")</x:f>
        <x:v>OPEN</x:v>
      </x:c>
    </x:row>
    <x:row r="22">
      <x:c r="B22" s="9" t="str">
        <x:v>SA2-B-04</x:v>
      </x:c>
      <x:c r="C22" s="9" t="str">
        <x:v>ROOT_B</x:v>
      </x:c>
      <x:c r="D22" s="9" t="str">
        <x:v>SA2</x:v>
      </x:c>
      <x:c r="E22" s="9" t="str">
        <x:v>anchor/lift node</x:v>
      </x:c>
      <x:c r="F22" s="9" t="n">
        <x:v>4</x:v>
      </x:c>
      <x:c r="G22" s="9" t="n">
        <x:v>200</x:v>
      </x:c>
      <x:c r="H22" s="9" t="str">
        <x:v>load blocks</x:v>
      </x:c>
      <x:c r="I22" s="9" t="str">
        <x:v>vector load, hinge/pin transfer, capture</x:v>
      </x:c>
      <x:c r="J22" s="11" t="n">
        <x:v>1</x:v>
      </x:c>
      <x:c r="K22" s="11" t="n">
        <x:v>0</x:v>
      </x:c>
      <x:c r="L22" s="9" t="str">
        <x:f>IF(J22=1,"PASS","FAIL")</x:f>
        <x:v>PASS</x:v>
      </x:c>
      <x:c r="M22" s="9" t="str">
        <x:f>IF(K22=1,"PASS","OPEN")</x:f>
        <x:v>OPEN</x:v>
      </x:c>
    </x:row>
    <x:row r="23">
      <x:c r="B23" s="9" t="str">
        <x:v>SA3-A-01</x:v>
      </x:c>
      <x:c r="C23" s="9" t="str">
        <x:v>ROOT_A</x:v>
      </x:c>
      <x:c r="D23" s="9" t="str">
        <x:v>SA3</x:v>
      </x:c>
      <x:c r="E23" s="9" t="str">
        <x:v>hydraulic collar</x:v>
      </x:c>
      <x:c r="F23" s="9" t="n">
        <x:v>1</x:v>
      </x:c>
      <x:c r="G23" s="9" t="n">
        <x:v>2000</x:v>
      </x:c>
      <x:c r="H23" s="9" t="str">
        <x:v>cycles</x:v>
      </x:c>
      <x:c r="I23" s="9" t="str">
        <x:v>pressure, bending, seal, sanitation, damage</x:v>
      </x:c>
      <x:c r="J23" s="11" t="n">
        <x:v>1</x:v>
      </x:c>
      <x:c r="K23" s="11" t="n">
        <x:v>0</x:v>
      </x:c>
      <x:c r="L23" s="9" t="str">
        <x:f>IF(J23=1,"PASS","FAIL")</x:f>
        <x:v>PASS</x:v>
      </x:c>
      <x:c r="M23" s="9" t="str">
        <x:f>IF(K23=1,"PASS","OPEN")</x:f>
        <x:v>OPEN</x:v>
      </x:c>
    </x:row>
    <x:row r="24">
      <x:c r="B24" s="9" t="str">
        <x:v>SA3-A-02</x:v>
      </x:c>
      <x:c r="C24" s="9" t="str">
        <x:v>ROOT_A</x:v>
      </x:c>
      <x:c r="D24" s="9" t="str">
        <x:v>SA3</x:v>
      </x:c>
      <x:c r="E24" s="9" t="str">
        <x:v>hydraulic collar</x:v>
      </x:c>
      <x:c r="F24" s="9" t="n">
        <x:v>2</x:v>
      </x:c>
      <x:c r="G24" s="9" t="n">
        <x:v>2000</x:v>
      </x:c>
      <x:c r="H24" s="9" t="str">
        <x:v>cycles</x:v>
      </x:c>
      <x:c r="I24" s="9" t="str">
        <x:v>pressure, bending, seal, sanitation, damage</x:v>
      </x:c>
      <x:c r="J24" s="11" t="n">
        <x:v>1</x:v>
      </x:c>
      <x:c r="K24" s="11" t="n">
        <x:v>0</x:v>
      </x:c>
      <x:c r="L24" s="9" t="str">
        <x:f>IF(J24=1,"PASS","FAIL")</x:f>
        <x:v>PASS</x:v>
      </x:c>
      <x:c r="M24" s="9" t="str">
        <x:f>IF(K24=1,"PASS","OPEN")</x:f>
        <x:v>OPEN</x:v>
      </x:c>
    </x:row>
    <x:row r="25">
      <x:c r="B25" s="9" t="str">
        <x:v>SA3-A-03</x:v>
      </x:c>
      <x:c r="C25" s="9" t="str">
        <x:v>ROOT_A</x:v>
      </x:c>
      <x:c r="D25" s="9" t="str">
        <x:v>SA3</x:v>
      </x:c>
      <x:c r="E25" s="9" t="str">
        <x:v>hydraulic collar</x:v>
      </x:c>
      <x:c r="F25" s="9" t="n">
        <x:v>3</x:v>
      </x:c>
      <x:c r="G25" s="9" t="n">
        <x:v>2000</x:v>
      </x:c>
      <x:c r="H25" s="9" t="str">
        <x:v>cycles</x:v>
      </x:c>
      <x:c r="I25" s="9" t="str">
        <x:v>pressure, bending, seal, sanitation, damage</x:v>
      </x:c>
      <x:c r="J25" s="11" t="n">
        <x:v>1</x:v>
      </x:c>
      <x:c r="K25" s="11" t="n">
        <x:v>0</x:v>
      </x:c>
      <x:c r="L25" s="9" t="str">
        <x:f>IF(J25=1,"PASS","FAIL")</x:f>
        <x:v>PASS</x:v>
      </x:c>
      <x:c r="M25" s="9" t="str">
        <x:f>IF(K25=1,"PASS","OPEN")</x:f>
        <x:v>OPEN</x:v>
      </x:c>
    </x:row>
    <x:row r="26">
      <x:c r="B26" s="9" t="str">
        <x:v>SA3-A-04</x:v>
      </x:c>
      <x:c r="C26" s="9" t="str">
        <x:v>ROOT_A</x:v>
      </x:c>
      <x:c r="D26" s="9" t="str">
        <x:v>SA3</x:v>
      </x:c>
      <x:c r="E26" s="9" t="str">
        <x:v>hydraulic collar</x:v>
      </x:c>
      <x:c r="F26" s="9" t="n">
        <x:v>4</x:v>
      </x:c>
      <x:c r="G26" s="9" t="n">
        <x:v>2000</x:v>
      </x:c>
      <x:c r="H26" s="9" t="str">
        <x:v>cycles</x:v>
      </x:c>
      <x:c r="I26" s="9" t="str">
        <x:v>pressure, bending, seal, sanitation, damage</x:v>
      </x:c>
      <x:c r="J26" s="11" t="n">
        <x:v>1</x:v>
      </x:c>
      <x:c r="K26" s="11" t="n">
        <x:v>0</x:v>
      </x:c>
      <x:c r="L26" s="9" t="str">
        <x:f>IF(J26=1,"PASS","FAIL")</x:f>
        <x:v>PASS</x:v>
      </x:c>
      <x:c r="M26" s="9" t="str">
        <x:f>IF(K26=1,"PASS","OPEN")</x:f>
        <x:v>OPEN</x:v>
      </x:c>
    </x:row>
    <x:row r="27">
      <x:c r="B27" s="9" t="str">
        <x:v>SA3-A-05</x:v>
      </x:c>
      <x:c r="C27" s="9" t="str">
        <x:v>ROOT_A</x:v>
      </x:c>
      <x:c r="D27" s="9" t="str">
        <x:v>SA3</x:v>
      </x:c>
      <x:c r="E27" s="9" t="str">
        <x:v>hydraulic collar</x:v>
      </x:c>
      <x:c r="F27" s="9" t="n">
        <x:v>5</x:v>
      </x:c>
      <x:c r="G27" s="9" t="n">
        <x:v>2000</x:v>
      </x:c>
      <x:c r="H27" s="9" t="str">
        <x:v>cycles</x:v>
      </x:c>
      <x:c r="I27" s="9" t="str">
        <x:v>pressure, bending, seal, sanitation, damage</x:v>
      </x:c>
      <x:c r="J27" s="11" t="n">
        <x:v>1</x:v>
      </x:c>
      <x:c r="K27" s="11" t="n">
        <x:v>0</x:v>
      </x:c>
      <x:c r="L27" s="9" t="str">
        <x:f>IF(J27=1,"PASS","FAIL")</x:f>
        <x:v>PASS</x:v>
      </x:c>
      <x:c r="M27" s="9" t="str">
        <x:f>IF(K27=1,"PASS","OPEN")</x:f>
        <x:v>OPEN</x:v>
      </x:c>
    </x:row>
    <x:row r="28">
      <x:c r="B28" s="9" t="str">
        <x:v>SA3-A-06</x:v>
      </x:c>
      <x:c r="C28" s="9" t="str">
        <x:v>ROOT_A</x:v>
      </x:c>
      <x:c r="D28" s="9" t="str">
        <x:v>SA3</x:v>
      </x:c>
      <x:c r="E28" s="9" t="str">
        <x:v>hydraulic collar</x:v>
      </x:c>
      <x:c r="F28" s="9" t="n">
        <x:v>6</x:v>
      </x:c>
      <x:c r="G28" s="9" t="n">
        <x:v>2000</x:v>
      </x:c>
      <x:c r="H28" s="9" t="str">
        <x:v>cycles</x:v>
      </x:c>
      <x:c r="I28" s="9" t="str">
        <x:v>pressure, bending, seal, sanitation, damage</x:v>
      </x:c>
      <x:c r="J28" s="11" t="n">
        <x:v>1</x:v>
      </x:c>
      <x:c r="K28" s="11" t="n">
        <x:v>0</x:v>
      </x:c>
      <x:c r="L28" s="9" t="str">
        <x:f>IF(J28=1,"PASS","FAIL")</x:f>
        <x:v>PASS</x:v>
      </x:c>
      <x:c r="M28" s="9" t="str">
        <x:f>IF(K28=1,"PASS","OPEN")</x:f>
        <x:v>OPEN</x:v>
      </x:c>
    </x:row>
    <x:row r="29">
      <x:c r="B29" s="9" t="str">
        <x:v>SA3-A-07</x:v>
      </x:c>
      <x:c r="C29" s="9" t="str">
        <x:v>ROOT_A</x:v>
      </x:c>
      <x:c r="D29" s="9" t="str">
        <x:v>SA3</x:v>
      </x:c>
      <x:c r="E29" s="9" t="str">
        <x:v>hydraulic collar</x:v>
      </x:c>
      <x:c r="F29" s="9" t="n">
        <x:v>7</x:v>
      </x:c>
      <x:c r="G29" s="9" t="n">
        <x:v>2000</x:v>
      </x:c>
      <x:c r="H29" s="9" t="str">
        <x:v>cycles</x:v>
      </x:c>
      <x:c r="I29" s="9" t="str">
        <x:v>pressure, bending, seal, sanitation, damage</x:v>
      </x:c>
      <x:c r="J29" s="11" t="n">
        <x:v>1</x:v>
      </x:c>
      <x:c r="K29" s="11" t="n">
        <x:v>0</x:v>
      </x:c>
      <x:c r="L29" s="9" t="str">
        <x:f>IF(J29=1,"PASS","FAIL")</x:f>
        <x:v>PASS</x:v>
      </x:c>
      <x:c r="M29" s="9" t="str">
        <x:f>IF(K29=1,"PASS","OPEN")</x:f>
        <x:v>OPEN</x:v>
      </x:c>
    </x:row>
    <x:row r="30">
      <x:c r="B30" s="9" t="str">
        <x:v>SA3-A-08</x:v>
      </x:c>
      <x:c r="C30" s="9" t="str">
        <x:v>ROOT_A</x:v>
      </x:c>
      <x:c r="D30" s="9" t="str">
        <x:v>SA3</x:v>
      </x:c>
      <x:c r="E30" s="9" t="str">
        <x:v>hydraulic collar</x:v>
      </x:c>
      <x:c r="F30" s="9" t="n">
        <x:v>8</x:v>
      </x:c>
      <x:c r="G30" s="9" t="n">
        <x:v>2000</x:v>
      </x:c>
      <x:c r="H30" s="9" t="str">
        <x:v>cycles</x:v>
      </x:c>
      <x:c r="I30" s="9" t="str">
        <x:v>pressure, bending, seal, sanitation, damage</x:v>
      </x:c>
      <x:c r="J30" s="11" t="n">
        <x:v>1</x:v>
      </x:c>
      <x:c r="K30" s="11" t="n">
        <x:v>0</x:v>
      </x:c>
      <x:c r="L30" s="9" t="str">
        <x:f>IF(J30=1,"PASS","FAIL")</x:f>
        <x:v>PASS</x:v>
      </x:c>
      <x:c r="M30" s="9" t="str">
        <x:f>IF(K30=1,"PASS","OPEN")</x:f>
        <x:v>OPEN</x:v>
      </x:c>
    </x:row>
    <x:row r="31">
      <x:c r="B31" s="9" t="str">
        <x:v>SA3-B-01</x:v>
      </x:c>
      <x:c r="C31" s="9" t="str">
        <x:v>ROOT_B</x:v>
      </x:c>
      <x:c r="D31" s="9" t="str">
        <x:v>SA3</x:v>
      </x:c>
      <x:c r="E31" s="9" t="str">
        <x:v>hydraulic collar</x:v>
      </x:c>
      <x:c r="F31" s="9" t="n">
        <x:v>1</x:v>
      </x:c>
      <x:c r="G31" s="9" t="n">
        <x:v>2000</x:v>
      </x:c>
      <x:c r="H31" s="9" t="str">
        <x:v>cycles</x:v>
      </x:c>
      <x:c r="I31" s="9" t="str">
        <x:v>pressure, bending, seal, sanitation, damage</x:v>
      </x:c>
      <x:c r="J31" s="11" t="n">
        <x:v>1</x:v>
      </x:c>
      <x:c r="K31" s="11" t="n">
        <x:v>0</x:v>
      </x:c>
      <x:c r="L31" s="9" t="str">
        <x:f>IF(J31=1,"PASS","FAIL")</x:f>
        <x:v>PASS</x:v>
      </x:c>
      <x:c r="M31" s="9" t="str">
        <x:f>IF(K31=1,"PASS","OPEN")</x:f>
        <x:v>OPEN</x:v>
      </x:c>
    </x:row>
    <x:row r="32">
      <x:c r="B32" s="9" t="str">
        <x:v>SA3-B-02</x:v>
      </x:c>
      <x:c r="C32" s="9" t="str">
        <x:v>ROOT_B</x:v>
      </x:c>
      <x:c r="D32" s="9" t="str">
        <x:v>SA3</x:v>
      </x:c>
      <x:c r="E32" s="9" t="str">
        <x:v>hydraulic collar</x:v>
      </x:c>
      <x:c r="F32" s="9" t="n">
        <x:v>2</x:v>
      </x:c>
      <x:c r="G32" s="9" t="n">
        <x:v>2000</x:v>
      </x:c>
      <x:c r="H32" s="9" t="str">
        <x:v>cycles</x:v>
      </x:c>
      <x:c r="I32" s="9" t="str">
        <x:v>pressure, bending, seal, sanitation, damage</x:v>
      </x:c>
      <x:c r="J32" s="11" t="n">
        <x:v>1</x:v>
      </x:c>
      <x:c r="K32" s="11" t="n">
        <x:v>0</x:v>
      </x:c>
      <x:c r="L32" s="9" t="str">
        <x:f>IF(J32=1,"PASS","FAIL")</x:f>
        <x:v>PASS</x:v>
      </x:c>
      <x:c r="M32" s="9" t="str">
        <x:f>IF(K32=1,"PASS","OPEN")</x:f>
        <x:v>OPEN</x:v>
      </x:c>
    </x:row>
    <x:row r="33">
      <x:c r="B33" s="9" t="str">
        <x:v>SA3-B-03</x:v>
      </x:c>
      <x:c r="C33" s="9" t="str">
        <x:v>ROOT_B</x:v>
      </x:c>
      <x:c r="D33" s="9" t="str">
        <x:v>SA3</x:v>
      </x:c>
      <x:c r="E33" s="9" t="str">
        <x:v>hydraulic collar</x:v>
      </x:c>
      <x:c r="F33" s="9" t="n">
        <x:v>3</x:v>
      </x:c>
      <x:c r="G33" s="9" t="n">
        <x:v>2000</x:v>
      </x:c>
      <x:c r="H33" s="9" t="str">
        <x:v>cycles</x:v>
      </x:c>
      <x:c r="I33" s="9" t="str">
        <x:v>pressure, bending, seal, sanitation, damage</x:v>
      </x:c>
      <x:c r="J33" s="11" t="n">
        <x:v>1</x:v>
      </x:c>
      <x:c r="K33" s="11" t="n">
        <x:v>0</x:v>
      </x:c>
      <x:c r="L33" s="9" t="str">
        <x:f>IF(J33=1,"PASS","FAIL")</x:f>
        <x:v>PASS</x:v>
      </x:c>
      <x:c r="M33" s="9" t="str">
        <x:f>IF(K33=1,"PASS","OPEN")</x:f>
        <x:v>OPEN</x:v>
      </x:c>
    </x:row>
    <x:row r="34">
      <x:c r="B34" s="9" t="str">
        <x:v>SA3-B-04</x:v>
      </x:c>
      <x:c r="C34" s="9" t="str">
        <x:v>ROOT_B</x:v>
      </x:c>
      <x:c r="D34" s="9" t="str">
        <x:v>SA3</x:v>
      </x:c>
      <x:c r="E34" s="9" t="str">
        <x:v>hydraulic collar</x:v>
      </x:c>
      <x:c r="F34" s="9" t="n">
        <x:v>4</x:v>
      </x:c>
      <x:c r="G34" s="9" t="n">
        <x:v>2000</x:v>
      </x:c>
      <x:c r="H34" s="9" t="str">
        <x:v>cycles</x:v>
      </x:c>
      <x:c r="I34" s="9" t="str">
        <x:v>pressure, bending, seal, sanitation, damage</x:v>
      </x:c>
      <x:c r="J34" s="11" t="n">
        <x:v>1</x:v>
      </x:c>
      <x:c r="K34" s="11" t="n">
        <x:v>0</x:v>
      </x:c>
      <x:c r="L34" s="9" t="str">
        <x:f>IF(J34=1,"PASS","FAIL")</x:f>
        <x:v>PASS</x:v>
      </x:c>
      <x:c r="M34" s="9" t="str">
        <x:f>IF(K34=1,"PASS","OPEN")</x:f>
        <x:v>OPEN</x:v>
      </x:c>
    </x:row>
    <x:row r="35">
      <x:c r="B35" s="9" t="str">
        <x:v>SA3-B-05</x:v>
      </x:c>
      <x:c r="C35" s="9" t="str">
        <x:v>ROOT_B</x:v>
      </x:c>
      <x:c r="D35" s="9" t="str">
        <x:v>SA3</x:v>
      </x:c>
      <x:c r="E35" s="9" t="str">
        <x:v>hydraulic collar</x:v>
      </x:c>
      <x:c r="F35" s="9" t="n">
        <x:v>5</x:v>
      </x:c>
      <x:c r="G35" s="9" t="n">
        <x:v>2000</x:v>
      </x:c>
      <x:c r="H35" s="9" t="str">
        <x:v>cycles</x:v>
      </x:c>
      <x:c r="I35" s="9" t="str">
        <x:v>pressure, bending, seal, sanitation, damage</x:v>
      </x:c>
      <x:c r="J35" s="11" t="n">
        <x:v>1</x:v>
      </x:c>
      <x:c r="K35" s="11" t="n">
        <x:v>0</x:v>
      </x:c>
      <x:c r="L35" s="9" t="str">
        <x:f>IF(J35=1,"PASS","FAIL")</x:f>
        <x:v>PASS</x:v>
      </x:c>
      <x:c r="M35" s="9" t="str">
        <x:f>IF(K35=1,"PASS","OPEN")</x:f>
        <x:v>OPEN</x:v>
      </x:c>
    </x:row>
    <x:row r="36">
      <x:c r="B36" s="9" t="str">
        <x:v>SA3-B-06</x:v>
      </x:c>
      <x:c r="C36" s="9" t="str">
        <x:v>ROOT_B</x:v>
      </x:c>
      <x:c r="D36" s="9" t="str">
        <x:v>SA3</x:v>
      </x:c>
      <x:c r="E36" s="9" t="str">
        <x:v>hydraulic collar</x:v>
      </x:c>
      <x:c r="F36" s="9" t="n">
        <x:v>6</x:v>
      </x:c>
      <x:c r="G36" s="9" t="n">
        <x:v>2000</x:v>
      </x:c>
      <x:c r="H36" s="9" t="str">
        <x:v>cycles</x:v>
      </x:c>
      <x:c r="I36" s="9" t="str">
        <x:v>pressure, bending, seal, sanitation, damage</x:v>
      </x:c>
      <x:c r="J36" s="11" t="n">
        <x:v>1</x:v>
      </x:c>
      <x:c r="K36" s="11" t="n">
        <x:v>0</x:v>
      </x:c>
      <x:c r="L36" s="9" t="str">
        <x:f>IF(J36=1,"PASS","FAIL")</x:f>
        <x:v>PASS</x:v>
      </x:c>
      <x:c r="M36" s="9" t="str">
        <x:f>IF(K36=1,"PASS","OPEN")</x:f>
        <x:v>OPEN</x:v>
      </x:c>
    </x:row>
    <x:row r="37">
      <x:c r="B37" s="9" t="str">
        <x:v>SA3-B-07</x:v>
      </x:c>
      <x:c r="C37" s="9" t="str">
        <x:v>ROOT_B</x:v>
      </x:c>
      <x:c r="D37" s="9" t="str">
        <x:v>SA3</x:v>
      </x:c>
      <x:c r="E37" s="9" t="str">
        <x:v>hydraulic collar</x:v>
      </x:c>
      <x:c r="F37" s="9" t="n">
        <x:v>7</x:v>
      </x:c>
      <x:c r="G37" s="9" t="n">
        <x:v>2000</x:v>
      </x:c>
      <x:c r="H37" s="9" t="str">
        <x:v>cycles</x:v>
      </x:c>
      <x:c r="I37" s="9" t="str">
        <x:v>pressure, bending, seal, sanitation, damage</x:v>
      </x:c>
      <x:c r="J37" s="11" t="n">
        <x:v>1</x:v>
      </x:c>
      <x:c r="K37" s="11" t="n">
        <x:v>0</x:v>
      </x:c>
      <x:c r="L37" s="9" t="str">
        <x:f>IF(J37=1,"PASS","FAIL")</x:f>
        <x:v>PASS</x:v>
      </x:c>
      <x:c r="M37" s="9" t="str">
        <x:f>IF(K37=1,"PASS","OPEN")</x:f>
        <x:v>OPEN</x:v>
      </x:c>
    </x:row>
    <x:row r="38">
      <x:c r="B38" s="9" t="str">
        <x:v>SA3-B-08</x:v>
      </x:c>
      <x:c r="C38" s="9" t="str">
        <x:v>ROOT_B</x:v>
      </x:c>
      <x:c r="D38" s="9" t="str">
        <x:v>SA3</x:v>
      </x:c>
      <x:c r="E38" s="9" t="str">
        <x:v>hydraulic collar</x:v>
      </x:c>
      <x:c r="F38" s="9" t="n">
        <x:v>8</x:v>
      </x:c>
      <x:c r="G38" s="9" t="n">
        <x:v>2000</x:v>
      </x:c>
      <x:c r="H38" s="9" t="str">
        <x:v>cycles</x:v>
      </x:c>
      <x:c r="I38" s="9" t="str">
        <x:v>pressure, bending, seal, sanitation, damage</x:v>
      </x:c>
      <x:c r="J38" s="11" t="n">
        <x:v>1</x:v>
      </x:c>
      <x:c r="K38" s="11" t="n">
        <x:v>0</x:v>
      </x:c>
      <x:c r="L38" s="9" t="str">
        <x:f>IF(J38=1,"PASS","FAIL")</x:f>
        <x:v>PASS</x:v>
      </x:c>
      <x:c r="M38" s="9" t="str">
        <x:f>IF(K38=1,"PASS","OPEN")</x:f>
        <x:v>OPEN</x:v>
      </x:c>
    </x:row>
    <x:row r="39">
      <x:c r="B39" s="9" t="str">
        <x:v>SA4-A-01</x:v>
      </x:c>
      <x:c r="C39" s="9" t="str">
        <x:v>ROOT_A</x:v>
      </x:c>
      <x:c r="D39" s="9" t="str">
        <x:v>SA4</x:v>
      </x:c>
      <x:c r="E39" s="9" t="str">
        <x:v>bus/protection</x:v>
      </x:c>
      <x:c r="F39" s="9" t="n">
        <x:v>1</x:v>
      </x:c>
      <x:c r="G39" s="9" t="n">
        <x:v>10</x:v>
      </x:c>
      <x:c r="H39" s="9" t="str">
        <x:v>fault shots</x:v>
      </x:c>
      <x:c r="I39" s="9" t="str">
        <x:v>selectivity, containment, evidence, restart</x:v>
      </x:c>
      <x:c r="J39" s="11" t="n">
        <x:v>1</x:v>
      </x:c>
      <x:c r="K39" s="11" t="n">
        <x:v>0</x:v>
      </x:c>
      <x:c r="L39" s="9" t="str">
        <x:f>IF(J39=1,"PASS","FAIL")</x:f>
        <x:v>PASS</x:v>
      </x:c>
      <x:c r="M39" s="9" t="str">
        <x:f>IF(K39=1,"PASS","OPEN")</x:f>
        <x:v>OPEN</x:v>
      </x:c>
    </x:row>
    <x:row r="40">
      <x:c r="B40" s="9" t="str">
        <x:v>SA4-A-02</x:v>
      </x:c>
      <x:c r="C40" s="9" t="str">
        <x:v>ROOT_A</x:v>
      </x:c>
      <x:c r="D40" s="9" t="str">
        <x:v>SA4</x:v>
      </x:c>
      <x:c r="E40" s="9" t="str">
        <x:v>bus/protection</x:v>
      </x:c>
      <x:c r="F40" s="9" t="n">
        <x:v>2</x:v>
      </x:c>
      <x:c r="G40" s="9" t="n">
        <x:v>10</x:v>
      </x:c>
      <x:c r="H40" s="9" t="str">
        <x:v>fault shots</x:v>
      </x:c>
      <x:c r="I40" s="9" t="str">
        <x:v>selectivity, containment, evidence, restart</x:v>
      </x:c>
      <x:c r="J40" s="11" t="n">
        <x:v>1</x:v>
      </x:c>
      <x:c r="K40" s="11" t="n">
        <x:v>0</x:v>
      </x:c>
      <x:c r="L40" s="9" t="str">
        <x:f>IF(J40=1,"PASS","FAIL")</x:f>
        <x:v>PASS</x:v>
      </x:c>
      <x:c r="M40" s="9" t="str">
        <x:f>IF(K40=1,"PASS","OPEN")</x:f>
        <x:v>OPEN</x:v>
      </x:c>
    </x:row>
    <x:row r="41">
      <x:c r="B41" s="9" t="str">
        <x:v>SA4-A-03</x:v>
      </x:c>
      <x:c r="C41" s="9" t="str">
        <x:v>ROOT_A</x:v>
      </x:c>
      <x:c r="D41" s="9" t="str">
        <x:v>SA4</x:v>
      </x:c>
      <x:c r="E41" s="9" t="str">
        <x:v>bus/protection</x:v>
      </x:c>
      <x:c r="F41" s="9" t="n">
        <x:v>3</x:v>
      </x:c>
      <x:c r="G41" s="9" t="n">
        <x:v>10</x:v>
      </x:c>
      <x:c r="H41" s="9" t="str">
        <x:v>fault shots</x:v>
      </x:c>
      <x:c r="I41" s="9" t="str">
        <x:v>selectivity, containment, evidence, restart</x:v>
      </x:c>
      <x:c r="J41" s="11" t="n">
        <x:v>1</x:v>
      </x:c>
      <x:c r="K41" s="11" t="n">
        <x:v>0</x:v>
      </x:c>
      <x:c r="L41" s="9" t="str">
        <x:f>IF(J41=1,"PASS","FAIL")</x:f>
        <x:v>PASS</x:v>
      </x:c>
      <x:c r="M41" s="9" t="str">
        <x:f>IF(K41=1,"PASS","OPEN")</x:f>
        <x:v>OPEN</x:v>
      </x:c>
    </x:row>
    <x:row r="42">
      <x:c r="B42" s="9" t="str">
        <x:v>SA4-A-04</x:v>
      </x:c>
      <x:c r="C42" s="9" t="str">
        <x:v>ROOT_A</x:v>
      </x:c>
      <x:c r="D42" s="9" t="str">
        <x:v>SA4</x:v>
      </x:c>
      <x:c r="E42" s="9" t="str">
        <x:v>bus/protection</x:v>
      </x:c>
      <x:c r="F42" s="9" t="n">
        <x:v>4</x:v>
      </x:c>
      <x:c r="G42" s="9" t="n">
        <x:v>10</x:v>
      </x:c>
      <x:c r="H42" s="9" t="str">
        <x:v>fault shots</x:v>
      </x:c>
      <x:c r="I42" s="9" t="str">
        <x:v>selectivity, containment, evidence, restart</x:v>
      </x:c>
      <x:c r="J42" s="11" t="n">
        <x:v>1</x:v>
      </x:c>
      <x:c r="K42" s="11" t="n">
        <x:v>0</x:v>
      </x:c>
      <x:c r="L42" s="9" t="str">
        <x:f>IF(J42=1,"PASS","FAIL")</x:f>
        <x:v>PASS</x:v>
      </x:c>
      <x:c r="M42" s="9" t="str">
        <x:f>IF(K42=1,"PASS","OPEN")</x:f>
        <x:v>OPEN</x:v>
      </x:c>
    </x:row>
    <x:row r="43">
      <x:c r="B43" s="9" t="str">
        <x:v>SA4-A-05</x:v>
      </x:c>
      <x:c r="C43" s="9" t="str">
        <x:v>ROOT_A</x:v>
      </x:c>
      <x:c r="D43" s="9" t="str">
        <x:v>SA4</x:v>
      </x:c>
      <x:c r="E43" s="9" t="str">
        <x:v>bus/protection</x:v>
      </x:c>
      <x:c r="F43" s="9" t="n">
        <x:v>5</x:v>
      </x:c>
      <x:c r="G43" s="9" t="n">
        <x:v>10</x:v>
      </x:c>
      <x:c r="H43" s="9" t="str">
        <x:v>fault shots</x:v>
      </x:c>
      <x:c r="I43" s="9" t="str">
        <x:v>selectivity, containment, evidence, restart</x:v>
      </x:c>
      <x:c r="J43" s="11" t="n">
        <x:v>1</x:v>
      </x:c>
      <x:c r="K43" s="11" t="n">
        <x:v>0</x:v>
      </x:c>
      <x:c r="L43" s="9" t="str">
        <x:f>IF(J43=1,"PASS","FAIL")</x:f>
        <x:v>PASS</x:v>
      </x:c>
      <x:c r="M43" s="9" t="str">
        <x:f>IF(K43=1,"PASS","OPEN")</x:f>
        <x:v>OPEN</x:v>
      </x:c>
    </x:row>
    <x:row r="44">
      <x:c r="B44" s="9" t="str">
        <x:v>SA4-A-06</x:v>
      </x:c>
      <x:c r="C44" s="9" t="str">
        <x:v>ROOT_A</x:v>
      </x:c>
      <x:c r="D44" s="9" t="str">
        <x:v>SA4</x:v>
      </x:c>
      <x:c r="E44" s="9" t="str">
        <x:v>bus/protection</x:v>
      </x:c>
      <x:c r="F44" s="9" t="n">
        <x:v>6</x:v>
      </x:c>
      <x:c r="G44" s="9" t="n">
        <x:v>10</x:v>
      </x:c>
      <x:c r="H44" s="9" t="str">
        <x:v>fault shots</x:v>
      </x:c>
      <x:c r="I44" s="9" t="str">
        <x:v>selectivity, containment, evidence, restart</x:v>
      </x:c>
      <x:c r="J44" s="11" t="n">
        <x:v>1</x:v>
      </x:c>
      <x:c r="K44" s="11" t="n">
        <x:v>0</x:v>
      </x:c>
      <x:c r="L44" s="9" t="str">
        <x:f>IF(J44=1,"PASS","FAIL")</x:f>
        <x:v>PASS</x:v>
      </x:c>
      <x:c r="M44" s="9" t="str">
        <x:f>IF(K44=1,"PASS","OPEN")</x:f>
        <x:v>OPEN</x:v>
      </x:c>
    </x:row>
    <x:row r="45">
      <x:c r="B45" s="9" t="str">
        <x:v>SA4-B-01</x:v>
      </x:c>
      <x:c r="C45" s="9" t="str">
        <x:v>ROOT_B</x:v>
      </x:c>
      <x:c r="D45" s="9" t="str">
        <x:v>SA4</x:v>
      </x:c>
      <x:c r="E45" s="9" t="str">
        <x:v>bus/protection</x:v>
      </x:c>
      <x:c r="F45" s="9" t="n">
        <x:v>1</x:v>
      </x:c>
      <x:c r="G45" s="9" t="n">
        <x:v>10</x:v>
      </x:c>
      <x:c r="H45" s="9" t="str">
        <x:v>fault shots</x:v>
      </x:c>
      <x:c r="I45" s="9" t="str">
        <x:v>selectivity, containment, evidence, restart</x:v>
      </x:c>
      <x:c r="J45" s="11" t="n">
        <x:v>1</x:v>
      </x:c>
      <x:c r="K45" s="11" t="n">
        <x:v>0</x:v>
      </x:c>
      <x:c r="L45" s="9" t="str">
        <x:f>IF(J45=1,"PASS","FAIL")</x:f>
        <x:v>PASS</x:v>
      </x:c>
      <x:c r="M45" s="9" t="str">
        <x:f>IF(K45=1,"PASS","OPEN")</x:f>
        <x:v>OPEN</x:v>
      </x:c>
    </x:row>
    <x:row r="46">
      <x:c r="B46" s="9" t="str">
        <x:v>SA4-B-02</x:v>
      </x:c>
      <x:c r="C46" s="9" t="str">
        <x:v>ROOT_B</x:v>
      </x:c>
      <x:c r="D46" s="9" t="str">
        <x:v>SA4</x:v>
      </x:c>
      <x:c r="E46" s="9" t="str">
        <x:v>bus/protection</x:v>
      </x:c>
      <x:c r="F46" s="9" t="n">
        <x:v>2</x:v>
      </x:c>
      <x:c r="G46" s="9" t="n">
        <x:v>10</x:v>
      </x:c>
      <x:c r="H46" s="9" t="str">
        <x:v>fault shots</x:v>
      </x:c>
      <x:c r="I46" s="9" t="str">
        <x:v>selectivity, containment, evidence, restart</x:v>
      </x:c>
      <x:c r="J46" s="11" t="n">
        <x:v>1</x:v>
      </x:c>
      <x:c r="K46" s="11" t="n">
        <x:v>0</x:v>
      </x:c>
      <x:c r="L46" s="9" t="str">
        <x:f>IF(J46=1,"PASS","FAIL")</x:f>
        <x:v>PASS</x:v>
      </x:c>
      <x:c r="M46" s="9" t="str">
        <x:f>IF(K46=1,"PASS","OPEN")</x:f>
        <x:v>OPEN</x:v>
      </x:c>
    </x:row>
    <x:row r="47">
      <x:c r="B47" s="9" t="str">
        <x:v>SA4-B-03</x:v>
      </x:c>
      <x:c r="C47" s="9" t="str">
        <x:v>ROOT_B</x:v>
      </x:c>
      <x:c r="D47" s="9" t="str">
        <x:v>SA4</x:v>
      </x:c>
      <x:c r="E47" s="9" t="str">
        <x:v>bus/protection</x:v>
      </x:c>
      <x:c r="F47" s="9" t="n">
        <x:v>3</x:v>
      </x:c>
      <x:c r="G47" s="9" t="n">
        <x:v>10</x:v>
      </x:c>
      <x:c r="H47" s="9" t="str">
        <x:v>fault shots</x:v>
      </x:c>
      <x:c r="I47" s="9" t="str">
        <x:v>selectivity, containment, evidence, restart</x:v>
      </x:c>
      <x:c r="J47" s="11" t="n">
        <x:v>1</x:v>
      </x:c>
      <x:c r="K47" s="11" t="n">
        <x:v>0</x:v>
      </x:c>
      <x:c r="L47" s="9" t="str">
        <x:f>IF(J47=1,"PASS","FAIL")</x:f>
        <x:v>PASS</x:v>
      </x:c>
      <x:c r="M47" s="9" t="str">
        <x:f>IF(K47=1,"PASS","OPEN")</x:f>
        <x:v>OPEN</x:v>
      </x:c>
    </x:row>
    <x:row r="48">
      <x:c r="B48" s="9" t="str">
        <x:v>SA4-B-04</x:v>
      </x:c>
      <x:c r="C48" s="9" t="str">
        <x:v>ROOT_B</x:v>
      </x:c>
      <x:c r="D48" s="9" t="str">
        <x:v>SA4</x:v>
      </x:c>
      <x:c r="E48" s="9" t="str">
        <x:v>bus/protection</x:v>
      </x:c>
      <x:c r="F48" s="9" t="n">
        <x:v>4</x:v>
      </x:c>
      <x:c r="G48" s="9" t="n">
        <x:v>10</x:v>
      </x:c>
      <x:c r="H48" s="9" t="str">
        <x:v>fault shots</x:v>
      </x:c>
      <x:c r="I48" s="9" t="str">
        <x:v>selectivity, containment, evidence, restart</x:v>
      </x:c>
      <x:c r="J48" s="11" t="n">
        <x:v>1</x:v>
      </x:c>
      <x:c r="K48" s="11" t="n">
        <x:v>0</x:v>
      </x:c>
      <x:c r="L48" s="9" t="str">
        <x:f>IF(J48=1,"PASS","FAIL")</x:f>
        <x:v>PASS</x:v>
      </x:c>
      <x:c r="M48" s="9" t="str">
        <x:f>IF(K48=1,"PASS","OPEN")</x:f>
        <x:v>OPEN</x:v>
      </x:c>
    </x:row>
    <x:row r="49">
      <x:c r="B49" s="9" t="str">
        <x:v>SA4-B-05</x:v>
      </x:c>
      <x:c r="C49" s="9" t="str">
        <x:v>ROOT_B</x:v>
      </x:c>
      <x:c r="D49" s="9" t="str">
        <x:v>SA4</x:v>
      </x:c>
      <x:c r="E49" s="9" t="str">
        <x:v>bus/protection</x:v>
      </x:c>
      <x:c r="F49" s="9" t="n">
        <x:v>5</x:v>
      </x:c>
      <x:c r="G49" s="9" t="n">
        <x:v>10</x:v>
      </x:c>
      <x:c r="H49" s="9" t="str">
        <x:v>fault shots</x:v>
      </x:c>
      <x:c r="I49" s="9" t="str">
        <x:v>selectivity, containment, evidence, restart</x:v>
      </x:c>
      <x:c r="J49" s="11" t="n">
        <x:v>1</x:v>
      </x:c>
      <x:c r="K49" s="11" t="n">
        <x:v>0</x:v>
      </x:c>
      <x:c r="L49" s="9" t="str">
        <x:f>IF(J49=1,"PASS","FAIL")</x:f>
        <x:v>PASS</x:v>
      </x:c>
      <x:c r="M49" s="9" t="str">
        <x:f>IF(K49=1,"PASS","OPEN")</x:f>
        <x:v>OPEN</x:v>
      </x:c>
    </x:row>
    <x:row r="50">
      <x:c r="B50" s="9" t="str">
        <x:v>SA4-B-06</x:v>
      </x:c>
      <x:c r="C50" s="9" t="str">
        <x:v>ROOT_B</x:v>
      </x:c>
      <x:c r="D50" s="9" t="str">
        <x:v>SA4</x:v>
      </x:c>
      <x:c r="E50" s="9" t="str">
        <x:v>bus/protection</x:v>
      </x:c>
      <x:c r="F50" s="9" t="n">
        <x:v>6</x:v>
      </x:c>
      <x:c r="G50" s="9" t="n">
        <x:v>10</x:v>
      </x:c>
      <x:c r="H50" s="9" t="str">
        <x:v>fault shots</x:v>
      </x:c>
      <x:c r="I50" s="9" t="str">
        <x:v>selectivity, containment, evidence, restart</x:v>
      </x:c>
      <x:c r="J50" s="11" t="n">
        <x:v>1</x:v>
      </x:c>
      <x:c r="K50" s="11" t="n">
        <x:v>0</x:v>
      </x:c>
      <x:c r="L50" s="9" t="str">
        <x:f>IF(J50=1,"PASS","FAIL")</x:f>
        <x:v>PASS</x:v>
      </x:c>
      <x:c r="M50" s="9" t="str">
        <x:f>IF(K50=1,"PASS","OPEN")</x:f>
        <x:v>OPEN</x:v>
      </x:c>
    </x:row>
    <x:row r="51">
      <x:c r="B51" s="9" t="str">
        <x:v>SA5-A-01</x:v>
      </x:c>
      <x:c r="C51" s="9" t="str">
        <x:v>ROOT_A</x:v>
      </x:c>
      <x:c r="D51" s="9" t="str">
        <x:v>SA5</x:v>
      </x:c>
      <x:c r="E51" s="9" t="str">
        <x:v>thermal/evidence</x:v>
      </x:c>
      <x:c r="F51" s="9" t="n">
        <x:v>1</x:v>
      </x:c>
      <x:c r="G51" s="9" t="n">
        <x:v>500</x:v>
      </x:c>
      <x:c r="H51" s="9" t="str">
        <x:v>cycles</x:v>
      </x:c>
      <x:c r="I51" s="9" t="str">
        <x:v>heat balance, articulation, isolation, witnesses</x:v>
      </x:c>
      <x:c r="J51" s="11" t="n">
        <x:v>1</x:v>
      </x:c>
      <x:c r="K51" s="11" t="n">
        <x:v>0</x:v>
      </x:c>
      <x:c r="L51" s="9" t="str">
        <x:f>IF(J51=1,"PASS","FAIL")</x:f>
        <x:v>PASS</x:v>
      </x:c>
      <x:c r="M51" s="9" t="str">
        <x:f>IF(K51=1,"PASS","OPEN")</x:f>
        <x:v>OPEN</x:v>
      </x:c>
    </x:row>
    <x:row r="52">
      <x:c r="B52" s="9" t="str">
        <x:v>SA5-A-02</x:v>
      </x:c>
      <x:c r="C52" s="9" t="str">
        <x:v>ROOT_A</x:v>
      </x:c>
      <x:c r="D52" s="9" t="str">
        <x:v>SA5</x:v>
      </x:c>
      <x:c r="E52" s="9" t="str">
        <x:v>thermal/evidence</x:v>
      </x:c>
      <x:c r="F52" s="9" t="n">
        <x:v>2</x:v>
      </x:c>
      <x:c r="G52" s="9" t="n">
        <x:v>500</x:v>
      </x:c>
      <x:c r="H52" s="9" t="str">
        <x:v>cycles</x:v>
      </x:c>
      <x:c r="I52" s="9" t="str">
        <x:v>heat balance, articulation, isolation, witnesses</x:v>
      </x:c>
      <x:c r="J52" s="11" t="n">
        <x:v>1</x:v>
      </x:c>
      <x:c r="K52" s="11" t="n">
        <x:v>0</x:v>
      </x:c>
      <x:c r="L52" s="9" t="str">
        <x:f>IF(J52=1,"PASS","FAIL")</x:f>
        <x:v>PASS</x:v>
      </x:c>
      <x:c r="M52" s="9" t="str">
        <x:f>IF(K52=1,"PASS","OPEN")</x:f>
        <x:v>OPEN</x:v>
      </x:c>
    </x:row>
    <x:row r="53">
      <x:c r="B53" s="9" t="str">
        <x:v>SA5-A-03</x:v>
      </x:c>
      <x:c r="C53" s="9" t="str">
        <x:v>ROOT_A</x:v>
      </x:c>
      <x:c r="D53" s="9" t="str">
        <x:v>SA5</x:v>
      </x:c>
      <x:c r="E53" s="9" t="str">
        <x:v>thermal/evidence</x:v>
      </x:c>
      <x:c r="F53" s="9" t="n">
        <x:v>3</x:v>
      </x:c>
      <x:c r="G53" s="9" t="n">
        <x:v>500</x:v>
      </x:c>
      <x:c r="H53" s="9" t="str">
        <x:v>cycles</x:v>
      </x:c>
      <x:c r="I53" s="9" t="str">
        <x:v>heat balance, articulation, isolation, witnesses</x:v>
      </x:c>
      <x:c r="J53" s="11" t="n">
        <x:v>1</x:v>
      </x:c>
      <x:c r="K53" s="11" t="n">
        <x:v>0</x:v>
      </x:c>
      <x:c r="L53" s="9" t="str">
        <x:f>IF(J53=1,"PASS","FAIL")</x:f>
        <x:v>PASS</x:v>
      </x:c>
      <x:c r="M53" s="9" t="str">
        <x:f>IF(K53=1,"PASS","OPEN")</x:f>
        <x:v>OPEN</x:v>
      </x:c>
    </x:row>
    <x:row r="54">
      <x:c r="B54" s="9" t="str">
        <x:v>SA5-A-04</x:v>
      </x:c>
      <x:c r="C54" s="9" t="str">
        <x:v>ROOT_A</x:v>
      </x:c>
      <x:c r="D54" s="9" t="str">
        <x:v>SA5</x:v>
      </x:c>
      <x:c r="E54" s="9" t="str">
        <x:v>thermal/evidence</x:v>
      </x:c>
      <x:c r="F54" s="9" t="n">
        <x:v>4</x:v>
      </x:c>
      <x:c r="G54" s="9" t="n">
        <x:v>500</x:v>
      </x:c>
      <x:c r="H54" s="9" t="str">
        <x:v>cycles</x:v>
      </x:c>
      <x:c r="I54" s="9" t="str">
        <x:v>heat balance, articulation, isolation, witnesses</x:v>
      </x:c>
      <x:c r="J54" s="11" t="n">
        <x:v>1</x:v>
      </x:c>
      <x:c r="K54" s="11" t="n">
        <x:v>0</x:v>
      </x:c>
      <x:c r="L54" s="9" t="str">
        <x:f>IF(J54=1,"PASS","FAIL")</x:f>
        <x:v>PASS</x:v>
      </x:c>
      <x:c r="M54" s="9" t="str">
        <x:f>IF(K54=1,"PASS","OPEN")</x:f>
        <x:v>OPEN</x:v>
      </x:c>
    </x:row>
    <x:row r="55">
      <x:c r="B55" s="9" t="str">
        <x:v>SA5-B-01</x:v>
      </x:c>
      <x:c r="C55" s="9" t="str">
        <x:v>ROOT_B</x:v>
      </x:c>
      <x:c r="D55" s="9" t="str">
        <x:v>SA5</x:v>
      </x:c>
      <x:c r="E55" s="9" t="str">
        <x:v>thermal/evidence</x:v>
      </x:c>
      <x:c r="F55" s="9" t="n">
        <x:v>1</x:v>
      </x:c>
      <x:c r="G55" s="9" t="n">
        <x:v>500</x:v>
      </x:c>
      <x:c r="H55" s="9" t="str">
        <x:v>cycles</x:v>
      </x:c>
      <x:c r="I55" s="9" t="str">
        <x:v>heat balance, articulation, isolation, witnesses</x:v>
      </x:c>
      <x:c r="J55" s="11" t="n">
        <x:v>1</x:v>
      </x:c>
      <x:c r="K55" s="11" t="n">
        <x:v>0</x:v>
      </x:c>
      <x:c r="L55" s="9" t="str">
        <x:f>IF(J55=1,"PASS","FAIL")</x:f>
        <x:v>PASS</x:v>
      </x:c>
      <x:c r="M55" s="9" t="str">
        <x:f>IF(K55=1,"PASS","OPEN")</x:f>
        <x:v>OPEN</x:v>
      </x:c>
    </x:row>
    <x:row r="56">
      <x:c r="B56" s="9" t="str">
        <x:v>SA5-B-02</x:v>
      </x:c>
      <x:c r="C56" s="9" t="str">
        <x:v>ROOT_B</x:v>
      </x:c>
      <x:c r="D56" s="9" t="str">
        <x:v>SA5</x:v>
      </x:c>
      <x:c r="E56" s="9" t="str">
        <x:v>thermal/evidence</x:v>
      </x:c>
      <x:c r="F56" s="9" t="n">
        <x:v>2</x:v>
      </x:c>
      <x:c r="G56" s="9" t="n">
        <x:v>500</x:v>
      </x:c>
      <x:c r="H56" s="9" t="str">
        <x:v>cycles</x:v>
      </x:c>
      <x:c r="I56" s="9" t="str">
        <x:v>heat balance, articulation, isolation, witnesses</x:v>
      </x:c>
      <x:c r="J56" s="11" t="n">
        <x:v>1</x:v>
      </x:c>
      <x:c r="K56" s="11" t="n">
        <x:v>0</x:v>
      </x:c>
      <x:c r="L56" s="9" t="str">
        <x:f>IF(J56=1,"PASS","FAIL")</x:f>
        <x:v>PASS</x:v>
      </x:c>
      <x:c r="M56" s="9" t="str">
        <x:f>IF(K56=1,"PASS","OPEN")</x:f>
        <x:v>OPEN</x:v>
      </x:c>
    </x:row>
    <x:row r="57">
      <x:c r="B57" s="9" t="str">
        <x:v>SA5-B-03</x:v>
      </x:c>
      <x:c r="C57" s="9" t="str">
        <x:v>ROOT_B</x:v>
      </x:c>
      <x:c r="D57" s="9" t="str">
        <x:v>SA5</x:v>
      </x:c>
      <x:c r="E57" s="9" t="str">
        <x:v>thermal/evidence</x:v>
      </x:c>
      <x:c r="F57" s="9" t="n">
        <x:v>3</x:v>
      </x:c>
      <x:c r="G57" s="9" t="n">
        <x:v>500</x:v>
      </x:c>
      <x:c r="H57" s="9" t="str">
        <x:v>cycles</x:v>
      </x:c>
      <x:c r="I57" s="9" t="str">
        <x:v>heat balance, articulation, isolation, witnesses</x:v>
      </x:c>
      <x:c r="J57" s="11" t="n">
        <x:v>1</x:v>
      </x:c>
      <x:c r="K57" s="11" t="n">
        <x:v>0</x:v>
      </x:c>
      <x:c r="L57" s="9" t="str">
        <x:f>IF(J57=1,"PASS","FAIL")</x:f>
        <x:v>PASS</x:v>
      </x:c>
      <x:c r="M57" s="9" t="str">
        <x:f>IF(K57=1,"PASS","OPEN")</x:f>
        <x:v>OPEN</x:v>
      </x:c>
    </x:row>
    <x:row r="58">
      <x:c r="B58" s="9" t="str">
        <x:v>SA5-B-04</x:v>
      </x:c>
      <x:c r="C58" s="9" t="str">
        <x:v>ROOT_B</x:v>
      </x:c>
      <x:c r="D58" s="9" t="str">
        <x:v>SA5</x:v>
      </x:c>
      <x:c r="E58" s="9" t="str">
        <x:v>thermal/evidence</x:v>
      </x:c>
      <x:c r="F58" s="9" t="n">
        <x:v>4</x:v>
      </x:c>
      <x:c r="G58" s="9" t="n">
        <x:v>500</x:v>
      </x:c>
      <x:c r="H58" s="9" t="str">
        <x:v>cycles</x:v>
      </x:c>
      <x:c r="I58" s="9" t="str">
        <x:v>heat balance, articulation, isolation, witnesses</x:v>
      </x:c>
      <x:c r="J58" s="11" t="n">
        <x:v>1</x:v>
      </x:c>
      <x:c r="K58" s="11" t="n">
        <x:v>0</x:v>
      </x:c>
      <x:c r="L58" s="9" t="str">
        <x:f>IF(J58=1,"PASS","FAIL")</x:f>
        <x:v>PASS</x:v>
      </x:c>
      <x:c r="M58" s="9" t="str">
        <x:f>IF(K58=1,"PASS","OPEN")</x:f>
        <x:v>OPEN</x:v>
      </x:c>
    </x:row>
    <x:row r="59">
      <x:c r="B59" s="9" t="str">
        <x:v>SA6-A-01</x:v>
      </x:c>
      <x:c r="C59" s="9" t="str">
        <x:v>ROOT_A</x:v>
      </x:c>
      <x:c r="D59" s="9" t="str">
        <x:v>SA6</x:v>
      </x:c>
      <x:c r="E59" s="9" t="str">
        <x:v>energy-ballast rack</x:v>
      </x:c>
      <x:c r="F59" s="9" t="n">
        <x:v>1</x:v>
      </x:c>
      <x:c r="G59" s="9" t="n">
        <x:v>100</x:v>
      </x:c>
      <x:c r="H59" s="9" t="str">
        <x:v>cycles</x:v>
      </x:c>
      <x:c r="I59" s="9" t="str">
        <x:v>mass replacement, separation, imbalance, isolation</x:v>
      </x:c>
      <x:c r="J59" s="11" t="n">
        <x:v>1</x:v>
      </x:c>
      <x:c r="K59" s="11" t="n">
        <x:v>0</x:v>
      </x:c>
      <x:c r="L59" s="9" t="str">
        <x:f>IF(J59=1,"PASS","FAIL")</x:f>
        <x:v>PASS</x:v>
      </x:c>
      <x:c r="M59" s="9" t="str">
        <x:f>IF(K59=1,"PASS","OPEN")</x:f>
        <x:v>OPEN</x:v>
      </x:c>
    </x:row>
    <x:row r="60">
      <x:c r="B60" s="9" t="str">
        <x:v>SA6-A-02</x:v>
      </x:c>
      <x:c r="C60" s="9" t="str">
        <x:v>ROOT_A</x:v>
      </x:c>
      <x:c r="D60" s="9" t="str">
        <x:v>SA6</x:v>
      </x:c>
      <x:c r="E60" s="9" t="str">
        <x:v>energy-ballast rack</x:v>
      </x:c>
      <x:c r="F60" s="9" t="n">
        <x:v>2</x:v>
      </x:c>
      <x:c r="G60" s="9" t="n">
        <x:v>100</x:v>
      </x:c>
      <x:c r="H60" s="9" t="str">
        <x:v>cycles</x:v>
      </x:c>
      <x:c r="I60" s="9" t="str">
        <x:v>mass replacement, separation, imbalance, isolation</x:v>
      </x:c>
      <x:c r="J60" s="11" t="n">
        <x:v>1</x:v>
      </x:c>
      <x:c r="K60" s="11" t="n">
        <x:v>0</x:v>
      </x:c>
      <x:c r="L60" s="9" t="str">
        <x:f>IF(J60=1,"PASS","FAIL")</x:f>
        <x:v>PASS</x:v>
      </x:c>
      <x:c r="M60" s="9" t="str">
        <x:f>IF(K60=1,"PASS","OPEN")</x:f>
        <x:v>OPEN</x:v>
      </x:c>
    </x:row>
    <x:row r="61">
      <x:c r="B61" s="9" t="str">
        <x:v>SA6-A-03</x:v>
      </x:c>
      <x:c r="C61" s="9" t="str">
        <x:v>ROOT_A</x:v>
      </x:c>
      <x:c r="D61" s="9" t="str">
        <x:v>SA6</x:v>
      </x:c>
      <x:c r="E61" s="9" t="str">
        <x:v>energy-ballast rack</x:v>
      </x:c>
      <x:c r="F61" s="9" t="n">
        <x:v>3</x:v>
      </x:c>
      <x:c r="G61" s="9" t="n">
        <x:v>100</x:v>
      </x:c>
      <x:c r="H61" s="9" t="str">
        <x:v>cycles</x:v>
      </x:c>
      <x:c r="I61" s="9" t="str">
        <x:v>mass replacement, separation, imbalance, isolation</x:v>
      </x:c>
      <x:c r="J61" s="11" t="n">
        <x:v>1</x:v>
      </x:c>
      <x:c r="K61" s="11" t="n">
        <x:v>0</x:v>
      </x:c>
      <x:c r="L61" s="9" t="str">
        <x:f>IF(J61=1,"PASS","FAIL")</x:f>
        <x:v>PASS</x:v>
      </x:c>
      <x:c r="M61" s="9" t="str">
        <x:f>IF(K61=1,"PASS","OPEN")</x:f>
        <x:v>OPEN</x:v>
      </x:c>
    </x:row>
    <x:row r="62">
      <x:c r="B62" s="9" t="str">
        <x:v>SA6-A-04</x:v>
      </x:c>
      <x:c r="C62" s="9" t="str">
        <x:v>ROOT_A</x:v>
      </x:c>
      <x:c r="D62" s="9" t="str">
        <x:v>SA6</x:v>
      </x:c>
      <x:c r="E62" s="9" t="str">
        <x:v>energy-ballast rack</x:v>
      </x:c>
      <x:c r="F62" s="9" t="n">
        <x:v>4</x:v>
      </x:c>
      <x:c r="G62" s="9" t="n">
        <x:v>100</x:v>
      </x:c>
      <x:c r="H62" s="9" t="str">
        <x:v>cycles</x:v>
      </x:c>
      <x:c r="I62" s="9" t="str">
        <x:v>mass replacement, separation, imbalance, isolation</x:v>
      </x:c>
      <x:c r="J62" s="11" t="n">
        <x:v>1</x:v>
      </x:c>
      <x:c r="K62" s="11" t="n">
        <x:v>0</x:v>
      </x:c>
      <x:c r="L62" s="9" t="str">
        <x:f>IF(J62=1,"PASS","FAIL")</x:f>
        <x:v>PASS</x:v>
      </x:c>
      <x:c r="M62" s="9" t="str">
        <x:f>IF(K62=1,"PASS","OPEN")</x:f>
        <x:v>OPEN</x:v>
      </x:c>
    </x:row>
    <x:row r="63">
      <x:c r="B63" s="9" t="str">
        <x:v>SA6-A-05</x:v>
      </x:c>
      <x:c r="C63" s="9" t="str">
        <x:v>ROOT_A</x:v>
      </x:c>
      <x:c r="D63" s="9" t="str">
        <x:v>SA6</x:v>
      </x:c>
      <x:c r="E63" s="9" t="str">
        <x:v>energy-ballast rack</x:v>
      </x:c>
      <x:c r="F63" s="9" t="n">
        <x:v>5</x:v>
      </x:c>
      <x:c r="G63" s="9" t="n">
        <x:v>100</x:v>
      </x:c>
      <x:c r="H63" s="9" t="str">
        <x:v>cycles</x:v>
      </x:c>
      <x:c r="I63" s="9" t="str">
        <x:v>mass replacement, separation, imbalance, isolation</x:v>
      </x:c>
      <x:c r="J63" s="11" t="n">
        <x:v>1</x:v>
      </x:c>
      <x:c r="K63" s="11" t="n">
        <x:v>0</x:v>
      </x:c>
      <x:c r="L63" s="9" t="str">
        <x:f>IF(J63=1,"PASS","FAIL")</x:f>
        <x:v>PASS</x:v>
      </x:c>
      <x:c r="M63" s="9" t="str">
        <x:f>IF(K63=1,"PASS","OPEN")</x:f>
        <x:v>OPEN</x:v>
      </x:c>
    </x:row>
    <x:row r="64">
      <x:c r="B64" s="9" t="str">
        <x:v>SA6-A-06</x:v>
      </x:c>
      <x:c r="C64" s="9" t="str">
        <x:v>ROOT_A</x:v>
      </x:c>
      <x:c r="D64" s="9" t="str">
        <x:v>SA6</x:v>
      </x:c>
      <x:c r="E64" s="9" t="str">
        <x:v>energy-ballast rack</x:v>
      </x:c>
      <x:c r="F64" s="9" t="n">
        <x:v>6</x:v>
      </x:c>
      <x:c r="G64" s="9" t="n">
        <x:v>100</x:v>
      </x:c>
      <x:c r="H64" s="9" t="str">
        <x:v>cycles</x:v>
      </x:c>
      <x:c r="I64" s="9" t="str">
        <x:v>mass replacement, separation, imbalance, isolation</x:v>
      </x:c>
      <x:c r="J64" s="11" t="n">
        <x:v>1</x:v>
      </x:c>
      <x:c r="K64" s="11" t="n">
        <x:v>0</x:v>
      </x:c>
      <x:c r="L64" s="9" t="str">
        <x:f>IF(J64=1,"PASS","FAIL")</x:f>
        <x:v>PASS</x:v>
      </x:c>
      <x:c r="M64" s="9" t="str">
        <x:f>IF(K64=1,"PASS","OPEN")</x:f>
        <x:v>OPEN</x:v>
      </x:c>
    </x:row>
    <x:row r="65">
      <x:c r="B65" s="9" t="str">
        <x:v>SA6-B-01</x:v>
      </x:c>
      <x:c r="C65" s="9" t="str">
        <x:v>ROOT_B</x:v>
      </x:c>
      <x:c r="D65" s="9" t="str">
        <x:v>SA6</x:v>
      </x:c>
      <x:c r="E65" s="9" t="str">
        <x:v>energy-ballast rack</x:v>
      </x:c>
      <x:c r="F65" s="9" t="n">
        <x:v>1</x:v>
      </x:c>
      <x:c r="G65" s="9" t="n">
        <x:v>100</x:v>
      </x:c>
      <x:c r="H65" s="9" t="str">
        <x:v>cycles</x:v>
      </x:c>
      <x:c r="I65" s="9" t="str">
        <x:v>mass replacement, separation, imbalance, isolation</x:v>
      </x:c>
      <x:c r="J65" s="11" t="n">
        <x:v>1</x:v>
      </x:c>
      <x:c r="K65" s="11" t="n">
        <x:v>0</x:v>
      </x:c>
      <x:c r="L65" s="9" t="str">
        <x:f>IF(J65=1,"PASS","FAIL")</x:f>
        <x:v>PASS</x:v>
      </x:c>
      <x:c r="M65" s="9" t="str">
        <x:f>IF(K65=1,"PASS","OPEN")</x:f>
        <x:v>OPEN</x:v>
      </x:c>
    </x:row>
    <x:row r="66">
      <x:c r="B66" s="9" t="str">
        <x:v>SA6-B-02</x:v>
      </x:c>
      <x:c r="C66" s="9" t="str">
        <x:v>ROOT_B</x:v>
      </x:c>
      <x:c r="D66" s="9" t="str">
        <x:v>SA6</x:v>
      </x:c>
      <x:c r="E66" s="9" t="str">
        <x:v>energy-ballast rack</x:v>
      </x:c>
      <x:c r="F66" s="9" t="n">
        <x:v>2</x:v>
      </x:c>
      <x:c r="G66" s="9" t="n">
        <x:v>100</x:v>
      </x:c>
      <x:c r="H66" s="9" t="str">
        <x:v>cycles</x:v>
      </x:c>
      <x:c r="I66" s="9" t="str">
        <x:v>mass replacement, separation, imbalance, isolation</x:v>
      </x:c>
      <x:c r="J66" s="11" t="n">
        <x:v>1</x:v>
      </x:c>
      <x:c r="K66" s="11" t="n">
        <x:v>0</x:v>
      </x:c>
      <x:c r="L66" s="9" t="str">
        <x:f>IF(J66=1,"PASS","FAIL")</x:f>
        <x:v>PASS</x:v>
      </x:c>
      <x:c r="M66" s="9" t="str">
        <x:f>IF(K66=1,"PASS","OPEN")</x:f>
        <x:v>OPEN</x:v>
      </x:c>
    </x:row>
    <x:row r="67">
      <x:c r="B67" s="9" t="str">
        <x:v>SA6-B-03</x:v>
      </x:c>
      <x:c r="C67" s="9" t="str">
        <x:v>ROOT_B</x:v>
      </x:c>
      <x:c r="D67" s="9" t="str">
        <x:v>SA6</x:v>
      </x:c>
      <x:c r="E67" s="9" t="str">
        <x:v>energy-ballast rack</x:v>
      </x:c>
      <x:c r="F67" s="9" t="n">
        <x:v>3</x:v>
      </x:c>
      <x:c r="G67" s="9" t="n">
        <x:v>100</x:v>
      </x:c>
      <x:c r="H67" s="9" t="str">
        <x:v>cycles</x:v>
      </x:c>
      <x:c r="I67" s="9" t="str">
        <x:v>mass replacement, separation, imbalance, isolation</x:v>
      </x:c>
      <x:c r="J67" s="11" t="n">
        <x:v>1</x:v>
      </x:c>
      <x:c r="K67" s="11" t="n">
        <x:v>0</x:v>
      </x:c>
      <x:c r="L67" s="9" t="str">
        <x:f>IF(J67=1,"PASS","FAIL")</x:f>
        <x:v>PASS</x:v>
      </x:c>
      <x:c r="M67" s="9" t="str">
        <x:f>IF(K67=1,"PASS","OPEN")</x:f>
        <x:v>OPEN</x:v>
      </x:c>
    </x:row>
    <x:row r="68">
      <x:c r="B68" s="9" t="str">
        <x:v>SA6-B-04</x:v>
      </x:c>
      <x:c r="C68" s="9" t="str">
        <x:v>ROOT_B</x:v>
      </x:c>
      <x:c r="D68" s="9" t="str">
        <x:v>SA6</x:v>
      </x:c>
      <x:c r="E68" s="9" t="str">
        <x:v>energy-ballast rack</x:v>
      </x:c>
      <x:c r="F68" s="9" t="n">
        <x:v>4</x:v>
      </x:c>
      <x:c r="G68" s="9" t="n">
        <x:v>100</x:v>
      </x:c>
      <x:c r="H68" s="9" t="str">
        <x:v>cycles</x:v>
      </x:c>
      <x:c r="I68" s="9" t="str">
        <x:v>mass replacement, separation, imbalance, isolation</x:v>
      </x:c>
      <x:c r="J68" s="11" t="n">
        <x:v>1</x:v>
      </x:c>
      <x:c r="K68" s="11" t="n">
        <x:v>0</x:v>
      </x:c>
      <x:c r="L68" s="9" t="str">
        <x:f>IF(J68=1,"PASS","FAIL")</x:f>
        <x:v>PASS</x:v>
      </x:c>
      <x:c r="M68" s="9" t="str">
        <x:f>IF(K68=1,"PASS","OPEN")</x:f>
        <x:v>OPEN</x:v>
      </x:c>
    </x:row>
    <x:row r="69">
      <x:c r="B69" s="9" t="str">
        <x:v>SA6-B-05</x:v>
      </x:c>
      <x:c r="C69" s="9" t="str">
        <x:v>ROOT_B</x:v>
      </x:c>
      <x:c r="D69" s="9" t="str">
        <x:v>SA6</x:v>
      </x:c>
      <x:c r="E69" s="9" t="str">
        <x:v>energy-ballast rack</x:v>
      </x:c>
      <x:c r="F69" s="9" t="n">
        <x:v>5</x:v>
      </x:c>
      <x:c r="G69" s="9" t="n">
        <x:v>100</x:v>
      </x:c>
      <x:c r="H69" s="9" t="str">
        <x:v>cycles</x:v>
      </x:c>
      <x:c r="I69" s="9" t="str">
        <x:v>mass replacement, separation, imbalance, isolation</x:v>
      </x:c>
      <x:c r="J69" s="11" t="n">
        <x:v>1</x:v>
      </x:c>
      <x:c r="K69" s="11" t="n">
        <x:v>0</x:v>
      </x:c>
      <x:c r="L69" s="9" t="str">
        <x:f>IF(J69=1,"PASS","FAIL")</x:f>
        <x:v>PASS</x:v>
      </x:c>
      <x:c r="M69" s="9" t="str">
        <x:f>IF(K69=1,"PASS","OPEN")</x:f>
        <x:v>OPEN</x:v>
      </x:c>
    </x:row>
    <x:row r="70">
      <x:c r="B70" s="10" t="str">
        <x:v>SA6-B-06</x:v>
      </x:c>
      <x:c r="C70" s="10" t="str">
        <x:v>ROOT_B</x:v>
      </x:c>
      <x:c r="D70" s="10" t="str">
        <x:v>SA6</x:v>
      </x:c>
      <x:c r="E70" s="10" t="str">
        <x:v>energy-ballast rack</x:v>
      </x:c>
      <x:c r="F70" s="10" t="n">
        <x:v>6</x:v>
      </x:c>
      <x:c r="G70" s="10" t="n">
        <x:v>100</x:v>
      </x:c>
      <x:c r="H70" s="10" t="str">
        <x:v>cycles</x:v>
      </x:c>
      <x:c r="I70" s="10" t="str">
        <x:v>mass replacement, separation, imbalance, isolation</x:v>
      </x:c>
      <x:c r="J70" s="12" t="n">
        <x:v>1</x:v>
      </x:c>
      <x:c r="K70" s="12" t="n">
        <x:v>0</x:v>
      </x:c>
      <x:c r="L70" s="10" t="str">
        <x:f>IF(J70=1,"PASS","FAIL")</x:f>
        <x:v>PASS</x:v>
      </x:c>
      <x:c r="M70" s="10" t="str">
        <x:f>IF(K70=1,"PASS","OPEN")</x:f>
        <x:v>OPEN</x:v>
      </x:c>
    </x:row>
  </x:sheetData>
  <x:mergeCells>
    <x:mergeCell ref="B2:M2"/>
    <x:mergeCell ref="B3:M3"/>
  </x:mergeCells>
  <x:conditionalFormatting sqref="L7:M70">
    <x:cfRule type="containsText" dxfId="13" priority="1" operator="containsText" text="PASS"/>
    <x:cfRule type="containsText" dxfId="14" priority="2" operator="containsText" text="AUTHORIZED"/>
    <x:cfRule type="containsText" dxfId="15" priority="3" operator="containsText" text="DEFINED"/>
    <x:cfRule type="containsText" dxfId="16" priority="4" operator="containsText" text="READY"/>
    <x:cfRule type="containsText" dxfId="17" priority="5" operator="containsText" text="HOLD"/>
    <x:cfRule type="containsText" dxfId="18" priority="6" operator="containsText" text="OPEN"/>
    <x:cfRule type="containsText" dxfId="19" priority="7" operator="containsText" text="BLOCKED"/>
    <x:cfRule type="containsText" dxfId="20" priority="8" operator="containsText" text="PLANNING"/>
    <x:cfRule type="containsText" dxfId="21" priority="9" operator="containsText" text="QUARANTINE"/>
    <x:cfRule type="containsText" dxfId="22" priority="10" operator="containsText" text="FAIL"/>
    <x:cfRule type="containsText" dxfId="23" priority="11" operator="containsText" text="REJECT"/>
    <x:cfRule type="containsText" dxfId="24" priority="12" operator="containsText" text="INCOMPLETE"/>
    <x:cfRule type="containsText" dxfId="25" priority="13" operator="containsText" text="STOP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28" hidden="0" customWidth="1"/>
    <x:col min="4" max="4" width="13" hidden="0" customWidth="1"/>
    <x:col min="5" max="5" width="13" hidden="0" customWidth="1"/>
    <x:col min="6" max="6" width="15" hidden="0" customWidth="1"/>
    <x:col min="7" max="7" width="17" hidden="0" customWidth="1"/>
    <x:col min="8" max="8" width="15" hidden="0" customWidth="1"/>
    <x:col min="9" max="9" width="19" hidden="0" customWidth="1"/>
    <x:col min="10" max="10" width="15" hidden="0" customWidth="1"/>
    <x:col min="11" max="11" width="15" hidden="0" customWidth="1"/>
    <x:col min="12" max="12" width="45" hidden="0" customWidth="1"/>
  </x:cols>
  <x:sheetData>
    <x:row r="2">
      <x:c r="B2" s="32" t="str">
        <x:v>Full-scale campaign event matrix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B3" s="33" t="str">
        <x:v>Forty thousand five hundred twenty prescribed events identify mechanisms; they do not establish fleet reliability.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</x:row>
    <x:row r="6">
      <x:c r="B6" s="7" t="str">
        <x:v>Family</x:v>
      </x:c>
      <x:c r="C6" s="7" t="str">
        <x:v>Design</x:v>
      </x:c>
      <x:c r="D6" s="7" t="str">
        <x:v>A serials</x:v>
      </x:c>
      <x:c r="E6" s="7" t="str">
        <x:v>B serials</x:v>
      </x:c>
      <x:c r="F6" s="7" t="str">
        <x:v>Total serials</x:v>
      </x:c>
      <x:c r="G6" s="7" t="str">
        <x:v>Exposure/serial</x:v>
      </x:c>
      <x:c r="H6" s="7" t="str">
        <x:v>Unit</x:v>
      </x:c>
      <x:c r="I6" s="7" t="str">
        <x:v>Calculated events</x:v>
      </x:c>
      <x:c r="J6" s="7" t="str">
        <x:v>Required</x:v>
      </x:c>
      <x:c r="K6" s="7" t="str">
        <x:v>Status</x:v>
      </x:c>
      <x:c r="L6" s="7" t="str">
        <x:v>Inference limit</x:v>
      </x:c>
    </x:row>
    <x:row r="7">
      <x:c r="B7" s="9" t="str">
        <x:v>SA1</x:v>
      </x:c>
      <x:c r="C7" s="9" t="str">
        <x:v>support/reaction node</x:v>
      </x:c>
      <x:c r="D7" s="9" t="n">
        <x:v>4</x:v>
      </x:c>
      <x:c r="E7" s="9" t="n">
        <x:v>4</x:v>
      </x:c>
      <x:c r="F7" s="9" t="n">
        <x:v>8</x:v>
      </x:c>
      <x:c r="G7" s="9" t="n">
        <x:v>200</x:v>
      </x:c>
      <x:c r="H7" s="9" t="str">
        <x:v>load blocks</x:v>
      </x:c>
      <x:c r="I7" s="9" t="n">
        <x:f>F7*G7</x:f>
        <x:v>1600</x:v>
      </x:c>
      <x:c r="J7" s="9" t="n">
        <x:v>1600</x:v>
      </x:c>
      <x:c r="K7" s="9" t="str">
        <x:f>IF(I7=J7,"PASS","FAIL")</x:f>
        <x:v>PASS</x:v>
      </x:c>
      <x:c r="L7" s="9" t="str">
        <x:v>per-serial screen; no life or fleet-rate claim</x:v>
      </x:c>
    </x:row>
    <x:row r="8">
      <x:c r="B8" s="9" t="str">
        <x:v>SA2</x:v>
      </x:c>
      <x:c r="C8" s="9" t="str">
        <x:v>anchor/lift node</x:v>
      </x:c>
      <x:c r="D8" s="9" t="n">
        <x:v>4</x:v>
      </x:c>
      <x:c r="E8" s="9" t="n">
        <x:v>4</x:v>
      </x:c>
      <x:c r="F8" s="9" t="n">
        <x:v>8</x:v>
      </x:c>
      <x:c r="G8" s="9" t="n">
        <x:v>200</x:v>
      </x:c>
      <x:c r="H8" s="9" t="str">
        <x:v>load blocks</x:v>
      </x:c>
      <x:c r="I8" s="9" t="n">
        <x:f>F8*G8</x:f>
        <x:v>1600</x:v>
      </x:c>
      <x:c r="J8" s="9" t="n">
        <x:v>1600</x:v>
      </x:c>
      <x:c r="K8" s="9" t="str">
        <x:f>IF(I8=J8,"PASS","FAIL")</x:f>
        <x:v>PASS</x:v>
      </x:c>
      <x:c r="L8" s="9" t="str">
        <x:v>per-serial screen; no life or fleet-rate claim</x:v>
      </x:c>
    </x:row>
    <x:row r="9">
      <x:c r="B9" s="9" t="str">
        <x:v>SA3</x:v>
      </x:c>
      <x:c r="C9" s="9" t="str">
        <x:v>hydraulic collar</x:v>
      </x:c>
      <x:c r="D9" s="9" t="n">
        <x:v>8</x:v>
      </x:c>
      <x:c r="E9" s="9" t="n">
        <x:v>8</x:v>
      </x:c>
      <x:c r="F9" s="9" t="n">
        <x:v>16</x:v>
      </x:c>
      <x:c r="G9" s="9" t="n">
        <x:v>2000</x:v>
      </x:c>
      <x:c r="H9" s="9" t="str">
        <x:v>cycles</x:v>
      </x:c>
      <x:c r="I9" s="9" t="n">
        <x:f>F9*G9</x:f>
        <x:v>32000</x:v>
      </x:c>
      <x:c r="J9" s="9" t="n">
        <x:v>32000</x:v>
      </x:c>
      <x:c r="K9" s="9" t="str">
        <x:f>IF(I9=J9,"PASS","FAIL")</x:f>
        <x:v>PASS</x:v>
      </x:c>
      <x:c r="L9" s="9" t="str">
        <x:v>per-serial screen; no life or fleet-rate claim</x:v>
      </x:c>
    </x:row>
    <x:row r="10">
      <x:c r="B10" s="9" t="str">
        <x:v>SA4</x:v>
      </x:c>
      <x:c r="C10" s="9" t="str">
        <x:v>bus/protection</x:v>
      </x:c>
      <x:c r="D10" s="9" t="n">
        <x:v>6</x:v>
      </x:c>
      <x:c r="E10" s="9" t="n">
        <x:v>6</x:v>
      </x:c>
      <x:c r="F10" s="9" t="n">
        <x:v>12</x:v>
      </x:c>
      <x:c r="G10" s="9" t="n">
        <x:v>10</x:v>
      </x:c>
      <x:c r="H10" s="9" t="str">
        <x:v>fault shots</x:v>
      </x:c>
      <x:c r="I10" s="9" t="n">
        <x:f>F10*G10</x:f>
        <x:v>120</x:v>
      </x:c>
      <x:c r="J10" s="9" t="n">
        <x:v>120</x:v>
      </x:c>
      <x:c r="K10" s="9" t="str">
        <x:f>IF(I10=J10,"PASS","FAIL")</x:f>
        <x:v>PASS</x:v>
      </x:c>
      <x:c r="L10" s="9" t="str">
        <x:v>per-serial screen; no life or fleet-rate claim</x:v>
      </x:c>
    </x:row>
    <x:row r="11">
      <x:c r="B11" s="9" t="str">
        <x:v>SA5</x:v>
      </x:c>
      <x:c r="C11" s="9" t="str">
        <x:v>thermal/evidence</x:v>
      </x:c>
      <x:c r="D11" s="9" t="n">
        <x:v>4</x:v>
      </x:c>
      <x:c r="E11" s="9" t="n">
        <x:v>4</x:v>
      </x:c>
      <x:c r="F11" s="9" t="n">
        <x:v>8</x:v>
      </x:c>
      <x:c r="G11" s="9" t="n">
        <x:v>500</x:v>
      </x:c>
      <x:c r="H11" s="9" t="str">
        <x:v>cycles</x:v>
      </x:c>
      <x:c r="I11" s="9" t="n">
        <x:f>F11*G11</x:f>
        <x:v>4000</x:v>
      </x:c>
      <x:c r="J11" s="9" t="n">
        <x:v>4000</x:v>
      </x:c>
      <x:c r="K11" s="9" t="str">
        <x:f>IF(I11=J11,"PASS","FAIL")</x:f>
        <x:v>PASS</x:v>
      </x:c>
      <x:c r="L11" s="9" t="str">
        <x:v>per-serial screen; no life or fleet-rate claim</x:v>
      </x:c>
    </x:row>
    <x:row r="12">
      <x:c r="B12" s="9" t="str">
        <x:v>SA6</x:v>
      </x:c>
      <x:c r="C12" s="9" t="str">
        <x:v>energy-ballast rack</x:v>
      </x:c>
      <x:c r="D12" s="9" t="n">
        <x:v>6</x:v>
      </x:c>
      <x:c r="E12" s="9" t="n">
        <x:v>6</x:v>
      </x:c>
      <x:c r="F12" s="9" t="n">
        <x:v>12</x:v>
      </x:c>
      <x:c r="G12" s="9" t="n">
        <x:v>100</x:v>
      </x:c>
      <x:c r="H12" s="9" t="str">
        <x:v>cycles</x:v>
      </x:c>
      <x:c r="I12" s="9" t="n">
        <x:f>F12*G12</x:f>
        <x:v>1200</x:v>
      </x:c>
      <x:c r="J12" s="9" t="n">
        <x:v>1200</x:v>
      </x:c>
      <x:c r="K12" s="9" t="str">
        <x:f>IF(I12=J12,"PASS","FAIL")</x:f>
        <x:v>PASS</x:v>
      </x:c>
      <x:c r="L12" s="9" t="str">
        <x:v>per-serial screen; no life or fleet-rate claim</x:v>
      </x:c>
    </x:row>
    <x:row r="13"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</x:row>
    <x:row r="14"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</x:row>
    <x:row r="15">
      <x:c r="B15" s="17" t="str">
        <x:v>Campaign reconciliation</x:v>
      </x:c>
      <x:c r="C15" s="17" t="str">
        <x:v>Campaign reconciliation</x:v>
      </x:c>
      <x:c r="D15" s="17" t="str">
        <x:v>Campaign reconciliation</x:v>
      </x:c>
      <x:c r="E15" s="17" t="str">
        <x:v>Campaign reconciliation</x:v>
      </x:c>
      <x:c r="F15" s="17" t="str">
        <x:v>Campaign reconciliation</x:v>
      </x:c>
      <x:c r="G15" s="17" t="str">
        <x:v>Campaign reconciliation</x:v>
      </x:c>
      <x:c r="H15" s="17" t="str">
        <x:v>Campaign reconciliation</x:v>
      </x:c>
      <x:c r="I15" s="17" t="str">
        <x:v>Campaign reconciliation</x:v>
      </x:c>
      <x:c r="J15" s="17" t="str">
        <x:v>Campaign reconciliation</x:v>
      </x:c>
      <x:c r="K15" s="17" t="str">
        <x:v>Campaign reconciliation</x:v>
      </x:c>
      <x:c r="L15" s="17" t="str">
        <x:v>Campaign reconciliation</x:v>
      </x:c>
    </x:row>
    <x:row r="16">
      <x:c r="B16" s="7" t="str">
        <x:v>Metric</x:v>
      </x:c>
      <x:c r="C16" s="7" t="str">
        <x:v>Calculated</x:v>
      </x:c>
      <x:c r="D16" s="7" t="str">
        <x:v>Control</x:v>
      </x:c>
      <x:c r="E16" s="7" t="str">
        <x:v>Difference</x:v>
      </x:c>
      <x:c r="F16" s="7" t="str">
        <x:v>Status</x:v>
      </x:c>
      <x:c r="G16" s="9"/>
      <x:c r="H16" s="9"/>
      <x:c r="I16" s="9"/>
      <x:c r="J16" s="9"/>
      <x:c r="K16" s="9"/>
      <x:c r="L16" s="9"/>
    </x:row>
    <x:row r="17">
      <x:c r="B17" s="10" t="str">
        <x:v>all full-scale events</x:v>
      </x:c>
      <x:c r="C17" s="10" t="n">
        <x:f>SUM(I7:I12)</x:f>
        <x:v>40520</x:v>
      </x:c>
      <x:c r="D17" s="10" t="n">
        <x:f>'Controls'!$D$9</x:f>
        <x:v>40520</x:v>
      </x:c>
      <x:c r="E17" s="10" t="n">
        <x:f>C17-D17</x:f>
        <x:v>0</x:v>
      </x:c>
      <x:c r="F17" s="10" t="str">
        <x:f>IF(E17=0,"PASS","FAIL")</x:f>
        <x:v>PASS</x:v>
      </x:c>
      <x:c r="G17" s="10"/>
      <x:c r="H17" s="10"/>
      <x:c r="I17" s="10"/>
      <x:c r="J17" s="10"/>
      <x:c r="K17" s="10"/>
      <x:c r="L17" s="10"/>
    </x:row>
  </x:sheetData>
  <x:mergeCells>
    <x:mergeCell ref="B2:L2"/>
    <x:mergeCell ref="B3:L3"/>
    <x:mergeCell ref="B15:L15"/>
  </x:mergeCells>
  <x:conditionalFormatting sqref="K7:K12">
    <x:cfRule type="containsText" dxfId="26" priority="1" operator="containsText" text="PASS"/>
    <x:cfRule type="containsText" dxfId="27" priority="2" operator="containsText" text="AUTHORIZED"/>
    <x:cfRule type="containsText" dxfId="28" priority="3" operator="containsText" text="DEFINED"/>
    <x:cfRule type="containsText" dxfId="29" priority="4" operator="containsText" text="READY"/>
    <x:cfRule type="containsText" dxfId="30" priority="5" operator="containsText" text="HOLD"/>
    <x:cfRule type="containsText" dxfId="31" priority="6" operator="containsText" text="OPEN"/>
    <x:cfRule type="containsText" dxfId="32" priority="7" operator="containsText" text="BLOCKED"/>
    <x:cfRule type="containsText" dxfId="33" priority="8" operator="containsText" text="PLANNING"/>
    <x:cfRule type="containsText" dxfId="34" priority="9" operator="containsText" text="QUARANTINE"/>
    <x:cfRule type="containsText" dxfId="35" priority="10" operator="containsText" text="FAIL"/>
    <x:cfRule type="containsText" dxfId="36" priority="11" operator="containsText" text="REJECT"/>
    <x:cfRule type="containsText" dxfId="37" priority="12" operator="containsText" text="INCOMPLETE"/>
    <x:cfRule type="containsText" dxfId="38" priority="13" operator="containsText" text="STOP"/>
  </x:conditionalFormatting>
  <x:conditionalFormatting sqref="F17:F17">
    <x:cfRule type="containsText" dxfId="39" priority="14" operator="containsText" text="PASS"/>
    <x:cfRule type="containsText" dxfId="40" priority="15" operator="containsText" text="AUTHORIZED"/>
    <x:cfRule type="containsText" dxfId="41" priority="16" operator="containsText" text="DEFINED"/>
    <x:cfRule type="containsText" dxfId="42" priority="17" operator="containsText" text="READY"/>
    <x:cfRule type="containsText" dxfId="43" priority="18" operator="containsText" text="HOLD"/>
    <x:cfRule type="containsText" dxfId="44" priority="19" operator="containsText" text="OPEN"/>
    <x:cfRule type="containsText" dxfId="45" priority="20" operator="containsText" text="BLOCKED"/>
    <x:cfRule type="containsText" dxfId="46" priority="21" operator="containsText" text="PLANNING"/>
    <x:cfRule type="containsText" dxfId="47" priority="22" operator="containsText" text="QUARANTINE"/>
    <x:cfRule type="containsText" dxfId="48" priority="23" operator="containsText" text="FAIL"/>
    <x:cfRule type="containsText" dxfId="49" priority="24" operator="containsText" text="REJECT"/>
    <x:cfRule type="containsText" dxfId="50" priority="25" operator="containsText" text="INCOMPLETE"/>
    <x:cfRule type="containsText" dxfId="51" priority="26" operator="containsText" text="STOP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14" hidden="0" customWidth="1"/>
    <x:col min="4" max="4" width="11" hidden="0" customWidth="1"/>
    <x:col min="5" max="5" width="48" hidden="0" customWidth="1"/>
    <x:col min="6" max="6" width="42" hidden="0" customWidth="1"/>
    <x:col min="7" max="7" width="48" hidden="0" customWidth="1"/>
    <x:col min="8" max="8" width="13" hidden="0" customWidth="1"/>
    <x:col min="9" max="9" width="12" hidden="0" customWidth="1"/>
    <x:col min="10" max="10" width="15" hidden="0" customWidth="1"/>
    <x:col min="11" max="11" width="15" hidden="0" customWidth="1"/>
  </x:cols>
  <x:sheetData>
    <x:row r="2">
      <x:c r="B2" s="32" t="str">
        <x:v>Fixture boundary-identification experiments</x:v>
      </x:c>
      <x:c r="C2" s="9"/>
      <x:c r="D2" s="9"/>
      <x:c r="E2" s="9"/>
      <x:c r="F2" s="9"/>
      <x:c r="G2" s="9"/>
      <x:c r="H2" s="9"/>
      <x:c r="I2" s="9"/>
      <x:c r="J2" s="9"/>
      <x:c r="K2" s="9"/>
    </x:row>
    <x:row r="3">
      <x:c r="B3" s="33" t="str">
        <x:v>A specimen cannot be judged through an unidentified range.</x:v>
      </x:c>
      <x:c r="C3" s="9"/>
      <x:c r="D3" s="9"/>
      <x:c r="E3" s="9"/>
      <x:c r="F3" s="9"/>
      <x:c r="G3" s="9"/>
      <x:c r="H3" s="9"/>
      <x:c r="I3" s="9"/>
      <x:c r="J3" s="9"/>
      <x:c r="K3" s="9"/>
    </x:row>
    <x:row r="4">
      <x:c r="B4" s="34"/>
      <x:c r="C4" s="34"/>
      <x:c r="D4" s="34"/>
      <x:c r="E4" s="34"/>
      <x:c r="F4" s="34"/>
      <x:c r="G4" s="34"/>
      <x:c r="H4" s="34"/>
      <x:c r="I4" s="34"/>
      <x:c r="J4" s="34"/>
      <x:c r="K4" s="34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</x:row>
    <x:row r="6">
      <x:c r="B6" s="7" t="str">
        <x:v>Cell</x:v>
      </x:c>
      <x:c r="C6" s="7" t="str">
        <x:v>Root</x:v>
      </x:c>
      <x:c r="D6" s="7" t="str">
        <x:v>Family</x:v>
      </x:c>
      <x:c r="E6" s="7" t="str">
        <x:v>Boundary states</x:v>
      </x:c>
      <x:c r="F6" s="7" t="str">
        <x:v>Reference article</x:v>
      </x:c>
      <x:c r="G6" s="7" t="str">
        <x:v>Required result</x:v>
      </x:c>
      <x:c r="H6" s="7" t="str">
        <x:v>Definition</x:v>
      </x:c>
      <x:c r="I6" s="7" t="str">
        <x:v>Source</x:v>
      </x:c>
      <x:c r="J6" s="7" t="str">
        <x:v>Planning</x:v>
      </x:c>
      <x:c r="K6" s="7" t="str">
        <x:v>Physical</x:v>
      </x:c>
    </x:row>
    <x:row r="7">
      <x:c r="B7" s="9" t="str">
        <x:v>SA1-A</x:v>
      </x:c>
      <x:c r="C7" s="9" t="str">
        <x:v>ROOT_A</x:v>
      </x:c>
      <x:c r="D7" s="9" t="str">
        <x:v>SA1</x:v>
      </x:c>
      <x:c r="E7" s="9" t="str">
        <x:v>5/25/100 MN/m; 0/150/300 mm settlement</x:v>
      </x:c>
      <x:c r="F7" s="9" t="str">
        <x:v>calibrated elastic transfer body</x:v>
      </x:c>
      <x:c r="G7" s="9" t="str">
        <x:v>stiffness/cross-axis residual &lt;10% interval</x:v>
      </x:c>
      <x:c r="H7" s="11" t="n">
        <x:v>1</x:v>
      </x:c>
      <x:c r="I7" s="11" t="n">
        <x:v>0</x:v>
      </x:c>
      <x:c r="J7" s="9" t="str">
        <x:f>IF(H7=1,"PASS","FAIL")</x:f>
        <x:v>PASS</x:v>
      </x:c>
      <x:c r="K7" s="9" t="str">
        <x:f>IF(I7=1,"PASS","OPEN")</x:f>
        <x:v>OPEN</x:v>
      </x:c>
    </x:row>
    <x:row r="8">
      <x:c r="B8" s="9" t="str">
        <x:v>SA1-B</x:v>
      </x:c>
      <x:c r="C8" s="9" t="str">
        <x:v>ROOT_B</x:v>
      </x:c>
      <x:c r="D8" s="9" t="str">
        <x:v>SA1</x:v>
      </x:c>
      <x:c r="E8" s="9" t="str">
        <x:v>5/25/100 MN/m; 0/150/300 mm settlement</x:v>
      </x:c>
      <x:c r="F8" s="9" t="str">
        <x:v>calibrated elastic transfer body</x:v>
      </x:c>
      <x:c r="G8" s="9" t="str">
        <x:v>stiffness/cross-axis residual &lt;10% interval</x:v>
      </x:c>
      <x:c r="H8" s="11" t="n">
        <x:v>1</x:v>
      </x:c>
      <x:c r="I8" s="11" t="n">
        <x:v>0</x:v>
      </x:c>
      <x:c r="J8" s="9" t="str">
        <x:f>IF(H8=1,"PASS","FAIL")</x:f>
        <x:v>PASS</x:v>
      </x:c>
      <x:c r="K8" s="9" t="str">
        <x:f>IF(I8=1,"PASS","OPEN")</x:f>
        <x:v>OPEN</x:v>
      </x:c>
    </x:row>
    <x:row r="9">
      <x:c r="B9" s="9" t="str">
        <x:v>SA2-A</x:v>
      </x:c>
      <x:c r="C9" s="9" t="str">
        <x:v>ROOT_A</x:v>
      </x:c>
      <x:c r="D9" s="9" t="str">
        <x:v>SA2</x:v>
      </x:c>
      <x:c r="E9" s="9" t="str">
        <x:v>three load angles; pinned/guided/capture</x:v>
      </x:c>
      <x:c r="F9" s="9" t="str">
        <x:v>six-axis reference link</x:v>
      </x:c>
      <x:c r="G9" s="9" t="str">
        <x:v>force/moment transformation identified</x:v>
      </x:c>
      <x:c r="H9" s="11" t="n">
        <x:v>1</x:v>
      </x:c>
      <x:c r="I9" s="11" t="n">
        <x:v>0</x:v>
      </x:c>
      <x:c r="J9" s="9" t="str">
        <x:f>IF(H9=1,"PASS","FAIL")</x:f>
        <x:v>PASS</x:v>
      </x:c>
      <x:c r="K9" s="9" t="str">
        <x:f>IF(I9=1,"PASS","OPEN")</x:f>
        <x:v>OPEN</x:v>
      </x:c>
    </x:row>
    <x:row r="10">
      <x:c r="B10" s="9" t="str">
        <x:v>SA2-B</x:v>
      </x:c>
      <x:c r="C10" s="9" t="str">
        <x:v>ROOT_B</x:v>
      </x:c>
      <x:c r="D10" s="9" t="str">
        <x:v>SA2</x:v>
      </x:c>
      <x:c r="E10" s="9" t="str">
        <x:v>three load angles; pinned/guided/capture</x:v>
      </x:c>
      <x:c r="F10" s="9" t="str">
        <x:v>six-axis reference link</x:v>
      </x:c>
      <x:c r="G10" s="9" t="str">
        <x:v>force/moment transformation identified</x:v>
      </x:c>
      <x:c r="H10" s="11" t="n">
        <x:v>1</x:v>
      </x:c>
      <x:c r="I10" s="11" t="n">
        <x:v>0</x:v>
      </x:c>
      <x:c r="J10" s="9" t="str">
        <x:f>IF(H10=1,"PASS","FAIL")</x:f>
        <x:v>PASS</x:v>
      </x:c>
      <x:c r="K10" s="9" t="str">
        <x:f>IF(I10=1,"PASS","OPEN")</x:f>
        <x:v>OPEN</x:v>
      </x:c>
    </x:row>
    <x:row r="11">
      <x:c r="B11" s="9" t="str">
        <x:v>SA3-A</x:v>
      </x:c>
      <x:c r="C11" s="9" t="str">
        <x:v>ROOT_A</x:v>
      </x:c>
      <x:c r="D11" s="9" t="str">
        <x:v>SA3</x:v>
      </x:c>
      <x:c r="E11" s="9" t="str">
        <x:v>three compliances; two dead volumes; bend states</x:v>
      </x:c>
      <x:c r="F11" s="9" t="str">
        <x:v>rigid spool and calibrated bladder</x:v>
      </x:c>
      <x:c r="G11" s="9" t="str">
        <x:v>pressure/volume/bend/temperature transfer</x:v>
      </x:c>
      <x:c r="H11" s="11" t="n">
        <x:v>1</x:v>
      </x:c>
      <x:c r="I11" s="11" t="n">
        <x:v>0</x:v>
      </x:c>
      <x:c r="J11" s="9" t="str">
        <x:f>IF(H11=1,"PASS","FAIL")</x:f>
        <x:v>PASS</x:v>
      </x:c>
      <x:c r="K11" s="9" t="str">
        <x:f>IF(I11=1,"PASS","OPEN")</x:f>
        <x:v>OPEN</x:v>
      </x:c>
    </x:row>
    <x:row r="12">
      <x:c r="B12" s="9" t="str">
        <x:v>SA3-B</x:v>
      </x:c>
      <x:c r="C12" s="9" t="str">
        <x:v>ROOT_B</x:v>
      </x:c>
      <x:c r="D12" s="9" t="str">
        <x:v>SA3</x:v>
      </x:c>
      <x:c r="E12" s="9" t="str">
        <x:v>three compliances; two dead volumes; bend states</x:v>
      </x:c>
      <x:c r="F12" s="9" t="str">
        <x:v>rigid spool and calibrated bladder</x:v>
      </x:c>
      <x:c r="G12" s="9" t="str">
        <x:v>pressure/volume/bend/temperature transfer</x:v>
      </x:c>
      <x:c r="H12" s="11" t="n">
        <x:v>1</x:v>
      </x:c>
      <x:c r="I12" s="11" t="n">
        <x:v>0</x:v>
      </x:c>
      <x:c r="J12" s="9" t="str">
        <x:f>IF(H12=1,"PASS","FAIL")</x:f>
        <x:v>PASS</x:v>
      </x:c>
      <x:c r="K12" s="9" t="str">
        <x:f>IF(I12=1,"PASS","OPEN")</x:f>
        <x:v>OPEN</x:v>
      </x:c>
    </x:row>
    <x:row r="13">
      <x:c r="B13" s="9" t="str">
        <x:v>SA4-A</x:v>
      </x:c>
      <x:c r="C13" s="9" t="str">
        <x:v>ROOT_A</x:v>
      </x:c>
      <x:c r="D13" s="9" t="str">
        <x:v>SA4</x:v>
      </x:c>
      <x:c r="E13" s="9" t="str">
        <x:v>low/nominal/challenge source</x:v>
      </x:c>
      <x:c r="F13" s="9" t="str">
        <x:v>short reference and source-impedance injection</x:v>
      </x:c>
      <x:c r="G13" s="9" t="str">
        <x:v>Thevenin equivalent and timing identified</x:v>
      </x:c>
      <x:c r="H13" s="11" t="n">
        <x:v>1</x:v>
      </x:c>
      <x:c r="I13" s="11" t="n">
        <x:v>0</x:v>
      </x:c>
      <x:c r="J13" s="9" t="str">
        <x:f>IF(H13=1,"PASS","FAIL")</x:f>
        <x:v>PASS</x:v>
      </x:c>
      <x:c r="K13" s="9" t="str">
        <x:f>IF(I13=1,"PASS","OPEN")</x:f>
        <x:v>OPEN</x:v>
      </x:c>
    </x:row>
    <x:row r="14">
      <x:c r="B14" s="9" t="str">
        <x:v>SA4-B</x:v>
      </x:c>
      <x:c r="C14" s="9" t="str">
        <x:v>ROOT_B</x:v>
      </x:c>
      <x:c r="D14" s="9" t="str">
        <x:v>SA4</x:v>
      </x:c>
      <x:c r="E14" s="9" t="str">
        <x:v>low/nominal/challenge source</x:v>
      </x:c>
      <x:c r="F14" s="9" t="str">
        <x:v>short reference and source-impedance injection</x:v>
      </x:c>
      <x:c r="G14" s="9" t="str">
        <x:v>Thevenin equivalent and timing identified</x:v>
      </x:c>
      <x:c r="H14" s="11" t="n">
        <x:v>1</x:v>
      </x:c>
      <x:c r="I14" s="11" t="n">
        <x:v>0</x:v>
      </x:c>
      <x:c r="J14" s="9" t="str">
        <x:f>IF(H14=1,"PASS","FAIL")</x:f>
        <x:v>PASS</x:v>
      </x:c>
      <x:c r="K14" s="9" t="str">
        <x:f>IF(I14=1,"PASS","OPEN")</x:f>
        <x:v>OPEN</x:v>
      </x:c>
    </x:row>
    <x:row r="15">
      <x:c r="B15" s="9" t="str">
        <x:v>SA5-A</x:v>
      </x:c>
      <x:c r="C15" s="9" t="str">
        <x:v>ROOT_A</x:v>
      </x:c>
      <x:c r="D15" s="9" t="str">
        <x:v>SA5</x:v>
      </x:c>
      <x:c r="E15" s="9" t="str">
        <x:v>three sink temperatures; two airflow states</x:v>
      </x:c>
      <x:c r="F15" s="9" t="str">
        <x:v>traceable heater and calorimetric loop</x:v>
      </x:c>
      <x:c r="G15" s="9" t="str">
        <x:v>heat balance within assigned uncertainty</x:v>
      </x:c>
      <x:c r="H15" s="11" t="n">
        <x:v>1</x:v>
      </x:c>
      <x:c r="I15" s="11" t="n">
        <x:v>0</x:v>
      </x:c>
      <x:c r="J15" s="9" t="str">
        <x:f>IF(H15=1,"PASS","FAIL")</x:f>
        <x:v>PASS</x:v>
      </x:c>
      <x:c r="K15" s="9" t="str">
        <x:f>IF(I15=1,"PASS","OPEN")</x:f>
        <x:v>OPEN</x:v>
      </x:c>
    </x:row>
    <x:row r="16">
      <x:c r="B16" s="9" t="str">
        <x:v>SA5-B</x:v>
      </x:c>
      <x:c r="C16" s="9" t="str">
        <x:v>ROOT_B</x:v>
      </x:c>
      <x:c r="D16" s="9" t="str">
        <x:v>SA5</x:v>
      </x:c>
      <x:c r="E16" s="9" t="str">
        <x:v>three sink temperatures; two airflow states</x:v>
      </x:c>
      <x:c r="F16" s="9" t="str">
        <x:v>traceable heater and calorimetric loop</x:v>
      </x:c>
      <x:c r="G16" s="9" t="str">
        <x:v>heat balance within assigned uncertainty</x:v>
      </x:c>
      <x:c r="H16" s="11" t="n">
        <x:v>1</x:v>
      </x:c>
      <x:c r="I16" s="11" t="n">
        <x:v>0</x:v>
      </x:c>
      <x:c r="J16" s="9" t="str">
        <x:f>IF(H16=1,"PASS","FAIL")</x:f>
        <x:v>PASS</x:v>
      </x:c>
      <x:c r="K16" s="9" t="str">
        <x:f>IF(I16=1,"PASS","OPEN")</x:f>
        <x:v>OPEN</x:v>
      </x:c>
    </x:row>
    <x:row r="17">
      <x:c r="B17" s="9" t="str">
        <x:v>SA6-A</x:v>
      </x:c>
      <x:c r="C17" s="9" t="str">
        <x:v>ROOT_A</x:v>
      </x:c>
      <x:c r="D17" s="9" t="str">
        <x:v>SA6</x:v>
      </x:c>
      <x:c r="E17" s="9" t="str">
        <x:v>level and ±5° pitch/roll; four support states</x:v>
      </x:c>
      <x:c r="F17" s="9" t="str">
        <x:v>certified masses and metered station transfers</x:v>
      </x:c>
      <x:c r="G17" s="9" t="str">
        <x:v>cross-talk, line inventory, orientation identified</x:v>
      </x:c>
      <x:c r="H17" s="11" t="n">
        <x:v>1</x:v>
      </x:c>
      <x:c r="I17" s="11" t="n">
        <x:v>0</x:v>
      </x:c>
      <x:c r="J17" s="9" t="str">
        <x:f>IF(H17=1,"PASS","FAIL")</x:f>
        <x:v>PASS</x:v>
      </x:c>
      <x:c r="K17" s="9" t="str">
        <x:f>IF(I17=1,"PASS","OPEN")</x:f>
        <x:v>OPEN</x:v>
      </x:c>
    </x:row>
    <x:row r="18">
      <x:c r="B18" s="10" t="str">
        <x:v>SA6-B</x:v>
      </x:c>
      <x:c r="C18" s="10" t="str">
        <x:v>ROOT_B</x:v>
      </x:c>
      <x:c r="D18" s="10" t="str">
        <x:v>SA6</x:v>
      </x:c>
      <x:c r="E18" s="10" t="str">
        <x:v>level and ±5° pitch/roll; four support states</x:v>
      </x:c>
      <x:c r="F18" s="10" t="str">
        <x:v>certified masses and metered station transfers</x:v>
      </x:c>
      <x:c r="G18" s="10" t="str">
        <x:v>cross-talk, line inventory, orientation identified</x:v>
      </x:c>
      <x:c r="H18" s="12" t="n">
        <x:v>1</x:v>
      </x:c>
      <x:c r="I18" s="12" t="n">
        <x:v>0</x:v>
      </x:c>
      <x:c r="J18" s="10" t="str">
        <x:f>IF(H18=1,"PASS","FAIL")</x:f>
        <x:v>PASS</x:v>
      </x:c>
      <x:c r="K18" s="10" t="str">
        <x:f>IF(I18=1,"PASS","OPEN")</x:f>
        <x:v>OPEN</x:v>
      </x:c>
    </x:row>
  </x:sheetData>
  <x:mergeCells>
    <x:mergeCell ref="B2:K2"/>
    <x:mergeCell ref="B3:K3"/>
  </x:mergeCells>
  <x:conditionalFormatting sqref="J7:K18">
    <x:cfRule type="containsText" dxfId="52" priority="1" operator="containsText" text="PASS"/>
    <x:cfRule type="containsText" dxfId="53" priority="2" operator="containsText" text="AUTHORIZED"/>
    <x:cfRule type="containsText" dxfId="54" priority="3" operator="containsText" text="DEFINED"/>
    <x:cfRule type="containsText" dxfId="55" priority="4" operator="containsText" text="READY"/>
    <x:cfRule type="containsText" dxfId="56" priority="5" operator="containsText" text="HOLD"/>
    <x:cfRule type="containsText" dxfId="57" priority="6" operator="containsText" text="OPEN"/>
    <x:cfRule type="containsText" dxfId="58" priority="7" operator="containsText" text="BLOCKED"/>
    <x:cfRule type="containsText" dxfId="59" priority="8" operator="containsText" text="PLANNING"/>
    <x:cfRule type="containsText" dxfId="60" priority="9" operator="containsText" text="QUARANTINE"/>
    <x:cfRule type="containsText" dxfId="61" priority="10" operator="containsText" text="FAIL"/>
    <x:cfRule type="containsText" dxfId="62" priority="11" operator="containsText" text="REJECT"/>
    <x:cfRule type="containsText" dxfId="63" priority="12" operator="containsText" text="INCOMPLETE"/>
    <x:cfRule type="containsText" dxfId="64" priority="13" operator="containsText" text="STOP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8" hidden="0" customWidth="1"/>
    <x:col min="3" max="3" width="15" hidden="0" customWidth="1"/>
    <x:col min="4" max="4" width="52" hidden="0" customWidth="1"/>
    <x:col min="5" max="5" width="12" hidden="0" customWidth="1"/>
    <x:col min="6" max="6" width="16" hidden="0" customWidth="1"/>
    <x:col min="7" max="7" width="4" hidden="0" customWidth="1"/>
    <x:col min="8" max="8" width="32" hidden="0" customWidth="1"/>
    <x:col min="9" max="9" width="18" hidden="0" customWidth="1"/>
    <x:col min="10" max="10" width="18" hidden="0" customWidth="1"/>
    <x:col min="11" max="11" width="16" hidden="0" customWidth="1"/>
    <x:col min="12" max="12" width="18" hidden="0" customWidth="1"/>
    <x:col min="13" max="13" width="14" hidden="0" customWidth="1"/>
    <x:col min="14" max="14" width="34" hidden="0" customWidth="1"/>
  </x:cols>
  <x:sheetData>
    <x:row r="2">
      <x:c r="B2" s="32" t="str">
        <x:v>EBC-1650 four-station rack campaign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>
      <x:c r="B3" s="33" t="str">
        <x:v>One hundred cycles per serial test custody, local balance, unlike barriers and isolation.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</x:row>
    <x:row r="6">
      <x:c r="B6" s="7" t="str">
        <x:v>Cohort</x:v>
      </x:c>
      <x:c r="C6" s="7" t="str">
        <x:v>Cycles/serial</x:v>
      </x:c>
      <x:c r="D6" s="7" t="str">
        <x:v>Condition</x:v>
      </x:c>
      <x:c r="E6" s="7" t="str">
        <x:v>Serials</x:v>
      </x:c>
      <x:c r="F6" s="7" t="str">
        <x:v>Total events</x:v>
      </x:c>
      <x:c r="G6" s="9"/>
      <x:c r="H6" s="17" t="str">
        <x:v>Decision intervals</x:v>
      </x:c>
      <x:c r="I6" s="17" t="str">
        <x:v>Decision intervals</x:v>
      </x:c>
      <x:c r="J6" s="17" t="str">
        <x:v>Decision intervals</x:v>
      </x:c>
      <x:c r="K6" s="17" t="str">
        <x:v>Decision intervals</x:v>
      </x:c>
      <x:c r="L6" s="17" t="str">
        <x:v>Decision intervals</x:v>
      </x:c>
      <x:c r="M6" s="17" t="str">
        <x:v>Decision intervals</x:v>
      </x:c>
      <x:c r="N6" s="17" t="str">
        <x:v>Decision intervals</x:v>
      </x:c>
    </x:row>
    <x:row r="7">
      <x:c r="B7" s="9" t="str">
        <x:v>clean custody</x:v>
      </x:c>
      <x:c r="C7" s="9" t="n">
        <x:v>20</x:v>
      </x:c>
      <x:c r="D7" s="9" t="str">
        <x:v>proportional draw and same-station replacement</x:v>
      </x:c>
      <x:c r="E7" s="9" t="n">
        <x:v>12</x:v>
      </x:c>
      <x:c r="F7" s="9" t="n">
        <x:f>C7*E7</x:f>
        <x:v>240</x:v>
      </x:c>
      <x:c r="G7" s="9"/>
      <x:c r="H7" s="7" t="str">
        <x:v>Quantity</x:v>
      </x:c>
      <x:c r="I7" s="7" t="str">
        <x:v>Threshold/band</x:v>
      </x:c>
      <x:c r="J7" s="7" t="str">
        <x:v>U95 allocation</x:v>
      </x:c>
      <x:c r="K7" s="7" t="str">
        <x:v>Required ratio</x:v>
      </x:c>
      <x:c r="L7" s="7" t="str">
        <x:v>Calculated ratio</x:v>
      </x:c>
      <x:c r="M7" s="7" t="str">
        <x:v>Status</x:v>
      </x:c>
      <x:c r="N7" s="7" t="str">
        <x:v>Safe-state trigger</x:v>
      </x:c>
    </x:row>
    <x:row r="8">
      <x:c r="B8" s="9" t="str">
        <x:v>load/rate steps</x:v>
      </x:c>
      <x:c r="C8" s="9" t="n">
        <x:v>16</x:v>
      </x:c>
      <x:c r="D8" s="9" t="str">
        <x:v>0.6/1.5/2.25/3.0 MW-equivalent states</x:v>
      </x:c>
      <x:c r="E8" s="9" t="n">
        <x:v>12</x:v>
      </x:c>
      <x:c r="F8" s="9" t="n">
        <x:f>C8*E8</x:f>
        <x:v>192</x:v>
      </x:c>
      <x:c r="G8" s="9"/>
      <x:c r="H8" s="9" t="str">
        <x:v>custody discrepancy</x:v>
      </x:c>
      <x:c r="I8" s="18" t="n">
        <x:f>'Controls'!$D$25</x:f>
        <x:v>0.005</x:v>
      </x:c>
      <x:c r="J8" s="18" t="n">
        <x:f>'Controls'!$D$43</x:f>
        <x:v>0.00125</x:v>
      </x:c>
      <x:c r="K8" s="18" t="n">
        <x:f>'Controls'!$D$24</x:f>
        <x:v>4</x:v>
      </x:c>
      <x:c r="L8" s="18" t="n">
        <x:f>I8/J8</x:f>
        <x:v>4</x:v>
      </x:c>
      <x:c r="M8" s="9" t="str">
        <x:f>IF(L8&gt;=K8,"PASS","FAIL")</x:f>
        <x:v>PASS</x:v>
      </x:c>
      <x:c r="N8" s="9" t="str">
        <x:v>meter versus weighing</x:v>
      </x:c>
    </x:row>
    <x:row r="9">
      <x:c r="B9" s="9" t="str">
        <x:v>lag/imbalance</x:v>
      </x:c>
      <x:c r="C9" s="9" t="n">
        <x:v>16</x:v>
      </x:c>
      <x:c r="D9" s="9" t="str">
        <x:v>one station delayed, over-replaced or isolated</x:v>
      </x:c>
      <x:c r="E9" s="9" t="n">
        <x:v>12</x:v>
      </x:c>
      <x:c r="F9" s="9" t="n">
        <x:f>C9*E9</x:f>
        <x:v>192</x:v>
      </x:c>
      <x:c r="G9" s="9"/>
      <x:c r="H9" s="9" t="str">
        <x:v>cassette mass band</x:v>
      </x:c>
      <x:c r="I9" s="18" t="n">
        <x:f>'Controls'!$D$26</x:f>
        <x:v>0.01</x:v>
      </x:c>
      <x:c r="J9" s="18" t="n">
        <x:f>'Controls'!$D$42</x:f>
        <x:v>0.001</x:v>
      </x:c>
      <x:c r="K9" s="18" t="n">
        <x:f>'Controls'!$D$24</x:f>
        <x:v>4</x:v>
      </x:c>
      <x:c r="L9" s="18" t="n">
        <x:f>I9/J9</x:f>
        <x:v>10</x:v>
      </x:c>
      <x:c r="M9" s="9" t="str">
        <x:f>IF(L9&gt;=K9,"PASS","FAIL")</x:f>
        <x:v>PASS</x:v>
      </x:c>
      <x:c r="N9" s="9" t="str">
        <x:v>local error outside band</x:v>
      </x:c>
    </x:row>
    <x:row r="10">
      <x:c r="B10" s="9" t="str">
        <x:v>meter bias</x:v>
      </x:c>
      <x:c r="C10" s="9" t="n">
        <x:v>12</x:v>
      </x:c>
      <x:c r="D10" s="9" t="str">
        <x:v>blinded offsets around 0.005 t</x:v>
      </x:c>
      <x:c r="E10" s="9" t="n">
        <x:v>12</x:v>
      </x:c>
      <x:c r="F10" s="9" t="n">
        <x:f>C10*E10</x:f>
        <x:v>144</x:v>
      </x:c>
      <x:c r="G10" s="9"/>
      <x:c r="H10" s="9" t="str">
        <x:v>cross-cassette imbalance</x:v>
      </x:c>
      <x:c r="I10" s="18" t="n">
        <x:f>'Controls'!$D$27</x:f>
        <x:v>0.02</x:v>
      </x:c>
      <x:c r="J10" s="18" t="n">
        <x:f>'Controls'!$D$42</x:f>
        <x:v>0.001</x:v>
      </x:c>
      <x:c r="K10" s="18" t="n">
        <x:f>'Controls'!$D$24</x:f>
        <x:v>4</x:v>
      </x:c>
      <x:c r="L10" s="18" t="n">
        <x:f>I10/J10</x:f>
        <x:v>20</x:v>
      </x:c>
      <x:c r="M10" s="9" t="str">
        <x:f>IF(L10&gt;=K10,"PASS","FAIL")</x:f>
        <x:v>PASS</x:v>
      </x:c>
      <x:c r="N10" s="9" t="str">
        <x:v>station difference outside band</x:v>
      </x:c>
    </x:row>
    <x:row r="11">
      <x:c r="B11" s="9" t="str">
        <x:v>weighing bias</x:v>
      </x:c>
      <x:c r="C11" s="9" t="n">
        <x:v>12</x:v>
      </x:c>
      <x:c r="D11" s="9" t="str">
        <x:v>blinded zero, scale and cross-talk</x:v>
      </x:c>
      <x:c r="E11" s="9" t="n">
        <x:v>12</x:v>
      </x:c>
      <x:c r="F11" s="9" t="n">
        <x:f>C11*E11</x:f>
        <x:v>144</x:v>
      </x:c>
      <x:c r="G11" s="9"/>
      <x:c r="H11" s="9"/>
      <x:c r="I11" s="9"/>
      <x:c r="J11" s="9"/>
      <x:c r="K11" s="9"/>
      <x:c r="L11" s="9"/>
      <x:c r="M11" s="9"/>
      <x:c r="N11" s="9"/>
    </x:row>
    <x:row r="12">
      <x:c r="B12" s="9" t="str">
        <x:v>valve compatibility</x:v>
      </x:c>
      <x:c r="C12" s="9" t="n">
        <x:v>8</x:v>
      </x:c>
      <x:c r="D12" s="9" t="str">
        <x:v>legal and deliberately incompatible lineups</x:v>
      </x:c>
      <x:c r="E12" s="9" t="n">
        <x:v>12</x:v>
      </x:c>
      <x:c r="F12" s="9" t="n">
        <x:f>C12*E12</x:f>
        <x:v>96</x:v>
      </x:c>
      <x:c r="G12" s="9"/>
      <x:c r="H12" s="9"/>
      <x:c r="I12" s="9"/>
      <x:c r="J12" s="9"/>
      <x:c r="K12" s="9"/>
      <x:c r="L12" s="9"/>
      <x:c r="M12" s="9"/>
      <x:c r="N12" s="9"/>
    </x:row>
    <x:row r="13">
      <x:c r="B13" s="9" t="str">
        <x:v>barrier/interstitial</x:v>
      </x:c>
      <x:c r="C13" s="9" t="n">
        <x:v>8</x:v>
      </x:c>
      <x:c r="D13" s="9" t="str">
        <x:v>bounded leak and barrier-pressure stimuli</x:v>
      </x:c>
      <x:c r="E13" s="9" t="n">
        <x:v>12</x:v>
      </x:c>
      <x:c r="F13" s="9" t="n">
        <x:f>C13*E13</x:f>
        <x:v>96</x:v>
      </x:c>
      <x:c r="G13" s="9"/>
      <x:c r="H13" s="9"/>
      <x:c r="I13" s="9"/>
      <x:c r="J13" s="9"/>
      <x:c r="K13" s="9"/>
      <x:c r="L13" s="9"/>
      <x:c r="M13" s="9"/>
      <x:c r="N13" s="9"/>
    </x:row>
    <x:row r="14">
      <x:c r="B14" s="9" t="str">
        <x:v>power/clock loss</x:v>
      </x:c>
      <x:c r="C14" s="9" t="n">
        <x:v>4</x:v>
      </x:c>
      <x:c r="D14" s="9" t="str">
        <x:v>controller, evidence-power or timing loss</x:v>
      </x:c>
      <x:c r="E14" s="9" t="n">
        <x:v>12</x:v>
      </x:c>
      <x:c r="F14" s="9" t="n">
        <x:f>C14*E14</x:f>
        <x:v>48</x:v>
      </x:c>
      <x:c r="G14" s="9"/>
      <x:c r="H14" s="9"/>
      <x:c r="I14" s="9"/>
      <x:c r="J14" s="9"/>
      <x:c r="K14" s="9"/>
      <x:c r="L14" s="9"/>
      <x:c r="M14" s="9"/>
      <x:c r="N14" s="9"/>
    </x:row>
    <x:row r="15">
      <x:c r="B15" s="9" t="str">
        <x:v>environmental edge</x:v>
      </x:c>
      <x:c r="C15" s="9" t="n">
        <x:v>4</x:v>
      </x:c>
      <x:c r="D15" s="9" t="str">
        <x:v>0°C/45°C and level/±5° orientation</x:v>
      </x:c>
      <x:c r="E15" s="9" t="n">
        <x:v>12</x:v>
      </x:c>
      <x:c r="F15" s="9" t="n">
        <x:f>C15*E15</x:f>
        <x:v>48</x:v>
      </x:c>
      <x:c r="G15" s="9"/>
      <x:c r="H15" s="9"/>
      <x:c r="I15" s="9"/>
      <x:c r="J15" s="9"/>
      <x:c r="K15" s="9"/>
      <x:c r="L15" s="9"/>
      <x:c r="M15" s="9"/>
      <x:c r="N15" s="9"/>
    </x:row>
    <x:row r="16"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</x:row>
    <x:row r="17"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</x:row>
    <x:row r="18">
      <x:c r="B18" s="17" t="str">
        <x:v>Cycle and root reconciliation</x:v>
      </x:c>
      <x:c r="C18" s="17" t="str">
        <x:v>Cycle and root reconciliation</x:v>
      </x:c>
      <x:c r="D18" s="17" t="str">
        <x:v>Cycle and root reconciliation</x:v>
      </x:c>
      <x:c r="E18" s="17" t="str">
        <x:v>Cycle and root reconciliation</x:v>
      </x:c>
      <x:c r="F18" s="17" t="str">
        <x:v>Cycle and root reconciliation</x:v>
      </x:c>
      <x:c r="G18" s="17" t="str">
        <x:v>Cycle and root reconciliation</x:v>
      </x:c>
      <x:c r="H18" s="17" t="str">
        <x:v>Cycle and root reconciliation</x:v>
      </x:c>
      <x:c r="I18" s="17" t="str">
        <x:v>Cycle and root reconciliation</x:v>
      </x:c>
      <x:c r="J18" s="17" t="str">
        <x:v>Cycle and root reconciliation</x:v>
      </x:c>
      <x:c r="K18" s="17" t="str">
        <x:v>Cycle and root reconciliation</x:v>
      </x:c>
      <x:c r="L18" s="17" t="str">
        <x:v>Cycle and root reconciliation</x:v>
      </x:c>
      <x:c r="M18" s="17" t="str">
        <x:v>Cycle and root reconciliation</x:v>
      </x:c>
      <x:c r="N18" s="17" t="str">
        <x:v>Cycle and root reconciliation</x:v>
      </x:c>
    </x:row>
    <x:row r="19">
      <x:c r="B19" s="7" t="str">
        <x:v>Cycles/serial</x:v>
      </x:c>
      <x:c r="C19" s="7" t="str">
        <x:v>Required</x:v>
      </x:c>
      <x:c r="D19" s="7" t="str">
        <x:v>A fuel rate t/h</x:v>
      </x:c>
      <x:c r="E19" s="7" t="str">
        <x:v>B fuel rate t/h</x:v>
      </x:c>
      <x:c r="F19" s="7" t="str">
        <x:v>A eight-hour t</x:v>
      </x:c>
      <x:c r="G19" s="7" t="str">
        <x:v>B eight-hour t</x:v>
      </x:c>
      <x:c r="H19" s="9"/>
      <x:c r="I19" s="9"/>
      <x:c r="J19" s="9"/>
      <x:c r="K19" s="9"/>
      <x:c r="L19" s="9"/>
      <x:c r="M19" s="9"/>
      <x:c r="N19" s="9"/>
    </x:row>
    <x:row r="20">
      <x:c r="B20" s="10" t="n">
        <x:f>SUM(C7:C15)</x:f>
        <x:v>100</x:v>
      </x:c>
      <x:c r="C20" s="10" t="n">
        <x:f>'Controls'!$D$28</x:f>
        <x:v>100</x:v>
      </x:c>
      <x:c r="D20" s="10" t="n">
        <x:v>0.333674</x:v>
      </x:c>
      <x:c r="E20" s="10" t="n">
        <x:v>0.450938</x:v>
      </x:c>
      <x:c r="F20" s="10" t="n">
        <x:v>2.669395</x:v>
      </x:c>
      <x:c r="G20" s="10" t="n">
        <x:v>3.607504</x:v>
      </x:c>
      <x:c r="H20" s="10"/>
      <x:c r="I20" s="10"/>
      <x:c r="J20" s="10"/>
      <x:c r="K20" s="10"/>
      <x:c r="L20" s="10"/>
      <x:c r="M20" s="10"/>
      <x:c r="N20" s="10"/>
    </x:row>
  </x:sheetData>
  <x:mergeCells>
    <x:mergeCell ref="B2:N2"/>
    <x:mergeCell ref="B3:N3"/>
    <x:mergeCell ref="H6:N6"/>
    <x:mergeCell ref="B18:N18"/>
  </x:mergeCells>
  <x:conditionalFormatting sqref="M8:M10">
    <x:cfRule type="containsText" dxfId="65" priority="1" operator="containsText" text="PASS"/>
    <x:cfRule type="containsText" dxfId="66" priority="2" operator="containsText" text="AUTHORIZED"/>
    <x:cfRule type="containsText" dxfId="67" priority="3" operator="containsText" text="DEFINED"/>
    <x:cfRule type="containsText" dxfId="68" priority="4" operator="containsText" text="READY"/>
    <x:cfRule type="containsText" dxfId="69" priority="5" operator="containsText" text="HOLD"/>
    <x:cfRule type="containsText" dxfId="70" priority="6" operator="containsText" text="OPEN"/>
    <x:cfRule type="containsText" dxfId="71" priority="7" operator="containsText" text="BLOCKED"/>
    <x:cfRule type="containsText" dxfId="72" priority="8" operator="containsText" text="PLANNING"/>
    <x:cfRule type="containsText" dxfId="73" priority="9" operator="containsText" text="QUARANTINE"/>
    <x:cfRule type="containsText" dxfId="74" priority="10" operator="containsText" text="FAIL"/>
    <x:cfRule type="containsText" dxfId="75" priority="11" operator="containsText" text="REJECT"/>
    <x:cfRule type="containsText" dxfId="76" priority="12" operator="containsText" text="INCOMPLETE"/>
    <x:cfRule type="containsText" dxfId="77" priority="13" operator="containsText" text="STOP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8" hidden="0" customWidth="1"/>
    <x:col min="3" max="3" width="16" hidden="0" customWidth="1"/>
    <x:col min="4" max="4" width="38" hidden="0" customWidth="1"/>
    <x:col min="5" max="5" width="48" hidden="0" customWidth="1"/>
    <x:col min="6" max="6" width="24" hidden="0" customWidth="1"/>
    <x:col min="7" max="7" width="12" hidden="0" customWidth="1"/>
    <x:col min="8" max="8" width="17" hidden="0" customWidth="1"/>
    <x:col min="9" max="9" width="4" hidden="0" customWidth="1"/>
    <x:col min="10" max="10" width="27" hidden="0" customWidth="1"/>
    <x:col min="11" max="11" width="15" hidden="0" customWidth="1"/>
    <x:col min="12" max="12" width="14" hidden="0" customWidth="1"/>
    <x:col min="13" max="13" width="15" hidden="0" customWidth="1"/>
    <x:col min="14" max="14" width="14" hidden="0" customWidth="1"/>
  </x:cols>
  <x:sheetData>
    <x:row r="2">
      <x:c r="B2" s="32" t="str">
        <x:v>Hydraulic collar pressure–load–sanitation campaign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>
      <x:c r="B3" s="33" t="str">
        <x:v>Two thousand cycles are applied to each of sixteen serials; passing is a screen, not a life claim.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</x:row>
    <x:row r="6">
      <x:c r="B6" s="7" t="str">
        <x:v>Cycle class</x:v>
      </x:c>
      <x:c r="C6" s="7" t="str">
        <x:v>Cycles/serial</x:v>
      </x:c>
      <x:c r="D6" s="7" t="str">
        <x:v>Pressure history</x:v>
      </x:c>
      <x:c r="E6" s="7" t="str">
        <x:v>Mechanical state</x:v>
      </x:c>
      <x:c r="F6" s="7" t="str">
        <x:v>Fluid/environment</x:v>
      </x:c>
      <x:c r="G6" s="7" t="str">
        <x:v>Serials</x:v>
      </x:c>
      <x:c r="H6" s="7" t="str">
        <x:v>Total events</x:v>
      </x:c>
      <x:c r="I6" s="9"/>
      <x:c r="J6" s="17" t="str">
        <x:v>Automatic-stop references</x:v>
      </x:c>
      <x:c r="K6" s="17" t="str">
        <x:v>Automatic-stop references</x:v>
      </x:c>
      <x:c r="L6" s="17" t="str">
        <x:v>Automatic-stop references</x:v>
      </x:c>
      <x:c r="M6" s="17" t="str">
        <x:v>Automatic-stop references</x:v>
      </x:c>
      <x:c r="N6" s="17" t="str">
        <x:v>Automatic-stop references</x:v>
      </x:c>
    </x:row>
    <x:row r="7">
      <x:c r="B7" s="9" t="str">
        <x:v>working</x:v>
      </x:c>
      <x:c r="C7" s="9" t="n">
        <x:v>1800</x:v>
      </x:c>
      <x:c r="D7" s="9" t="str">
        <x:v>0→0.70 MPa; 60 s hold; return</x:v>
      </x:c>
      <x:c r="E7" s="9" t="str">
        <x:v>0/75/125 kN axial; 0/75/125 kN·m bend</x:v>
      </x:c>
      <x:c r="F7" s="9" t="str">
        <x:v>2/20/50°C fluid</x:v>
      </x:c>
      <x:c r="G7" s="9" t="n">
        <x:v>16</x:v>
      </x:c>
      <x:c r="H7" s="9" t="n">
        <x:f>C7*G7</x:f>
        <x:v>28800</x:v>
      </x:c>
      <x:c r="I7" s="9"/>
      <x:c r="J7" s="7" t="str">
        <x:v>Quantity</x:v>
      </x:c>
      <x:c r="K7" s="7" t="str">
        <x:v>Limit</x:v>
      </x:c>
      <x:c r="L7" s="7" t="str">
        <x:v>Unit</x:v>
      </x:c>
      <x:c r="M7" s="7" t="str">
        <x:v>U95</x:v>
      </x:c>
      <x:c r="N7" s="7" t="str">
        <x:v>State</x:v>
      </x:c>
    </x:row>
    <x:row r="8">
      <x:c r="B8" s="9" t="str">
        <x:v>surge</x:v>
      </x:c>
      <x:c r="C8" s="9" t="n">
        <x:v>160</x:v>
      </x:c>
      <x:c r="D8" s="9" t="str">
        <x:v>0.70→0.85 MPa for 5 s</x:v>
      </x:c>
      <x:c r="E8" s="9" t="str">
        <x:v>combined bend and torsion</x:v>
      </x:c>
      <x:c r="F8" s="9" t="str">
        <x:v>blocked environment</x:v>
      </x:c>
      <x:c r="G8" s="9" t="n">
        <x:v>16</x:v>
      </x:c>
      <x:c r="H8" s="9" t="n">
        <x:f>C8*G8</x:f>
        <x:v>2560</x:v>
      </x:c>
      <x:c r="I8" s="9"/>
      <x:c r="J8" s="9" t="str">
        <x:v>pressure</x:v>
      </x:c>
      <x:c r="K8" s="9" t="n">
        <x:v>1.2</x:v>
      </x:c>
      <x:c r="L8" s="9" t="str">
        <x:v>MPa</x:v>
      </x:c>
      <x:c r="M8" s="9" t="n">
        <x:v>0.001</x:v>
      </x:c>
      <x:c r="N8" s="9" t="str">
        <x:f>IF(K8/M8&gt;=4,"PASS","FAIL")</x:f>
        <x:v>PASS</x:v>
      </x:c>
    </x:row>
    <x:row r="9">
      <x:c r="B9" s="9" t="str">
        <x:v>vacuum</x:v>
      </x:c>
      <x:c r="C9" s="9" t="n">
        <x:v>20</x:v>
      </x:c>
      <x:c r="D9" s="9" t="str">
        <x:v>-0.085 MPa for 60 s</x:v>
      </x:c>
      <x:c r="E9" s="9" t="str">
        <x:v>straight and bent</x:v>
      </x:c>
      <x:c r="F9" s="9" t="str">
        <x:v>blocked environment</x:v>
      </x:c>
      <x:c r="G9" s="9" t="n">
        <x:v>16</x:v>
      </x:c>
      <x:c r="H9" s="9" t="n">
        <x:f>C9*G9</x:f>
        <x:v>320</x:v>
      </x:c>
      <x:c r="I9" s="9"/>
      <x:c r="J9" s="9" t="str">
        <x:v>leakage</x:v>
      </x:c>
      <x:c r="K9" s="9" t="n">
        <x:v>1</x:v>
      </x:c>
      <x:c r="L9" s="9" t="str">
        <x:v>L/h</x:v>
      </x:c>
      <x:c r="M9" s="9" t="n">
        <x:v>0.02</x:v>
      </x:c>
      <x:c r="N9" s="9" t="str">
        <x:f>IF(K9/M9&gt;=4,"PASS","FAIL")</x:f>
        <x:v>PASS</x:v>
      </x:c>
    </x:row>
    <x:row r="10">
      <x:c r="B10" s="9" t="str">
        <x:v>proof</x:v>
      </x:c>
      <x:c r="C10" s="9" t="n">
        <x:v>20</x:v>
      </x:c>
      <x:c r="D10" s="9" t="str">
        <x:v>1.05 MPa after major blocks</x:v>
      </x:c>
      <x:c r="E10" s="9" t="str">
        <x:v>released proof state</x:v>
      </x:c>
      <x:c r="F10" s="9" t="str">
        <x:v>post-block</x:v>
      </x:c>
      <x:c r="G10" s="9" t="n">
        <x:v>16</x:v>
      </x:c>
      <x:c r="H10" s="9" t="n">
        <x:f>C10*G10</x:f>
        <x:v>320</x:v>
      </x:c>
      <x:c r="I10" s="9"/>
      <x:c r="J10" s="9" t="str">
        <x:v>axial slip</x:v>
      </x:c>
      <x:c r="K10" s="9" t="n">
        <x:v>0.25</x:v>
      </x:c>
      <x:c r="L10" s="9" t="str">
        <x:v>mm</x:v>
      </x:c>
      <x:c r="M10" s="9" t="n">
        <x:v>0.05</x:v>
      </x:c>
      <x:c r="N10" s="9" t="str">
        <x:f>IF(K10/M10&gt;=4,"PASS","FAIL")</x:f>
        <x:v>PASS</x:v>
      </x:c>
    </x:row>
    <x:row r="11">
      <x:c r="B11" s="9"/>
      <x:c r="C11" s="9"/>
      <x:c r="D11" s="9"/>
      <x:c r="E11" s="9"/>
      <x:c r="F11" s="9"/>
      <x:c r="G11" s="9"/>
      <x:c r="H11" s="9"/>
      <x:c r="I11" s="9"/>
      <x:c r="J11" s="9" t="str">
        <x:v>permanent bore change</x:v>
      </x:c>
      <x:c r="K11" s="9" t="n">
        <x:v>0.1</x:v>
      </x:c>
      <x:c r="L11" s="9" t="str">
        <x:v>mm</x:v>
      </x:c>
      <x:c r="M11" s="9" t="n">
        <x:v>0.025</x:v>
      </x:c>
      <x:c r="N11" s="9" t="str">
        <x:f>IF(K11/M11&gt;=4,"PASS","FAIL")</x:f>
        <x:v>PASS</x:v>
      </x:c>
    </x:row>
    <x:row r="12"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</x:row>
    <x:row r="13"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</x:row>
    <x:row r="14">
      <x:c r="B14" s="17" t="str">
        <x:v>Reconciliation and sanitary boundary</x:v>
      </x:c>
      <x:c r="C14" s="17" t="str">
        <x:v>Reconciliation and sanitary boundary</x:v>
      </x:c>
      <x:c r="D14" s="17" t="str">
        <x:v>Reconciliation and sanitary boundary</x:v>
      </x:c>
      <x:c r="E14" s="17" t="str">
        <x:v>Reconciliation and sanitary boundary</x:v>
      </x:c>
      <x:c r="F14" s="17" t="str">
        <x:v>Reconciliation and sanitary boundary</x:v>
      </x:c>
      <x:c r="G14" s="17" t="str">
        <x:v>Reconciliation and sanitary boundary</x:v>
      </x:c>
      <x:c r="H14" s="17" t="str">
        <x:v>Reconciliation and sanitary boundary</x:v>
      </x:c>
      <x:c r="I14" s="17" t="str">
        <x:v>Reconciliation and sanitary boundary</x:v>
      </x:c>
      <x:c r="J14" s="17" t="str">
        <x:v>Reconciliation and sanitary boundary</x:v>
      </x:c>
      <x:c r="K14" s="17" t="str">
        <x:v>Reconciliation and sanitary boundary</x:v>
      </x:c>
      <x:c r="L14" s="17" t="str">
        <x:v>Reconciliation and sanitary boundary</x:v>
      </x:c>
      <x:c r="M14" s="17" t="str">
        <x:v>Reconciliation and sanitary boundary</x:v>
      </x:c>
      <x:c r="N14" s="17" t="str">
        <x:v>Reconciliation and sanitary boundary</x:v>
      </x:c>
    </x:row>
    <x:row r="15">
      <x:c r="B15" s="7" t="str">
        <x:v>Cycles/serial</x:v>
      </x:c>
      <x:c r="C15" s="7" t="str">
        <x:v>Required</x:v>
      </x:c>
      <x:c r="D15" s="7" t="str">
        <x:v>Total events</x:v>
      </x:c>
      <x:c r="E15" s="7" t="str">
        <x:v>Required events</x:v>
      </x:c>
      <x:c r="F15" s="7" t="str">
        <x:v>Status</x:v>
      </x:c>
      <x:c r="G15" s="9"/>
      <x:c r="H15" s="9" t="str">
        <x:v>Sanitary challenge</x:v>
      </x:c>
      <x:c r="I15" s="9" t="str">
        <x:v>conductive/fluorescent marker; inert microspheres; organic-residue surrogate</x:v>
      </x:c>
      <x:c r="J15" s="9" t="str">
        <x:v>Claim</x:v>
      </x:c>
      <x:c r="K15" s="9" t="str">
        <x:v>cleanability and recovery only; no potability claim</x:v>
      </x:c>
      <x:c r="L15" s="9"/>
      <x:c r="M15" s="9"/>
      <x:c r="N15" s="9"/>
    </x:row>
    <x:row r="16">
      <x:c r="B16" s="10" t="n">
        <x:f>SUM(C7:C10)</x:f>
        <x:v>2000</x:v>
      </x:c>
      <x:c r="C16" s="10" t="n">
        <x:f>'Controls'!$D$29</x:f>
        <x:v>2000</x:v>
      </x:c>
      <x:c r="D16" s="10" t="n">
        <x:f>SUM(H7:H10)</x:f>
        <x:v>32000</x:v>
      </x:c>
      <x:c r="E16" s="10" t="n">
        <x:v>32000</x:v>
      </x:c>
      <x:c r="F16" s="10" t="str">
        <x:f>IF(AND(B16=C16,D16=E16),"PASS","FAIL")</x:f>
        <x:v>PASS</x:v>
      </x:c>
      <x:c r="G16" s="10"/>
      <x:c r="H16" s="10" t="str">
        <x:v>Order</x:v>
      </x:c>
      <x:c r="I16" s="10" t="str">
        <x:v>sample before dye, disassembly or cutting</x:v>
      </x:c>
      <x:c r="J16" s="10" t="str">
        <x:v>Safe state</x:v>
      </x:c>
      <x:c r="K16" s="10" t="str">
        <x:v>isolate both ends; captured dump; mechanical catches</x:v>
      </x:c>
      <x:c r="L16" s="10"/>
      <x:c r="M16" s="10"/>
      <x:c r="N16" s="10"/>
    </x:row>
  </x:sheetData>
  <x:mergeCells>
    <x:mergeCell ref="B2:N2"/>
    <x:mergeCell ref="B3:N3"/>
    <x:mergeCell ref="J6:N6"/>
    <x:mergeCell ref="B14:N14"/>
  </x:mergeCells>
  <x:conditionalFormatting sqref="N8:N11">
    <x:cfRule type="containsText" dxfId="78" priority="1" operator="containsText" text="PASS"/>
    <x:cfRule type="containsText" dxfId="79" priority="2" operator="containsText" text="AUTHORIZED"/>
    <x:cfRule type="containsText" dxfId="80" priority="3" operator="containsText" text="DEFINED"/>
    <x:cfRule type="containsText" dxfId="81" priority="4" operator="containsText" text="READY"/>
    <x:cfRule type="containsText" dxfId="82" priority="5" operator="containsText" text="HOLD"/>
    <x:cfRule type="containsText" dxfId="83" priority="6" operator="containsText" text="OPEN"/>
    <x:cfRule type="containsText" dxfId="84" priority="7" operator="containsText" text="BLOCKED"/>
    <x:cfRule type="containsText" dxfId="85" priority="8" operator="containsText" text="PLANNING"/>
    <x:cfRule type="containsText" dxfId="86" priority="9" operator="containsText" text="QUARANTINE"/>
    <x:cfRule type="containsText" dxfId="87" priority="10" operator="containsText" text="FAIL"/>
    <x:cfRule type="containsText" dxfId="88" priority="11" operator="containsText" text="REJECT"/>
    <x:cfRule type="containsText" dxfId="89" priority="12" operator="containsText" text="INCOMPLETE"/>
    <x:cfRule type="containsText" dxfId="90" priority="13" operator="containsText" text="STOP"/>
  </x:conditionalFormatting>
  <x:conditionalFormatting sqref="F16:F16">
    <x:cfRule type="containsText" dxfId="91" priority="14" operator="containsText" text="PASS"/>
    <x:cfRule type="containsText" dxfId="92" priority="15" operator="containsText" text="AUTHORIZED"/>
    <x:cfRule type="containsText" dxfId="93" priority="16" operator="containsText" text="DEFINED"/>
    <x:cfRule type="containsText" dxfId="94" priority="17" operator="containsText" text="READY"/>
    <x:cfRule type="containsText" dxfId="95" priority="18" operator="containsText" text="HOLD"/>
    <x:cfRule type="containsText" dxfId="96" priority="19" operator="containsText" text="OPEN"/>
    <x:cfRule type="containsText" dxfId="97" priority="20" operator="containsText" text="BLOCKED"/>
    <x:cfRule type="containsText" dxfId="98" priority="21" operator="containsText" text="PLANNING"/>
    <x:cfRule type="containsText" dxfId="99" priority="22" operator="containsText" text="QUARANTINE"/>
    <x:cfRule type="containsText" dxfId="100" priority="23" operator="containsText" text="FAIL"/>
    <x:cfRule type="containsText" dxfId="101" priority="24" operator="containsText" text="REJECT"/>
    <x:cfRule type="containsText" dxfId="102" priority="25" operator="containsText" text="INCOMPLETE"/>
    <x:cfRule type="containsText" dxfId="103" priority="26" operator="containsText" text="STOP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8" hidden="0" customWidth="1"/>
    <x:col min="3" max="3" width="13" hidden="0" customWidth="1"/>
    <x:col min="4" max="4" width="16" hidden="0" customWidth="1"/>
    <x:col min="5" max="5" width="16" hidden="0" customWidth="1"/>
    <x:col min="6" max="6" width="20" hidden="0" customWidth="1"/>
    <x:col min="7" max="7" width="46" hidden="0" customWidth="1"/>
    <x:col min="8" max="8" width="34" hidden="0" customWidth="1"/>
    <x:col min="9" max="9" width="4" hidden="0" customWidth="1"/>
    <x:col min="10" max="10" width="27" hidden="0" customWidth="1"/>
    <x:col min="11" max="11" width="21" hidden="0" customWidth="1"/>
    <x:col min="12" max="12" width="24" hidden="0" customWidth="1"/>
    <x:col min="13" max="13" width="30" hidden="0" customWidth="1"/>
    <x:col min="14" max="14" width="27" hidden="0" customWidth="1"/>
  </x:cols>
  <x:sheetData>
    <x:row r="2">
      <x:c r="B2" s="32" t="str">
        <x:v>Bus, protection and evidence-survival campaign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>
      <x:c r="B3" s="33" t="str">
        <x:v>Six serials per root each receive ten destructive or near-destructive shots across source, type and location.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</x:row>
    <x:row r="6">
      <x:c r="B6" s="7" t="str">
        <x:v>Root</x:v>
      </x:c>
      <x:c r="C6" s="7" t="str">
        <x:v>Serials</x:v>
      </x:c>
      <x:c r="D6" s="7" t="str">
        <x:v>Shots/serial</x:v>
      </x:c>
      <x:c r="E6" s="7" t="str">
        <x:v>Total shots</x:v>
      </x:c>
      <x:c r="F6" s="7" t="str">
        <x:v>Source states</x:v>
      </x:c>
      <x:c r="G6" s="7" t="str">
        <x:v>Fault types</x:v>
      </x:c>
      <x:c r="H6" s="7" t="str">
        <x:v>Locations</x:v>
      </x:c>
      <x:c r="I6" s="7" t="str">
        <x:v>Preconditions</x:v>
      </x:c>
      <x:c r="J6" s="7" t="str">
        <x:v>Source</x:v>
      </x:c>
      <x:c r="K6" s="7" t="str">
        <x:v>Physical</x:v>
      </x:c>
      <x:c r="L6" s="9"/>
      <x:c r="M6" s="9"/>
      <x:c r="N6" s="9"/>
    </x:row>
    <x:row r="7">
      <x:c r="B7" s="9" t="str">
        <x:v>ROOT_A</x:v>
      </x:c>
      <x:c r="C7" s="9" t="n">
        <x:v>6</x:v>
      </x:c>
      <x:c r="D7" s="9" t="n">
        <x:v>10</x:v>
      </x:c>
      <x:c r="E7" s="9" t="n">
        <x:f>C7*D7</x:f>
        <x:v>60</x:v>
      </x:c>
      <x:c r="F7" s="9" t="str">
        <x:v>4/8/12 kA</x:v>
      </x:c>
      <x:c r="G7" s="9" t="str">
        <x:v>phase-ground; phase-phase; three-phase; high impedance</x:v>
      </x:c>
      <x:c r="H7" s="9" t="str">
        <x:v>source/tie/critical/noncritical</x:v>
      </x:c>
      <x:c r="I7" s="9" t="str">
        <x:v>1.5 MW steady; 2.25 MW 10 min; 3.0 MW 10 s</x:v>
      </x:c>
      <x:c r="J7" s="9" t="n">
        <x:v>0</x:v>
      </x:c>
      <x:c r="K7" s="9" t="str">
        <x:v>OPEN</x:v>
      </x:c>
      <x:c r="L7" s="9"/>
      <x:c r="M7" s="9"/>
      <x:c r="N7" s="9"/>
    </x:row>
    <x:row r="8">
      <x:c r="B8" s="9" t="str">
        <x:v>ROOT_B</x:v>
      </x:c>
      <x:c r="C8" s="9" t="n">
        <x:v>6</x:v>
      </x:c>
      <x:c r="D8" s="9" t="n">
        <x:v>10</x:v>
      </x:c>
      <x:c r="E8" s="9" t="n">
        <x:f>C8*D8</x:f>
        <x:v>60</x:v>
      </x:c>
      <x:c r="F8" s="9" t="str">
        <x:v>2.2/4.41/6 kA</x:v>
      </x:c>
      <x:c r="G8" s="9" t="str">
        <x:v>phase-ground; phase-phase; three-phase; high impedance</x:v>
      </x:c>
      <x:c r="H8" s="9" t="str">
        <x:v>source/tie/critical/noncritical</x:v>
      </x:c>
      <x:c r="I8" s="9" t="str">
        <x:v>1.5 MW steady; 2.25 MW 10 min; 3.0 MW 10 s</x:v>
      </x:c>
      <x:c r="J8" s="9" t="n">
        <x:v>0</x:v>
      </x:c>
      <x:c r="K8" s="9" t="str">
        <x:v>OPEN</x:v>
      </x:c>
      <x:c r="L8" s="9"/>
      <x:c r="M8" s="9"/>
      <x:c r="N8" s="9"/>
    </x:row>
    <x:row r="9"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</x:row>
    <x:row r="10"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</x:row>
    <x:row r="11">
      <x:c r="B11" s="17" t="str">
        <x:v>Channels and safe state</x:v>
      </x:c>
      <x:c r="C11" s="17" t="str">
        <x:v>Channels and safe state</x:v>
      </x:c>
      <x:c r="D11" s="17" t="str">
        <x:v>Channels and safe state</x:v>
      </x:c>
      <x:c r="E11" s="17" t="str">
        <x:v>Channels and safe state</x:v>
      </x:c>
      <x:c r="F11" s="17" t="str">
        <x:v>Channels and safe state</x:v>
      </x:c>
      <x:c r="G11" s="17" t="str">
        <x:v>Channels and safe state</x:v>
      </x:c>
      <x:c r="H11" s="17" t="str">
        <x:v>Channels and safe state</x:v>
      </x:c>
      <x:c r="I11" s="17" t="str">
        <x:v>Channels and safe state</x:v>
      </x:c>
      <x:c r="J11" s="17" t="str">
        <x:v>Channels and safe state</x:v>
      </x:c>
      <x:c r="K11" s="17" t="str">
        <x:v>Channels and safe state</x:v>
      </x:c>
      <x:c r="L11" s="17" t="str">
        <x:v>Channels and safe state</x:v>
      </x:c>
      <x:c r="M11" s="17" t="str">
        <x:v>Channels and safe state</x:v>
      </x:c>
      <x:c r="N11" s="17" t="str">
        <x:v>Channels and safe state</x:v>
      </x:c>
    </x:row>
    <x:row r="12">
      <x:c r="B12" s="7" t="str">
        <x:v>Channel</x:v>
      </x:c>
      <x:c r="C12" s="7" t="str">
        <x:v>Range</x:v>
      </x:c>
      <x:c r="D12" s="7" t="str">
        <x:v>Rate</x:v>
      </x:c>
      <x:c r="E12" s="7" t="str">
        <x:v>U95</x:v>
      </x:c>
      <x:c r="F12" s="7" t="str">
        <x:v>Independent reference</x:v>
      </x:c>
      <x:c r="G12" s="7" t="str">
        <x:v>Automatic stop</x:v>
      </x:c>
      <x:c r="H12" s="7" t="str">
        <x:v>Planning state</x:v>
      </x:c>
      <x:c r="I12" s="9"/>
      <x:c r="J12" s="7" t="str">
        <x:v>Safe state</x:v>
      </x:c>
      <x:c r="K12" s="7" t="str">
        <x:v>Clear</x:v>
      </x:c>
      <x:c r="L12" s="7" t="str">
        <x:v>DC condition</x:v>
      </x:c>
      <x:c r="M12" s="7" t="str">
        <x:v>Evidence</x:v>
      </x:c>
      <x:c r="N12" s="7" t="str">
        <x:v>Restart</x:v>
      </x:c>
    </x:row>
    <x:row r="13">
      <x:c r="B13" s="9" t="str">
        <x:v>current</x:v>
      </x:c>
      <x:c r="C13" s="9" t="str">
        <x:v>0–20 kA</x:v>
      </x:c>
      <x:c r="D13" s="9" t="str">
        <x:v>250 ksample/s</x:v>
      </x:c>
      <x:c r="E13" s="9" t="str">
        <x:v>1.0% reading</x:v>
      </x:c>
      <x:c r="F13" s="9" t="str">
        <x:v>dissimilar CT/shunt</x:v>
      </x:c>
      <x:c r="G13" s="9" t="str">
        <x:v>failed clear or saturation</x:v>
      </x:c>
      <x:c r="H13" s="9" t="str">
        <x:v>PASS</x:v>
      </x:c>
      <x:c r="I13" s="9"/>
      <x:c r="J13" s="9" t="str">
        <x:v>upstream isolation</x:v>
      </x:c>
      <x:c r="K13" s="9" t="str">
        <x:v>registered device</x:v>
      </x:c>
      <x:c r="L13" s="9" t="str">
        <x:v>&lt;60 V within 60 s</x:v>
      </x:c>
      <x:c r="M13" s="9" t="str">
        <x:v>two originals sealed</x:v>
      </x:c>
      <x:c r="N13" s="9" t="str">
        <x:v>separate witnessed event</x:v>
      </x:c>
    </x:row>
    <x:row r="14">
      <x:c r="B14" s="9" t="str">
        <x:v>voltage</x:v>
      </x:c>
      <x:c r="C14" s="9" t="str">
        <x:v>0–1 kV</x:v>
      </x:c>
      <x:c r="D14" s="9" t="str">
        <x:v>250 ksample/s</x:v>
      </x:c>
      <x:c r="E14" s="9" t="str">
        <x:v>0.5% reading</x:v>
      </x:c>
      <x:c r="F14" s="9" t="str">
        <x:v>isolated divider</x:v>
      </x:c>
      <x:c r="G14" s="9" t="str">
        <x:v>source envelope exceeded</x:v>
      </x:c>
      <x:c r="H14" s="9" t="str">
        <x:v>PASS</x:v>
      </x:c>
      <x:c r="I14" s="9"/>
      <x:c r="J14" s="9" t="str">
        <x:v>arc/containment</x:v>
      </x:c>
      <x:c r="K14" s="9" t="str">
        <x:v>no further shot</x:v>
      </x:c>
      <x:c r="L14" s="9" t="str">
        <x:v>inspect before access</x:v>
      </x:c>
      <x:c r="M14" s="9" t="str">
        <x:v>independent power survives</x:v>
      </x:c>
      <x:c r="N14" s="9" t="str">
        <x:v>only after release</x:v>
      </x:c>
    </x:row>
    <x:row r="15">
      <x:c r="B15" s="9" t="str">
        <x:v>event time</x:v>
      </x:c>
      <x:c r="C15" s="9" t="str">
        <x:v>campaign UTC</x:v>
      </x:c>
      <x:c r="D15" s="9" t="str">
        <x:v>sub-ms</x:v>
      </x:c>
      <x:c r="E15" s="9" t="str">
        <x:v>0.1 ms</x:v>
      </x:c>
      <x:c r="F15" s="9" t="str">
        <x:v>dissimilar clock</x:v>
      </x:c>
      <x:c r="G15" s="9" t="str">
        <x:v>time disagreement</x:v>
      </x:c>
      <x:c r="H15" s="9" t="str">
        <x:v>PASS</x:v>
      </x:c>
      <x:c r="I15" s="9"/>
      <x:c r="J15" s="9" t="str">
        <x:v>selectivity</x:v>
      </x:c>
      <x:c r="K15" s="9" t="str">
        <x:v>intended layer only</x:v>
      </x:c>
      <x:c r="L15" s="9" t="str">
        <x:v>no upstream loss</x:v>
      </x:c>
      <x:c r="M15" s="9" t="str">
        <x:v>contact and waveform retained</x:v>
      </x:c>
      <x:c r="N15" s="9" t="str">
        <x:v>post-fault configuration</x:v>
      </x:c>
    </x:row>
    <x:row r="16">
      <x:c r="B16" s="10" t="str">
        <x:v>enclosure pressure</x:v>
      </x:c>
      <x:c r="C16" s="10" t="str">
        <x:v>0–50 kPa</x:v>
      </x:c>
      <x:c r="D16" s="10" t="str">
        <x:v>20 ksample/s</x:v>
      </x:c>
      <x:c r="E16" s="10" t="str">
        <x:v>allocated in commissioning</x:v>
      </x:c>
      <x:c r="F16" s="10" t="str">
        <x:v>reference transducer</x:v>
      </x:c>
      <x:c r="G16" s="10" t="str">
        <x:v>containment excursion</x:v>
      </x:c>
      <x:c r="H16" s="10" t="str">
        <x:v>PASS</x:v>
      </x:c>
      <x:c r="I16" s="10"/>
      <x:c r="J16" s="10"/>
      <x:c r="K16" s="10"/>
      <x:c r="L16" s="10"/>
      <x:c r="M16" s="10"/>
      <x:c r="N16" s="10"/>
    </x:row>
  </x:sheetData>
  <x:mergeCells>
    <x:mergeCell ref="B2:N2"/>
    <x:mergeCell ref="B3:N3"/>
    <x:mergeCell ref="B11:N11"/>
  </x:mergeCells>
  <x:conditionalFormatting sqref="J7:J8">
    <x:cfRule type="containsText" dxfId="104" priority="1" operator="containsText" text="PASS"/>
    <x:cfRule type="containsText" dxfId="105" priority="2" operator="containsText" text="AUTHORIZED"/>
    <x:cfRule type="containsText" dxfId="106" priority="3" operator="containsText" text="DEFINED"/>
    <x:cfRule type="containsText" dxfId="107" priority="4" operator="containsText" text="READY"/>
    <x:cfRule type="containsText" dxfId="108" priority="5" operator="containsText" text="HOLD"/>
    <x:cfRule type="containsText" dxfId="109" priority="6" operator="containsText" text="OPEN"/>
    <x:cfRule type="containsText" dxfId="110" priority="7" operator="containsText" text="BLOCKED"/>
    <x:cfRule type="containsText" dxfId="111" priority="8" operator="containsText" text="PLANNING"/>
    <x:cfRule type="containsText" dxfId="112" priority="9" operator="containsText" text="QUARANTINE"/>
    <x:cfRule type="containsText" dxfId="113" priority="10" operator="containsText" text="FAIL"/>
    <x:cfRule type="containsText" dxfId="114" priority="11" operator="containsText" text="REJECT"/>
    <x:cfRule type="containsText" dxfId="115" priority="12" operator="containsText" text="INCOMPLETE"/>
    <x:cfRule type="containsText" dxfId="116" priority="13" operator="containsText" text="STOP"/>
  </x:conditionalFormatting>
  <x:conditionalFormatting sqref="H13:H16">
    <x:cfRule type="containsText" dxfId="117" priority="14" operator="containsText" text="PASS"/>
    <x:cfRule type="containsText" dxfId="118" priority="15" operator="containsText" text="AUTHORIZED"/>
    <x:cfRule type="containsText" dxfId="119" priority="16" operator="containsText" text="DEFINED"/>
    <x:cfRule type="containsText" dxfId="120" priority="17" operator="containsText" text="READY"/>
    <x:cfRule type="containsText" dxfId="121" priority="18" operator="containsText" text="HOLD"/>
    <x:cfRule type="containsText" dxfId="122" priority="19" operator="containsText" text="OPEN"/>
    <x:cfRule type="containsText" dxfId="123" priority="20" operator="containsText" text="BLOCKED"/>
    <x:cfRule type="containsText" dxfId="124" priority="21" operator="containsText" text="PLANNING"/>
    <x:cfRule type="containsText" dxfId="125" priority="22" operator="containsText" text="QUARANTINE"/>
    <x:cfRule type="containsText" dxfId="126" priority="23" operator="containsText" text="FAIL"/>
    <x:cfRule type="containsText" dxfId="127" priority="24" operator="containsText" text="REJECT"/>
    <x:cfRule type="containsText" dxfId="128" priority="25" operator="containsText" text="INCOMPLETE"/>
    <x:cfRule type="containsText" dxfId="129" priority="26" operator="containsText" text="STOP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24" hidden="0" customWidth="1"/>
    <x:col min="4" max="4" width="13" hidden="0" customWidth="1"/>
    <x:col min="5" max="5" width="14" hidden="0" customWidth="1"/>
    <x:col min="6" max="6" width="16" hidden="0" customWidth="1"/>
    <x:col min="7" max="7" width="48" hidden="0" customWidth="1"/>
    <x:col min="8" max="8" width="48" hidden="0" customWidth="1"/>
    <x:col min="9" max="9" width="48" hidden="0" customWidth="1"/>
    <x:col min="10" max="10" width="38" hidden="0" customWidth="1"/>
    <x:col min="11" max="11" width="13" hidden="0" customWidth="1"/>
    <x:col min="12" max="12" width="12" hidden="0" customWidth="1"/>
  </x:cols>
  <x:sheetData>
    <x:row r="2">
      <x:c r="B2" s="32" t="str">
        <x:v>Structural and thermal screening families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B3" s="33" t="str">
        <x:v>Exact challenge histories preserve failure hypotheses while withholding allowables and life claims.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</x:row>
    <x:row r="6">
      <x:c r="B6" s="7" t="str">
        <x:v>Family</x:v>
      </x:c>
      <x:c r="C6" s="7" t="str">
        <x:v>Design</x:v>
      </x:c>
      <x:c r="D6" s="7" t="str">
        <x:v>Serials</x:v>
      </x:c>
      <x:c r="E6" s="7" t="str">
        <x:v>Exposure</x:v>
      </x:c>
      <x:c r="F6" s="7" t="str">
        <x:v>Total events</x:v>
      </x:c>
      <x:c r="G6" s="7" t="str">
        <x:v>Stimulus</x:v>
      </x:c>
      <x:c r="H6" s="7" t="str">
        <x:v>Boundary/environment</x:v>
      </x:c>
      <x:c r="I6" s="7" t="str">
        <x:v>Automatic stop</x:v>
      </x:c>
      <x:c r="J6" s="7" t="str">
        <x:v>Pre/post bracket</x:v>
      </x:c>
      <x:c r="K6" s="7" t="str">
        <x:v>Definition</x:v>
      </x:c>
      <x:c r="L6" s="7" t="str">
        <x:v>Source</x:v>
      </x:c>
    </x:row>
    <x:row r="7">
      <x:c r="B7" s="9" t="str">
        <x:v>SA1</x:v>
      </x:c>
      <x:c r="C7" s="9" t="str">
        <x:v>support/reaction</x:v>
      </x:c>
      <x:c r="D7" s="9" t="n">
        <x:v>8</x:v>
      </x:c>
      <x:c r="E7" s="9" t="n">
        <x:v>200</x:v>
      </x:c>
      <x:c r="F7" s="9" t="n">
        <x:f>D7*E7</x:f>
        <x:v>1600</x:v>
      </x:c>
      <x:c r="G7" s="9" t="str">
        <x:v>0–150 kN; 200 kN proof; ±50 kN; ±75 kN·m</x:v>
      </x:c>
      <x:c r="H7" s="9" t="str">
        <x:v>5/25/100 MN/m; 0/150/300 mm settlement</x:v>
      </x:c>
      <x:c r="I7" s="9" t="str">
        <x:v>stiffness loss, 0.5 mm datum shift</x:v>
      </x:c>
      <x:c r="J7" s="9" t="str">
        <x:v>geometry, zero, NDE, independent reference</x:v>
      </x:c>
      <x:c r="K7" s="9" t="n">
        <x:v>1</x:v>
      </x:c>
      <x:c r="L7" s="9" t="n">
        <x:v>0</x:v>
      </x:c>
    </x:row>
    <x:row r="8">
      <x:c r="B8" s="9" t="str">
        <x:v>SA2</x:v>
      </x:c>
      <x:c r="C8" s="9" t="str">
        <x:v>anchor/lift</x:v>
      </x:c>
      <x:c r="D8" s="9" t="n">
        <x:v>8</x:v>
      </x:c>
      <x:c r="E8" s="9" t="n">
        <x:v>200</x:v>
      </x:c>
      <x:c r="F8" s="9" t="n">
        <x:f>D8*E8</x:f>
        <x:v>1600</x:v>
      </x:c>
      <x:c r="G8" s="9" t="str">
        <x:v>156.757 kN vector; 200 kN proof; three angles</x:v>
      </x:c>
      <x:c r="H8" s="9" t="str">
        <x:v>pinned/guided/capture; one-node lag</x:v>
      </x:c>
      <x:c r="I8" s="9" t="str">
        <x:v>10% redistribution, 0.5 mm slip, capture failure</x:v>
      </x:c>
      <x:c r="J8" s="9" t="str">
        <x:v>geometry, zero, NDE, independent reference</x:v>
      </x:c>
      <x:c r="K8" s="9" t="n">
        <x:v>1</x:v>
      </x:c>
      <x:c r="L8" s="9" t="n">
        <x:v>0</x:v>
      </x:c>
    </x:row>
    <x:row r="9">
      <x:c r="B9" s="10" t="str">
        <x:v>SA5</x:v>
      </x:c>
      <x:c r="C9" s="10" t="str">
        <x:v>thermal/evidence</x:v>
      </x:c>
      <x:c r="D9" s="10" t="n">
        <x:v>8</x:v>
      </x:c>
      <x:c r="E9" s="10" t="n">
        <x:v>500</x:v>
      </x:c>
      <x:c r="F9" s="10" t="n">
        <x:f>D9*E9</x:f>
        <x:v>4000</x:v>
      </x:c>
      <x:c r="G9" s="10" t="str">
        <x:v>A 43.75; B 42.86 kW/m²; 0/50/100/125%</x:v>
      </x:c>
      <x:c r="H9" s="10" t="str">
        <x:v>0/20/45°C; clean/dust/rain; obstructed airflow</x:v>
      </x:c>
      <x:c r="I9" s="10" t="str">
        <x:v>leak, runaway, asymmetry, common evidence loss</x:v>
      </x:c>
      <x:c r="J9" s="10" t="str">
        <x:v>geometry, zero, NDE, independent reference</x:v>
      </x:c>
      <x:c r="K9" s="10" t="n">
        <x:v>1</x:v>
      </x:c>
      <x:c r="L9" s="10" t="n">
        <x:v>0</x:v>
      </x:c>
    </x:row>
  </x:sheetData>
  <x:mergeCells>
    <x:mergeCell ref="B2:L2"/>
    <x:mergeCell ref="B3:L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14" hidden="0" customWidth="1"/>
    <x:col min="4" max="4" width="3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5" hidden="0" customWidth="1"/>
    <x:col min="10" max="10" width="13" hidden="0" customWidth="1"/>
    <x:col min="11" max="11" width="15" hidden="0" customWidth="1"/>
    <x:col min="12" max="12" width="19" hidden="0" customWidth="1"/>
    <x:col min="13" max="13" width="17" hidden="0" customWidth="1"/>
    <x:col min="14" max="14" width="15" hidden="0" customWidth="1"/>
    <x:col min="15" max="15" width="18" hidden="0" customWidth="1"/>
    <x:col min="16" max="16" width="16" hidden="0" customWidth="1"/>
  </x:cols>
  <x:sheetData>
    <x:row r="2">
      <x:c r="B2" s="32" t="str">
        <x:v>Twenty-four controlled-defect admission cells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3">
      <x:c r="B3" s="33" t="str">
        <x:v>Every cell has 29 at-threshold, 29 above, 29 below and 29 clean independent truth objects.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</x:row>
    <x:row r="4"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</x:row>
    <x:row r="6">
      <x:c r="B6" s="7" t="str">
        <x:v>Cell</x:v>
      </x:c>
      <x:c r="C6" s="7" t="str">
        <x:v>Root</x:v>
      </x:c>
      <x:c r="D6" s="7" t="str">
        <x:v>Defect family</x:v>
      </x:c>
      <x:c r="E6" s="7" t="str">
        <x:v>At</x:v>
      </x:c>
      <x:c r="F6" s="7" t="str">
        <x:v>Above</x:v>
      </x:c>
      <x:c r="G6" s="7" t="str">
        <x:v>Below</x:v>
      </x:c>
      <x:c r="H6" s="7" t="str">
        <x:v>Clean</x:v>
      </x:c>
      <x:c r="I6" s="7" t="str">
        <x:v>Total primary</x:v>
      </x:c>
      <x:c r="J6" s="7" t="str">
        <x:v>Secondary</x:v>
      </x:c>
      <x:c r="K6" s="7" t="str">
        <x:v>At successes</x:v>
      </x:c>
      <x:c r="L6" s="7" t="str">
        <x:v>Above successes</x:v>
      </x:c>
      <x:c r="M6" s="7" t="str">
        <x:v>Negative false rejects</x:v>
      </x:c>
      <x:c r="N6" s="7" t="str">
        <x:v>Detection lower</x:v>
      </x:c>
      <x:c r="O6" s="7" t="str">
        <x:v>False upper</x:v>
      </x:c>
      <x:c r="P6" s="7" t="str">
        <x:v>Physical status</x:v>
      </x:c>
    </x:row>
    <x:row r="7">
      <x:c r="B7" s="9" t="str">
        <x:v>DC-01</x:v>
      </x:c>
      <x:c r="C7" s="9" t="str">
        <x:v>ROOT_A</x:v>
      </x:c>
      <x:c r="D7" s="9" t="str">
        <x:v>incomplete fusion</x:v>
      </x:c>
      <x:c r="E7" s="9" t="n">
        <x:v>29</x:v>
      </x:c>
      <x:c r="F7" s="9" t="n">
        <x:v>29</x:v>
      </x:c>
      <x:c r="G7" s="9" t="n">
        <x:v>29</x:v>
      </x:c>
      <x:c r="H7" s="9" t="n">
        <x:v>29</x:v>
      </x:c>
      <x:c r="I7" s="9" t="n">
        <x:f>SUM(E7:H7)</x:f>
        <x:v>116</x:v>
      </x:c>
      <x:c r="J7" s="9" t="n">
        <x:v>116</x:v>
      </x:c>
      <x:c r="K7" s="9" t="n">
        <x:v>0</x:v>
      </x:c>
      <x:c r="L7" s="9" t="n">
        <x:v>0</x:v>
      </x:c>
      <x:c r="M7" s="9" t="n">
        <x:v>0</x:v>
      </x:c>
      <x:c r="N7" s="19" t="n">
        <x:f>POWER(0.05,1/E7)</x:f>
        <x:v>0.9018553723227043</x:v>
      </x:c>
      <x:c r="O7" s="19" t="n">
        <x:f>1-POWER(0.05,1/(G7+H7))</x:f>
        <x:v>0.05033933833042015</x:v>
      </x:c>
      <x:c r="P7" s="9" t="str">
        <x:f>IF(AND(K7=E7,L7=F7,M7=0,N7&gt;='Controls'!$D$44,O7&lt;='Controls'!$D$45),"PASS","OPEN")</x:f>
        <x:v>OPEN</x:v>
      </x:c>
    </x:row>
    <x:row r="8">
      <x:c r="B8" s="9" t="str">
        <x:v>DC-02</x:v>
      </x:c>
      <x:c r="C8" s="9" t="str">
        <x:v>ROOT_A</x:v>
      </x:c>
      <x:c r="D8" s="9" t="str">
        <x:v>planar crack</x:v>
      </x:c>
      <x:c r="E8" s="9" t="n">
        <x:v>29</x:v>
      </x:c>
      <x:c r="F8" s="9" t="n">
        <x:v>29</x:v>
      </x:c>
      <x:c r="G8" s="9" t="n">
        <x:v>29</x:v>
      </x:c>
      <x:c r="H8" s="9" t="n">
        <x:v>29</x:v>
      </x:c>
      <x:c r="I8" s="9" t="n">
        <x:f>SUM(E8:H8)</x:f>
        <x:v>116</x:v>
      </x:c>
      <x:c r="J8" s="9" t="n">
        <x:v>116</x:v>
      </x:c>
      <x:c r="K8" s="9" t="n">
        <x:v>0</x:v>
      </x:c>
      <x:c r="L8" s="9" t="n">
        <x:v>0</x:v>
      </x:c>
      <x:c r="M8" s="9" t="n">
        <x:v>0</x:v>
      </x:c>
      <x:c r="N8" s="19" t="n">
        <x:f>POWER(0.05,1/E8)</x:f>
        <x:v>0.9018553723227043</x:v>
      </x:c>
      <x:c r="O8" s="19" t="n">
        <x:f>1-POWER(0.05,1/(G8+H8))</x:f>
        <x:v>0.05033933833042015</x:v>
      </x:c>
      <x:c r="P8" s="9" t="str">
        <x:f>IF(AND(K8=E8,L8=F8,M8=0,N8&gt;='Controls'!$D$44,O8&lt;='Controls'!$D$45),"PASS","OPEN")</x:f>
        <x:v>OPEN</x:v>
      </x:c>
    </x:row>
    <x:row r="9">
      <x:c r="B9" s="9" t="str">
        <x:v>DC-03</x:v>
      </x:c>
      <x:c r="C9" s="9" t="str">
        <x:v>ROOT_A</x:v>
      </x:c>
      <x:c r="D9" s="9" t="str">
        <x:v>lack of penetration</x:v>
      </x:c>
      <x:c r="E9" s="9" t="n">
        <x:v>29</x:v>
      </x:c>
      <x:c r="F9" s="9" t="n">
        <x:v>29</x:v>
      </x:c>
      <x:c r="G9" s="9" t="n">
        <x:v>29</x:v>
      </x:c>
      <x:c r="H9" s="9" t="n">
        <x:v>29</x:v>
      </x:c>
      <x:c r="I9" s="9" t="n">
        <x:f>SUM(E9:H9)</x:f>
        <x:v>116</x:v>
      </x:c>
      <x:c r="J9" s="9" t="n">
        <x:v>116</x:v>
      </x:c>
      <x:c r="K9" s="9" t="n">
        <x:v>0</x:v>
      </x:c>
      <x:c r="L9" s="9" t="n">
        <x:v>0</x:v>
      </x:c>
      <x:c r="M9" s="9" t="n">
        <x:v>0</x:v>
      </x:c>
      <x:c r="N9" s="19" t="n">
        <x:f>POWER(0.05,1/E9)</x:f>
        <x:v>0.9018553723227043</x:v>
      </x:c>
      <x:c r="O9" s="19" t="n">
        <x:f>1-POWER(0.05,1/(G9+H9))</x:f>
        <x:v>0.05033933833042015</x:v>
      </x:c>
      <x:c r="P9" s="9" t="str">
        <x:f>IF(AND(K9=E9,L9=F9,M9=0,N9&gt;='Controls'!$D$44,O9&lt;='Controls'!$D$45),"PASS","OPEN")</x:f>
        <x:v>OPEN</x:v>
      </x:c>
    </x:row>
    <x:row r="10">
      <x:c r="B10" s="9" t="str">
        <x:v>DC-04</x:v>
      </x:c>
      <x:c r="C10" s="9" t="str">
        <x:v>ROOT_A</x:v>
      </x:c>
      <x:c r="D10" s="9" t="str">
        <x:v>undercut</x:v>
      </x:c>
      <x:c r="E10" s="9" t="n">
        <x:v>29</x:v>
      </x:c>
      <x:c r="F10" s="9" t="n">
        <x:v>29</x:v>
      </x:c>
      <x:c r="G10" s="9" t="n">
        <x:v>29</x:v>
      </x:c>
      <x:c r="H10" s="9" t="n">
        <x:v>29</x:v>
      </x:c>
      <x:c r="I10" s="9" t="n">
        <x:f>SUM(E10:H10)</x:f>
        <x:v>116</x:v>
      </x:c>
      <x:c r="J10" s="9" t="n">
        <x:v>116</x:v>
      </x:c>
      <x:c r="K10" s="9" t="n">
        <x:v>0</x:v>
      </x:c>
      <x:c r="L10" s="9" t="n">
        <x:v>0</x:v>
      </x:c>
      <x:c r="M10" s="9" t="n">
        <x:v>0</x:v>
      </x:c>
      <x:c r="N10" s="19" t="n">
        <x:f>POWER(0.05,1/E10)</x:f>
        <x:v>0.9018553723227043</x:v>
      </x:c>
      <x:c r="O10" s="19" t="n">
        <x:f>1-POWER(0.05,1/(G10+H10))</x:f>
        <x:v>0.05033933833042015</x:v>
      </x:c>
      <x:c r="P10" s="9" t="str">
        <x:f>IF(AND(K10=E10,L10=F10,M10=0,N10&gt;='Controls'!$D$44,O10&lt;='Controls'!$D$45),"PASS","OPEN")</x:f>
        <x:v>OPEN</x:v>
      </x:c>
    </x:row>
    <x:row r="11">
      <x:c r="B11" s="9" t="str">
        <x:v>DC-05</x:v>
      </x:c>
      <x:c r="C11" s="9" t="str">
        <x:v>ROOT_A</x:v>
      </x:c>
      <x:c r="D11" s="9" t="str">
        <x:v>pore cluster</x:v>
      </x:c>
      <x:c r="E11" s="9" t="n">
        <x:v>29</x:v>
      </x:c>
      <x:c r="F11" s="9" t="n">
        <x:v>29</x:v>
      </x:c>
      <x:c r="G11" s="9" t="n">
        <x:v>29</x:v>
      </x:c>
      <x:c r="H11" s="9" t="n">
        <x:v>29</x:v>
      </x:c>
      <x:c r="I11" s="9" t="n">
        <x:f>SUM(E11:H11)</x:f>
        <x:v>116</x:v>
      </x:c>
      <x:c r="J11" s="9" t="n">
        <x:v>116</x:v>
      </x:c>
      <x:c r="K11" s="9" t="n">
        <x:v>0</x:v>
      </x:c>
      <x:c r="L11" s="9" t="n">
        <x:v>0</x:v>
      </x:c>
      <x:c r="M11" s="9" t="n">
        <x:v>0</x:v>
      </x:c>
      <x:c r="N11" s="19" t="n">
        <x:f>POWER(0.05,1/E11)</x:f>
        <x:v>0.9018553723227043</x:v>
      </x:c>
      <x:c r="O11" s="19" t="n">
        <x:f>1-POWER(0.05,1/(G11+H11))</x:f>
        <x:v>0.05033933833042015</x:v>
      </x:c>
      <x:c r="P11" s="9" t="str">
        <x:f>IF(AND(K11=E11,L11=F11,M11=0,N11&gt;='Controls'!$D$44,O11&lt;='Controls'!$D$45),"PASS","OPEN")</x:f>
        <x:v>OPEN</x:v>
      </x:c>
    </x:row>
    <x:row r="12">
      <x:c r="B12" s="9" t="str">
        <x:v>DC-06</x:v>
      </x:c>
      <x:c r="C12" s="9" t="str">
        <x:v>ROOT_A</x:v>
      </x:c>
      <x:c r="D12" s="9" t="str">
        <x:v>collar groove error</x:v>
      </x:c>
      <x:c r="E12" s="9" t="n">
        <x:v>29</x:v>
      </x:c>
      <x:c r="F12" s="9" t="n">
        <x:v>29</x:v>
      </x:c>
      <x:c r="G12" s="9" t="n">
        <x:v>29</x:v>
      </x:c>
      <x:c r="H12" s="9" t="n">
        <x:v>29</x:v>
      </x:c>
      <x:c r="I12" s="9" t="n">
        <x:f>SUM(E12:H12)</x:f>
        <x:v>116</x:v>
      </x:c>
      <x:c r="J12" s="9" t="n">
        <x:v>116</x:v>
      </x:c>
      <x:c r="K12" s="9" t="n">
        <x:v>0</x:v>
      </x:c>
      <x:c r="L12" s="9" t="n">
        <x:v>0</x:v>
      </x:c>
      <x:c r="M12" s="9" t="n">
        <x:v>0</x:v>
      </x:c>
      <x:c r="N12" s="19" t="n">
        <x:f>POWER(0.05,1/E12)</x:f>
        <x:v>0.9018553723227043</x:v>
      </x:c>
      <x:c r="O12" s="19" t="n">
        <x:f>1-POWER(0.05,1/(G12+H12))</x:f>
        <x:v>0.05033933833042015</x:v>
      </x:c>
      <x:c r="P12" s="9" t="str">
        <x:f>IF(AND(K12=E12,L12=F12,M12=0,N12&gt;='Controls'!$D$44,O12&lt;='Controls'!$D$45),"PASS","OPEN")</x:f>
        <x:v>OPEN</x:v>
      </x:c>
    </x:row>
    <x:row r="13">
      <x:c r="B13" s="9" t="str">
        <x:v>DC-07</x:v>
      </x:c>
      <x:c r="C13" s="9" t="str">
        <x:v>ROOT_A</x:v>
      </x:c>
      <x:c r="D13" s="9" t="str">
        <x:v>seal damage</x:v>
      </x:c>
      <x:c r="E13" s="9" t="n">
        <x:v>29</x:v>
      </x:c>
      <x:c r="F13" s="9" t="n">
        <x:v>29</x:v>
      </x:c>
      <x:c r="G13" s="9" t="n">
        <x:v>29</x:v>
      </x:c>
      <x:c r="H13" s="9" t="n">
        <x:v>29</x:v>
      </x:c>
      <x:c r="I13" s="9" t="n">
        <x:f>SUM(E13:H13)</x:f>
        <x:v>116</x:v>
      </x:c>
      <x:c r="J13" s="9" t="n">
        <x:v>116</x:v>
      </x:c>
      <x:c r="K13" s="9" t="n">
        <x:v>0</x:v>
      </x:c>
      <x:c r="L13" s="9" t="n">
        <x:v>0</x:v>
      </x:c>
      <x:c r="M13" s="9" t="n">
        <x:v>0</x:v>
      </x:c>
      <x:c r="N13" s="19" t="n">
        <x:f>POWER(0.05,1/E13)</x:f>
        <x:v>0.9018553723227043</x:v>
      </x:c>
      <x:c r="O13" s="19" t="n">
        <x:f>1-POWER(0.05,1/(G13+H13))</x:f>
        <x:v>0.05033933833042015</x:v>
      </x:c>
      <x:c r="P13" s="9" t="str">
        <x:f>IF(AND(K13=E13,L13=F13,M13=0,N13&gt;='Controls'!$D$44,O13&lt;='Controls'!$D$45),"PASS","OPEN")</x:f>
        <x:v>OPEN</x:v>
      </x:c>
    </x:row>
    <x:row r="14">
      <x:c r="B14" s="9" t="str">
        <x:v>DC-08</x:v>
      </x:c>
      <x:c r="C14" s="9" t="str">
        <x:v>ROOT_A</x:v>
      </x:c>
      <x:c r="D14" s="9" t="str">
        <x:v>bolt preload loss</x:v>
      </x:c>
      <x:c r="E14" s="9" t="n">
        <x:v>29</x:v>
      </x:c>
      <x:c r="F14" s="9" t="n">
        <x:v>29</x:v>
      </x:c>
      <x:c r="G14" s="9" t="n">
        <x:v>29</x:v>
      </x:c>
      <x:c r="H14" s="9" t="n">
        <x:v>29</x:v>
      </x:c>
      <x:c r="I14" s="9" t="n">
        <x:f>SUM(E14:H14)</x:f>
        <x:v>116</x:v>
      </x:c>
      <x:c r="J14" s="9" t="n">
        <x:v>116</x:v>
      </x:c>
      <x:c r="K14" s="9" t="n">
        <x:v>0</x:v>
      </x:c>
      <x:c r="L14" s="9" t="n">
        <x:v>0</x:v>
      </x:c>
      <x:c r="M14" s="9" t="n">
        <x:v>0</x:v>
      </x:c>
      <x:c r="N14" s="19" t="n">
        <x:f>POWER(0.05,1/E14)</x:f>
        <x:v>0.9018553723227043</x:v>
      </x:c>
      <x:c r="O14" s="19" t="n">
        <x:f>1-POWER(0.05,1/(G14+H14))</x:f>
        <x:v>0.05033933833042015</x:v>
      </x:c>
      <x:c r="P14" s="9" t="str">
        <x:f>IF(AND(K14=E14,L14=F14,M14=0,N14&gt;='Controls'!$D$44,O14&lt;='Controls'!$D$45),"PASS","OPEN")</x:f>
        <x:v>OPEN</x:v>
      </x:c>
    </x:row>
    <x:row r="15">
      <x:c r="B15" s="9" t="str">
        <x:v>DC-09</x:v>
      </x:c>
      <x:c r="C15" s="9" t="str">
        <x:v>ROOT_A</x:v>
      </x:c>
      <x:c r="D15" s="9" t="str">
        <x:v>passivation residue</x:v>
      </x:c>
      <x:c r="E15" s="9" t="n">
        <x:v>29</x:v>
      </x:c>
      <x:c r="F15" s="9" t="n">
        <x:v>29</x:v>
      </x:c>
      <x:c r="G15" s="9" t="n">
        <x:v>29</x:v>
      </x:c>
      <x:c r="H15" s="9" t="n">
        <x:v>29</x:v>
      </x:c>
      <x:c r="I15" s="9" t="n">
        <x:f>SUM(E15:H15)</x:f>
        <x:v>116</x:v>
      </x:c>
      <x:c r="J15" s="9" t="n">
        <x:v>116</x:v>
      </x:c>
      <x:c r="K15" s="9" t="n">
        <x:v>0</x:v>
      </x:c>
      <x:c r="L15" s="9" t="n">
        <x:v>0</x:v>
      </x:c>
      <x:c r="M15" s="9" t="n">
        <x:v>0</x:v>
      </x:c>
      <x:c r="N15" s="19" t="n">
        <x:f>POWER(0.05,1/E15)</x:f>
        <x:v>0.9018553723227043</x:v>
      </x:c>
      <x:c r="O15" s="19" t="n">
        <x:f>1-POWER(0.05,1/(G15+H15))</x:f>
        <x:v>0.05033933833042015</x:v>
      </x:c>
      <x:c r="P15" s="9" t="str">
        <x:f>IF(AND(K15=E15,L15=F15,M15=0,N15&gt;='Controls'!$D$44,O15&lt;='Controls'!$D$45),"PASS","OPEN")</x:f>
        <x:v>OPEN</x:v>
      </x:c>
    </x:row>
    <x:row r="16">
      <x:c r="B16" s="9" t="str">
        <x:v>DC-10</x:v>
      </x:c>
      <x:c r="C16" s="9" t="str">
        <x:v>ROOT_A</x:v>
      </x:c>
      <x:c r="D16" s="9" t="str">
        <x:v>high-resistance contact</x:v>
      </x:c>
      <x:c r="E16" s="9" t="n">
        <x:v>29</x:v>
      </x:c>
      <x:c r="F16" s="9" t="n">
        <x:v>29</x:v>
      </x:c>
      <x:c r="G16" s="9" t="n">
        <x:v>29</x:v>
      </x:c>
      <x:c r="H16" s="9" t="n">
        <x:v>29</x:v>
      </x:c>
      <x:c r="I16" s="9" t="n">
        <x:f>SUM(E16:H16)</x:f>
        <x:v>116</x:v>
      </x:c>
      <x:c r="J16" s="9" t="n">
        <x:v>116</x:v>
      </x:c>
      <x:c r="K16" s="9" t="n">
        <x:v>0</x:v>
      </x:c>
      <x:c r="L16" s="9" t="n">
        <x:v>0</x:v>
      </x:c>
      <x:c r="M16" s="9" t="n">
        <x:v>0</x:v>
      </x:c>
      <x:c r="N16" s="19" t="n">
        <x:f>POWER(0.05,1/E16)</x:f>
        <x:v>0.9018553723227043</x:v>
      </x:c>
      <x:c r="O16" s="19" t="n">
        <x:f>1-POWER(0.05,1/(G16+H16))</x:f>
        <x:v>0.05033933833042015</x:v>
      </x:c>
      <x:c r="P16" s="9" t="str">
        <x:f>IF(AND(K16=E16,L16=F16,M16=0,N16&gt;='Controls'!$D$44,O16&lt;='Controls'!$D$45),"PASS","OPEN")</x:f>
        <x:v>OPEN</x:v>
      </x:c>
    </x:row>
    <x:row r="17">
      <x:c r="B17" s="9" t="str">
        <x:v>DC-11</x:v>
      </x:c>
      <x:c r="C17" s="9" t="str">
        <x:v>ROOT_A</x:v>
      </x:c>
      <x:c r="D17" s="9" t="str">
        <x:v>pipe wall thinning</x:v>
      </x:c>
      <x:c r="E17" s="9" t="n">
        <x:v>29</x:v>
      </x:c>
      <x:c r="F17" s="9" t="n">
        <x:v>29</x:v>
      </x:c>
      <x:c r="G17" s="9" t="n">
        <x:v>29</x:v>
      </x:c>
      <x:c r="H17" s="9" t="n">
        <x:v>29</x:v>
      </x:c>
      <x:c r="I17" s="9" t="n">
        <x:f>SUM(E17:H17)</x:f>
        <x:v>116</x:v>
      </x:c>
      <x:c r="J17" s="9" t="n">
        <x:v>116</x:v>
      </x:c>
      <x:c r="K17" s="9" t="n">
        <x:v>0</x:v>
      </x:c>
      <x:c r="L17" s="9" t="n">
        <x:v>0</x:v>
      </x:c>
      <x:c r="M17" s="9" t="n">
        <x:v>0</x:v>
      </x:c>
      <x:c r="N17" s="19" t="n">
        <x:f>POWER(0.05,1/E17)</x:f>
        <x:v>0.9018553723227043</x:v>
      </x:c>
      <x:c r="O17" s="19" t="n">
        <x:f>1-POWER(0.05,1/(G17+H17))</x:f>
        <x:v>0.05033933833042015</x:v>
      </x:c>
      <x:c r="P17" s="9" t="str">
        <x:f>IF(AND(K17=E17,L17=F17,M17=0,N17&gt;='Controls'!$D$44,O17&lt;='Controls'!$D$45),"PASS","OPEN")</x:f>
        <x:v>OPEN</x:v>
      </x:c>
    </x:row>
    <x:row r="18">
      <x:c r="B18" s="9" t="str">
        <x:v>DC-12</x:v>
      </x:c>
      <x:c r="C18" s="9" t="str">
        <x:v>ROOT_A</x:v>
      </x:c>
      <x:c r="D18" s="9" t="str">
        <x:v>valve-seat defect</x:v>
      </x:c>
      <x:c r="E18" s="9" t="n">
        <x:v>29</x:v>
      </x:c>
      <x:c r="F18" s="9" t="n">
        <x:v>29</x:v>
      </x:c>
      <x:c r="G18" s="9" t="n">
        <x:v>29</x:v>
      </x:c>
      <x:c r="H18" s="9" t="n">
        <x:v>29</x:v>
      </x:c>
      <x:c r="I18" s="9" t="n">
        <x:f>SUM(E18:H18)</x:f>
        <x:v>116</x:v>
      </x:c>
      <x:c r="J18" s="9" t="n">
        <x:v>116</x:v>
      </x:c>
      <x:c r="K18" s="9" t="n">
        <x:v>0</x:v>
      </x:c>
      <x:c r="L18" s="9" t="n">
        <x:v>0</x:v>
      </x:c>
      <x:c r="M18" s="9" t="n">
        <x:v>0</x:v>
      </x:c>
      <x:c r="N18" s="19" t="n">
        <x:f>POWER(0.05,1/E18)</x:f>
        <x:v>0.9018553723227043</x:v>
      </x:c>
      <x:c r="O18" s="19" t="n">
        <x:f>1-POWER(0.05,1/(G18+H18))</x:f>
        <x:v>0.05033933833042015</x:v>
      </x:c>
      <x:c r="P18" s="9" t="str">
        <x:f>IF(AND(K18=E18,L18=F18,M18=0,N18&gt;='Controls'!$D$44,O18&lt;='Controls'!$D$45),"PASS","OPEN")</x:f>
        <x:v>OPEN</x:v>
      </x:c>
    </x:row>
    <x:row r="19">
      <x:c r="B19" s="9" t="str">
        <x:v>DC-13</x:v>
      </x:c>
      <x:c r="C19" s="9" t="str">
        <x:v>ROOT_B</x:v>
      </x:c>
      <x:c r="D19" s="9" t="str">
        <x:v>porosity</x:v>
      </x:c>
      <x:c r="E19" s="9" t="n">
        <x:v>29</x:v>
      </x:c>
      <x:c r="F19" s="9" t="n">
        <x:v>29</x:v>
      </x:c>
      <x:c r="G19" s="9" t="n">
        <x:v>29</x:v>
      </x:c>
      <x:c r="H19" s="9" t="n">
        <x:v>29</x:v>
      </x:c>
      <x:c r="I19" s="9" t="n">
        <x:f>SUM(E19:H19)</x:f>
        <x:v>116</x:v>
      </x:c>
      <x:c r="J19" s="9" t="n">
        <x:v>116</x:v>
      </x:c>
      <x:c r="K19" s="9" t="n">
        <x:v>0</x:v>
      </x:c>
      <x:c r="L19" s="9" t="n">
        <x:v>0</x:v>
      </x:c>
      <x:c r="M19" s="9" t="n">
        <x:v>0</x:v>
      </x:c>
      <x:c r="N19" s="19" t="n">
        <x:f>POWER(0.05,1/E19)</x:f>
        <x:v>0.9018553723227043</x:v>
      </x:c>
      <x:c r="O19" s="19" t="n">
        <x:f>1-POWER(0.05,1/(G19+H19))</x:f>
        <x:v>0.05033933833042015</x:v>
      </x:c>
      <x:c r="P19" s="9" t="str">
        <x:f>IF(AND(K19=E19,L19=F19,M19=0,N19&gt;='Controls'!$D$44,O19&lt;='Controls'!$D$45),"PASS","OPEN")</x:f>
        <x:v>OPEN</x:v>
      </x:c>
    </x:row>
    <x:row r="20">
      <x:c r="B20" s="9" t="str">
        <x:v>DC-14</x:v>
      </x:c>
      <x:c r="C20" s="9" t="str">
        <x:v>ROOT_B</x:v>
      </x:c>
      <x:c r="D20" s="9" t="str">
        <x:v>delamination</x:v>
      </x:c>
      <x:c r="E20" s="9" t="n">
        <x:v>29</x:v>
      </x:c>
      <x:c r="F20" s="9" t="n">
        <x:v>29</x:v>
      </x:c>
      <x:c r="G20" s="9" t="n">
        <x:v>29</x:v>
      </x:c>
      <x:c r="H20" s="9" t="n">
        <x:v>29</x:v>
      </x:c>
      <x:c r="I20" s="9" t="n">
        <x:f>SUM(E20:H20)</x:f>
        <x:v>116</x:v>
      </x:c>
      <x:c r="J20" s="9" t="n">
        <x:v>116</x:v>
      </x:c>
      <x:c r="K20" s="9" t="n">
        <x:v>0</x:v>
      </x:c>
      <x:c r="L20" s="9" t="n">
        <x:v>0</x:v>
      </x:c>
      <x:c r="M20" s="9" t="n">
        <x:v>0</x:v>
      </x:c>
      <x:c r="N20" s="19" t="n">
        <x:f>POWER(0.05,1/E20)</x:f>
        <x:v>0.9018553723227043</x:v>
      </x:c>
      <x:c r="O20" s="19" t="n">
        <x:f>1-POWER(0.05,1/(G20+H20))</x:f>
        <x:v>0.05033933833042015</x:v>
      </x:c>
      <x:c r="P20" s="9" t="str">
        <x:f>IF(AND(K20=E20,L20=F20,M20=0,N20&gt;='Controls'!$D$44,O20&lt;='Controls'!$D$45),"PASS","OPEN")</x:f>
        <x:v>OPEN</x:v>
      </x:c>
    </x:row>
    <x:row r="21">
      <x:c r="B21" s="9" t="str">
        <x:v>DC-15</x:v>
      </x:c>
      <x:c r="C21" s="9" t="str">
        <x:v>ROOT_B</x:v>
      </x:c>
      <x:c r="D21" s="9" t="str">
        <x:v>fiber waviness</x:v>
      </x:c>
      <x:c r="E21" s="9" t="n">
        <x:v>29</x:v>
      </x:c>
      <x:c r="F21" s="9" t="n">
        <x:v>29</x:v>
      </x:c>
      <x:c r="G21" s="9" t="n">
        <x:v>29</x:v>
      </x:c>
      <x:c r="H21" s="9" t="n">
        <x:v>29</x:v>
      </x:c>
      <x:c r="I21" s="9" t="n">
        <x:f>SUM(E21:H21)</x:f>
        <x:v>116</x:v>
      </x:c>
      <x:c r="J21" s="9" t="n">
        <x:v>116</x:v>
      </x:c>
      <x:c r="K21" s="9" t="n">
        <x:v>0</x:v>
      </x:c>
      <x:c r="L21" s="9" t="n">
        <x:v>0</x:v>
      </x:c>
      <x:c r="M21" s="9" t="n">
        <x:v>0</x:v>
      </x:c>
      <x:c r="N21" s="19" t="n">
        <x:f>POWER(0.05,1/E21)</x:f>
        <x:v>0.9018553723227043</x:v>
      </x:c>
      <x:c r="O21" s="19" t="n">
        <x:f>1-POWER(0.05,1/(G21+H21))</x:f>
        <x:v>0.05033933833042015</x:v>
      </x:c>
      <x:c r="P21" s="9" t="str">
        <x:f>IF(AND(K21=E21,L21=F21,M21=0,N21&gt;='Controls'!$D$44,O21&lt;='Controls'!$D$45),"PASS","OPEN")</x:f>
        <x:v>OPEN</x:v>
      </x:c>
    </x:row>
    <x:row r="22">
      <x:c r="B22" s="9" t="str">
        <x:v>DC-16</x:v>
      </x:c>
      <x:c r="C22" s="9" t="str">
        <x:v>ROOT_B</x:v>
      </x:c>
      <x:c r="D22" s="9" t="str">
        <x:v>foreign material</x:v>
      </x:c>
      <x:c r="E22" s="9" t="n">
        <x:v>29</x:v>
      </x:c>
      <x:c r="F22" s="9" t="n">
        <x:v>29</x:v>
      </x:c>
      <x:c r="G22" s="9" t="n">
        <x:v>29</x:v>
      </x:c>
      <x:c r="H22" s="9" t="n">
        <x:v>29</x:v>
      </x:c>
      <x:c r="I22" s="9" t="n">
        <x:f>SUM(E22:H22)</x:f>
        <x:v>116</x:v>
      </x:c>
      <x:c r="J22" s="9" t="n">
        <x:v>116</x:v>
      </x:c>
      <x:c r="K22" s="9" t="n">
        <x:v>0</x:v>
      </x:c>
      <x:c r="L22" s="9" t="n">
        <x:v>0</x:v>
      </x:c>
      <x:c r="M22" s="9" t="n">
        <x:v>0</x:v>
      </x:c>
      <x:c r="N22" s="19" t="n">
        <x:f>POWER(0.05,1/E22)</x:f>
        <x:v>0.9018553723227043</x:v>
      </x:c>
      <x:c r="O22" s="19" t="n">
        <x:f>1-POWER(0.05,1/(G22+H22))</x:f>
        <x:v>0.05033933833042015</x:v>
      </x:c>
      <x:c r="P22" s="9" t="str">
        <x:f>IF(AND(K22=E22,L22=F22,M22=0,N22&gt;='Controls'!$D$44,O22&lt;='Controls'!$D$45),"PASS","OPEN")</x:f>
        <x:v>OPEN</x:v>
      </x:c>
    </x:row>
    <x:row r="23">
      <x:c r="B23" s="9" t="str">
        <x:v>DC-17</x:v>
      </x:c>
      <x:c r="C23" s="9" t="str">
        <x:v>ROOT_B</x:v>
      </x:c>
      <x:c r="D23" s="9" t="str">
        <x:v>bondline starvation</x:v>
      </x:c>
      <x:c r="E23" s="9" t="n">
        <x:v>29</x:v>
      </x:c>
      <x:c r="F23" s="9" t="n">
        <x:v>29</x:v>
      </x:c>
      <x:c r="G23" s="9" t="n">
        <x:v>29</x:v>
      </x:c>
      <x:c r="H23" s="9" t="n">
        <x:v>29</x:v>
      </x:c>
      <x:c r="I23" s="9" t="n">
        <x:f>SUM(E23:H23)</x:f>
        <x:v>116</x:v>
      </x:c>
      <x:c r="J23" s="9" t="n">
        <x:v>116</x:v>
      </x:c>
      <x:c r="K23" s="9" t="n">
        <x:v>0</x:v>
      </x:c>
      <x:c r="L23" s="9" t="n">
        <x:v>0</x:v>
      </x:c>
      <x:c r="M23" s="9" t="n">
        <x:v>0</x:v>
      </x:c>
      <x:c r="N23" s="19" t="n">
        <x:f>POWER(0.05,1/E23)</x:f>
        <x:v>0.9018553723227043</x:v>
      </x:c>
      <x:c r="O23" s="19" t="n">
        <x:f>1-POWER(0.05,1/(G23+H23))</x:f>
        <x:v>0.05033933833042015</x:v>
      </x:c>
      <x:c r="P23" s="9" t="str">
        <x:f>IF(AND(K23=E23,L23=F23,M23=0,N23&gt;='Controls'!$D$44,O23&lt;='Controls'!$D$45),"PASS","OPEN")</x:f>
        <x:v>OPEN</x:v>
      </x:c>
    </x:row>
    <x:row r="24">
      <x:c r="B24" s="9" t="str">
        <x:v>DC-18</x:v>
      </x:c>
      <x:c r="C24" s="9" t="str">
        <x:v>ROOT_B</x:v>
      </x:c>
      <x:c r="D24" s="9" t="str">
        <x:v>bondline contamination</x:v>
      </x:c>
      <x:c r="E24" s="9" t="n">
        <x:v>29</x:v>
      </x:c>
      <x:c r="F24" s="9" t="n">
        <x:v>29</x:v>
      </x:c>
      <x:c r="G24" s="9" t="n">
        <x:v>29</x:v>
      </x:c>
      <x:c r="H24" s="9" t="n">
        <x:v>29</x:v>
      </x:c>
      <x:c r="I24" s="9" t="n">
        <x:f>SUM(E24:H24)</x:f>
        <x:v>116</x:v>
      </x:c>
      <x:c r="J24" s="9" t="n">
        <x:v>116</x:v>
      </x:c>
      <x:c r="K24" s="9" t="n">
        <x:v>0</x:v>
      </x:c>
      <x:c r="L24" s="9" t="n">
        <x:v>0</x:v>
      </x:c>
      <x:c r="M24" s="9" t="n">
        <x:v>0</x:v>
      </x:c>
      <x:c r="N24" s="19" t="n">
        <x:f>POWER(0.05,1/E24)</x:f>
        <x:v>0.9018553723227043</x:v>
      </x:c>
      <x:c r="O24" s="19" t="n">
        <x:f>1-POWER(0.05,1/(G24+H24))</x:f>
        <x:v>0.05033933833042015</x:v>
      </x:c>
      <x:c r="P24" s="9" t="str">
        <x:f>IF(AND(K24=E24,L24=F24,M24=0,N24&gt;='Controls'!$D$44,O24&lt;='Controls'!$D$45),"PASS","OPEN")</x:f>
        <x:v>OPEN</x:v>
      </x:c>
    </x:row>
    <x:row r="25">
      <x:c r="B25" s="9" t="str">
        <x:v>DC-19</x:v>
      </x:c>
      <x:c r="C25" s="9" t="str">
        <x:v>ROOT_B</x:v>
      </x:c>
      <x:c r="D25" s="9" t="str">
        <x:v>insert debond</x:v>
      </x:c>
      <x:c r="E25" s="9" t="n">
        <x:v>29</x:v>
      </x:c>
      <x:c r="F25" s="9" t="n">
        <x:v>29</x:v>
      </x:c>
      <x:c r="G25" s="9" t="n">
        <x:v>29</x:v>
      </x:c>
      <x:c r="H25" s="9" t="n">
        <x:v>29</x:v>
      </x:c>
      <x:c r="I25" s="9" t="n">
        <x:f>SUM(E25:H25)</x:f>
        <x:v>116</x:v>
      </x:c>
      <x:c r="J25" s="9" t="n">
        <x:v>116</x:v>
      </x:c>
      <x:c r="K25" s="9" t="n">
        <x:v>0</x:v>
      </x:c>
      <x:c r="L25" s="9" t="n">
        <x:v>0</x:v>
      </x:c>
      <x:c r="M25" s="9" t="n">
        <x:v>0</x:v>
      </x:c>
      <x:c r="N25" s="19" t="n">
        <x:f>POWER(0.05,1/E25)</x:f>
        <x:v>0.9018553723227043</x:v>
      </x:c>
      <x:c r="O25" s="19" t="n">
        <x:f>1-POWER(0.05,1/(G25+H25))</x:f>
        <x:v>0.05033933833042015</x:v>
      </x:c>
      <x:c r="P25" s="9" t="str">
        <x:f>IF(AND(K25=E25,L25=F25,M25=0,N25&gt;='Controls'!$D$44,O25&lt;='Controls'!$D$45),"PASS","OPEN")</x:f>
        <x:v>OPEN</x:v>
      </x:c>
    </x:row>
    <x:row r="26">
      <x:c r="B26" s="9" t="str">
        <x:v>DC-20</x:v>
      </x:c>
      <x:c r="C26" s="9" t="str">
        <x:v>ROOT_B</x:v>
      </x:c>
      <x:c r="D26" s="9" t="str">
        <x:v>liner discontinuity</x:v>
      </x:c>
      <x:c r="E26" s="9" t="n">
        <x:v>29</x:v>
      </x:c>
      <x:c r="F26" s="9" t="n">
        <x:v>29</x:v>
      </x:c>
      <x:c r="G26" s="9" t="n">
        <x:v>29</x:v>
      </x:c>
      <x:c r="H26" s="9" t="n">
        <x:v>29</x:v>
      </x:c>
      <x:c r="I26" s="9" t="n">
        <x:f>SUM(E26:H26)</x:f>
        <x:v>116</x:v>
      </x:c>
      <x:c r="J26" s="9" t="n">
        <x:v>116</x:v>
      </x:c>
      <x:c r="K26" s="9" t="n">
        <x:v>0</x:v>
      </x:c>
      <x:c r="L26" s="9" t="n">
        <x:v>0</x:v>
      </x:c>
      <x:c r="M26" s="9" t="n">
        <x:v>0</x:v>
      </x:c>
      <x:c r="N26" s="19" t="n">
        <x:f>POWER(0.05,1/E26)</x:f>
        <x:v>0.9018553723227043</x:v>
      </x:c>
      <x:c r="O26" s="19" t="n">
        <x:f>1-POWER(0.05,1/(G26+H26))</x:f>
        <x:v>0.05033933833042015</x:v>
      </x:c>
      <x:c r="P26" s="9" t="str">
        <x:f>IF(AND(K26=E26,L26=F26,M26=0,N26&gt;='Controls'!$D$44,O26&lt;='Controls'!$D$45),"PASS","OPEN")</x:f>
        <x:v>OPEN</x:v>
      </x:c>
    </x:row>
    <x:row r="27">
      <x:c r="B27" s="9" t="str">
        <x:v>DC-21</x:v>
      </x:c>
      <x:c r="C27" s="9" t="str">
        <x:v>ROOT_B</x:v>
      </x:c>
      <x:c r="D27" s="9" t="str">
        <x:v>collar disbond</x:v>
      </x:c>
      <x:c r="E27" s="9" t="n">
        <x:v>29</x:v>
      </x:c>
      <x:c r="F27" s="9" t="n">
        <x:v>29</x:v>
      </x:c>
      <x:c r="G27" s="9" t="n">
        <x:v>29</x:v>
      </x:c>
      <x:c r="H27" s="9" t="n">
        <x:v>29</x:v>
      </x:c>
      <x:c r="I27" s="9" t="n">
        <x:f>SUM(E27:H27)</x:f>
        <x:v>116</x:v>
      </x:c>
      <x:c r="J27" s="9" t="n">
        <x:v>116</x:v>
      </x:c>
      <x:c r="K27" s="9" t="n">
        <x:v>0</x:v>
      </x:c>
      <x:c r="L27" s="9" t="n">
        <x:v>0</x:v>
      </x:c>
      <x:c r="M27" s="9" t="n">
        <x:v>0</x:v>
      </x:c>
      <x:c r="N27" s="19" t="n">
        <x:f>POWER(0.05,1/E27)</x:f>
        <x:v>0.9018553723227043</x:v>
      </x:c>
      <x:c r="O27" s="19" t="n">
        <x:f>1-POWER(0.05,1/(G27+H27))</x:f>
        <x:v>0.05033933833042015</x:v>
      </x:c>
      <x:c r="P27" s="9" t="str">
        <x:f>IF(AND(K27=E27,L27=F27,M27=0,N27&gt;='Controls'!$D$44,O27&lt;='Controls'!$D$45),"PASS","OPEN")</x:f>
        <x:v>OPEN</x:v>
      </x:c>
    </x:row>
    <x:row r="28">
      <x:c r="B28" s="9" t="str">
        <x:v>DC-22</x:v>
      </x:c>
      <x:c r="C28" s="9" t="str">
        <x:v>ROOT_B</x:v>
      </x:c>
      <x:c r="D28" s="9" t="str">
        <x:v>seal damage</x:v>
      </x:c>
      <x:c r="E28" s="9" t="n">
        <x:v>29</x:v>
      </x:c>
      <x:c r="F28" s="9" t="n">
        <x:v>29</x:v>
      </x:c>
      <x:c r="G28" s="9" t="n">
        <x:v>29</x:v>
      </x:c>
      <x:c r="H28" s="9" t="n">
        <x:v>29</x:v>
      </x:c>
      <x:c r="I28" s="9" t="n">
        <x:f>SUM(E28:H28)</x:f>
        <x:v>116</x:v>
      </x:c>
      <x:c r="J28" s="9" t="n">
        <x:v>116</x:v>
      </x:c>
      <x:c r="K28" s="9" t="n">
        <x:v>0</x:v>
      </x:c>
      <x:c r="L28" s="9" t="n">
        <x:v>0</x:v>
      </x:c>
      <x:c r="M28" s="9" t="n">
        <x:v>0</x:v>
      </x:c>
      <x:c r="N28" s="19" t="n">
        <x:f>POWER(0.05,1/E28)</x:f>
        <x:v>0.9018553723227043</x:v>
      </x:c>
      <x:c r="O28" s="19" t="n">
        <x:f>1-POWER(0.05,1/(G28+H28))</x:f>
        <x:v>0.05033933833042015</x:v>
      </x:c>
      <x:c r="P28" s="9" t="str">
        <x:f>IF(AND(K28=E28,L28=F28,M28=0,N28&gt;='Controls'!$D$44,O28&lt;='Controls'!$D$45),"PASS","OPEN")</x:f>
        <x:v>OPEN</x:v>
      </x:c>
    </x:row>
    <x:row r="29">
      <x:c r="B29" s="9" t="str">
        <x:v>DC-23</x:v>
      </x:c>
      <x:c r="C29" s="9" t="str">
        <x:v>ROOT_B</x:v>
      </x:c>
      <x:c r="D29" s="9" t="str">
        <x:v>tie preload loss</x:v>
      </x:c>
      <x:c r="E29" s="9" t="n">
        <x:v>29</x:v>
      </x:c>
      <x:c r="F29" s="9" t="n">
        <x:v>29</x:v>
      </x:c>
      <x:c r="G29" s="9" t="n">
        <x:v>29</x:v>
      </x:c>
      <x:c r="H29" s="9" t="n">
        <x:v>29</x:v>
      </x:c>
      <x:c r="I29" s="9" t="n">
        <x:f>SUM(E29:H29)</x:f>
        <x:v>116</x:v>
      </x:c>
      <x:c r="J29" s="9" t="n">
        <x:v>116</x:v>
      </x:c>
      <x:c r="K29" s="9" t="n">
        <x:v>0</x:v>
      </x:c>
      <x:c r="L29" s="9" t="n">
        <x:v>0</x:v>
      </x:c>
      <x:c r="M29" s="9" t="n">
        <x:v>0</x:v>
      </x:c>
      <x:c r="N29" s="19" t="n">
        <x:f>POWER(0.05,1/E29)</x:f>
        <x:v>0.9018553723227043</x:v>
      </x:c>
      <x:c r="O29" s="19" t="n">
        <x:f>1-POWER(0.05,1/(G29+H29))</x:f>
        <x:v>0.05033933833042015</x:v>
      </x:c>
      <x:c r="P29" s="9" t="str">
        <x:f>IF(AND(K29=E29,L29=F29,M29=0,N29&gt;='Controls'!$D$44,O29&lt;='Controls'!$D$45),"PASS","OPEN")</x:f>
        <x:v>OPEN</x:v>
      </x:c>
    </x:row>
    <x:row r="30">
      <x:c r="B30" s="9" t="str">
        <x:v>DC-24</x:v>
      </x:c>
      <x:c r="C30" s="9" t="str">
        <x:v>ROOT_B</x:v>
      </x:c>
      <x:c r="D30" s="9" t="str">
        <x:v>high-resistance contact</x:v>
      </x:c>
      <x:c r="E30" s="9" t="n">
        <x:v>29</x:v>
      </x:c>
      <x:c r="F30" s="9" t="n">
        <x:v>29</x:v>
      </x:c>
      <x:c r="G30" s="9" t="n">
        <x:v>29</x:v>
      </x:c>
      <x:c r="H30" s="9" t="n">
        <x:v>29</x:v>
      </x:c>
      <x:c r="I30" s="9" t="n">
        <x:f>SUM(E30:H30)</x:f>
        <x:v>116</x:v>
      </x:c>
      <x:c r="J30" s="9" t="n">
        <x:v>116</x:v>
      </x:c>
      <x:c r="K30" s="9" t="n">
        <x:v>0</x:v>
      </x:c>
      <x:c r="L30" s="9" t="n">
        <x:v>0</x:v>
      </x:c>
      <x:c r="M30" s="9" t="n">
        <x:v>0</x:v>
      </x:c>
      <x:c r="N30" s="19" t="n">
        <x:f>POWER(0.05,1/E30)</x:f>
        <x:v>0.9018553723227043</x:v>
      </x:c>
      <x:c r="O30" s="19" t="n">
        <x:f>1-POWER(0.05,1/(G30+H30))</x:f>
        <x:v>0.05033933833042015</x:v>
      </x:c>
      <x:c r="P30" s="9" t="str">
        <x:f>IF(AND(K30=E30,L30=F30,M30=0,N30&gt;='Controls'!$D$44,O30&lt;='Controls'!$D$45),"PASS","OPEN")</x:f>
        <x:v>OPEN</x:v>
      </x:c>
    </x:row>
    <x:row r="31"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</x:row>
    <x:row r="32"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</x:row>
    <x:row r="33">
      <x:c r="B33" s="17" t="str">
        <x:v>Population reconciliation</x:v>
      </x:c>
      <x:c r="C33" s="17" t="str">
        <x:v>Population reconciliation</x:v>
      </x:c>
      <x:c r="D33" s="17" t="str">
        <x:v>Population reconciliation</x:v>
      </x:c>
      <x:c r="E33" s="17" t="str">
        <x:v>Population reconciliation</x:v>
      </x:c>
      <x:c r="F33" s="17" t="str">
        <x:v>Population reconciliation</x:v>
      </x:c>
      <x:c r="G33" s="17" t="str">
        <x:v>Population reconciliation</x:v>
      </x:c>
      <x:c r="H33" s="17" t="str">
        <x:v>Population reconciliation</x:v>
      </x:c>
      <x:c r="I33" s="17" t="str">
        <x:v>Population reconciliation</x:v>
      </x:c>
      <x:c r="J33" s="17" t="str">
        <x:v>Population reconciliation</x:v>
      </x:c>
      <x:c r="K33" s="17" t="str">
        <x:v>Population reconciliation</x:v>
      </x:c>
      <x:c r="L33" s="17" t="str">
        <x:v>Population reconciliation</x:v>
      </x:c>
      <x:c r="M33" s="17" t="str">
        <x:v>Population reconciliation</x:v>
      </x:c>
      <x:c r="N33" s="17" t="str">
        <x:v>Population reconciliation</x:v>
      </x:c>
      <x:c r="O33" s="17" t="str">
        <x:v>Population reconciliation</x:v>
      </x:c>
      <x:c r="P33" s="17" t="str">
        <x:v>Population reconciliation</x:v>
      </x:c>
    </x:row>
    <x:row r="34">
      <x:c r="B34" s="7" t="str">
        <x:v>Cells</x:v>
      </x:c>
      <x:c r="C34" s="7" t="str">
        <x:v>Primary</x:v>
      </x:c>
      <x:c r="D34" s="7" t="str">
        <x:v>Required primary</x:v>
      </x:c>
      <x:c r="E34" s="7" t="str">
        <x:v>Secondary</x:v>
      </x:c>
      <x:c r="F34" s="7" t="str">
        <x:v>Required secondary</x:v>
      </x:c>
      <x:c r="G34" s="7" t="str">
        <x:v>Status</x:v>
      </x:c>
      <x:c r="H34" s="7" t="str">
        <x:v>Inference</x:v>
      </x:c>
      <x:c r="I34" s="9"/>
      <x:c r="J34" s="9"/>
      <x:c r="K34" s="9"/>
      <x:c r="L34" s="9"/>
      <x:c r="M34" s="9"/>
      <x:c r="N34" s="9"/>
      <x:c r="O34" s="9"/>
      <x:c r="P34" s="9"/>
    </x:row>
    <x:row r="35">
      <x:c r="B35" s="10" t="n">
        <x:f>COUNTA(B7:B30)</x:f>
        <x:v>24</x:v>
      </x:c>
      <x:c r="C35" s="10" t="n">
        <x:f>SUM(I7:I30)</x:f>
        <x:v>2784</x:v>
      </x:c>
      <x:c r="D35" s="10" t="n">
        <x:f>'Controls'!$D$13</x:f>
        <x:v>2784</x:v>
      </x:c>
      <x:c r="E35" s="10" t="n">
        <x:f>SUM(J7:J30)</x:f>
        <x:v>2784</x:v>
      </x:c>
      <x:c r="F35" s="10" t="n">
        <x:f>'Controls'!$D$14</x:f>
        <x:v>2784</x:v>
      </x:c>
      <x:c r="G35" s="10" t="str">
        <x:f>IF(AND(B35=24,C35=D35,E35=F35),"PASS","FAIL")</x:f>
        <x:v>PASS</x:v>
      </x:c>
      <x:c r="H35" s="10" t="str">
        <x:v>No pooling across roots or families; repeats do not enlarge primary n.</x:v>
      </x:c>
      <x:c r="I35" s="10"/>
      <x:c r="J35" s="10"/>
      <x:c r="K35" s="10"/>
      <x:c r="L35" s="10"/>
      <x:c r="M35" s="10"/>
      <x:c r="N35" s="10"/>
      <x:c r="O35" s="10"/>
      <x:c r="P35" s="10"/>
    </x:row>
  </x:sheetData>
  <x:mergeCells>
    <x:mergeCell ref="B2:P2"/>
    <x:mergeCell ref="B3:P3"/>
    <x:mergeCell ref="B33:P33"/>
  </x:mergeCells>
  <x:conditionalFormatting sqref="P7:P30">
    <x:cfRule type="containsText" dxfId="130" priority="1" operator="containsText" text="PASS"/>
    <x:cfRule type="containsText" dxfId="131" priority="2" operator="containsText" text="AUTHORIZED"/>
    <x:cfRule type="containsText" dxfId="132" priority="3" operator="containsText" text="DEFINED"/>
    <x:cfRule type="containsText" dxfId="133" priority="4" operator="containsText" text="READY"/>
    <x:cfRule type="containsText" dxfId="134" priority="5" operator="containsText" text="HOLD"/>
    <x:cfRule type="containsText" dxfId="135" priority="6" operator="containsText" text="OPEN"/>
    <x:cfRule type="containsText" dxfId="136" priority="7" operator="containsText" text="BLOCKED"/>
    <x:cfRule type="containsText" dxfId="137" priority="8" operator="containsText" text="PLANNING"/>
    <x:cfRule type="containsText" dxfId="138" priority="9" operator="containsText" text="QUARANTINE"/>
    <x:cfRule type="containsText" dxfId="139" priority="10" operator="containsText" text="FAIL"/>
    <x:cfRule type="containsText" dxfId="140" priority="11" operator="containsText" text="REJECT"/>
    <x:cfRule type="containsText" dxfId="141" priority="12" operator="containsText" text="INCOMPLETE"/>
    <x:cfRule type="containsText" dxfId="142" priority="13" operator="containsText" text="STOP"/>
  </x:conditionalFormatting>
  <x:conditionalFormatting sqref="G35:G35">
    <x:cfRule type="containsText" dxfId="143" priority="14" operator="containsText" text="PASS"/>
    <x:cfRule type="containsText" dxfId="144" priority="15" operator="containsText" text="AUTHORIZED"/>
    <x:cfRule type="containsText" dxfId="145" priority="16" operator="containsText" text="DEFINED"/>
    <x:cfRule type="containsText" dxfId="146" priority="17" operator="containsText" text="READY"/>
    <x:cfRule type="containsText" dxfId="147" priority="18" operator="containsText" text="HOLD"/>
    <x:cfRule type="containsText" dxfId="148" priority="19" operator="containsText" text="OPEN"/>
    <x:cfRule type="containsText" dxfId="149" priority="20" operator="containsText" text="BLOCKED"/>
    <x:cfRule type="containsText" dxfId="150" priority="21" operator="containsText" text="PLANNING"/>
    <x:cfRule type="containsText" dxfId="151" priority="22" operator="containsText" text="QUARANTINE"/>
    <x:cfRule type="containsText" dxfId="152" priority="23" operator="containsText" text="FAIL"/>
    <x:cfRule type="containsText" dxfId="153" priority="24" operator="containsText" text="REJECT"/>
    <x:cfRule type="containsText" dxfId="154" priority="25" operator="containsText" text="INCOMPLETE"/>
    <x:cfRule type="containsText" dxfId="155" priority="26" operator="containsText" text="STOP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6" hidden="0" customWidth="1"/>
    <x:col min="3" max="3" width="16" hidden="0" customWidth="1"/>
    <x:col min="4" max="4" width="29" hidden="0" customWidth="1"/>
    <x:col min="5" max="5" width="24" hidden="0" customWidth="1"/>
    <x:col min="6" max="6" width="14" hidden="0" customWidth="1"/>
    <x:col min="7" max="7" width="18" hidden="0" customWidth="1"/>
    <x:col min="8" max="8" width="16" hidden="0" customWidth="1"/>
    <x:col min="9" max="9" width="19" hidden="0" customWidth="1"/>
    <x:col min="10" max="10" width="17" hidden="0" customWidth="1"/>
    <x:col min="11" max="11" width="24" hidden="0" customWidth="1"/>
    <x:col min="12" max="12" width="14" hidden="0" customWidth="1"/>
  </x:cols>
  <x:sheetData>
    <x:row r="2">
      <x:c r="B2" s="32" t="str">
        <x:v>Blinding, operator and instrument assignment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B3" s="33" t="str">
        <x:v>Primary truth remains sealed; repeat acquisitions estimate operator, instrument and access effects only.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</x:row>
    <x:row r="6">
      <x:c r="B6" s="7" t="str">
        <x:v>Operator</x:v>
      </x:c>
      <x:c r="C6" s="7" t="str">
        <x:v>Primary/cell</x:v>
      </x:c>
      <x:c r="D6" s="7" t="str">
        <x:v>Instrument rotation</x:v>
      </x:c>
      <x:c r="E6" s="7" t="str">
        <x:v>Access rotation</x:v>
      </x:c>
      <x:c r="F6" s="7" t="str">
        <x:v>Truth visible</x:v>
      </x:c>
      <x:c r="G6" s="7" t="str">
        <x:v>Assignment hash</x:v>
      </x:c>
      <x:c r="H6" s="7" t="str">
        <x:v>Sham handling</x:v>
      </x:c>
      <x:c r="I6" s="7" t="str">
        <x:v>Replacement frozen</x:v>
      </x:c>
      <x:c r="J6" s="7" t="str">
        <x:v>Agreement target</x:v>
      </x:c>
      <x:c r="K6" s="7" t="str">
        <x:v>Chance-corrected target</x:v>
      </x:c>
      <x:c r="L6" s="7" t="str">
        <x:v>State</x:v>
      </x:c>
    </x:row>
    <x:row r="7">
      <x:c r="B7" s="9" t="str">
        <x:v>OP-1</x:v>
      </x:c>
      <x:c r="C7" s="9" t="n">
        <x:v>29</x:v>
      </x:c>
      <x:c r="D7" s="9" t="str">
        <x:v>I1→I2→I3</x:v>
      </x:c>
      <x:c r="E7" s="9" t="str">
        <x:v>X1→X2→X3</x:v>
      </x:c>
      <x:c r="F7" s="9" t="n">
        <x:v>0</x:v>
      </x:c>
      <x:c r="G7" s="9" t="n">
        <x:v>1</x:v>
      </x:c>
      <x:c r="H7" s="9" t="n">
        <x:v>1</x:v>
      </x:c>
      <x:c r="I7" s="9" t="n">
        <x:v>1</x:v>
      </x:c>
      <x:c r="J7" s="20" t="n">
        <x:v>0.9</x:v>
      </x:c>
      <x:c r="K7" s="20" t="n">
        <x:v>0.8</x:v>
      </x:c>
      <x:c r="L7" s="9" t="str">
        <x:v>PASS</x:v>
      </x:c>
    </x:row>
    <x:row r="8">
      <x:c r="B8" s="9" t="str">
        <x:v>OP-2</x:v>
      </x:c>
      <x:c r="C8" s="9" t="n">
        <x:v>29</x:v>
      </x:c>
      <x:c r="D8" s="9" t="str">
        <x:v>I2→I3→I1</x:v>
      </x:c>
      <x:c r="E8" s="9" t="str">
        <x:v>X2→X3→X1</x:v>
      </x:c>
      <x:c r="F8" s="9" t="n">
        <x:v>0</x:v>
      </x:c>
      <x:c r="G8" s="9" t="n">
        <x:v>1</x:v>
      </x:c>
      <x:c r="H8" s="9" t="n">
        <x:v>1</x:v>
      </x:c>
      <x:c r="I8" s="9" t="n">
        <x:v>1</x:v>
      </x:c>
      <x:c r="J8" s="20" t="n">
        <x:v>0.9</x:v>
      </x:c>
      <x:c r="K8" s="20" t="n">
        <x:v>0.8</x:v>
      </x:c>
      <x:c r="L8" s="9" t="str">
        <x:v>PASS</x:v>
      </x:c>
    </x:row>
    <x:row r="9">
      <x:c r="B9" s="9" t="str">
        <x:v>OP-3</x:v>
      </x:c>
      <x:c r="C9" s="9" t="n">
        <x:v>29</x:v>
      </x:c>
      <x:c r="D9" s="9" t="str">
        <x:v>I3→I1→I2</x:v>
      </x:c>
      <x:c r="E9" s="9" t="str">
        <x:v>X3→X1→X2</x:v>
      </x:c>
      <x:c r="F9" s="9" t="n">
        <x:v>0</x:v>
      </x:c>
      <x:c r="G9" s="9" t="n">
        <x:v>1</x:v>
      </x:c>
      <x:c r="H9" s="9" t="n">
        <x:v>1</x:v>
      </x:c>
      <x:c r="I9" s="9" t="n">
        <x:v>1</x:v>
      </x:c>
      <x:c r="J9" s="20" t="n">
        <x:v>0.9</x:v>
      </x:c>
      <x:c r="K9" s="20" t="n">
        <x:v>0.8</x:v>
      </x:c>
      <x:c r="L9" s="9" t="str">
        <x:v>PASS</x:v>
      </x:c>
    </x:row>
    <x:row r="10">
      <x:c r="B10" s="9" t="str">
        <x:v>OP-4</x:v>
      </x:c>
      <x:c r="C10" s="9" t="n">
        <x:v>29</x:v>
      </x:c>
      <x:c r="D10" s="9" t="str">
        <x:v>I1→I2→I3</x:v>
      </x:c>
      <x:c r="E10" s="9" t="str">
        <x:v>X1→X2→X3</x:v>
      </x:c>
      <x:c r="F10" s="9" t="n">
        <x:v>0</x:v>
      </x:c>
      <x:c r="G10" s="9" t="n">
        <x:v>1</x:v>
      </x:c>
      <x:c r="H10" s="9" t="n">
        <x:v>1</x:v>
      </x:c>
      <x:c r="I10" s="9" t="n">
        <x:v>1</x:v>
      </x:c>
      <x:c r="J10" s="20" t="n">
        <x:v>0.9</x:v>
      </x:c>
      <x:c r="K10" s="20" t="n">
        <x:v>0.8</x:v>
      </x:c>
      <x:c r="L10" s="9" t="str">
        <x:v>PASS</x:v>
      </x:c>
    </x:row>
    <x:row r="11"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</x:row>
    <x:row r="12"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</x:row>
    <x:row r="13">
      <x:c r="B13" s="17" t="str">
        <x:v>Custody sequence</x:v>
      </x:c>
      <x:c r="C13" s="17" t="str">
        <x:v>Custody sequence</x:v>
      </x:c>
      <x:c r="D13" s="17" t="str">
        <x:v>Custody sequence</x:v>
      </x:c>
      <x:c r="E13" s="17" t="str">
        <x:v>Custody sequence</x:v>
      </x:c>
      <x:c r="F13" s="17" t="str">
        <x:v>Custody sequence</x:v>
      </x:c>
      <x:c r="G13" s="17" t="str">
        <x:v>Custody sequence</x:v>
      </x:c>
      <x:c r="H13" s="17" t="str">
        <x:v>Custody sequence</x:v>
      </x:c>
      <x:c r="I13" s="17" t="str">
        <x:v>Custody sequence</x:v>
      </x:c>
      <x:c r="J13" s="17" t="str">
        <x:v>Custody sequence</x:v>
      </x:c>
      <x:c r="K13" s="17" t="str">
        <x:v>Custody sequence</x:v>
      </x:c>
      <x:c r="L13" s="17" t="str">
        <x:v>Custody sequence</x:v>
      </x:c>
    </x:row>
    <x:row r="14">
      <x:c r="B14" s="9" t="str">
        <x:v>1</x:v>
      </x:c>
      <x:c r="C14" s="9" t="str">
        <x:v>truth lab</x:v>
      </x:c>
      <x:c r="D14" s="9" t="str">
        <x:v>fabricate and measure unique objects</x:v>
      </x:c>
      <x:c r="E14" s="9" t="str">
        <x:v>truth vault</x:v>
      </x:c>
      <x:c r="F14" s="9" t="str">
        <x:v>before assignment</x:v>
      </x:c>
      <x:c r="G14" s="9" t="n">
        <x:v>1</x:v>
      </x:c>
      <x:c r="H14" s="9" t="str">
        <x:v>PASS</x:v>
      </x:c>
      <x:c r="I14" s="9"/>
      <x:c r="J14" s="9"/>
      <x:c r="K14" s="9"/>
      <x:c r="L14" s="9"/>
    </x:row>
    <x:row r="15">
      <x:c r="B15" s="9" t="str">
        <x:v>2</x:v>
      </x:c>
      <x:c r="C15" s="9" t="str">
        <x:v>randomization authority</x:v>
      </x:c>
      <x:c r="D15" s="9" t="str">
        <x:v>opaque IDs and ordered hash</x:v>
      </x:c>
      <x:c r="E15" s="9" t="str">
        <x:v>sealed key</x:v>
      </x:c>
      <x:c r="F15" s="9" t="str">
        <x:v>before presentation</x:v>
      </x:c>
      <x:c r="G15" s="9" t="n">
        <x:v>1</x:v>
      </x:c>
      <x:c r="H15" s="9" t="str">
        <x:v>PASS</x:v>
      </x:c>
      <x:c r="I15" s="9"/>
      <x:c r="J15" s="9"/>
      <x:c r="K15" s="9"/>
      <x:c r="L15" s="9"/>
    </x:row>
    <x:row r="16">
      <x:c r="B16" s="9" t="str">
        <x:v>3</x:v>
      </x:c>
      <x:c r="C16" s="9" t="str">
        <x:v>operator</x:v>
      </x:c>
      <x:c r="D16" s="9" t="str">
        <x:v>records primary decision</x:v>
      </x:c>
      <x:c r="E16" s="9" t="str">
        <x:v>no truth access</x:v>
      </x:c>
      <x:c r="F16" s="9" t="str">
        <x:v>before reveal</x:v>
      </x:c>
      <x:c r="G16" s="9" t="n">
        <x:v>1</x:v>
      </x:c>
      <x:c r="H16" s="9" t="str">
        <x:v>PASS</x:v>
      </x:c>
      <x:c r="I16" s="9"/>
      <x:c r="J16" s="9"/>
      <x:c r="K16" s="9"/>
      <x:c r="L16" s="9"/>
    </x:row>
    <x:row r="17">
      <x:c r="B17" s="9" t="str">
        <x:v>4</x:v>
      </x:c>
      <x:c r="C17" s="9" t="str">
        <x:v>public statistician</x:v>
      </x:c>
      <x:c r="D17" s="9" t="str">
        <x:v>locks decisions and invalidity</x:v>
      </x:c>
      <x:c r="E17" s="9" t="str">
        <x:v>decision file</x:v>
      </x:c>
      <x:c r="F17" s="9" t="str">
        <x:v>before reveal</x:v>
      </x:c>
      <x:c r="G17" s="9" t="n">
        <x:v>1</x:v>
      </x:c>
      <x:c r="H17" s="9" t="str">
        <x:v>PASS</x:v>
      </x:c>
      <x:c r="I17" s="9"/>
      <x:c r="J17" s="9"/>
      <x:c r="K17" s="9"/>
      <x:c r="L17" s="9"/>
    </x:row>
    <x:row r="18">
      <x:c r="B18" s="10" t="str">
        <x:v>5</x:v>
      </x:c>
      <x:c r="C18" s="10" t="str">
        <x:v>truth authority</x:v>
      </x:c>
      <x:c r="D18" s="10" t="str">
        <x:v>opens key and reconciles</x:v>
      </x:c>
      <x:c r="E18" s="10" t="str">
        <x:v>immutable join</x:v>
      </x:c>
      <x:c r="F18" s="10" t="str">
        <x:v>after lock</x:v>
      </x:c>
      <x:c r="G18" s="10" t="n">
        <x:v>1</x:v>
      </x:c>
      <x:c r="H18" s="10" t="str">
        <x:v>PASS</x:v>
      </x:c>
      <x:c r="I18" s="10"/>
      <x:c r="J18" s="10"/>
      <x:c r="K18" s="10"/>
      <x:c r="L18" s="10"/>
    </x:row>
  </x:sheetData>
  <x:mergeCells>
    <x:mergeCell ref="B2:L2"/>
    <x:mergeCell ref="B3:L3"/>
    <x:mergeCell ref="B13:L13"/>
  </x:mergeCells>
  <x:conditionalFormatting sqref="L7:L10">
    <x:cfRule type="containsText" dxfId="156" priority="1" operator="containsText" text="PASS"/>
    <x:cfRule type="containsText" dxfId="157" priority="2" operator="containsText" text="AUTHORIZED"/>
    <x:cfRule type="containsText" dxfId="158" priority="3" operator="containsText" text="DEFINED"/>
    <x:cfRule type="containsText" dxfId="159" priority="4" operator="containsText" text="READY"/>
    <x:cfRule type="containsText" dxfId="160" priority="5" operator="containsText" text="HOLD"/>
    <x:cfRule type="containsText" dxfId="161" priority="6" operator="containsText" text="OPEN"/>
    <x:cfRule type="containsText" dxfId="162" priority="7" operator="containsText" text="BLOCKED"/>
    <x:cfRule type="containsText" dxfId="163" priority="8" operator="containsText" text="PLANNING"/>
    <x:cfRule type="containsText" dxfId="164" priority="9" operator="containsText" text="QUARANTINE"/>
    <x:cfRule type="containsText" dxfId="165" priority="10" operator="containsText" text="FAIL"/>
    <x:cfRule type="containsText" dxfId="166" priority="11" operator="containsText" text="REJECT"/>
    <x:cfRule type="containsText" dxfId="167" priority="12" operator="containsText" text="INCOMPLETE"/>
    <x:cfRule type="containsText" dxfId="168" priority="13" operator="containsText" text="STOP"/>
  </x:conditionalFormatting>
  <x:conditionalFormatting sqref="H14:H18">
    <x:cfRule type="containsText" dxfId="169" priority="14" operator="containsText" text="PASS"/>
    <x:cfRule type="containsText" dxfId="170" priority="15" operator="containsText" text="AUTHORIZED"/>
    <x:cfRule type="containsText" dxfId="171" priority="16" operator="containsText" text="DEFINED"/>
    <x:cfRule type="containsText" dxfId="172" priority="17" operator="containsText" text="READY"/>
    <x:cfRule type="containsText" dxfId="173" priority="18" operator="containsText" text="HOLD"/>
    <x:cfRule type="containsText" dxfId="174" priority="19" operator="containsText" text="OPEN"/>
    <x:cfRule type="containsText" dxfId="175" priority="20" operator="containsText" text="BLOCKED"/>
    <x:cfRule type="containsText" dxfId="176" priority="21" operator="containsText" text="PLANNING"/>
    <x:cfRule type="containsText" dxfId="177" priority="22" operator="containsText" text="QUARANTINE"/>
    <x:cfRule type="containsText" dxfId="178" priority="23" operator="containsText" text="FAIL"/>
    <x:cfRule type="containsText" dxfId="179" priority="24" operator="containsText" text="REJECT"/>
    <x:cfRule type="containsText" dxfId="180" priority="25" operator="containsText" text="INCOMPLETE"/>
    <x:cfRule type="containsText" dxfId="181" priority="26" operator="containsText" text="STOP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24" hidden="0" customWidth="1"/>
    <x:col min="4" max="4" width="24" hidden="0" customWidth="1"/>
    <x:col min="5" max="5" width="18" hidden="0" customWidth="1"/>
    <x:col min="6" max="6" width="13" hidden="0" customWidth="1"/>
    <x:col min="7" max="7" width="18" hidden="0" customWidth="1"/>
    <x:col min="8" max="8" width="18" hidden="0" customWidth="1"/>
    <x:col min="9" max="9" width="13" hidden="0" customWidth="1"/>
    <x:col min="10" max="10" width="17" hidden="0" customWidth="1"/>
    <x:col min="11" max="11" width="32" hidden="0" customWidth="1"/>
    <x:col min="12" max="12" width="19" hidden="0" customWidth="1"/>
    <x:col min="13" max="13" width="15" hidden="0" customWidth="1"/>
  </x:cols>
  <x:sheetData>
    <x:row r="2">
      <x:c r="B2" s="32" t="str">
        <x:v>Instrument range and expanded-uncertainty allocation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>
      <x:c r="B3" s="33" t="str">
        <x:v>These are commissioning allocations, not achieved instrument claims.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</x:row>
    <x:row r="6">
      <x:c r="B6" s="7" t="str">
        <x:v>ID</x:v>
      </x:c>
      <x:c r="C6" s="7" t="str">
        <x:v>Quantity</x:v>
      </x:c>
      <x:c r="D6" s="7" t="str">
        <x:v>Range</x:v>
      </x:c>
      <x:c r="E6" s="7" t="str">
        <x:v>Rate</x:v>
      </x:c>
      <x:c r="F6" s="7" t="str">
        <x:v>U95</x:v>
      </x:c>
      <x:c r="G6" s="7" t="str">
        <x:v>Unit</x:v>
      </x:c>
      <x:c r="H6" s="7" t="str">
        <x:v>Decision interval</x:v>
      </x:c>
      <x:c r="I6" s="7" t="str">
        <x:v>Ratio</x:v>
      </x:c>
      <x:c r="J6" s="7" t="str">
        <x:v>Required ratio</x:v>
      </x:c>
      <x:c r="K6" s="7" t="str">
        <x:v>Independent reference</x:v>
      </x:c>
      <x:c r="L6" s="7" t="str">
        <x:v>Calibration source</x:v>
      </x:c>
      <x:c r="M6" s="7" t="str">
        <x:v>State</x:v>
      </x:c>
    </x:row>
    <x:row r="7">
      <x:c r="B7" s="9" t="str">
        <x:v>I01</x:v>
      </x:c>
      <x:c r="C7" s="9" t="str">
        <x:v>cassette mass</x:v>
      </x:c>
      <x:c r="D7" s="9" t="str">
        <x:v>0–2.0 t/station</x:v>
      </x:c>
      <x:c r="E7" s="9" t="str">
        <x:v>10 Hz</x:v>
      </x:c>
      <x:c r="F7" s="21" t="n">
        <x:v>0.001</x:v>
      </x:c>
      <x:c r="G7" s="21" t="str">
        <x:v>t</x:v>
      </x:c>
      <x:c r="H7" s="21" t="n">
        <x:v>0.004</x:v>
      </x:c>
      <x:c r="I7" s="21" t="n">
        <x:f>H7/F7</x:f>
        <x:v>4</x:v>
      </x:c>
      <x:c r="J7" s="21" t="n">
        <x:f>'Controls'!$D$24</x:f>
        <x:v>4</x:v>
      </x:c>
      <x:c r="K7" s="9" t="str">
        <x:v>certified masses and reaction sum</x:v>
      </x:c>
      <x:c r="L7" s="9" t="n">
        <x:v>0</x:v>
      </x:c>
      <x:c r="M7" s="9" t="str">
        <x:f>IF(AND(I7&gt;=J7,L7=1),"PASS","OPEN")</x:f>
        <x:v>OPEN</x:v>
      </x:c>
    </x:row>
    <x:row r="8">
      <x:c r="B8" s="9" t="str">
        <x:v>I02</x:v>
      </x:c>
      <x:c r="C8" s="9" t="str">
        <x:v>fuel/water flow</x:v>
      </x:c>
      <x:c r="D8" s="9" t="str">
        <x:v>0–0.20 kg/s/station</x:v>
      </x:c>
      <x:c r="E8" s="9" t="str">
        <x:v>100 Hz</x:v>
      </x:c>
      <x:c r="F8" s="21" t="n">
        <x:v>0.00001</x:v>
      </x:c>
      <x:c r="G8" s="21" t="str">
        <x:v>t equivalent</x:v>
      </x:c>
      <x:c r="H8" s="21" t="n">
        <x:v>0.00004</x:v>
      </x:c>
      <x:c r="I8" s="21" t="n">
        <x:f>H8/F8</x:f>
        <x:v>4</x:v>
      </x:c>
      <x:c r="J8" s="21" t="n">
        <x:f>'Controls'!$D$24</x:f>
        <x:v>4</x:v>
      </x:c>
      <x:c r="K8" s="9" t="str">
        <x:v>gravimetric transfer</x:v>
      </x:c>
      <x:c r="L8" s="9" t="n">
        <x:v>0</x:v>
      </x:c>
      <x:c r="M8" s="9" t="str">
        <x:f>IF(AND(I8&gt;=J8,L8=1),"PASS","OPEN")</x:f>
        <x:v>OPEN</x:v>
      </x:c>
    </x:row>
    <x:row r="9">
      <x:c r="B9" s="9" t="str">
        <x:v>I03</x:v>
      </x:c>
      <x:c r="C9" s="9" t="str">
        <x:v>fluid pressure</x:v>
      </x:c>
      <x:c r="D9" s="9" t="str">
        <x:v>-0.10–1.20 MPa</x:v>
      </x:c>
      <x:c r="E9" s="9" t="str">
        <x:v>200 Hz</x:v>
      </x:c>
      <x:c r="F9" s="21" t="n">
        <x:v>0.001</x:v>
      </x:c>
      <x:c r="G9" s="21" t="str">
        <x:v>MPa</x:v>
      </x:c>
      <x:c r="H9" s="21" t="n">
        <x:v>0.004</x:v>
      </x:c>
      <x:c r="I9" s="21" t="n">
        <x:f>H9/F9</x:f>
        <x:v>4</x:v>
      </x:c>
      <x:c r="J9" s="21" t="n">
        <x:f>'Controls'!$D$24</x:f>
        <x:v>4</x:v>
      </x:c>
      <x:c r="K9" s="9" t="str">
        <x:v>reference transducer</x:v>
      </x:c>
      <x:c r="L9" s="9" t="n">
        <x:v>0</x:v>
      </x:c>
      <x:c r="M9" s="9" t="str">
        <x:f>IF(AND(I9&gt;=J9,L9=1),"PASS","OPEN")</x:f>
        <x:v>OPEN</x:v>
      </x:c>
    </x:row>
    <x:row r="10">
      <x:c r="B10" s="9" t="str">
        <x:v>I04</x:v>
      </x:c>
      <x:c r="C10" s="9" t="str">
        <x:v>leakage</x:v>
      </x:c>
      <x:c r="D10" s="9" t="str">
        <x:v>0–1.0 L/h</x:v>
      </x:c>
      <x:c r="E10" s="9" t="str">
        <x:v>10 Hz</x:v>
      </x:c>
      <x:c r="F10" s="21" t="n">
        <x:v>0.02</x:v>
      </x:c>
      <x:c r="G10" s="21" t="str">
        <x:v>L/h</x:v>
      </x:c>
      <x:c r="H10" s="21" t="n">
        <x:v>0.08</x:v>
      </x:c>
      <x:c r="I10" s="21" t="n">
        <x:f>H10/F10</x:f>
        <x:v>4</x:v>
      </x:c>
      <x:c r="J10" s="21" t="n">
        <x:f>'Controls'!$D$24</x:f>
        <x:v>4</x:v>
      </x:c>
      <x:c r="K10" s="9" t="str">
        <x:v>weighed capture vessel</x:v>
      </x:c>
      <x:c r="L10" s="9" t="n">
        <x:v>0</x:v>
      </x:c>
      <x:c r="M10" s="9" t="str">
        <x:f>IF(AND(I10&gt;=J10,L10=1),"PASS","OPEN")</x:f>
        <x:v>OPEN</x:v>
      </x:c>
    </x:row>
    <x:row r="11">
      <x:c r="B11" s="9" t="str">
        <x:v>I05</x:v>
      </x:c>
      <x:c r="C11" s="9" t="str">
        <x:v>structural force</x:v>
      </x:c>
      <x:c r="D11" s="9" t="str">
        <x:v>0–250 kN/channel</x:v>
      </x:c>
      <x:c r="E11" s="9" t="str">
        <x:v>5 kHz</x:v>
      </x:c>
      <x:c r="F11" s="21" t="n">
        <x:v>0.5</x:v>
      </x:c>
      <x:c r="G11" s="21" t="str">
        <x:v>kN</x:v>
      </x:c>
      <x:c r="H11" s="21" t="n">
        <x:v>2</x:v>
      </x:c>
      <x:c r="I11" s="21" t="n">
        <x:f>H11/F11</x:f>
        <x:v>4</x:v>
      </x:c>
      <x:c r="J11" s="21" t="n">
        <x:f>'Controls'!$D$24</x:f>
        <x:v>4</x:v>
      </x:c>
      <x:c r="K11" s="9" t="str">
        <x:v>six-axis reference link</x:v>
      </x:c>
      <x:c r="L11" s="9" t="n">
        <x:v>0</x:v>
      </x:c>
      <x:c r="M11" s="9" t="str">
        <x:f>IF(AND(I11&gt;=J11,L11=1),"PASS","OPEN")</x:f>
        <x:v>OPEN</x:v>
      </x:c>
    </x:row>
    <x:row r="12">
      <x:c r="B12" s="9" t="str">
        <x:v>I06</x:v>
      </x:c>
      <x:c r="C12" s="9" t="str">
        <x:v>displacement</x:v>
      </x:c>
      <x:c r="D12" s="9" t="str">
        <x:v>±350 mm</x:v>
      </x:c>
      <x:c r="E12" s="9" t="str">
        <x:v>1 kHz</x:v>
      </x:c>
      <x:c r="F12" s="21" t="n">
        <x:v>0.05</x:v>
      </x:c>
      <x:c r="G12" s="21" t="str">
        <x:v>mm</x:v>
      </x:c>
      <x:c r="H12" s="21" t="n">
        <x:v>0.2</x:v>
      </x:c>
      <x:c r="I12" s="21" t="n">
        <x:f>H12/F12</x:f>
        <x:v>4</x:v>
      </x:c>
      <x:c r="J12" s="21" t="n">
        <x:f>'Controls'!$D$24</x:f>
        <x:v>4</x:v>
      </x:c>
      <x:c r="K12" s="9" t="str">
        <x:v>optical coordinates</x:v>
      </x:c>
      <x:c r="L12" s="9" t="n">
        <x:v>0</x:v>
      </x:c>
      <x:c r="M12" s="9" t="str">
        <x:f>IF(AND(I12&gt;=J12,L12=1),"PASS","OPEN")</x:f>
        <x:v>OPEN</x:v>
      </x:c>
    </x:row>
    <x:row r="13">
      <x:c r="B13" s="9" t="str">
        <x:v>I07</x:v>
      </x:c>
      <x:c r="C13" s="9" t="str">
        <x:v>bus current</x:v>
      </x:c>
      <x:c r="D13" s="9" t="str">
        <x:v>0–20 kA</x:v>
      </x:c>
      <x:c r="E13" s="9" t="str">
        <x:v>250 ksample/s</x:v>
      </x:c>
      <x:c r="F13" s="21" t="n">
        <x:v>0.01</x:v>
      </x:c>
      <x:c r="G13" s="21" t="str">
        <x:v>fraction</x:v>
      </x:c>
      <x:c r="H13" s="21" t="n">
        <x:v>0.04</x:v>
      </x:c>
      <x:c r="I13" s="21" t="n">
        <x:f>H13/F13</x:f>
        <x:v>4</x:v>
      </x:c>
      <x:c r="J13" s="21" t="n">
        <x:f>'Controls'!$D$24</x:f>
        <x:v>4</x:v>
      </x:c>
      <x:c r="K13" s="9" t="str">
        <x:v>dissimilar CT/shunt</x:v>
      </x:c>
      <x:c r="L13" s="9" t="n">
        <x:v>0</x:v>
      </x:c>
      <x:c r="M13" s="9" t="str">
        <x:f>IF(AND(I13&gt;=J13,L13=1),"PASS","OPEN")</x:f>
        <x:v>OPEN</x:v>
      </x:c>
    </x:row>
    <x:row r="14">
      <x:c r="B14" s="9" t="str">
        <x:v>I08</x:v>
      </x:c>
      <x:c r="C14" s="9" t="str">
        <x:v>bus voltage</x:v>
      </x:c>
      <x:c r="D14" s="9" t="str">
        <x:v>0–1 kV</x:v>
      </x:c>
      <x:c r="E14" s="9" t="str">
        <x:v>250 ksample/s</x:v>
      </x:c>
      <x:c r="F14" s="21" t="n">
        <x:v>0.005</x:v>
      </x:c>
      <x:c r="G14" s="21" t="str">
        <x:v>fraction</x:v>
      </x:c>
      <x:c r="H14" s="21" t="n">
        <x:v>0.02</x:v>
      </x:c>
      <x:c r="I14" s="21" t="n">
        <x:f>H14/F14</x:f>
        <x:v>4</x:v>
      </x:c>
      <x:c r="J14" s="21" t="n">
        <x:f>'Controls'!$D$24</x:f>
        <x:v>4</x:v>
      </x:c>
      <x:c r="K14" s="9" t="str">
        <x:v>isolated divider</x:v>
      </x:c>
      <x:c r="L14" s="9" t="n">
        <x:v>0</x:v>
      </x:c>
      <x:c r="M14" s="9" t="str">
        <x:f>IF(AND(I14&gt;=J14,L14=1),"PASS","OPEN")</x:f>
        <x:v>OPEN</x:v>
      </x:c>
    </x:row>
    <x:row r="15">
      <x:c r="B15" s="9" t="str">
        <x:v>I09</x:v>
      </x:c>
      <x:c r="C15" s="9" t="str">
        <x:v>temperature</x:v>
      </x:c>
      <x:c r="D15" s="9" t="str">
        <x:v>-20–250°C</x:v>
      </x:c>
      <x:c r="E15" s="9" t="str">
        <x:v>10 Hz</x:v>
      </x:c>
      <x:c r="F15" s="21" t="n">
        <x:v>1</x:v>
      </x:c>
      <x:c r="G15" s="21" t="str">
        <x:v>°C</x:v>
      </x:c>
      <x:c r="H15" s="21" t="n">
        <x:v>4</x:v>
      </x:c>
      <x:c r="I15" s="21" t="n">
        <x:f>H15/F15</x:f>
        <x:v>4</x:v>
      </x:c>
      <x:c r="J15" s="21" t="n">
        <x:f>'Controls'!$D$24</x:f>
        <x:v>4</x:v>
      </x:c>
      <x:c r="K15" s="9" t="str">
        <x:v>reference RTD</x:v>
      </x:c>
      <x:c r="L15" s="9" t="n">
        <x:v>0</x:v>
      </x:c>
      <x:c r="M15" s="9" t="str">
        <x:f>IF(AND(I15&gt;=J15,L15=1),"PASS","OPEN")</x:f>
        <x:v>OPEN</x:v>
      </x:c>
    </x:row>
    <x:row r="16">
      <x:c r="B16" s="9" t="str">
        <x:v>I10</x:v>
      </x:c>
      <x:c r="C16" s="9" t="str">
        <x:v>heat flux</x:v>
      </x:c>
      <x:c r="D16" s="9" t="str">
        <x:v>0–60 kW/m²</x:v>
      </x:c>
      <x:c r="E16" s="9" t="str">
        <x:v>20 Hz</x:v>
      </x:c>
      <x:c r="F16" s="21" t="n">
        <x:v>0.02</x:v>
      </x:c>
      <x:c r="G16" s="21" t="str">
        <x:v>fraction</x:v>
      </x:c>
      <x:c r="H16" s="21" t="n">
        <x:v>0.08</x:v>
      </x:c>
      <x:c r="I16" s="21" t="n">
        <x:f>H16/F16</x:f>
        <x:v>4</x:v>
      </x:c>
      <x:c r="J16" s="21" t="n">
        <x:f>'Controls'!$D$24</x:f>
        <x:v>4</x:v>
      </x:c>
      <x:c r="K16" s="9" t="str">
        <x:v>calorimetric loop</x:v>
      </x:c>
      <x:c r="L16" s="9" t="n">
        <x:v>0</x:v>
      </x:c>
      <x:c r="M16" s="9" t="str">
        <x:f>IF(AND(I16&gt;=J16,L16=1),"PASS","OPEN")</x:f>
        <x:v>OPEN</x:v>
      </x:c>
    </x:row>
    <x:row r="17">
      <x:c r="B17" s="9" t="str">
        <x:v>I11</x:v>
      </x:c>
      <x:c r="C17" s="9" t="str">
        <x:v>NDE dimension</x:v>
      </x:c>
      <x:c r="D17" s="9" t="str">
        <x:v>method-specific</x:v>
      </x:c>
      <x:c r="E17" s="9" t="str">
        <x:v>native</x:v>
      </x:c>
      <x:c r="F17" s="21" t="n">
        <x:v>0.25</x:v>
      </x:c>
      <x:c r="G17" s="21" t="str">
        <x:v>decision interval</x:v>
      </x:c>
      <x:c r="H17" s="21" t="n">
        <x:v>1</x:v>
      </x:c>
      <x:c r="I17" s="21" t="n">
        <x:f>H17/F17</x:f>
        <x:v>4</x:v>
      </x:c>
      <x:c r="J17" s="21" t="n">
        <x:f>'Controls'!$D$24</x:f>
        <x:v>4</x:v>
      </x:c>
      <x:c r="K17" s="9" t="str">
        <x:v>destructive truth</x:v>
      </x:c>
      <x:c r="L17" s="9" t="n">
        <x:v>0</x:v>
      </x:c>
      <x:c r="M17" s="9" t="str">
        <x:f>IF(AND(I17&gt;=J17,L17=1),"PASS","OPEN")</x:f>
        <x:v>OPEN</x:v>
      </x:c>
    </x:row>
    <x:row r="18">
      <x:c r="B18" s="10" t="str">
        <x:v>I12</x:v>
      </x:c>
      <x:c r="C18" s="10" t="str">
        <x:v>event time</x:v>
      </x:c>
      <x:c r="D18" s="10" t="str">
        <x:v>campaign UTC</x:v>
      </x:c>
      <x:c r="E18" s="10" t="str">
        <x:v>native</x:v>
      </x:c>
      <x:c r="F18" s="22" t="n">
        <x:v>0.1</x:v>
      </x:c>
      <x:c r="G18" s="22" t="str">
        <x:v>ms</x:v>
      </x:c>
      <x:c r="H18" s="22" t="n">
        <x:v>0.4</x:v>
      </x:c>
      <x:c r="I18" s="22" t="n">
        <x:f>H18/F18</x:f>
        <x:v>4</x:v>
      </x:c>
      <x:c r="J18" s="22" t="n">
        <x:f>'Controls'!$D$24</x:f>
        <x:v>4</x:v>
      </x:c>
      <x:c r="K18" s="10" t="str">
        <x:v>dissimilar clock</x:v>
      </x:c>
      <x:c r="L18" s="10" t="n">
        <x:v>0</x:v>
      </x:c>
      <x:c r="M18" s="10" t="str">
        <x:f>IF(AND(I18&gt;=J18,L18=1),"PASS","OPEN")</x:f>
        <x:v>OPEN</x:v>
      </x:c>
    </x:row>
  </x:sheetData>
  <x:mergeCells>
    <x:mergeCell ref="B2:M2"/>
    <x:mergeCell ref="B3:M3"/>
  </x:mergeCells>
  <x:conditionalFormatting sqref="M7:M18">
    <x:cfRule type="containsText" dxfId="182" priority="1" operator="containsText" text="PASS"/>
    <x:cfRule type="containsText" dxfId="183" priority="2" operator="containsText" text="AUTHORIZED"/>
    <x:cfRule type="containsText" dxfId="184" priority="3" operator="containsText" text="DEFINED"/>
    <x:cfRule type="containsText" dxfId="185" priority="4" operator="containsText" text="READY"/>
    <x:cfRule type="containsText" dxfId="186" priority="5" operator="containsText" text="HOLD"/>
    <x:cfRule type="containsText" dxfId="187" priority="6" operator="containsText" text="OPEN"/>
    <x:cfRule type="containsText" dxfId="188" priority="7" operator="containsText" text="BLOCKED"/>
    <x:cfRule type="containsText" dxfId="189" priority="8" operator="containsText" text="PLANNING"/>
    <x:cfRule type="containsText" dxfId="190" priority="9" operator="containsText" text="QUARANTINE"/>
    <x:cfRule type="containsText" dxfId="191" priority="10" operator="containsText" text="FAIL"/>
    <x:cfRule type="containsText" dxfId="192" priority="11" operator="containsText" text="REJECT"/>
    <x:cfRule type="containsText" dxfId="193" priority="12" operator="containsText" text="INCOMPLETE"/>
    <x:cfRule type="containsText" dxfId="194" priority="13" operator="containsText" text="STOP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14" hidden="0" customWidth="1"/>
    <x:col min="4" max="4" width="11" hidden="0" customWidth="1"/>
    <x:col min="5" max="5" width="44" hidden="0" customWidth="1"/>
    <x:col min="6" max="6" width="45" hidden="0" customWidth="1"/>
    <x:col min="7" max="7" width="38" hidden="0" customWidth="1"/>
    <x:col min="8" max="8" width="13" hidden="0" customWidth="1"/>
    <x:col min="9" max="9" width="18" hidden="0" customWidth="1"/>
    <x:col min="10" max="10" width="15" hidden="0" customWidth="1"/>
    <x:col min="11" max="11" width="15" hidden="0" customWidth="1"/>
  </x:cols>
  <x:sheetData>
    <x:row r="2">
      <x:c r="B2" s="32" t="str">
        <x:v>Automatic safe states and rehearsal authority</x:v>
      </x:c>
      <x:c r="C2" s="9"/>
      <x:c r="D2" s="9"/>
      <x:c r="E2" s="9"/>
      <x:c r="F2" s="9"/>
      <x:c r="G2" s="9"/>
      <x:c r="H2" s="9"/>
      <x:c r="I2" s="9"/>
      <x:c r="J2" s="9"/>
      <x:c r="K2" s="9"/>
    </x:row>
    <x:row r="3">
      <x:c r="B3" s="33" t="str">
        <x:v>No hazardous stimulus begins before the full command-and-witness path is physically rehearsed.</x:v>
      </x:c>
      <x:c r="C3" s="9"/>
      <x:c r="D3" s="9"/>
      <x:c r="E3" s="9"/>
      <x:c r="F3" s="9"/>
      <x:c r="G3" s="9"/>
      <x:c r="H3" s="9"/>
      <x:c r="I3" s="9"/>
      <x:c r="J3" s="9"/>
      <x:c r="K3" s="9"/>
    </x:row>
    <x:row r="4">
      <x:c r="B4" s="34"/>
      <x:c r="C4" s="34"/>
      <x:c r="D4" s="34"/>
      <x:c r="E4" s="34"/>
      <x:c r="F4" s="34"/>
      <x:c r="G4" s="34"/>
      <x:c r="H4" s="34"/>
      <x:c r="I4" s="34"/>
      <x:c r="J4" s="34"/>
      <x:c r="K4" s="34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</x:row>
    <x:row r="6">
      <x:c r="B6" s="7" t="str">
        <x:v>Cell</x:v>
      </x:c>
      <x:c r="C6" s="7" t="str">
        <x:v>Root</x:v>
      </x:c>
      <x:c r="D6" s="7" t="str">
        <x:v>Family</x:v>
      </x:c>
      <x:c r="E6" s="7" t="str">
        <x:v>Safe state</x:v>
      </x:c>
      <x:c r="F6" s="7" t="str">
        <x:v>Trigger set</x:v>
      </x:c>
      <x:c r="G6" s="7" t="str">
        <x:v>Evidence condition</x:v>
      </x:c>
      <x:c r="H6" s="7" t="str">
        <x:v>Definition</x:v>
      </x:c>
      <x:c r="I6" s="7" t="str">
        <x:v>Rehearsal source</x:v>
      </x:c>
      <x:c r="J6" s="7" t="str">
        <x:v>Planning</x:v>
      </x:c>
      <x:c r="K6" s="7" t="str">
        <x:v>Physical</x:v>
      </x:c>
    </x:row>
    <x:row r="7">
      <x:c r="B7" s="9" t="str">
        <x:v>SA1-A</x:v>
      </x:c>
      <x:c r="C7" s="9" t="str">
        <x:v>ROOT_A</x:v>
      </x:c>
      <x:c r="D7" s="9" t="str">
        <x:v>SA1</x:v>
      </x:c>
      <x:c r="E7" s="9" t="str">
        <x:v>servo unload into mechanical capture</x:v>
      </x:c>
      <x:c r="F7" s="9" t="str">
        <x:v>stiffness loss, datum shift, sensor loss</x:v>
      </x:c>
      <x:c r="G7" s="9" t="str">
        <x:v>structure retained for NDE</x:v>
      </x:c>
      <x:c r="H7" s="9" t="n">
        <x:v>1</x:v>
      </x:c>
      <x:c r="I7" s="9" t="n">
        <x:v>0</x:v>
      </x:c>
      <x:c r="J7" s="9" t="str">
        <x:f>IF(H7=1,"PASS","FAIL")</x:f>
        <x:v>PASS</x:v>
      </x:c>
      <x:c r="K7" s="9" t="str">
        <x:f>IF(I7=1,"PASS","OPEN")</x:f>
        <x:v>OPEN</x:v>
      </x:c>
    </x:row>
    <x:row r="8">
      <x:c r="B8" s="9" t="str">
        <x:v>SA1-B</x:v>
      </x:c>
      <x:c r="C8" s="9" t="str">
        <x:v>ROOT_B</x:v>
      </x:c>
      <x:c r="D8" s="9" t="str">
        <x:v>SA1</x:v>
      </x:c>
      <x:c r="E8" s="9" t="str">
        <x:v>servo unload into mechanical capture</x:v>
      </x:c>
      <x:c r="F8" s="9" t="str">
        <x:v>stiffness loss, datum shift, sensor loss</x:v>
      </x:c>
      <x:c r="G8" s="9" t="str">
        <x:v>structure retained for NDE</x:v>
      </x:c>
      <x:c r="H8" s="9" t="n">
        <x:v>1</x:v>
      </x:c>
      <x:c r="I8" s="9" t="n">
        <x:v>0</x:v>
      </x:c>
      <x:c r="J8" s="9" t="str">
        <x:f>IF(H8=1,"PASS","FAIL")</x:f>
        <x:v>PASS</x:v>
      </x:c>
      <x:c r="K8" s="9" t="str">
        <x:f>IF(I8=1,"PASS","OPEN")</x:f>
        <x:v>OPEN</x:v>
      </x:c>
    </x:row>
    <x:row r="9">
      <x:c r="B9" s="9" t="str">
        <x:v>SA2-A</x:v>
      </x:c>
      <x:c r="C9" s="9" t="str">
        <x:v>ROOT_A</x:v>
      </x:c>
      <x:c r="D9" s="9" t="str">
        <x:v>SA2</x:v>
      </x:c>
      <x:c r="E9" s="9" t="str">
        <x:v>redundant capture and emergency lower</x:v>
      </x:c>
      <x:c r="F9" s="9" t="str">
        <x:v>redistribution, slip, capture fault</x:v>
      </x:c>
      <x:c r="G9" s="9" t="str">
        <x:v>no suspended unobserved state</x:v>
      </x:c>
      <x:c r="H9" s="9" t="n">
        <x:v>1</x:v>
      </x:c>
      <x:c r="I9" s="9" t="n">
        <x:v>0</x:v>
      </x:c>
      <x:c r="J9" s="9" t="str">
        <x:f>IF(H9=1,"PASS","FAIL")</x:f>
        <x:v>PASS</x:v>
      </x:c>
      <x:c r="K9" s="9" t="str">
        <x:f>IF(I9=1,"PASS","OPEN")</x:f>
        <x:v>OPEN</x:v>
      </x:c>
    </x:row>
    <x:row r="10">
      <x:c r="B10" s="9" t="str">
        <x:v>SA2-B</x:v>
      </x:c>
      <x:c r="C10" s="9" t="str">
        <x:v>ROOT_B</x:v>
      </x:c>
      <x:c r="D10" s="9" t="str">
        <x:v>SA2</x:v>
      </x:c>
      <x:c r="E10" s="9" t="str">
        <x:v>redundant capture and emergency lower</x:v>
      </x:c>
      <x:c r="F10" s="9" t="str">
        <x:v>redistribution, slip, capture fault</x:v>
      </x:c>
      <x:c r="G10" s="9" t="str">
        <x:v>no suspended unobserved state</x:v>
      </x:c>
      <x:c r="H10" s="9" t="n">
        <x:v>1</x:v>
      </x:c>
      <x:c r="I10" s="9" t="n">
        <x:v>0</x:v>
      </x:c>
      <x:c r="J10" s="9" t="str">
        <x:f>IF(H10=1,"PASS","FAIL")</x:f>
        <x:v>PASS</x:v>
      </x:c>
      <x:c r="K10" s="9" t="str">
        <x:f>IF(I10=1,"PASS","OPEN")</x:f>
        <x:v>OPEN</x:v>
      </x:c>
    </x:row>
    <x:row r="11">
      <x:c r="B11" s="9" t="str">
        <x:v>SA3-A</x:v>
      </x:c>
      <x:c r="C11" s="9" t="str">
        <x:v>ROOT_A</x:v>
      </x:c>
      <x:c r="D11" s="9" t="str">
        <x:v>SA3</x:v>
      </x:c>
      <x:c r="E11" s="9" t="str">
        <x:v>isolate both ends; dump to capture; catches</x:v>
      </x:c>
      <x:c r="F11" s="9" t="str">
        <x:v>pressure, leak, slip, contamination</x:v>
      </x:c>
      <x:c r="G11" s="9" t="str">
        <x:v>sample before access</x:v>
      </x:c>
      <x:c r="H11" s="9" t="n">
        <x:v>1</x:v>
      </x:c>
      <x:c r="I11" s="9" t="n">
        <x:v>0</x:v>
      </x:c>
      <x:c r="J11" s="9" t="str">
        <x:f>IF(H11=1,"PASS","FAIL")</x:f>
        <x:v>PASS</x:v>
      </x:c>
      <x:c r="K11" s="9" t="str">
        <x:f>IF(I11=1,"PASS","OPEN")</x:f>
        <x:v>OPEN</x:v>
      </x:c>
    </x:row>
    <x:row r="12">
      <x:c r="B12" s="9" t="str">
        <x:v>SA3-B</x:v>
      </x:c>
      <x:c r="C12" s="9" t="str">
        <x:v>ROOT_B</x:v>
      </x:c>
      <x:c r="D12" s="9" t="str">
        <x:v>SA3</x:v>
      </x:c>
      <x:c r="E12" s="9" t="str">
        <x:v>isolate both ends; dump to capture; catches</x:v>
      </x:c>
      <x:c r="F12" s="9" t="str">
        <x:v>pressure, leak, slip, contamination</x:v>
      </x:c>
      <x:c r="G12" s="9" t="str">
        <x:v>sample before access</x:v>
      </x:c>
      <x:c r="H12" s="9" t="n">
        <x:v>1</x:v>
      </x:c>
      <x:c r="I12" s="9" t="n">
        <x:v>0</x:v>
      </x:c>
      <x:c r="J12" s="9" t="str">
        <x:f>IF(H12=1,"PASS","FAIL")</x:f>
        <x:v>PASS</x:v>
      </x:c>
      <x:c r="K12" s="9" t="str">
        <x:f>IF(I12=1,"PASS","OPEN")</x:f>
        <x:v>OPEN</x:v>
      </x:c>
    </x:row>
    <x:row r="13">
      <x:c r="B13" s="9" t="str">
        <x:v>SA4-A</x:v>
      </x:c>
      <x:c r="C13" s="9" t="str">
        <x:v>ROOT_A</x:v>
      </x:c>
      <x:c r="D13" s="9" t="str">
        <x:v>SA4</x:v>
      </x:c>
      <x:c r="E13" s="9" t="str">
        <x:v>upstream isolation; stored-energy decay</x:v>
      </x:c>
      <x:c r="F13" s="9" t="str">
        <x:v>failed clear, arc, containment, clock</x:v>
      </x:c>
      <x:c r="G13" s="9" t="str">
        <x:v>evidence power seals originals</x:v>
      </x:c>
      <x:c r="H13" s="9" t="n">
        <x:v>1</x:v>
      </x:c>
      <x:c r="I13" s="9" t="n">
        <x:v>0</x:v>
      </x:c>
      <x:c r="J13" s="9" t="str">
        <x:f>IF(H13=1,"PASS","FAIL")</x:f>
        <x:v>PASS</x:v>
      </x:c>
      <x:c r="K13" s="9" t="str">
        <x:f>IF(I13=1,"PASS","OPEN")</x:f>
        <x:v>OPEN</x:v>
      </x:c>
    </x:row>
    <x:row r="14">
      <x:c r="B14" s="9" t="str">
        <x:v>SA4-B</x:v>
      </x:c>
      <x:c r="C14" s="9" t="str">
        <x:v>ROOT_B</x:v>
      </x:c>
      <x:c r="D14" s="9" t="str">
        <x:v>SA4</x:v>
      </x:c>
      <x:c r="E14" s="9" t="str">
        <x:v>upstream isolation; stored-energy decay</x:v>
      </x:c>
      <x:c r="F14" s="9" t="str">
        <x:v>failed clear, arc, containment, clock</x:v>
      </x:c>
      <x:c r="G14" s="9" t="str">
        <x:v>evidence power seals originals</x:v>
      </x:c>
      <x:c r="H14" s="9" t="n">
        <x:v>1</x:v>
      </x:c>
      <x:c r="I14" s="9" t="n">
        <x:v>0</x:v>
      </x:c>
      <x:c r="J14" s="9" t="str">
        <x:f>IF(H14=1,"PASS","FAIL")</x:f>
        <x:v>PASS</x:v>
      </x:c>
      <x:c r="K14" s="9" t="str">
        <x:f>IF(I14=1,"PASS","OPEN")</x:f>
        <x:v>OPEN</x:v>
      </x:c>
    </x:row>
    <x:row r="15">
      <x:c r="B15" s="9" t="str">
        <x:v>SA5-A</x:v>
      </x:c>
      <x:c r="C15" s="9" t="str">
        <x:v>ROOT_A</x:v>
      </x:c>
      <x:c r="D15" s="9" t="str">
        <x:v>SA5</x:v>
      </x:c>
      <x:c r="E15" s="9" t="str">
        <x:v>stop heat; isolate loop; park panel</x:v>
      </x:c>
      <x:c r="F15" s="9" t="str">
        <x:v>leak, runaway, asymmetry, evidence loss</x:v>
      </x:c>
      <x:c r="G15" s="9" t="str">
        <x:v>coolant captured</x:v>
      </x:c>
      <x:c r="H15" s="9" t="n">
        <x:v>1</x:v>
      </x:c>
      <x:c r="I15" s="9" t="n">
        <x:v>0</x:v>
      </x:c>
      <x:c r="J15" s="9" t="str">
        <x:f>IF(H15=1,"PASS","FAIL")</x:f>
        <x:v>PASS</x:v>
      </x:c>
      <x:c r="K15" s="9" t="str">
        <x:f>IF(I15=1,"PASS","OPEN")</x:f>
        <x:v>OPEN</x:v>
      </x:c>
    </x:row>
    <x:row r="16">
      <x:c r="B16" s="9" t="str">
        <x:v>SA5-B</x:v>
      </x:c>
      <x:c r="C16" s="9" t="str">
        <x:v>ROOT_B</x:v>
      </x:c>
      <x:c r="D16" s="9" t="str">
        <x:v>SA5</x:v>
      </x:c>
      <x:c r="E16" s="9" t="str">
        <x:v>stop heat; isolate loop; park panel</x:v>
      </x:c>
      <x:c r="F16" s="9" t="str">
        <x:v>leak, runaway, asymmetry, evidence loss</x:v>
      </x:c>
      <x:c r="G16" s="9" t="str">
        <x:v>coolant captured</x:v>
      </x:c>
      <x:c r="H16" s="9" t="n">
        <x:v>1</x:v>
      </x:c>
      <x:c r="I16" s="9" t="n">
        <x:v>0</x:v>
      </x:c>
      <x:c r="J16" s="9" t="str">
        <x:f>IF(H16=1,"PASS","FAIL")</x:f>
        <x:v>PASS</x:v>
      </x:c>
      <x:c r="K16" s="9" t="str">
        <x:f>IF(I16=1,"PASS","OPEN")</x:f>
        <x:v>OPEN</x:v>
      </x:c>
    </x:row>
    <x:row r="17">
      <x:c r="B17" s="9" t="str">
        <x:v>SA6-A</x:v>
      </x:c>
      <x:c r="C17" s="9" t="str">
        <x:v>ROOT_A</x:v>
      </x:c>
      <x:c r="D17" s="9" t="str">
        <x:v>SA6</x:v>
      </x:c>
      <x:c r="E17" s="9" t="str">
        <x:v>independent fuel/water isolation; controlled shutdown</x:v>
      </x:c>
      <x:c r="F17" s="9" t="str">
        <x:v>mass, barrier, lineup, weighing</x:v>
      </x:c>
      <x:c r="G17" s="9" t="str">
        <x:v>no potable release</x:v>
      </x:c>
      <x:c r="H17" s="9" t="n">
        <x:v>1</x:v>
      </x:c>
      <x:c r="I17" s="9" t="n">
        <x:v>0</x:v>
      </x:c>
      <x:c r="J17" s="9" t="str">
        <x:f>IF(H17=1,"PASS","FAIL")</x:f>
        <x:v>PASS</x:v>
      </x:c>
      <x:c r="K17" s="9" t="str">
        <x:f>IF(I17=1,"PASS","OPEN")</x:f>
        <x:v>OPEN</x:v>
      </x:c>
    </x:row>
    <x:row r="18">
      <x:c r="B18" s="10" t="str">
        <x:v>SA6-B</x:v>
      </x:c>
      <x:c r="C18" s="10" t="str">
        <x:v>ROOT_B</x:v>
      </x:c>
      <x:c r="D18" s="10" t="str">
        <x:v>SA6</x:v>
      </x:c>
      <x:c r="E18" s="10" t="str">
        <x:v>independent fuel/water isolation; controlled shutdown</x:v>
      </x:c>
      <x:c r="F18" s="10" t="str">
        <x:v>mass, barrier, lineup, weighing</x:v>
      </x:c>
      <x:c r="G18" s="10" t="str">
        <x:v>no potable release</x:v>
      </x:c>
      <x:c r="H18" s="10" t="n">
        <x:v>1</x:v>
      </x:c>
      <x:c r="I18" s="10" t="n">
        <x:v>0</x:v>
      </x:c>
      <x:c r="J18" s="10" t="str">
        <x:f>IF(H18=1,"PASS","FAIL")</x:f>
        <x:v>PASS</x:v>
      </x:c>
      <x:c r="K18" s="10" t="str">
        <x:f>IF(I18=1,"PASS","OPEN")</x:f>
        <x:v>OPEN</x:v>
      </x:c>
    </x:row>
  </x:sheetData>
  <x:mergeCells>
    <x:mergeCell ref="B2:K2"/>
    <x:mergeCell ref="B3:K3"/>
  </x:mergeCells>
  <x:conditionalFormatting sqref="J7:K18">
    <x:cfRule type="containsText" dxfId="195" priority="1" operator="containsText" text="PASS"/>
    <x:cfRule type="containsText" dxfId="196" priority="2" operator="containsText" text="AUTHORIZED"/>
    <x:cfRule type="containsText" dxfId="197" priority="3" operator="containsText" text="DEFINED"/>
    <x:cfRule type="containsText" dxfId="198" priority="4" operator="containsText" text="READY"/>
    <x:cfRule type="containsText" dxfId="199" priority="5" operator="containsText" text="HOLD"/>
    <x:cfRule type="containsText" dxfId="200" priority="6" operator="containsText" text="OPEN"/>
    <x:cfRule type="containsText" dxfId="201" priority="7" operator="containsText" text="BLOCKED"/>
    <x:cfRule type="containsText" dxfId="202" priority="8" operator="containsText" text="PLANNING"/>
    <x:cfRule type="containsText" dxfId="203" priority="9" operator="containsText" text="QUARANTINE"/>
    <x:cfRule type="containsText" dxfId="204" priority="10" operator="containsText" text="FAIL"/>
    <x:cfRule type="containsText" dxfId="205" priority="11" operator="containsText" text="REJECT"/>
    <x:cfRule type="containsText" dxfId="206" priority="12" operator="containsText" text="INCOMPLETE"/>
    <x:cfRule type="containsText" dxfId="207" priority="13" operator="containsText" text="STOP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6" hidden="0" customWidth="1"/>
    <x:col min="3" max="3" width="13" hidden="0" customWidth="1"/>
    <x:col min="4" max="4" width="14" hidden="0" customWidth="1"/>
    <x:col min="5" max="5" width="15" hidden="0" customWidth="1"/>
    <x:col min="6" max="6" width="17" hidden="0" customWidth="1"/>
    <x:col min="7" max="7" width="17" hidden="0" customWidth="1"/>
    <x:col min="8" max="8" width="19" hidden="0" customWidth="1"/>
    <x:col min="9" max="9" width="14" hidden="0" customWidth="1"/>
    <x:col min="10" max="10" width="14" hidden="0" customWidth="1"/>
    <x:col min="11" max="11" width="15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2">
      <x:c r="B2" s="32" t="str">
        <x:v>Raw evidence and two-original custody allocation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>
      <x:c r="B3" s="33" t="str">
        <x:v>Raw objects remain authoritative; derived products never replace them.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</x:row>
    <x:row r="6">
      <x:c r="B6" s="7" t="str">
        <x:v>Stream</x:v>
      </x:c>
      <x:c r="C6" s="7" t="str">
        <x:v>Events</x:v>
      </x:c>
      <x:c r="D6" s="7" t="str">
        <x:v>Channels</x:v>
      </x:c>
      <x:c r="E6" s="7" t="str">
        <x:v>Samples/s</x:v>
      </x:c>
      <x:c r="F6" s="7" t="str">
        <x:v>Seconds/event</x:v>
      </x:c>
      <x:c r="G6" s="7" t="str">
        <x:v>Bytes/sample</x:v>
      </x:c>
      <x:c r="H6" s="7" t="str">
        <x:v>Raw bytes</x:v>
      </x:c>
      <x:c r="I6" s="7" t="str">
        <x:v>Raw TB</x:v>
      </x:c>
      <x:c r="J6" s="7" t="str">
        <x:v>Objects</x:v>
      </x:c>
      <x:c r="K6" s="7" t="str">
        <x:v>GB/object</x:v>
      </x:c>
      <x:c r="L6" s="7" t="str">
        <x:v>Object TB</x:v>
      </x:c>
      <x:c r="M6" s="7" t="str">
        <x:v>Class</x:v>
      </x:c>
      <x:c r="N6" s="7" t="str">
        <x:v>State</x:v>
      </x:c>
    </x:row>
    <x:row r="7">
      <x:c r="B7" s="9" t="str">
        <x:v>SA1 support</x:v>
      </x:c>
      <x:c r="C7" s="9" t="n">
        <x:v>1600</x:v>
      </x:c>
      <x:c r="D7" s="9" t="n">
        <x:v>128</x:v>
      </x:c>
      <x:c r="E7" s="9" t="n">
        <x:v>5000</x:v>
      </x:c>
      <x:c r="F7" s="9" t="n">
        <x:v>60</x:v>
      </x:c>
      <x:c r="G7" s="9" t="n">
        <x:f>'Controls'!$D$41</x:f>
        <x:v>4</x:v>
      </x:c>
      <x:c r="H7" s="9" t="n">
        <x:f>C7*D7*E7*F7*G7</x:f>
        <x:v>245760000000</x:v>
      </x:c>
      <x:c r="I7" s="21" t="n">
        <x:f>H7/1000000000000</x:f>
        <x:v>0.24576</x:v>
      </x:c>
      <x:c r="J7" s="21" t="n">
        <x:v>0</x:v>
      </x:c>
      <x:c r="K7" s="21" t="n">
        <x:v>0</x:v>
      </x:c>
      <x:c r="L7" s="21" t="n">
        <x:v>0</x:v>
      </x:c>
      <x:c r="M7" s="9" t="str">
        <x:v>full-scale</x:v>
      </x:c>
      <x:c r="N7" s="9" t="str">
        <x:v>PASS</x:v>
      </x:c>
    </x:row>
    <x:row r="8">
      <x:c r="B8" s="9" t="str">
        <x:v>SA2 anchor/lift</x:v>
      </x:c>
      <x:c r="C8" s="9" t="n">
        <x:v>1600</x:v>
      </x:c>
      <x:c r="D8" s="9" t="n">
        <x:v>128</x:v>
      </x:c>
      <x:c r="E8" s="9" t="n">
        <x:v>5000</x:v>
      </x:c>
      <x:c r="F8" s="9" t="n">
        <x:v>60</x:v>
      </x:c>
      <x:c r="G8" s="9" t="n">
        <x:f>'Controls'!$D$41</x:f>
        <x:v>4</x:v>
      </x:c>
      <x:c r="H8" s="9" t="n">
        <x:f>C8*D8*E8*F8*G8</x:f>
        <x:v>245760000000</x:v>
      </x:c>
      <x:c r="I8" s="21" t="n">
        <x:f>H8/1000000000000</x:f>
        <x:v>0.24576</x:v>
      </x:c>
      <x:c r="J8" s="21" t="n">
        <x:v>0</x:v>
      </x:c>
      <x:c r="K8" s="21" t="n">
        <x:v>0</x:v>
      </x:c>
      <x:c r="L8" s="21" t="n">
        <x:v>0</x:v>
      </x:c>
      <x:c r="M8" s="9" t="str">
        <x:v>full-scale</x:v>
      </x:c>
      <x:c r="N8" s="9" t="str">
        <x:v>PASS</x:v>
      </x:c>
    </x:row>
    <x:row r="9">
      <x:c r="B9" s="9" t="str">
        <x:v>SA3 collar</x:v>
      </x:c>
      <x:c r="C9" s="9" t="n">
        <x:v>32000</x:v>
      </x:c>
      <x:c r="D9" s="9" t="n">
        <x:v>96</x:v>
      </x:c>
      <x:c r="E9" s="9" t="n">
        <x:v>200</x:v>
      </x:c>
      <x:c r="F9" s="9" t="n">
        <x:v>180</x:v>
      </x:c>
      <x:c r="G9" s="9" t="n">
        <x:f>'Controls'!$D$41</x:f>
        <x:v>4</x:v>
      </x:c>
      <x:c r="H9" s="9" t="n">
        <x:f>C9*D9*E9*F9*G9</x:f>
        <x:v>442368000000</x:v>
      </x:c>
      <x:c r="I9" s="21" t="n">
        <x:f>H9/1000000000000</x:f>
        <x:v>0.442368</x:v>
      </x:c>
      <x:c r="J9" s="21" t="n">
        <x:v>0</x:v>
      </x:c>
      <x:c r="K9" s="21" t="n">
        <x:v>0</x:v>
      </x:c>
      <x:c r="L9" s="21" t="n">
        <x:v>0</x:v>
      </x:c>
      <x:c r="M9" s="9" t="str">
        <x:v>full-scale</x:v>
      </x:c>
      <x:c r="N9" s="9" t="str">
        <x:v>PASS</x:v>
      </x:c>
    </x:row>
    <x:row r="10">
      <x:c r="B10" s="9" t="str">
        <x:v>SA4 bus fault</x:v>
      </x:c>
      <x:c r="C10" s="9" t="n">
        <x:v>120</x:v>
      </x:c>
      <x:c r="D10" s="9" t="n">
        <x:v>160</x:v>
      </x:c>
      <x:c r="E10" s="9" t="n">
        <x:v>250000</x:v>
      </x:c>
      <x:c r="F10" s="9" t="n">
        <x:v>2</x:v>
      </x:c>
      <x:c r="G10" s="9" t="n">
        <x:f>'Controls'!$D$41</x:f>
        <x:v>4</x:v>
      </x:c>
      <x:c r="H10" s="9" t="n">
        <x:f>C10*D10*E10*F10*G10</x:f>
        <x:v>38400000000</x:v>
      </x:c>
      <x:c r="I10" s="21" t="n">
        <x:f>H10/1000000000000</x:f>
        <x:v>0.0384</x:v>
      </x:c>
      <x:c r="J10" s="21" t="n">
        <x:v>0</x:v>
      </x:c>
      <x:c r="K10" s="21" t="n">
        <x:v>0</x:v>
      </x:c>
      <x:c r="L10" s="21" t="n">
        <x:v>0</x:v>
      </x:c>
      <x:c r="M10" s="9" t="str">
        <x:v>full-scale</x:v>
      </x:c>
      <x:c r="N10" s="9" t="str">
        <x:v>PASS</x:v>
      </x:c>
    </x:row>
    <x:row r="11">
      <x:c r="B11" s="9" t="str">
        <x:v>SA5 thermal</x:v>
      </x:c>
      <x:c r="C11" s="9" t="n">
        <x:v>4000</x:v>
      </x:c>
      <x:c r="D11" s="9" t="n">
        <x:v>96</x:v>
      </x:c>
      <x:c r="E11" s="9" t="n">
        <x:v>20</x:v>
      </x:c>
      <x:c r="F11" s="9" t="n">
        <x:v>1800</x:v>
      </x:c>
      <x:c r="G11" s="9" t="n">
        <x:f>'Controls'!$D$41</x:f>
        <x:v>4</x:v>
      </x:c>
      <x:c r="H11" s="9" t="n">
        <x:f>C11*D11*E11*F11*G11</x:f>
        <x:v>55296000000</x:v>
      </x:c>
      <x:c r="I11" s="21" t="n">
        <x:f>H11/1000000000000</x:f>
        <x:v>0.055296</x:v>
      </x:c>
      <x:c r="J11" s="21" t="n">
        <x:v>0</x:v>
      </x:c>
      <x:c r="K11" s="21" t="n">
        <x:v>0</x:v>
      </x:c>
      <x:c r="L11" s="21" t="n">
        <x:v>0</x:v>
      </x:c>
      <x:c r="M11" s="9" t="str">
        <x:v>full-scale</x:v>
      </x:c>
      <x:c r="N11" s="9" t="str">
        <x:v>PASS</x:v>
      </x:c>
    </x:row>
    <x:row r="12">
      <x:c r="B12" s="9" t="str">
        <x:v>SA6 energy-ballast</x:v>
      </x:c>
      <x:c r="C12" s="9" t="n">
        <x:v>1200</x:v>
      </x:c>
      <x:c r="D12" s="9" t="n">
        <x:v>160</x:v>
      </x:c>
      <x:c r="E12" s="9" t="n">
        <x:v>100</x:v>
      </x:c>
      <x:c r="F12" s="9" t="n">
        <x:v>1800</x:v>
      </x:c>
      <x:c r="G12" s="9" t="n">
        <x:f>'Controls'!$D$41</x:f>
        <x:v>4</x:v>
      </x:c>
      <x:c r="H12" s="9" t="n">
        <x:f>C12*D12*E12*F12*G12</x:f>
        <x:v>138240000000</x:v>
      </x:c>
      <x:c r="I12" s="21" t="n">
        <x:f>H12/1000000000000</x:f>
        <x:v>0.13824</x:v>
      </x:c>
      <x:c r="J12" s="21" t="n">
        <x:v>0</x:v>
      </x:c>
      <x:c r="K12" s="21" t="n">
        <x:v>0</x:v>
      </x:c>
      <x:c r="L12" s="21" t="n">
        <x:v>0</x:v>
      </x:c>
      <x:c r="M12" s="9" t="str">
        <x:v>full-scale</x:v>
      </x:c>
      <x:c r="N12" s="9" t="str">
        <x:v>PASS</x:v>
      </x:c>
    </x:row>
    <x:row r="13">
      <x:c r="B13" s="9" t="str">
        <x:v>NDE primary and repeat</x:v>
      </x:c>
      <x:c r="C13" s="9" t="n">
        <x:v>0</x:v>
      </x:c>
      <x:c r="D13" s="9" t="n">
        <x:v>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21" t="n">
        <x:v>0</x:v>
      </x:c>
      <x:c r="J13" s="21" t="n">
        <x:v>5568</x:v>
      </x:c>
      <x:c r="K13" s="21" t="n">
        <x:f>'Controls'!$D$36</x:f>
        <x:v>8</x:v>
      </x:c>
      <x:c r="L13" s="21" t="n">
        <x:f>J13*K13/1000</x:f>
        <x:v>44.544</x:v>
      </x:c>
      <x:c r="M13" s="9" t="str">
        <x:v>NDE</x:v>
      </x:c>
      <x:c r="N13" s="9" t="str">
        <x:v>PASS</x:v>
      </x:c>
    </x:row>
    <x:row r="14">
      <x:c r="B14" s="9" t="str">
        <x:v>spatial/video/thermal/acoustic</x:v>
      </x:c>
      <x:c r="C14" s="9" t="n">
        <x:v>0</x:v>
      </x:c>
      <x:c r="D14" s="9" t="n">
        <x:v>0</x:v>
      </x:c>
      <x:c r="E14" s="9" t="n">
        <x:v>0</x:v>
      </x:c>
      <x:c r="F14" s="9" t="n">
        <x:v>0</x:v>
      </x:c>
      <x:c r="G14" s="9" t="n">
        <x:v>0</x:v>
      </x:c>
      <x:c r="H14" s="9" t="n">
        <x:v>0</x:v>
      </x:c>
      <x:c r="I14" s="21" t="n">
        <x:v>0</x:v>
      </x:c>
      <x:c r="J14" s="21" t="n">
        <x:v>0</x:v>
      </x:c>
      <x:c r="K14" s="21" t="n">
        <x:v>0</x:v>
      </x:c>
      <x:c r="L14" s="21" t="n">
        <x:f>'Controls'!$D$37</x:f>
        <x:v>6</x:v>
      </x:c>
      <x:c r="M14" s="9" t="str">
        <x:v>auxiliary</x:v>
      </x:c>
      <x:c r="N14" s="9" t="str">
        <x:v>PASS</x:v>
      </x:c>
    </x:row>
    <x:row r="15"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</x:row>
    <x:row r="16"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</x:row>
    <x:row r="17">
      <x:c r="B17" s="17" t="str">
        <x:v>Custody reconciliation</x:v>
      </x:c>
      <x:c r="C17" s="17" t="str">
        <x:v>Custody reconciliation</x:v>
      </x:c>
      <x:c r="D17" s="17" t="str">
        <x:v>Custody reconciliation</x:v>
      </x:c>
      <x:c r="E17" s="17" t="str">
        <x:v>Custody reconciliation</x:v>
      </x:c>
      <x:c r="F17" s="17" t="str">
        <x:v>Custody reconciliation</x:v>
      </x:c>
      <x:c r="G17" s="17" t="str">
        <x:v>Custody reconciliation</x:v>
      </x:c>
      <x:c r="H17" s="17" t="str">
        <x:v>Custody reconciliation</x:v>
      </x:c>
      <x:c r="I17" s="17" t="str">
        <x:v>Custody reconciliation</x:v>
      </x:c>
      <x:c r="J17" s="17" t="str">
        <x:v>Custody reconciliation</x:v>
      </x:c>
      <x:c r="K17" s="17" t="str">
        <x:v>Custody reconciliation</x:v>
      </x:c>
      <x:c r="L17" s="17" t="str">
        <x:v>Custody reconciliation</x:v>
      </x:c>
      <x:c r="M17" s="17" t="str">
        <x:v>Custody reconciliation</x:v>
      </x:c>
      <x:c r="N17" s="17" t="str">
        <x:v>Custody reconciliation</x:v>
      </x:c>
    </x:row>
    <x:row r="18">
      <x:c r="B18" s="7" t="str">
        <x:v>Full-scale raw TB</x:v>
      </x:c>
      <x:c r="C18" s="7" t="str">
        <x:v>NDE TB</x:v>
      </x:c>
      <x:c r="D18" s="7" t="str">
        <x:v>Aux TB</x:v>
      </x:c>
      <x:c r="E18" s="7" t="str">
        <x:v>Raw total TB</x:v>
      </x:c>
      <x:c r="F18" s="7" t="str">
        <x:v>With derived/overhead TB</x:v>
      </x:c>
      <x:c r="G18" s="7" t="str">
        <x:v>Originals</x:v>
      </x:c>
      <x:c r="H18" s="7" t="str">
        <x:v>Custody TB</x:v>
      </x:c>
      <x:c r="I18" s="9"/>
      <x:c r="J18" s="9"/>
      <x:c r="K18" s="9"/>
      <x:c r="L18" s="9"/>
      <x:c r="M18" s="9"/>
      <x:c r="N18" s="9"/>
    </x:row>
    <x:row r="19">
      <x:c r="B19" s="22" t="n">
        <x:f>SUM(I7:I12)</x:f>
        <x:v>1.165824</x:v>
      </x:c>
      <x:c r="C19" s="22" t="n">
        <x:f>L13</x:f>
        <x:v>44.544</x:v>
      </x:c>
      <x:c r="D19" s="22" t="n">
        <x:f>L14</x:f>
        <x:v>6</x:v>
      </x:c>
      <x:c r="E19" s="22" t="n">
        <x:f>SUM(B19:D19)</x:f>
        <x:v>51.709824</x:v>
      </x:c>
      <x:c r="F19" s="22" t="n">
        <x:f>E19*(1+'Controls'!$D$38 )*(1+'Controls'!$D$39)</x:f>
        <x:v>68.51551680000001</x:v>
      </x:c>
      <x:c r="G19" s="22" t="n">
        <x:f>'Controls'!$D$40</x:f>
        <x:v>2</x:v>
      </x:c>
      <x:c r="H19" s="22" t="n">
        <x:f>F19*G19</x:f>
        <x:v>137.03103360000003</x:v>
      </x:c>
      <x:c r="I19" s="10"/>
      <x:c r="J19" s="10"/>
      <x:c r="K19" s="10"/>
      <x:c r="L19" s="10"/>
      <x:c r="M19" s="10"/>
      <x:c r="N19" s="10"/>
    </x:row>
  </x:sheetData>
  <x:mergeCells>
    <x:mergeCell ref="B2:N2"/>
    <x:mergeCell ref="B3:N3"/>
    <x:mergeCell ref="B17:N17"/>
  </x:mergeCells>
  <x:conditionalFormatting sqref="N7:N14">
    <x:cfRule type="containsText" dxfId="208" priority="1" operator="containsText" text="PASS"/>
    <x:cfRule type="containsText" dxfId="209" priority="2" operator="containsText" text="AUTHORIZED"/>
    <x:cfRule type="containsText" dxfId="210" priority="3" operator="containsText" text="DEFINED"/>
    <x:cfRule type="containsText" dxfId="211" priority="4" operator="containsText" text="READY"/>
    <x:cfRule type="containsText" dxfId="212" priority="5" operator="containsText" text="HOLD"/>
    <x:cfRule type="containsText" dxfId="213" priority="6" operator="containsText" text="OPEN"/>
    <x:cfRule type="containsText" dxfId="214" priority="7" operator="containsText" text="BLOCKED"/>
    <x:cfRule type="containsText" dxfId="215" priority="8" operator="containsText" text="PLANNING"/>
    <x:cfRule type="containsText" dxfId="216" priority="9" operator="containsText" text="QUARANTINE"/>
    <x:cfRule type="containsText" dxfId="217" priority="10" operator="containsText" text="FAIL"/>
    <x:cfRule type="containsText" dxfId="218" priority="11" operator="containsText" text="REJECT"/>
    <x:cfRule type="containsText" dxfId="219" priority="12" operator="containsText" text="INCOMPLETE"/>
    <x:cfRule type="containsText" dxfId="220" priority="13" operator="containsText" text="STOP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12" hidden="0" customWidth="1"/>
    <x:col min="4" max="4" width="14" hidden="0" customWidth="1"/>
    <x:col min="5" max="5" width="11" hidden="0" customWidth="1"/>
    <x:col min="6" max="6" width="10" hidden="0" customWidth="1"/>
    <x:col min="7" max="7" width="38" hidden="0" customWidth="1"/>
    <x:col min="8" max="8" width="18" hidden="0" customWidth="1"/>
    <x:col min="9" max="9" width="25" hidden="0" customWidth="1"/>
    <x:col min="10" max="10" width="23" hidden="0" customWidth="1"/>
    <x:col min="11" max="11" width="13" hidden="0" customWidth="1"/>
    <x:col min="12" max="12" width="12" hidden="0" customWidth="1"/>
  </x:cols>
  <x:sheetData>
    <x:row r="2">
      <x:c r="B2" s="32" t="str">
        <x:v>Sixty preregistered destructive cut locations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B3" s="33" t="str">
        <x:v>Five locations per root–family cell preserve intact observations before sectioning.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</x:row>
    <x:row r="6">
      <x:c r="B6" s="7" t="str">
        <x:v>Cut</x:v>
      </x:c>
      <x:c r="C6" s="7" t="str">
        <x:v>Cell</x:v>
      </x:c>
      <x:c r="D6" s="7" t="str">
        <x:v>Root</x:v>
      </x:c>
      <x:c r="E6" s="7" t="str">
        <x:v>Family</x:v>
      </x:c>
      <x:c r="F6" s="7" t="str">
        <x:v>Order</x:v>
      </x:c>
      <x:c r="G6" s="7" t="str">
        <x:v>Intact evidence</x:v>
      </x:c>
      <x:c r="H6" s="7" t="str">
        <x:v>Energy/fluid safe</x:v>
      </x:c>
      <x:c r="I6" s="7" t="str">
        <x:v>Question exposed</x:v>
      </x:c>
      <x:c r="J6" s="7" t="str">
        <x:v>Mirror custody</x:v>
      </x:c>
      <x:c r="K6" s="7" t="str">
        <x:v>Definition</x:v>
      </x:c>
      <x:c r="L6" s="7" t="str">
        <x:v>Source</x:v>
      </x:c>
    </x:row>
    <x:row r="7">
      <x:c r="B7" s="9" t="str">
        <x:v>CUT-01</x:v>
      </x:c>
      <x:c r="C7" s="9" t="str">
        <x:v>SA1-A</x:v>
      </x:c>
      <x:c r="D7" s="9" t="str">
        <x:v>ROOT_A</x:v>
      </x:c>
      <x:c r="E7" s="9" t="str">
        <x:v>SA1</x:v>
      </x:c>
      <x:c r="F7" s="9" t="n">
        <x:v>1</x:v>
      </x:c>
      <x:c r="G7" s="9" t="str">
        <x:v>survey/leak/electrical/thermal/NDE</x:v>
      </x:c>
      <x:c r="H7" s="11" t="n">
        <x:v>1</x:v>
      </x:c>
      <x:c r="I7" s="9" t="str">
        <x:v>minimum cell plane</x:v>
      </x:c>
      <x:c r="J7" s="9" t="str">
        <x:v>public plus root/lab</x:v>
      </x:c>
      <x:c r="K7" s="9" t="n">
        <x:v>1</x:v>
      </x:c>
      <x:c r="L7" s="9" t="n">
        <x:v>0</x:v>
      </x:c>
    </x:row>
    <x:row r="8">
      <x:c r="B8" s="9" t="str">
        <x:v>CUT-02</x:v>
      </x:c>
      <x:c r="C8" s="9" t="str">
        <x:v>SA1-A</x:v>
      </x:c>
      <x:c r="D8" s="9" t="str">
        <x:v>ROOT_A</x:v>
      </x:c>
      <x:c r="E8" s="9" t="str">
        <x:v>SA1</x:v>
      </x:c>
      <x:c r="F8" s="9" t="n">
        <x:v>2</x:v>
      </x:c>
      <x:c r="G8" s="9" t="str">
        <x:v>survey/leak/electrical/thermal/NDE</x:v>
      </x:c>
      <x:c r="H8" s="11" t="n">
        <x:v>1</x:v>
      </x:c>
      <x:c r="I8" s="9" t="str">
        <x:v>minimum cell plane</x:v>
      </x:c>
      <x:c r="J8" s="9" t="str">
        <x:v>public plus root/lab</x:v>
      </x:c>
      <x:c r="K8" s="9" t="n">
        <x:v>1</x:v>
      </x:c>
      <x:c r="L8" s="9" t="n">
        <x:v>0</x:v>
      </x:c>
    </x:row>
    <x:row r="9">
      <x:c r="B9" s="9" t="str">
        <x:v>CUT-03</x:v>
      </x:c>
      <x:c r="C9" s="9" t="str">
        <x:v>SA1-A</x:v>
      </x:c>
      <x:c r="D9" s="9" t="str">
        <x:v>ROOT_A</x:v>
      </x:c>
      <x:c r="E9" s="9" t="str">
        <x:v>SA1</x:v>
      </x:c>
      <x:c r="F9" s="9" t="n">
        <x:v>3</x:v>
      </x:c>
      <x:c r="G9" s="9" t="str">
        <x:v>survey/leak/electrical/thermal/NDE</x:v>
      </x:c>
      <x:c r="H9" s="11" t="n">
        <x:v>1</x:v>
      </x:c>
      <x:c r="I9" s="9" t="str">
        <x:v>minimum cell plane</x:v>
      </x:c>
      <x:c r="J9" s="9" t="str">
        <x:v>public plus root/lab</x:v>
      </x:c>
      <x:c r="K9" s="9" t="n">
        <x:v>1</x:v>
      </x:c>
      <x:c r="L9" s="9" t="n">
        <x:v>0</x:v>
      </x:c>
    </x:row>
    <x:row r="10">
      <x:c r="B10" s="9" t="str">
        <x:v>CUT-04</x:v>
      </x:c>
      <x:c r="C10" s="9" t="str">
        <x:v>SA1-A</x:v>
      </x:c>
      <x:c r="D10" s="9" t="str">
        <x:v>ROOT_A</x:v>
      </x:c>
      <x:c r="E10" s="9" t="str">
        <x:v>SA1</x:v>
      </x:c>
      <x:c r="F10" s="9" t="n">
        <x:v>4</x:v>
      </x:c>
      <x:c r="G10" s="9" t="str">
        <x:v>survey/leak/electrical/thermal/NDE</x:v>
      </x:c>
      <x:c r="H10" s="11" t="n">
        <x:v>1</x:v>
      </x:c>
      <x:c r="I10" s="9" t="str">
        <x:v>minimum cell plane</x:v>
      </x:c>
      <x:c r="J10" s="9" t="str">
        <x:v>public plus root/lab</x:v>
      </x:c>
      <x:c r="K10" s="9" t="n">
        <x:v>1</x:v>
      </x:c>
      <x:c r="L10" s="9" t="n">
        <x:v>0</x:v>
      </x:c>
    </x:row>
    <x:row r="11">
      <x:c r="B11" s="9" t="str">
        <x:v>CUT-05</x:v>
      </x:c>
      <x:c r="C11" s="9" t="str">
        <x:v>SA1-A</x:v>
      </x:c>
      <x:c r="D11" s="9" t="str">
        <x:v>ROOT_A</x:v>
      </x:c>
      <x:c r="E11" s="9" t="str">
        <x:v>SA1</x:v>
      </x:c>
      <x:c r="F11" s="9" t="n">
        <x:v>5</x:v>
      </x:c>
      <x:c r="G11" s="9" t="str">
        <x:v>survey/leak/electrical/thermal/NDE</x:v>
      </x:c>
      <x:c r="H11" s="11" t="n">
        <x:v>1</x:v>
      </x:c>
      <x:c r="I11" s="9" t="str">
        <x:v>governing reserve plane</x:v>
      </x:c>
      <x:c r="J11" s="9" t="str">
        <x:v>public plus root/lab</x:v>
      </x:c>
      <x:c r="K11" s="9" t="n">
        <x:v>1</x:v>
      </x:c>
      <x:c r="L11" s="9" t="n">
        <x:v>0</x:v>
      </x:c>
    </x:row>
    <x:row r="12">
      <x:c r="B12" s="9" t="str">
        <x:v>CUT-06</x:v>
      </x:c>
      <x:c r="C12" s="9" t="str">
        <x:v>SA1-B</x:v>
      </x:c>
      <x:c r="D12" s="9" t="str">
        <x:v>ROOT_B</x:v>
      </x:c>
      <x:c r="E12" s="9" t="str">
        <x:v>SA1</x:v>
      </x:c>
      <x:c r="F12" s="9" t="n">
        <x:v>1</x:v>
      </x:c>
      <x:c r="G12" s="9" t="str">
        <x:v>survey/leak/electrical/thermal/NDE</x:v>
      </x:c>
      <x:c r="H12" s="11" t="n">
        <x:v>1</x:v>
      </x:c>
      <x:c r="I12" s="9" t="str">
        <x:v>minimum cell plane</x:v>
      </x:c>
      <x:c r="J12" s="9" t="str">
        <x:v>public plus root/lab</x:v>
      </x:c>
      <x:c r="K12" s="9" t="n">
        <x:v>1</x:v>
      </x:c>
      <x:c r="L12" s="9" t="n">
        <x:v>0</x:v>
      </x:c>
    </x:row>
    <x:row r="13">
      <x:c r="B13" s="9" t="str">
        <x:v>CUT-07</x:v>
      </x:c>
      <x:c r="C13" s="9" t="str">
        <x:v>SA1-B</x:v>
      </x:c>
      <x:c r="D13" s="9" t="str">
        <x:v>ROOT_B</x:v>
      </x:c>
      <x:c r="E13" s="9" t="str">
        <x:v>SA1</x:v>
      </x:c>
      <x:c r="F13" s="9" t="n">
        <x:v>2</x:v>
      </x:c>
      <x:c r="G13" s="9" t="str">
        <x:v>survey/leak/electrical/thermal/NDE</x:v>
      </x:c>
      <x:c r="H13" s="11" t="n">
        <x:v>1</x:v>
      </x:c>
      <x:c r="I13" s="9" t="str">
        <x:v>minimum cell plane</x:v>
      </x:c>
      <x:c r="J13" s="9" t="str">
        <x:v>public plus root/lab</x:v>
      </x:c>
      <x:c r="K13" s="9" t="n">
        <x:v>1</x:v>
      </x:c>
      <x:c r="L13" s="9" t="n">
        <x:v>0</x:v>
      </x:c>
    </x:row>
    <x:row r="14">
      <x:c r="B14" s="9" t="str">
        <x:v>CUT-08</x:v>
      </x:c>
      <x:c r="C14" s="9" t="str">
        <x:v>SA1-B</x:v>
      </x:c>
      <x:c r="D14" s="9" t="str">
        <x:v>ROOT_B</x:v>
      </x:c>
      <x:c r="E14" s="9" t="str">
        <x:v>SA1</x:v>
      </x:c>
      <x:c r="F14" s="9" t="n">
        <x:v>3</x:v>
      </x:c>
      <x:c r="G14" s="9" t="str">
        <x:v>survey/leak/electrical/thermal/NDE</x:v>
      </x:c>
      <x:c r="H14" s="11" t="n">
        <x:v>1</x:v>
      </x:c>
      <x:c r="I14" s="9" t="str">
        <x:v>minimum cell plane</x:v>
      </x:c>
      <x:c r="J14" s="9" t="str">
        <x:v>public plus root/lab</x:v>
      </x:c>
      <x:c r="K14" s="9" t="n">
        <x:v>1</x:v>
      </x:c>
      <x:c r="L14" s="9" t="n">
        <x:v>0</x:v>
      </x:c>
    </x:row>
    <x:row r="15">
      <x:c r="B15" s="9" t="str">
        <x:v>CUT-09</x:v>
      </x:c>
      <x:c r="C15" s="9" t="str">
        <x:v>SA1-B</x:v>
      </x:c>
      <x:c r="D15" s="9" t="str">
        <x:v>ROOT_B</x:v>
      </x:c>
      <x:c r="E15" s="9" t="str">
        <x:v>SA1</x:v>
      </x:c>
      <x:c r="F15" s="9" t="n">
        <x:v>4</x:v>
      </x:c>
      <x:c r="G15" s="9" t="str">
        <x:v>survey/leak/electrical/thermal/NDE</x:v>
      </x:c>
      <x:c r="H15" s="11" t="n">
        <x:v>1</x:v>
      </x:c>
      <x:c r="I15" s="9" t="str">
        <x:v>minimum cell plane</x:v>
      </x:c>
      <x:c r="J15" s="9" t="str">
        <x:v>public plus root/lab</x:v>
      </x:c>
      <x:c r="K15" s="9" t="n">
        <x:v>1</x:v>
      </x:c>
      <x:c r="L15" s="9" t="n">
        <x:v>0</x:v>
      </x:c>
    </x:row>
    <x:row r="16">
      <x:c r="B16" s="9" t="str">
        <x:v>CUT-10</x:v>
      </x:c>
      <x:c r="C16" s="9" t="str">
        <x:v>SA1-B</x:v>
      </x:c>
      <x:c r="D16" s="9" t="str">
        <x:v>ROOT_B</x:v>
      </x:c>
      <x:c r="E16" s="9" t="str">
        <x:v>SA1</x:v>
      </x:c>
      <x:c r="F16" s="9" t="n">
        <x:v>5</x:v>
      </x:c>
      <x:c r="G16" s="9" t="str">
        <x:v>survey/leak/electrical/thermal/NDE</x:v>
      </x:c>
      <x:c r="H16" s="11" t="n">
        <x:v>1</x:v>
      </x:c>
      <x:c r="I16" s="9" t="str">
        <x:v>governing reserve plane</x:v>
      </x:c>
      <x:c r="J16" s="9" t="str">
        <x:v>public plus root/lab</x:v>
      </x:c>
      <x:c r="K16" s="9" t="n">
        <x:v>1</x:v>
      </x:c>
      <x:c r="L16" s="9" t="n">
        <x:v>0</x:v>
      </x:c>
    </x:row>
    <x:row r="17">
      <x:c r="B17" s="9" t="str">
        <x:v>CUT-11</x:v>
      </x:c>
      <x:c r="C17" s="9" t="str">
        <x:v>SA2-A</x:v>
      </x:c>
      <x:c r="D17" s="9" t="str">
        <x:v>ROOT_A</x:v>
      </x:c>
      <x:c r="E17" s="9" t="str">
        <x:v>SA2</x:v>
      </x:c>
      <x:c r="F17" s="9" t="n">
        <x:v>1</x:v>
      </x:c>
      <x:c r="G17" s="9" t="str">
        <x:v>survey/leak/electrical/thermal/NDE</x:v>
      </x:c>
      <x:c r="H17" s="11" t="n">
        <x:v>1</x:v>
      </x:c>
      <x:c r="I17" s="9" t="str">
        <x:v>minimum cell plane</x:v>
      </x:c>
      <x:c r="J17" s="9" t="str">
        <x:v>public plus root/lab</x:v>
      </x:c>
      <x:c r="K17" s="9" t="n">
        <x:v>1</x:v>
      </x:c>
      <x:c r="L17" s="9" t="n">
        <x:v>0</x:v>
      </x:c>
    </x:row>
    <x:row r="18">
      <x:c r="B18" s="9" t="str">
        <x:v>CUT-12</x:v>
      </x:c>
      <x:c r="C18" s="9" t="str">
        <x:v>SA2-A</x:v>
      </x:c>
      <x:c r="D18" s="9" t="str">
        <x:v>ROOT_A</x:v>
      </x:c>
      <x:c r="E18" s="9" t="str">
        <x:v>SA2</x:v>
      </x:c>
      <x:c r="F18" s="9" t="n">
        <x:v>2</x:v>
      </x:c>
      <x:c r="G18" s="9" t="str">
        <x:v>survey/leak/electrical/thermal/NDE</x:v>
      </x:c>
      <x:c r="H18" s="11" t="n">
        <x:v>1</x:v>
      </x:c>
      <x:c r="I18" s="9" t="str">
        <x:v>minimum cell plane</x:v>
      </x:c>
      <x:c r="J18" s="9" t="str">
        <x:v>public plus root/lab</x:v>
      </x:c>
      <x:c r="K18" s="9" t="n">
        <x:v>1</x:v>
      </x:c>
      <x:c r="L18" s="9" t="n">
        <x:v>0</x:v>
      </x:c>
    </x:row>
    <x:row r="19">
      <x:c r="B19" s="9" t="str">
        <x:v>CUT-13</x:v>
      </x:c>
      <x:c r="C19" s="9" t="str">
        <x:v>SA2-A</x:v>
      </x:c>
      <x:c r="D19" s="9" t="str">
        <x:v>ROOT_A</x:v>
      </x:c>
      <x:c r="E19" s="9" t="str">
        <x:v>SA2</x:v>
      </x:c>
      <x:c r="F19" s="9" t="n">
        <x:v>3</x:v>
      </x:c>
      <x:c r="G19" s="9" t="str">
        <x:v>survey/leak/electrical/thermal/NDE</x:v>
      </x:c>
      <x:c r="H19" s="11" t="n">
        <x:v>1</x:v>
      </x:c>
      <x:c r="I19" s="9" t="str">
        <x:v>minimum cell plane</x:v>
      </x:c>
      <x:c r="J19" s="9" t="str">
        <x:v>public plus root/lab</x:v>
      </x:c>
      <x:c r="K19" s="9" t="n">
        <x:v>1</x:v>
      </x:c>
      <x:c r="L19" s="9" t="n">
        <x:v>0</x:v>
      </x:c>
    </x:row>
    <x:row r="20">
      <x:c r="B20" s="9" t="str">
        <x:v>CUT-14</x:v>
      </x:c>
      <x:c r="C20" s="9" t="str">
        <x:v>SA2-A</x:v>
      </x:c>
      <x:c r="D20" s="9" t="str">
        <x:v>ROOT_A</x:v>
      </x:c>
      <x:c r="E20" s="9" t="str">
        <x:v>SA2</x:v>
      </x:c>
      <x:c r="F20" s="9" t="n">
        <x:v>4</x:v>
      </x:c>
      <x:c r="G20" s="9" t="str">
        <x:v>survey/leak/electrical/thermal/NDE</x:v>
      </x:c>
      <x:c r="H20" s="11" t="n">
        <x:v>1</x:v>
      </x:c>
      <x:c r="I20" s="9" t="str">
        <x:v>minimum cell plane</x:v>
      </x:c>
      <x:c r="J20" s="9" t="str">
        <x:v>public plus root/lab</x:v>
      </x:c>
      <x:c r="K20" s="9" t="n">
        <x:v>1</x:v>
      </x:c>
      <x:c r="L20" s="9" t="n">
        <x:v>0</x:v>
      </x:c>
    </x:row>
    <x:row r="21">
      <x:c r="B21" s="9" t="str">
        <x:v>CUT-15</x:v>
      </x:c>
      <x:c r="C21" s="9" t="str">
        <x:v>SA2-A</x:v>
      </x:c>
      <x:c r="D21" s="9" t="str">
        <x:v>ROOT_A</x:v>
      </x:c>
      <x:c r="E21" s="9" t="str">
        <x:v>SA2</x:v>
      </x:c>
      <x:c r="F21" s="9" t="n">
        <x:v>5</x:v>
      </x:c>
      <x:c r="G21" s="9" t="str">
        <x:v>survey/leak/electrical/thermal/NDE</x:v>
      </x:c>
      <x:c r="H21" s="11" t="n">
        <x:v>1</x:v>
      </x:c>
      <x:c r="I21" s="9" t="str">
        <x:v>governing reserve plane</x:v>
      </x:c>
      <x:c r="J21" s="9" t="str">
        <x:v>public plus root/lab</x:v>
      </x:c>
      <x:c r="K21" s="9" t="n">
        <x:v>1</x:v>
      </x:c>
      <x:c r="L21" s="9" t="n">
        <x:v>0</x:v>
      </x:c>
    </x:row>
    <x:row r="22">
      <x:c r="B22" s="9" t="str">
        <x:v>CUT-16</x:v>
      </x:c>
      <x:c r="C22" s="9" t="str">
        <x:v>SA2-B</x:v>
      </x:c>
      <x:c r="D22" s="9" t="str">
        <x:v>ROOT_B</x:v>
      </x:c>
      <x:c r="E22" s="9" t="str">
        <x:v>SA2</x:v>
      </x:c>
      <x:c r="F22" s="9" t="n">
        <x:v>1</x:v>
      </x:c>
      <x:c r="G22" s="9" t="str">
        <x:v>survey/leak/electrical/thermal/NDE</x:v>
      </x:c>
      <x:c r="H22" s="11" t="n">
        <x:v>1</x:v>
      </x:c>
      <x:c r="I22" s="9" t="str">
        <x:v>minimum cell plane</x:v>
      </x:c>
      <x:c r="J22" s="9" t="str">
        <x:v>public plus root/lab</x:v>
      </x:c>
      <x:c r="K22" s="9" t="n">
        <x:v>1</x:v>
      </x:c>
      <x:c r="L22" s="9" t="n">
        <x:v>0</x:v>
      </x:c>
    </x:row>
    <x:row r="23">
      <x:c r="B23" s="9" t="str">
        <x:v>CUT-17</x:v>
      </x:c>
      <x:c r="C23" s="9" t="str">
        <x:v>SA2-B</x:v>
      </x:c>
      <x:c r="D23" s="9" t="str">
        <x:v>ROOT_B</x:v>
      </x:c>
      <x:c r="E23" s="9" t="str">
        <x:v>SA2</x:v>
      </x:c>
      <x:c r="F23" s="9" t="n">
        <x:v>2</x:v>
      </x:c>
      <x:c r="G23" s="9" t="str">
        <x:v>survey/leak/electrical/thermal/NDE</x:v>
      </x:c>
      <x:c r="H23" s="11" t="n">
        <x:v>1</x:v>
      </x:c>
      <x:c r="I23" s="9" t="str">
        <x:v>minimum cell plane</x:v>
      </x:c>
      <x:c r="J23" s="9" t="str">
        <x:v>public plus root/lab</x:v>
      </x:c>
      <x:c r="K23" s="9" t="n">
        <x:v>1</x:v>
      </x:c>
      <x:c r="L23" s="9" t="n">
        <x:v>0</x:v>
      </x:c>
    </x:row>
    <x:row r="24">
      <x:c r="B24" s="9" t="str">
        <x:v>CUT-18</x:v>
      </x:c>
      <x:c r="C24" s="9" t="str">
        <x:v>SA2-B</x:v>
      </x:c>
      <x:c r="D24" s="9" t="str">
        <x:v>ROOT_B</x:v>
      </x:c>
      <x:c r="E24" s="9" t="str">
        <x:v>SA2</x:v>
      </x:c>
      <x:c r="F24" s="9" t="n">
        <x:v>3</x:v>
      </x:c>
      <x:c r="G24" s="9" t="str">
        <x:v>survey/leak/electrical/thermal/NDE</x:v>
      </x:c>
      <x:c r="H24" s="11" t="n">
        <x:v>1</x:v>
      </x:c>
      <x:c r="I24" s="9" t="str">
        <x:v>minimum cell plane</x:v>
      </x:c>
      <x:c r="J24" s="9" t="str">
        <x:v>public plus root/lab</x:v>
      </x:c>
      <x:c r="K24" s="9" t="n">
        <x:v>1</x:v>
      </x:c>
      <x:c r="L24" s="9" t="n">
        <x:v>0</x:v>
      </x:c>
    </x:row>
    <x:row r="25">
      <x:c r="B25" s="9" t="str">
        <x:v>CUT-19</x:v>
      </x:c>
      <x:c r="C25" s="9" t="str">
        <x:v>SA2-B</x:v>
      </x:c>
      <x:c r="D25" s="9" t="str">
        <x:v>ROOT_B</x:v>
      </x:c>
      <x:c r="E25" s="9" t="str">
        <x:v>SA2</x:v>
      </x:c>
      <x:c r="F25" s="9" t="n">
        <x:v>4</x:v>
      </x:c>
      <x:c r="G25" s="9" t="str">
        <x:v>survey/leak/electrical/thermal/NDE</x:v>
      </x:c>
      <x:c r="H25" s="11" t="n">
        <x:v>1</x:v>
      </x:c>
      <x:c r="I25" s="9" t="str">
        <x:v>minimum cell plane</x:v>
      </x:c>
      <x:c r="J25" s="9" t="str">
        <x:v>public plus root/lab</x:v>
      </x:c>
      <x:c r="K25" s="9" t="n">
        <x:v>1</x:v>
      </x:c>
      <x:c r="L25" s="9" t="n">
        <x:v>0</x:v>
      </x:c>
    </x:row>
    <x:row r="26">
      <x:c r="B26" s="9" t="str">
        <x:v>CUT-20</x:v>
      </x:c>
      <x:c r="C26" s="9" t="str">
        <x:v>SA2-B</x:v>
      </x:c>
      <x:c r="D26" s="9" t="str">
        <x:v>ROOT_B</x:v>
      </x:c>
      <x:c r="E26" s="9" t="str">
        <x:v>SA2</x:v>
      </x:c>
      <x:c r="F26" s="9" t="n">
        <x:v>5</x:v>
      </x:c>
      <x:c r="G26" s="9" t="str">
        <x:v>survey/leak/electrical/thermal/NDE</x:v>
      </x:c>
      <x:c r="H26" s="11" t="n">
        <x:v>1</x:v>
      </x:c>
      <x:c r="I26" s="9" t="str">
        <x:v>governing reserve plane</x:v>
      </x:c>
      <x:c r="J26" s="9" t="str">
        <x:v>public plus root/lab</x:v>
      </x:c>
      <x:c r="K26" s="9" t="n">
        <x:v>1</x:v>
      </x:c>
      <x:c r="L26" s="9" t="n">
        <x:v>0</x:v>
      </x:c>
    </x:row>
    <x:row r="27">
      <x:c r="B27" s="9" t="str">
        <x:v>CUT-21</x:v>
      </x:c>
      <x:c r="C27" s="9" t="str">
        <x:v>SA3-A</x:v>
      </x:c>
      <x:c r="D27" s="9" t="str">
        <x:v>ROOT_A</x:v>
      </x:c>
      <x:c r="E27" s="9" t="str">
        <x:v>SA3</x:v>
      </x:c>
      <x:c r="F27" s="9" t="n">
        <x:v>1</x:v>
      </x:c>
      <x:c r="G27" s="9" t="str">
        <x:v>survey/leak/electrical/thermal/NDE</x:v>
      </x:c>
      <x:c r="H27" s="11" t="n">
        <x:v>1</x:v>
      </x:c>
      <x:c r="I27" s="9" t="str">
        <x:v>minimum cell plane</x:v>
      </x:c>
      <x:c r="J27" s="9" t="str">
        <x:v>public plus root/lab</x:v>
      </x:c>
      <x:c r="K27" s="9" t="n">
        <x:v>1</x:v>
      </x:c>
      <x:c r="L27" s="9" t="n">
        <x:v>0</x:v>
      </x:c>
    </x:row>
    <x:row r="28">
      <x:c r="B28" s="9" t="str">
        <x:v>CUT-22</x:v>
      </x:c>
      <x:c r="C28" s="9" t="str">
        <x:v>SA3-A</x:v>
      </x:c>
      <x:c r="D28" s="9" t="str">
        <x:v>ROOT_A</x:v>
      </x:c>
      <x:c r="E28" s="9" t="str">
        <x:v>SA3</x:v>
      </x:c>
      <x:c r="F28" s="9" t="n">
        <x:v>2</x:v>
      </x:c>
      <x:c r="G28" s="9" t="str">
        <x:v>survey/leak/electrical/thermal/NDE</x:v>
      </x:c>
      <x:c r="H28" s="11" t="n">
        <x:v>1</x:v>
      </x:c>
      <x:c r="I28" s="9" t="str">
        <x:v>minimum cell plane</x:v>
      </x:c>
      <x:c r="J28" s="9" t="str">
        <x:v>public plus root/lab</x:v>
      </x:c>
      <x:c r="K28" s="9" t="n">
        <x:v>1</x:v>
      </x:c>
      <x:c r="L28" s="9" t="n">
        <x:v>0</x:v>
      </x:c>
    </x:row>
    <x:row r="29">
      <x:c r="B29" s="9" t="str">
        <x:v>CUT-23</x:v>
      </x:c>
      <x:c r="C29" s="9" t="str">
        <x:v>SA3-A</x:v>
      </x:c>
      <x:c r="D29" s="9" t="str">
        <x:v>ROOT_A</x:v>
      </x:c>
      <x:c r="E29" s="9" t="str">
        <x:v>SA3</x:v>
      </x:c>
      <x:c r="F29" s="9" t="n">
        <x:v>3</x:v>
      </x:c>
      <x:c r="G29" s="9" t="str">
        <x:v>survey/leak/electrical/thermal/NDE</x:v>
      </x:c>
      <x:c r="H29" s="11" t="n">
        <x:v>1</x:v>
      </x:c>
      <x:c r="I29" s="9" t="str">
        <x:v>minimum cell plane</x:v>
      </x:c>
      <x:c r="J29" s="9" t="str">
        <x:v>public plus root/lab</x:v>
      </x:c>
      <x:c r="K29" s="9" t="n">
        <x:v>1</x:v>
      </x:c>
      <x:c r="L29" s="9" t="n">
        <x:v>0</x:v>
      </x:c>
    </x:row>
    <x:row r="30">
      <x:c r="B30" s="9" t="str">
        <x:v>CUT-24</x:v>
      </x:c>
      <x:c r="C30" s="9" t="str">
        <x:v>SA3-A</x:v>
      </x:c>
      <x:c r="D30" s="9" t="str">
        <x:v>ROOT_A</x:v>
      </x:c>
      <x:c r="E30" s="9" t="str">
        <x:v>SA3</x:v>
      </x:c>
      <x:c r="F30" s="9" t="n">
        <x:v>4</x:v>
      </x:c>
      <x:c r="G30" s="9" t="str">
        <x:v>survey/leak/electrical/thermal/NDE</x:v>
      </x:c>
      <x:c r="H30" s="11" t="n">
        <x:v>1</x:v>
      </x:c>
      <x:c r="I30" s="9" t="str">
        <x:v>minimum cell plane</x:v>
      </x:c>
      <x:c r="J30" s="9" t="str">
        <x:v>public plus root/lab</x:v>
      </x:c>
      <x:c r="K30" s="9" t="n">
        <x:v>1</x:v>
      </x:c>
      <x:c r="L30" s="9" t="n">
        <x:v>0</x:v>
      </x:c>
    </x:row>
    <x:row r="31">
      <x:c r="B31" s="9" t="str">
        <x:v>CUT-25</x:v>
      </x:c>
      <x:c r="C31" s="9" t="str">
        <x:v>SA3-A</x:v>
      </x:c>
      <x:c r="D31" s="9" t="str">
        <x:v>ROOT_A</x:v>
      </x:c>
      <x:c r="E31" s="9" t="str">
        <x:v>SA3</x:v>
      </x:c>
      <x:c r="F31" s="9" t="n">
        <x:v>5</x:v>
      </x:c>
      <x:c r="G31" s="9" t="str">
        <x:v>survey/leak/electrical/thermal/NDE</x:v>
      </x:c>
      <x:c r="H31" s="11" t="n">
        <x:v>1</x:v>
      </x:c>
      <x:c r="I31" s="9" t="str">
        <x:v>governing reserve plane</x:v>
      </x:c>
      <x:c r="J31" s="9" t="str">
        <x:v>public plus root/lab</x:v>
      </x:c>
      <x:c r="K31" s="9" t="n">
        <x:v>1</x:v>
      </x:c>
      <x:c r="L31" s="9" t="n">
        <x:v>0</x:v>
      </x:c>
    </x:row>
    <x:row r="32">
      <x:c r="B32" s="9" t="str">
        <x:v>CUT-26</x:v>
      </x:c>
      <x:c r="C32" s="9" t="str">
        <x:v>SA3-B</x:v>
      </x:c>
      <x:c r="D32" s="9" t="str">
        <x:v>ROOT_B</x:v>
      </x:c>
      <x:c r="E32" s="9" t="str">
        <x:v>SA3</x:v>
      </x:c>
      <x:c r="F32" s="9" t="n">
        <x:v>1</x:v>
      </x:c>
      <x:c r="G32" s="9" t="str">
        <x:v>survey/leak/electrical/thermal/NDE</x:v>
      </x:c>
      <x:c r="H32" s="11" t="n">
        <x:v>1</x:v>
      </x:c>
      <x:c r="I32" s="9" t="str">
        <x:v>minimum cell plane</x:v>
      </x:c>
      <x:c r="J32" s="9" t="str">
        <x:v>public plus root/lab</x:v>
      </x:c>
      <x:c r="K32" s="9" t="n">
        <x:v>1</x:v>
      </x:c>
      <x:c r="L32" s="9" t="n">
        <x:v>0</x:v>
      </x:c>
    </x:row>
    <x:row r="33">
      <x:c r="B33" s="9" t="str">
        <x:v>CUT-27</x:v>
      </x:c>
      <x:c r="C33" s="9" t="str">
        <x:v>SA3-B</x:v>
      </x:c>
      <x:c r="D33" s="9" t="str">
        <x:v>ROOT_B</x:v>
      </x:c>
      <x:c r="E33" s="9" t="str">
        <x:v>SA3</x:v>
      </x:c>
      <x:c r="F33" s="9" t="n">
        <x:v>2</x:v>
      </x:c>
      <x:c r="G33" s="9" t="str">
        <x:v>survey/leak/electrical/thermal/NDE</x:v>
      </x:c>
      <x:c r="H33" s="11" t="n">
        <x:v>1</x:v>
      </x:c>
      <x:c r="I33" s="9" t="str">
        <x:v>minimum cell plane</x:v>
      </x:c>
      <x:c r="J33" s="9" t="str">
        <x:v>public plus root/lab</x:v>
      </x:c>
      <x:c r="K33" s="9" t="n">
        <x:v>1</x:v>
      </x:c>
      <x:c r="L33" s="9" t="n">
        <x:v>0</x:v>
      </x:c>
    </x:row>
    <x:row r="34">
      <x:c r="B34" s="9" t="str">
        <x:v>CUT-28</x:v>
      </x:c>
      <x:c r="C34" s="9" t="str">
        <x:v>SA3-B</x:v>
      </x:c>
      <x:c r="D34" s="9" t="str">
        <x:v>ROOT_B</x:v>
      </x:c>
      <x:c r="E34" s="9" t="str">
        <x:v>SA3</x:v>
      </x:c>
      <x:c r="F34" s="9" t="n">
        <x:v>3</x:v>
      </x:c>
      <x:c r="G34" s="9" t="str">
        <x:v>survey/leak/electrical/thermal/NDE</x:v>
      </x:c>
      <x:c r="H34" s="11" t="n">
        <x:v>1</x:v>
      </x:c>
      <x:c r="I34" s="9" t="str">
        <x:v>minimum cell plane</x:v>
      </x:c>
      <x:c r="J34" s="9" t="str">
        <x:v>public plus root/lab</x:v>
      </x:c>
      <x:c r="K34" s="9" t="n">
        <x:v>1</x:v>
      </x:c>
      <x:c r="L34" s="9" t="n">
        <x:v>0</x:v>
      </x:c>
    </x:row>
    <x:row r="35">
      <x:c r="B35" s="9" t="str">
        <x:v>CUT-29</x:v>
      </x:c>
      <x:c r="C35" s="9" t="str">
        <x:v>SA3-B</x:v>
      </x:c>
      <x:c r="D35" s="9" t="str">
        <x:v>ROOT_B</x:v>
      </x:c>
      <x:c r="E35" s="9" t="str">
        <x:v>SA3</x:v>
      </x:c>
      <x:c r="F35" s="9" t="n">
        <x:v>4</x:v>
      </x:c>
      <x:c r="G35" s="9" t="str">
        <x:v>survey/leak/electrical/thermal/NDE</x:v>
      </x:c>
      <x:c r="H35" s="11" t="n">
        <x:v>1</x:v>
      </x:c>
      <x:c r="I35" s="9" t="str">
        <x:v>minimum cell plane</x:v>
      </x:c>
      <x:c r="J35" s="9" t="str">
        <x:v>public plus root/lab</x:v>
      </x:c>
      <x:c r="K35" s="9" t="n">
        <x:v>1</x:v>
      </x:c>
      <x:c r="L35" s="9" t="n">
        <x:v>0</x:v>
      </x:c>
    </x:row>
    <x:row r="36">
      <x:c r="B36" s="9" t="str">
        <x:v>CUT-30</x:v>
      </x:c>
      <x:c r="C36" s="9" t="str">
        <x:v>SA3-B</x:v>
      </x:c>
      <x:c r="D36" s="9" t="str">
        <x:v>ROOT_B</x:v>
      </x:c>
      <x:c r="E36" s="9" t="str">
        <x:v>SA3</x:v>
      </x:c>
      <x:c r="F36" s="9" t="n">
        <x:v>5</x:v>
      </x:c>
      <x:c r="G36" s="9" t="str">
        <x:v>survey/leak/electrical/thermal/NDE</x:v>
      </x:c>
      <x:c r="H36" s="11" t="n">
        <x:v>1</x:v>
      </x:c>
      <x:c r="I36" s="9" t="str">
        <x:v>governing reserve plane</x:v>
      </x:c>
      <x:c r="J36" s="9" t="str">
        <x:v>public plus root/lab</x:v>
      </x:c>
      <x:c r="K36" s="9" t="n">
        <x:v>1</x:v>
      </x:c>
      <x:c r="L36" s="9" t="n">
        <x:v>0</x:v>
      </x:c>
    </x:row>
    <x:row r="37">
      <x:c r="B37" s="9" t="str">
        <x:v>CUT-31</x:v>
      </x:c>
      <x:c r="C37" s="9" t="str">
        <x:v>SA4-A</x:v>
      </x:c>
      <x:c r="D37" s="9" t="str">
        <x:v>ROOT_A</x:v>
      </x:c>
      <x:c r="E37" s="9" t="str">
        <x:v>SA4</x:v>
      </x:c>
      <x:c r="F37" s="9" t="n">
        <x:v>1</x:v>
      </x:c>
      <x:c r="G37" s="9" t="str">
        <x:v>survey/leak/electrical/thermal/NDE</x:v>
      </x:c>
      <x:c r="H37" s="11" t="n">
        <x:v>1</x:v>
      </x:c>
      <x:c r="I37" s="9" t="str">
        <x:v>minimum cell plane</x:v>
      </x:c>
      <x:c r="J37" s="9" t="str">
        <x:v>public plus root/lab</x:v>
      </x:c>
      <x:c r="K37" s="9" t="n">
        <x:v>1</x:v>
      </x:c>
      <x:c r="L37" s="9" t="n">
        <x:v>0</x:v>
      </x:c>
    </x:row>
    <x:row r="38">
      <x:c r="B38" s="9" t="str">
        <x:v>CUT-32</x:v>
      </x:c>
      <x:c r="C38" s="9" t="str">
        <x:v>SA4-A</x:v>
      </x:c>
      <x:c r="D38" s="9" t="str">
        <x:v>ROOT_A</x:v>
      </x:c>
      <x:c r="E38" s="9" t="str">
        <x:v>SA4</x:v>
      </x:c>
      <x:c r="F38" s="9" t="n">
        <x:v>2</x:v>
      </x:c>
      <x:c r="G38" s="9" t="str">
        <x:v>survey/leak/electrical/thermal/NDE</x:v>
      </x:c>
      <x:c r="H38" s="11" t="n">
        <x:v>1</x:v>
      </x:c>
      <x:c r="I38" s="9" t="str">
        <x:v>minimum cell plane</x:v>
      </x:c>
      <x:c r="J38" s="9" t="str">
        <x:v>public plus root/lab</x:v>
      </x:c>
      <x:c r="K38" s="9" t="n">
        <x:v>1</x:v>
      </x:c>
      <x:c r="L38" s="9" t="n">
        <x:v>0</x:v>
      </x:c>
    </x:row>
    <x:row r="39">
      <x:c r="B39" s="9" t="str">
        <x:v>CUT-33</x:v>
      </x:c>
      <x:c r="C39" s="9" t="str">
        <x:v>SA4-A</x:v>
      </x:c>
      <x:c r="D39" s="9" t="str">
        <x:v>ROOT_A</x:v>
      </x:c>
      <x:c r="E39" s="9" t="str">
        <x:v>SA4</x:v>
      </x:c>
      <x:c r="F39" s="9" t="n">
        <x:v>3</x:v>
      </x:c>
      <x:c r="G39" s="9" t="str">
        <x:v>survey/leak/electrical/thermal/NDE</x:v>
      </x:c>
      <x:c r="H39" s="11" t="n">
        <x:v>1</x:v>
      </x:c>
      <x:c r="I39" s="9" t="str">
        <x:v>minimum cell plane</x:v>
      </x:c>
      <x:c r="J39" s="9" t="str">
        <x:v>public plus root/lab</x:v>
      </x:c>
      <x:c r="K39" s="9" t="n">
        <x:v>1</x:v>
      </x:c>
      <x:c r="L39" s="9" t="n">
        <x:v>0</x:v>
      </x:c>
    </x:row>
    <x:row r="40">
      <x:c r="B40" s="9" t="str">
        <x:v>CUT-34</x:v>
      </x:c>
      <x:c r="C40" s="9" t="str">
        <x:v>SA4-A</x:v>
      </x:c>
      <x:c r="D40" s="9" t="str">
        <x:v>ROOT_A</x:v>
      </x:c>
      <x:c r="E40" s="9" t="str">
        <x:v>SA4</x:v>
      </x:c>
      <x:c r="F40" s="9" t="n">
        <x:v>4</x:v>
      </x:c>
      <x:c r="G40" s="9" t="str">
        <x:v>survey/leak/electrical/thermal/NDE</x:v>
      </x:c>
      <x:c r="H40" s="11" t="n">
        <x:v>1</x:v>
      </x:c>
      <x:c r="I40" s="9" t="str">
        <x:v>minimum cell plane</x:v>
      </x:c>
      <x:c r="J40" s="9" t="str">
        <x:v>public plus root/lab</x:v>
      </x:c>
      <x:c r="K40" s="9" t="n">
        <x:v>1</x:v>
      </x:c>
      <x:c r="L40" s="9" t="n">
        <x:v>0</x:v>
      </x:c>
    </x:row>
    <x:row r="41">
      <x:c r="B41" s="9" t="str">
        <x:v>CUT-35</x:v>
      </x:c>
      <x:c r="C41" s="9" t="str">
        <x:v>SA4-A</x:v>
      </x:c>
      <x:c r="D41" s="9" t="str">
        <x:v>ROOT_A</x:v>
      </x:c>
      <x:c r="E41" s="9" t="str">
        <x:v>SA4</x:v>
      </x:c>
      <x:c r="F41" s="9" t="n">
        <x:v>5</x:v>
      </x:c>
      <x:c r="G41" s="9" t="str">
        <x:v>survey/leak/electrical/thermal/NDE</x:v>
      </x:c>
      <x:c r="H41" s="11" t="n">
        <x:v>1</x:v>
      </x:c>
      <x:c r="I41" s="9" t="str">
        <x:v>governing reserve plane</x:v>
      </x:c>
      <x:c r="J41" s="9" t="str">
        <x:v>public plus root/lab</x:v>
      </x:c>
      <x:c r="K41" s="9" t="n">
        <x:v>1</x:v>
      </x:c>
      <x:c r="L41" s="9" t="n">
        <x:v>0</x:v>
      </x:c>
    </x:row>
    <x:row r="42">
      <x:c r="B42" s="9" t="str">
        <x:v>CUT-36</x:v>
      </x:c>
      <x:c r="C42" s="9" t="str">
        <x:v>SA4-B</x:v>
      </x:c>
      <x:c r="D42" s="9" t="str">
        <x:v>ROOT_B</x:v>
      </x:c>
      <x:c r="E42" s="9" t="str">
        <x:v>SA4</x:v>
      </x:c>
      <x:c r="F42" s="9" t="n">
        <x:v>1</x:v>
      </x:c>
      <x:c r="G42" s="9" t="str">
        <x:v>survey/leak/electrical/thermal/NDE</x:v>
      </x:c>
      <x:c r="H42" s="11" t="n">
        <x:v>1</x:v>
      </x:c>
      <x:c r="I42" s="9" t="str">
        <x:v>minimum cell plane</x:v>
      </x:c>
      <x:c r="J42" s="9" t="str">
        <x:v>public plus root/lab</x:v>
      </x:c>
      <x:c r="K42" s="9" t="n">
        <x:v>1</x:v>
      </x:c>
      <x:c r="L42" s="9" t="n">
        <x:v>0</x:v>
      </x:c>
    </x:row>
    <x:row r="43">
      <x:c r="B43" s="9" t="str">
        <x:v>CUT-37</x:v>
      </x:c>
      <x:c r="C43" s="9" t="str">
        <x:v>SA4-B</x:v>
      </x:c>
      <x:c r="D43" s="9" t="str">
        <x:v>ROOT_B</x:v>
      </x:c>
      <x:c r="E43" s="9" t="str">
        <x:v>SA4</x:v>
      </x:c>
      <x:c r="F43" s="9" t="n">
        <x:v>2</x:v>
      </x:c>
      <x:c r="G43" s="9" t="str">
        <x:v>survey/leak/electrical/thermal/NDE</x:v>
      </x:c>
      <x:c r="H43" s="11" t="n">
        <x:v>1</x:v>
      </x:c>
      <x:c r="I43" s="9" t="str">
        <x:v>minimum cell plane</x:v>
      </x:c>
      <x:c r="J43" s="9" t="str">
        <x:v>public plus root/lab</x:v>
      </x:c>
      <x:c r="K43" s="9" t="n">
        <x:v>1</x:v>
      </x:c>
      <x:c r="L43" s="9" t="n">
        <x:v>0</x:v>
      </x:c>
    </x:row>
    <x:row r="44">
      <x:c r="B44" s="9" t="str">
        <x:v>CUT-38</x:v>
      </x:c>
      <x:c r="C44" s="9" t="str">
        <x:v>SA4-B</x:v>
      </x:c>
      <x:c r="D44" s="9" t="str">
        <x:v>ROOT_B</x:v>
      </x:c>
      <x:c r="E44" s="9" t="str">
        <x:v>SA4</x:v>
      </x:c>
      <x:c r="F44" s="9" t="n">
        <x:v>3</x:v>
      </x:c>
      <x:c r="G44" s="9" t="str">
        <x:v>survey/leak/electrical/thermal/NDE</x:v>
      </x:c>
      <x:c r="H44" s="11" t="n">
        <x:v>1</x:v>
      </x:c>
      <x:c r="I44" s="9" t="str">
        <x:v>minimum cell plane</x:v>
      </x:c>
      <x:c r="J44" s="9" t="str">
        <x:v>public plus root/lab</x:v>
      </x:c>
      <x:c r="K44" s="9" t="n">
        <x:v>1</x:v>
      </x:c>
      <x:c r="L44" s="9" t="n">
        <x:v>0</x:v>
      </x:c>
    </x:row>
    <x:row r="45">
      <x:c r="B45" s="9" t="str">
        <x:v>CUT-39</x:v>
      </x:c>
      <x:c r="C45" s="9" t="str">
        <x:v>SA4-B</x:v>
      </x:c>
      <x:c r="D45" s="9" t="str">
        <x:v>ROOT_B</x:v>
      </x:c>
      <x:c r="E45" s="9" t="str">
        <x:v>SA4</x:v>
      </x:c>
      <x:c r="F45" s="9" t="n">
        <x:v>4</x:v>
      </x:c>
      <x:c r="G45" s="9" t="str">
        <x:v>survey/leak/electrical/thermal/NDE</x:v>
      </x:c>
      <x:c r="H45" s="11" t="n">
        <x:v>1</x:v>
      </x:c>
      <x:c r="I45" s="9" t="str">
        <x:v>minimum cell plane</x:v>
      </x:c>
      <x:c r="J45" s="9" t="str">
        <x:v>public plus root/lab</x:v>
      </x:c>
      <x:c r="K45" s="9" t="n">
        <x:v>1</x:v>
      </x:c>
      <x:c r="L45" s="9" t="n">
        <x:v>0</x:v>
      </x:c>
    </x:row>
    <x:row r="46">
      <x:c r="B46" s="9" t="str">
        <x:v>CUT-40</x:v>
      </x:c>
      <x:c r="C46" s="9" t="str">
        <x:v>SA4-B</x:v>
      </x:c>
      <x:c r="D46" s="9" t="str">
        <x:v>ROOT_B</x:v>
      </x:c>
      <x:c r="E46" s="9" t="str">
        <x:v>SA4</x:v>
      </x:c>
      <x:c r="F46" s="9" t="n">
        <x:v>5</x:v>
      </x:c>
      <x:c r="G46" s="9" t="str">
        <x:v>survey/leak/electrical/thermal/NDE</x:v>
      </x:c>
      <x:c r="H46" s="11" t="n">
        <x:v>1</x:v>
      </x:c>
      <x:c r="I46" s="9" t="str">
        <x:v>governing reserve plane</x:v>
      </x:c>
      <x:c r="J46" s="9" t="str">
        <x:v>public plus root/lab</x:v>
      </x:c>
      <x:c r="K46" s="9" t="n">
        <x:v>1</x:v>
      </x:c>
      <x:c r="L46" s="9" t="n">
        <x:v>0</x:v>
      </x:c>
    </x:row>
    <x:row r="47">
      <x:c r="B47" s="9" t="str">
        <x:v>CUT-41</x:v>
      </x:c>
      <x:c r="C47" s="9" t="str">
        <x:v>SA5-A</x:v>
      </x:c>
      <x:c r="D47" s="9" t="str">
        <x:v>ROOT_A</x:v>
      </x:c>
      <x:c r="E47" s="9" t="str">
        <x:v>SA5</x:v>
      </x:c>
      <x:c r="F47" s="9" t="n">
        <x:v>1</x:v>
      </x:c>
      <x:c r="G47" s="9" t="str">
        <x:v>survey/leak/electrical/thermal/NDE</x:v>
      </x:c>
      <x:c r="H47" s="11" t="n">
        <x:v>1</x:v>
      </x:c>
      <x:c r="I47" s="9" t="str">
        <x:v>minimum cell plane</x:v>
      </x:c>
      <x:c r="J47" s="9" t="str">
        <x:v>public plus root/lab</x:v>
      </x:c>
      <x:c r="K47" s="9" t="n">
        <x:v>1</x:v>
      </x:c>
      <x:c r="L47" s="9" t="n">
        <x:v>0</x:v>
      </x:c>
    </x:row>
    <x:row r="48">
      <x:c r="B48" s="9" t="str">
        <x:v>CUT-42</x:v>
      </x:c>
      <x:c r="C48" s="9" t="str">
        <x:v>SA5-A</x:v>
      </x:c>
      <x:c r="D48" s="9" t="str">
        <x:v>ROOT_A</x:v>
      </x:c>
      <x:c r="E48" s="9" t="str">
        <x:v>SA5</x:v>
      </x:c>
      <x:c r="F48" s="9" t="n">
        <x:v>2</x:v>
      </x:c>
      <x:c r="G48" s="9" t="str">
        <x:v>survey/leak/electrical/thermal/NDE</x:v>
      </x:c>
      <x:c r="H48" s="11" t="n">
        <x:v>1</x:v>
      </x:c>
      <x:c r="I48" s="9" t="str">
        <x:v>minimum cell plane</x:v>
      </x:c>
      <x:c r="J48" s="9" t="str">
        <x:v>public plus root/lab</x:v>
      </x:c>
      <x:c r="K48" s="9" t="n">
        <x:v>1</x:v>
      </x:c>
      <x:c r="L48" s="9" t="n">
        <x:v>0</x:v>
      </x:c>
    </x:row>
    <x:row r="49">
      <x:c r="B49" s="9" t="str">
        <x:v>CUT-43</x:v>
      </x:c>
      <x:c r="C49" s="9" t="str">
        <x:v>SA5-A</x:v>
      </x:c>
      <x:c r="D49" s="9" t="str">
        <x:v>ROOT_A</x:v>
      </x:c>
      <x:c r="E49" s="9" t="str">
        <x:v>SA5</x:v>
      </x:c>
      <x:c r="F49" s="9" t="n">
        <x:v>3</x:v>
      </x:c>
      <x:c r="G49" s="9" t="str">
        <x:v>survey/leak/electrical/thermal/NDE</x:v>
      </x:c>
      <x:c r="H49" s="11" t="n">
        <x:v>1</x:v>
      </x:c>
      <x:c r="I49" s="9" t="str">
        <x:v>minimum cell plane</x:v>
      </x:c>
      <x:c r="J49" s="9" t="str">
        <x:v>public plus root/lab</x:v>
      </x:c>
      <x:c r="K49" s="9" t="n">
        <x:v>1</x:v>
      </x:c>
      <x:c r="L49" s="9" t="n">
        <x:v>0</x:v>
      </x:c>
    </x:row>
    <x:row r="50">
      <x:c r="B50" s="9" t="str">
        <x:v>CUT-44</x:v>
      </x:c>
      <x:c r="C50" s="9" t="str">
        <x:v>SA5-A</x:v>
      </x:c>
      <x:c r="D50" s="9" t="str">
        <x:v>ROOT_A</x:v>
      </x:c>
      <x:c r="E50" s="9" t="str">
        <x:v>SA5</x:v>
      </x:c>
      <x:c r="F50" s="9" t="n">
        <x:v>4</x:v>
      </x:c>
      <x:c r="G50" s="9" t="str">
        <x:v>survey/leak/electrical/thermal/NDE</x:v>
      </x:c>
      <x:c r="H50" s="11" t="n">
        <x:v>1</x:v>
      </x:c>
      <x:c r="I50" s="9" t="str">
        <x:v>minimum cell plane</x:v>
      </x:c>
      <x:c r="J50" s="9" t="str">
        <x:v>public plus root/lab</x:v>
      </x:c>
      <x:c r="K50" s="9" t="n">
        <x:v>1</x:v>
      </x:c>
      <x:c r="L50" s="9" t="n">
        <x:v>0</x:v>
      </x:c>
    </x:row>
    <x:row r="51">
      <x:c r="B51" s="9" t="str">
        <x:v>CUT-45</x:v>
      </x:c>
      <x:c r="C51" s="9" t="str">
        <x:v>SA5-A</x:v>
      </x:c>
      <x:c r="D51" s="9" t="str">
        <x:v>ROOT_A</x:v>
      </x:c>
      <x:c r="E51" s="9" t="str">
        <x:v>SA5</x:v>
      </x:c>
      <x:c r="F51" s="9" t="n">
        <x:v>5</x:v>
      </x:c>
      <x:c r="G51" s="9" t="str">
        <x:v>survey/leak/electrical/thermal/NDE</x:v>
      </x:c>
      <x:c r="H51" s="11" t="n">
        <x:v>1</x:v>
      </x:c>
      <x:c r="I51" s="9" t="str">
        <x:v>governing reserve plane</x:v>
      </x:c>
      <x:c r="J51" s="9" t="str">
        <x:v>public plus root/lab</x:v>
      </x:c>
      <x:c r="K51" s="9" t="n">
        <x:v>1</x:v>
      </x:c>
      <x:c r="L51" s="9" t="n">
        <x:v>0</x:v>
      </x:c>
    </x:row>
    <x:row r="52">
      <x:c r="B52" s="9" t="str">
        <x:v>CUT-46</x:v>
      </x:c>
      <x:c r="C52" s="9" t="str">
        <x:v>SA5-B</x:v>
      </x:c>
      <x:c r="D52" s="9" t="str">
        <x:v>ROOT_B</x:v>
      </x:c>
      <x:c r="E52" s="9" t="str">
        <x:v>SA5</x:v>
      </x:c>
      <x:c r="F52" s="9" t="n">
        <x:v>1</x:v>
      </x:c>
      <x:c r="G52" s="9" t="str">
        <x:v>survey/leak/electrical/thermal/NDE</x:v>
      </x:c>
      <x:c r="H52" s="11" t="n">
        <x:v>1</x:v>
      </x:c>
      <x:c r="I52" s="9" t="str">
        <x:v>minimum cell plane</x:v>
      </x:c>
      <x:c r="J52" s="9" t="str">
        <x:v>public plus root/lab</x:v>
      </x:c>
      <x:c r="K52" s="9" t="n">
        <x:v>1</x:v>
      </x:c>
      <x:c r="L52" s="9" t="n">
        <x:v>0</x:v>
      </x:c>
    </x:row>
    <x:row r="53">
      <x:c r="B53" s="9" t="str">
        <x:v>CUT-47</x:v>
      </x:c>
      <x:c r="C53" s="9" t="str">
        <x:v>SA5-B</x:v>
      </x:c>
      <x:c r="D53" s="9" t="str">
        <x:v>ROOT_B</x:v>
      </x:c>
      <x:c r="E53" s="9" t="str">
        <x:v>SA5</x:v>
      </x:c>
      <x:c r="F53" s="9" t="n">
        <x:v>2</x:v>
      </x:c>
      <x:c r="G53" s="9" t="str">
        <x:v>survey/leak/electrical/thermal/NDE</x:v>
      </x:c>
      <x:c r="H53" s="11" t="n">
        <x:v>1</x:v>
      </x:c>
      <x:c r="I53" s="9" t="str">
        <x:v>minimum cell plane</x:v>
      </x:c>
      <x:c r="J53" s="9" t="str">
        <x:v>public plus root/lab</x:v>
      </x:c>
      <x:c r="K53" s="9" t="n">
        <x:v>1</x:v>
      </x:c>
      <x:c r="L53" s="9" t="n">
        <x:v>0</x:v>
      </x:c>
    </x:row>
    <x:row r="54">
      <x:c r="B54" s="9" t="str">
        <x:v>CUT-48</x:v>
      </x:c>
      <x:c r="C54" s="9" t="str">
        <x:v>SA5-B</x:v>
      </x:c>
      <x:c r="D54" s="9" t="str">
        <x:v>ROOT_B</x:v>
      </x:c>
      <x:c r="E54" s="9" t="str">
        <x:v>SA5</x:v>
      </x:c>
      <x:c r="F54" s="9" t="n">
        <x:v>3</x:v>
      </x:c>
      <x:c r="G54" s="9" t="str">
        <x:v>survey/leak/electrical/thermal/NDE</x:v>
      </x:c>
      <x:c r="H54" s="11" t="n">
        <x:v>1</x:v>
      </x:c>
      <x:c r="I54" s="9" t="str">
        <x:v>minimum cell plane</x:v>
      </x:c>
      <x:c r="J54" s="9" t="str">
        <x:v>public plus root/lab</x:v>
      </x:c>
      <x:c r="K54" s="9" t="n">
        <x:v>1</x:v>
      </x:c>
      <x:c r="L54" s="9" t="n">
        <x:v>0</x:v>
      </x:c>
    </x:row>
    <x:row r="55">
      <x:c r="B55" s="9" t="str">
        <x:v>CUT-49</x:v>
      </x:c>
      <x:c r="C55" s="9" t="str">
        <x:v>SA5-B</x:v>
      </x:c>
      <x:c r="D55" s="9" t="str">
        <x:v>ROOT_B</x:v>
      </x:c>
      <x:c r="E55" s="9" t="str">
        <x:v>SA5</x:v>
      </x:c>
      <x:c r="F55" s="9" t="n">
        <x:v>4</x:v>
      </x:c>
      <x:c r="G55" s="9" t="str">
        <x:v>survey/leak/electrical/thermal/NDE</x:v>
      </x:c>
      <x:c r="H55" s="11" t="n">
        <x:v>1</x:v>
      </x:c>
      <x:c r="I55" s="9" t="str">
        <x:v>minimum cell plane</x:v>
      </x:c>
      <x:c r="J55" s="9" t="str">
        <x:v>public plus root/lab</x:v>
      </x:c>
      <x:c r="K55" s="9" t="n">
        <x:v>1</x:v>
      </x:c>
      <x:c r="L55" s="9" t="n">
        <x:v>0</x:v>
      </x:c>
    </x:row>
    <x:row r="56">
      <x:c r="B56" s="9" t="str">
        <x:v>CUT-50</x:v>
      </x:c>
      <x:c r="C56" s="9" t="str">
        <x:v>SA5-B</x:v>
      </x:c>
      <x:c r="D56" s="9" t="str">
        <x:v>ROOT_B</x:v>
      </x:c>
      <x:c r="E56" s="9" t="str">
        <x:v>SA5</x:v>
      </x:c>
      <x:c r="F56" s="9" t="n">
        <x:v>5</x:v>
      </x:c>
      <x:c r="G56" s="9" t="str">
        <x:v>survey/leak/electrical/thermal/NDE</x:v>
      </x:c>
      <x:c r="H56" s="11" t="n">
        <x:v>1</x:v>
      </x:c>
      <x:c r="I56" s="9" t="str">
        <x:v>governing reserve plane</x:v>
      </x:c>
      <x:c r="J56" s="9" t="str">
        <x:v>public plus root/lab</x:v>
      </x:c>
      <x:c r="K56" s="9" t="n">
        <x:v>1</x:v>
      </x:c>
      <x:c r="L56" s="9" t="n">
        <x:v>0</x:v>
      </x:c>
    </x:row>
    <x:row r="57">
      <x:c r="B57" s="9" t="str">
        <x:v>CUT-51</x:v>
      </x:c>
      <x:c r="C57" s="9" t="str">
        <x:v>SA6-A</x:v>
      </x:c>
      <x:c r="D57" s="9" t="str">
        <x:v>ROOT_A</x:v>
      </x:c>
      <x:c r="E57" s="9" t="str">
        <x:v>SA6</x:v>
      </x:c>
      <x:c r="F57" s="9" t="n">
        <x:v>1</x:v>
      </x:c>
      <x:c r="G57" s="9" t="str">
        <x:v>survey/leak/electrical/thermal/NDE</x:v>
      </x:c>
      <x:c r="H57" s="11" t="n">
        <x:v>1</x:v>
      </x:c>
      <x:c r="I57" s="9" t="str">
        <x:v>minimum cell plane</x:v>
      </x:c>
      <x:c r="J57" s="9" t="str">
        <x:v>public plus root/lab</x:v>
      </x:c>
      <x:c r="K57" s="9" t="n">
        <x:v>1</x:v>
      </x:c>
      <x:c r="L57" s="9" t="n">
        <x:v>0</x:v>
      </x:c>
    </x:row>
    <x:row r="58">
      <x:c r="B58" s="9" t="str">
        <x:v>CUT-52</x:v>
      </x:c>
      <x:c r="C58" s="9" t="str">
        <x:v>SA6-A</x:v>
      </x:c>
      <x:c r="D58" s="9" t="str">
        <x:v>ROOT_A</x:v>
      </x:c>
      <x:c r="E58" s="9" t="str">
        <x:v>SA6</x:v>
      </x:c>
      <x:c r="F58" s="9" t="n">
        <x:v>2</x:v>
      </x:c>
      <x:c r="G58" s="9" t="str">
        <x:v>survey/leak/electrical/thermal/NDE</x:v>
      </x:c>
      <x:c r="H58" s="11" t="n">
        <x:v>1</x:v>
      </x:c>
      <x:c r="I58" s="9" t="str">
        <x:v>minimum cell plane</x:v>
      </x:c>
      <x:c r="J58" s="9" t="str">
        <x:v>public plus root/lab</x:v>
      </x:c>
      <x:c r="K58" s="9" t="n">
        <x:v>1</x:v>
      </x:c>
      <x:c r="L58" s="9" t="n">
        <x:v>0</x:v>
      </x:c>
    </x:row>
    <x:row r="59">
      <x:c r="B59" s="9" t="str">
        <x:v>CUT-53</x:v>
      </x:c>
      <x:c r="C59" s="9" t="str">
        <x:v>SA6-A</x:v>
      </x:c>
      <x:c r="D59" s="9" t="str">
        <x:v>ROOT_A</x:v>
      </x:c>
      <x:c r="E59" s="9" t="str">
        <x:v>SA6</x:v>
      </x:c>
      <x:c r="F59" s="9" t="n">
        <x:v>3</x:v>
      </x:c>
      <x:c r="G59" s="9" t="str">
        <x:v>survey/leak/electrical/thermal/NDE</x:v>
      </x:c>
      <x:c r="H59" s="11" t="n">
        <x:v>1</x:v>
      </x:c>
      <x:c r="I59" s="9" t="str">
        <x:v>minimum cell plane</x:v>
      </x:c>
      <x:c r="J59" s="9" t="str">
        <x:v>public plus root/lab</x:v>
      </x:c>
      <x:c r="K59" s="9" t="n">
        <x:v>1</x:v>
      </x:c>
      <x:c r="L59" s="9" t="n">
        <x:v>0</x:v>
      </x:c>
    </x:row>
    <x:row r="60">
      <x:c r="B60" s="9" t="str">
        <x:v>CUT-54</x:v>
      </x:c>
      <x:c r="C60" s="9" t="str">
        <x:v>SA6-A</x:v>
      </x:c>
      <x:c r="D60" s="9" t="str">
        <x:v>ROOT_A</x:v>
      </x:c>
      <x:c r="E60" s="9" t="str">
        <x:v>SA6</x:v>
      </x:c>
      <x:c r="F60" s="9" t="n">
        <x:v>4</x:v>
      </x:c>
      <x:c r="G60" s="9" t="str">
        <x:v>survey/leak/electrical/thermal/NDE</x:v>
      </x:c>
      <x:c r="H60" s="11" t="n">
        <x:v>1</x:v>
      </x:c>
      <x:c r="I60" s="9" t="str">
        <x:v>minimum cell plane</x:v>
      </x:c>
      <x:c r="J60" s="9" t="str">
        <x:v>public plus root/lab</x:v>
      </x:c>
      <x:c r="K60" s="9" t="n">
        <x:v>1</x:v>
      </x:c>
      <x:c r="L60" s="9" t="n">
        <x:v>0</x:v>
      </x:c>
    </x:row>
    <x:row r="61">
      <x:c r="B61" s="9" t="str">
        <x:v>CUT-55</x:v>
      </x:c>
      <x:c r="C61" s="9" t="str">
        <x:v>SA6-A</x:v>
      </x:c>
      <x:c r="D61" s="9" t="str">
        <x:v>ROOT_A</x:v>
      </x:c>
      <x:c r="E61" s="9" t="str">
        <x:v>SA6</x:v>
      </x:c>
      <x:c r="F61" s="9" t="n">
        <x:v>5</x:v>
      </x:c>
      <x:c r="G61" s="9" t="str">
        <x:v>survey/leak/electrical/thermal/NDE</x:v>
      </x:c>
      <x:c r="H61" s="11" t="n">
        <x:v>1</x:v>
      </x:c>
      <x:c r="I61" s="9" t="str">
        <x:v>governing reserve plane</x:v>
      </x:c>
      <x:c r="J61" s="9" t="str">
        <x:v>public plus root/lab</x:v>
      </x:c>
      <x:c r="K61" s="9" t="n">
        <x:v>1</x:v>
      </x:c>
      <x:c r="L61" s="9" t="n">
        <x:v>0</x:v>
      </x:c>
    </x:row>
    <x:row r="62">
      <x:c r="B62" s="9" t="str">
        <x:v>CUT-56</x:v>
      </x:c>
      <x:c r="C62" s="9" t="str">
        <x:v>SA6-B</x:v>
      </x:c>
      <x:c r="D62" s="9" t="str">
        <x:v>ROOT_B</x:v>
      </x:c>
      <x:c r="E62" s="9" t="str">
        <x:v>SA6</x:v>
      </x:c>
      <x:c r="F62" s="9" t="n">
        <x:v>1</x:v>
      </x:c>
      <x:c r="G62" s="9" t="str">
        <x:v>survey/leak/electrical/thermal/NDE</x:v>
      </x:c>
      <x:c r="H62" s="11" t="n">
        <x:v>1</x:v>
      </x:c>
      <x:c r="I62" s="9" t="str">
        <x:v>minimum cell plane</x:v>
      </x:c>
      <x:c r="J62" s="9" t="str">
        <x:v>public plus root/lab</x:v>
      </x:c>
      <x:c r="K62" s="9" t="n">
        <x:v>1</x:v>
      </x:c>
      <x:c r="L62" s="9" t="n">
        <x:v>0</x:v>
      </x:c>
    </x:row>
    <x:row r="63">
      <x:c r="B63" s="9" t="str">
        <x:v>CUT-57</x:v>
      </x:c>
      <x:c r="C63" s="9" t="str">
        <x:v>SA6-B</x:v>
      </x:c>
      <x:c r="D63" s="9" t="str">
        <x:v>ROOT_B</x:v>
      </x:c>
      <x:c r="E63" s="9" t="str">
        <x:v>SA6</x:v>
      </x:c>
      <x:c r="F63" s="9" t="n">
        <x:v>2</x:v>
      </x:c>
      <x:c r="G63" s="9" t="str">
        <x:v>survey/leak/electrical/thermal/NDE</x:v>
      </x:c>
      <x:c r="H63" s="11" t="n">
        <x:v>1</x:v>
      </x:c>
      <x:c r="I63" s="9" t="str">
        <x:v>minimum cell plane</x:v>
      </x:c>
      <x:c r="J63" s="9" t="str">
        <x:v>public plus root/lab</x:v>
      </x:c>
      <x:c r="K63" s="9" t="n">
        <x:v>1</x:v>
      </x:c>
      <x:c r="L63" s="9" t="n">
        <x:v>0</x:v>
      </x:c>
    </x:row>
    <x:row r="64">
      <x:c r="B64" s="9" t="str">
        <x:v>CUT-58</x:v>
      </x:c>
      <x:c r="C64" s="9" t="str">
        <x:v>SA6-B</x:v>
      </x:c>
      <x:c r="D64" s="9" t="str">
        <x:v>ROOT_B</x:v>
      </x:c>
      <x:c r="E64" s="9" t="str">
        <x:v>SA6</x:v>
      </x:c>
      <x:c r="F64" s="9" t="n">
        <x:v>3</x:v>
      </x:c>
      <x:c r="G64" s="9" t="str">
        <x:v>survey/leak/electrical/thermal/NDE</x:v>
      </x:c>
      <x:c r="H64" s="11" t="n">
        <x:v>1</x:v>
      </x:c>
      <x:c r="I64" s="9" t="str">
        <x:v>minimum cell plane</x:v>
      </x:c>
      <x:c r="J64" s="9" t="str">
        <x:v>public plus root/lab</x:v>
      </x:c>
      <x:c r="K64" s="9" t="n">
        <x:v>1</x:v>
      </x:c>
      <x:c r="L64" s="9" t="n">
        <x:v>0</x:v>
      </x:c>
    </x:row>
    <x:row r="65">
      <x:c r="B65" s="9" t="str">
        <x:v>CUT-59</x:v>
      </x:c>
      <x:c r="C65" s="9" t="str">
        <x:v>SA6-B</x:v>
      </x:c>
      <x:c r="D65" s="9" t="str">
        <x:v>ROOT_B</x:v>
      </x:c>
      <x:c r="E65" s="9" t="str">
        <x:v>SA6</x:v>
      </x:c>
      <x:c r="F65" s="9" t="n">
        <x:v>4</x:v>
      </x:c>
      <x:c r="G65" s="9" t="str">
        <x:v>survey/leak/electrical/thermal/NDE</x:v>
      </x:c>
      <x:c r="H65" s="11" t="n">
        <x:v>1</x:v>
      </x:c>
      <x:c r="I65" s="9" t="str">
        <x:v>minimum cell plane</x:v>
      </x:c>
      <x:c r="J65" s="9" t="str">
        <x:v>public plus root/lab</x:v>
      </x:c>
      <x:c r="K65" s="9" t="n">
        <x:v>1</x:v>
      </x:c>
      <x:c r="L65" s="9" t="n">
        <x:v>0</x:v>
      </x:c>
    </x:row>
    <x:row r="66">
      <x:c r="B66" s="10" t="str">
        <x:v>CUT-60</x:v>
      </x:c>
      <x:c r="C66" s="10" t="str">
        <x:v>SA6-B</x:v>
      </x:c>
      <x:c r="D66" s="10" t="str">
        <x:v>ROOT_B</x:v>
      </x:c>
      <x:c r="E66" s="10" t="str">
        <x:v>SA6</x:v>
      </x:c>
      <x:c r="F66" s="10" t="n">
        <x:v>5</x:v>
      </x:c>
      <x:c r="G66" s="10" t="str">
        <x:v>survey/leak/electrical/thermal/NDE</x:v>
      </x:c>
      <x:c r="H66" s="12" t="n">
        <x:v>1</x:v>
      </x:c>
      <x:c r="I66" s="10" t="str">
        <x:v>governing reserve plane</x:v>
      </x:c>
      <x:c r="J66" s="10" t="str">
        <x:v>public plus root/lab</x:v>
      </x:c>
      <x:c r="K66" s="10" t="n">
        <x:v>1</x:v>
      </x:c>
      <x:c r="L66" s="10" t="n">
        <x:v>0</x:v>
      </x:c>
    </x:row>
  </x:sheetData>
  <x:mergeCells>
    <x:mergeCell ref="B2:L2"/>
    <x:mergeCell ref="B3:L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8" hidden="0" customWidth="1"/>
    <x:col min="3" max="3" width="12" hidden="0" customWidth="1"/>
    <x:col min="4" max="4" width="12" hidden="0" customWidth="1"/>
    <x:col min="5" max="5" width="13" hidden="0" customWidth="1"/>
    <x:col min="6" max="6" width="44" hidden="0" customWidth="1"/>
    <x:col min="7" max="7" width="20" hidden="0" customWidth="1"/>
    <x:col min="8" max="8" width="20" hidden="0" customWidth="1"/>
    <x:col min="9" max="9" width="15" hidden="0" customWidth="1"/>
    <x:col min="10" max="10" width="12" hidden="0" customWidth="1"/>
  </x:cols>
  <x:sheetData>
    <x:row r="2">
      <x:c r="B2" s="32" t="str">
        <x:v>Thirty-month gated execution clock</x:v>
      </x:c>
      <x:c r="C2" s="9"/>
      <x:c r="D2" s="9"/>
      <x:c r="E2" s="9"/>
      <x:c r="F2" s="9"/>
      <x:c r="G2" s="9"/>
      <x:c r="H2" s="9"/>
      <x:c r="I2" s="9"/>
      <x:c r="J2" s="9"/>
    </x:row>
    <x:row r="3">
      <x:c r="B3" s="33" t="str">
        <x:v>Calendar overlap never overrides financial, fixture, safe-state or evidence holds.</x:v>
      </x:c>
      <x:c r="C3" s="9"/>
      <x:c r="D3" s="9"/>
      <x:c r="E3" s="9"/>
      <x:c r="F3" s="9"/>
      <x:c r="G3" s="9"/>
      <x:c r="H3" s="9"/>
      <x:c r="I3" s="9"/>
      <x:c r="J3" s="9"/>
    </x:row>
    <x:row r="4">
      <x:c r="B4" s="34"/>
      <x:c r="C4" s="34"/>
      <x:c r="D4" s="34"/>
      <x:c r="E4" s="34"/>
      <x:c r="F4" s="34"/>
      <x:c r="G4" s="34"/>
      <x:c r="H4" s="34"/>
      <x:c r="I4" s="34"/>
      <x:c r="J4" s="34"/>
    </x:row>
    <x:row r="5">
      <x:c r="B5" s="9"/>
      <x:c r="C5" s="9"/>
      <x:c r="D5" s="9"/>
      <x:c r="E5" s="9"/>
      <x:c r="F5" s="9"/>
      <x:c r="G5" s="9"/>
      <x:c r="H5" s="9"/>
      <x:c r="I5" s="9"/>
      <x:c r="J5" s="9"/>
    </x:row>
    <x:row r="6">
      <x:c r="B6" s="7" t="str">
        <x:v>Phase</x:v>
      </x:c>
      <x:c r="C6" s="7" t="str">
        <x:v>Start</x:v>
      </x:c>
      <x:c r="D6" s="7" t="str">
        <x:v>End</x:v>
      </x:c>
      <x:c r="E6" s="7" t="str">
        <x:v>Duration</x:v>
      </x:c>
      <x:c r="F6" s="7" t="str">
        <x:v>Exit object</x:v>
      </x:c>
      <x:c r="G6" s="7" t="str">
        <x:v>Financial authority</x:v>
      </x:c>
      <x:c r="H6" s="7" t="str">
        <x:v>Range/source ready</x:v>
      </x:c>
      <x:c r="I6" s="7" t="str">
        <x:v>Status</x:v>
      </x:c>
      <x:c r="J6" s="7" t="str">
        <x:v>Critical</x:v>
      </x:c>
    </x:row>
    <x:row r="7">
      <x:c r="B7" s="9" t="str">
        <x:v>campaign and truth freeze</x:v>
      </x:c>
      <x:c r="C7" s="9" t="n">
        <x:v>0</x:v>
      </x:c>
      <x:c r="D7" s="9" t="n">
        <x:v>3</x:v>
      </x:c>
      <x:c r="E7" s="9" t="n">
        <x:f>D7-C7</x:f>
        <x:v>3</x:v>
      </x:c>
      <x:c r="F7" s="9" t="str">
        <x:v>trial grammar, thresholds, randomization</x:v>
      </x:c>
      <x:c r="G7" s="9" t="n">
        <x:v>1</x:v>
      </x:c>
      <x:c r="H7" s="9" t="n">
        <x:v>0</x:v>
      </x:c>
      <x:c r="I7" s="9" t="str">
        <x:f>IF(AND(G7=1,H7=1,D7&lt;='Controls'!$D$16),"PASS","OPEN")</x:f>
        <x:v>OPEN</x:v>
      </x:c>
      <x:c r="J7" s="9" t="str">
        <x:v>YES</x:v>
      </x:c>
    </x:row>
    <x:row r="8">
      <x:c r="B8" s="9" t="str">
        <x:v>facility/fixture realization</x:v>
      </x:c>
      <x:c r="C8" s="9" t="n">
        <x:v>2</x:v>
      </x:c>
      <x:c r="D8" s="9" t="n">
        <x:v>8</x:v>
      </x:c>
      <x:c r="E8" s="9" t="n">
        <x:f>D8-C8</x:f>
        <x:v>6</x:v>
      </x:c>
      <x:c r="F8" s="9" t="str">
        <x:v>six identified range families</x:v>
      </x:c>
      <x:c r="G8" s="9" t="n">
        <x:v>0</x:v>
      </x:c>
      <x:c r="H8" s="9" t="n">
        <x:v>0</x:v>
      </x:c>
      <x:c r="I8" s="9" t="str">
        <x:f>IF(AND(G8=1,H8=1,D8&lt;='Controls'!$D$16),"PASS","OPEN")</x:f>
        <x:v>OPEN</x:v>
      </x:c>
      <x:c r="J8" s="9" t="str">
        <x:v>NO</x:v>
      </x:c>
    </x:row>
    <x:row r="9">
      <x:c r="B9" s="9" t="str">
        <x:v>specimen and standard production</x:v>
      </x:c>
      <x:c r="C9" s="9" t="n">
        <x:v>3</x:v>
      </x:c>
      <x:c r="D9" s="9" t="n">
        <x:v>10</x:v>
      </x:c>
      <x:c r="E9" s="9" t="n">
        <x:f>D9-C9</x:f>
        <x:v>7</x:v>
      </x:c>
      <x:c r="F9" s="9" t="str">
        <x:v>64 serials and 2,784 truth objects</x:v>
      </x:c>
      <x:c r="G9" s="9" t="n">
        <x:v>0</x:v>
      </x:c>
      <x:c r="H9" s="9" t="n">
        <x:v>0</x:v>
      </x:c>
      <x:c r="I9" s="9" t="str">
        <x:f>IF(AND(G9=1,H9=1,D9&lt;='Controls'!$D$16),"PASS","OPEN")</x:f>
        <x:v>OPEN</x:v>
      </x:c>
      <x:c r="J9" s="9" t="str">
        <x:v>NO</x:v>
      </x:c>
    </x:row>
    <x:row r="10">
      <x:c r="B10" s="9" t="str">
        <x:v>commissioning and dry rehearsal</x:v>
      </x:c>
      <x:c r="C10" s="9" t="n">
        <x:v>6</x:v>
      </x:c>
      <x:c r="D10" s="9" t="n">
        <x:v>11</x:v>
      </x:c>
      <x:c r="E10" s="9" t="n">
        <x:f>D10-C10</x:f>
        <x:v>5</x:v>
      </x:c>
      <x:c r="F10" s="9" t="str">
        <x:v>calibration, interlocks, replay</x:v>
      </x:c>
      <x:c r="G10" s="9" t="n">
        <x:v>0</x:v>
      </x:c>
      <x:c r="H10" s="9" t="n">
        <x:v>0</x:v>
      </x:c>
      <x:c r="I10" s="9" t="str">
        <x:f>IF(AND(G10=1,H10=1,D10&lt;='Controls'!$D$16),"PASS","OPEN")</x:f>
        <x:v>OPEN</x:v>
      </x:c>
      <x:c r="J10" s="9" t="str">
        <x:v>NO</x:v>
      </x:c>
    </x:row>
    <x:row r="11">
      <x:c r="B11" s="9" t="str">
        <x:v>lead EBC/collar/bus blocks</x:v>
      </x:c>
      <x:c r="C11" s="9" t="n">
        <x:v>9</x:v>
      </x:c>
      <x:c r="D11" s="9" t="n">
        <x:v>18</x:v>
      </x:c>
      <x:c r="E11" s="9" t="n">
        <x:f>D11-C11</x:f>
        <x:v>9</x:v>
      </x:c>
      <x:c r="F11" s="9" t="str">
        <x:v>high-consequence mechanism results</x:v>
      </x:c>
      <x:c r="G11" s="9" t="n">
        <x:v>0</x:v>
      </x:c>
      <x:c r="H11" s="9" t="n">
        <x:v>0</x:v>
      </x:c>
      <x:c r="I11" s="9" t="str">
        <x:f>IF(AND(G11=1,H11=1,D11&lt;='Controls'!$D$16),"PASS","OPEN")</x:f>
        <x:v>OPEN</x:v>
      </x:c>
      <x:c r="J11" s="9" t="str">
        <x:v>NO</x:v>
      </x:c>
    </x:row>
    <x:row r="12">
      <x:c r="B12" s="9" t="str">
        <x:v>structural and thermal blocks</x:v>
      </x:c>
      <x:c r="C12" s="9" t="n">
        <x:v>11</x:v>
      </x:c>
      <x:c r="D12" s="9" t="n">
        <x:v>21</x:v>
      </x:c>
      <x:c r="E12" s="9" t="n">
        <x:f>D12-C12</x:f>
        <x:v>10</x:v>
      </x:c>
      <x:c r="F12" s="9" t="str">
        <x:v>intact exposures</x:v>
      </x:c>
      <x:c r="G12" s="9" t="n">
        <x:v>0</x:v>
      </x:c>
      <x:c r="H12" s="9" t="n">
        <x:v>0</x:v>
      </x:c>
      <x:c r="I12" s="9" t="str">
        <x:f>IF(AND(G12=1,H12=1,D12&lt;='Controls'!$D$16),"PASS","OPEN")</x:f>
        <x:v>OPEN</x:v>
      </x:c>
      <x:c r="J12" s="9" t="str">
        <x:v>NO</x:v>
      </x:c>
    </x:row>
    <x:row r="13">
      <x:c r="B13" s="9" t="str">
        <x:v>controlled-defect presentations</x:v>
      </x:c>
      <x:c r="C13" s="9" t="n">
        <x:v>10</x:v>
      </x:c>
      <x:c r="D13" s="9" t="n">
        <x:v>23</x:v>
      </x:c>
      <x:c r="E13" s="9" t="n">
        <x:f>D13-C13</x:f>
        <x:v>13</x:v>
      </x:c>
      <x:c r="F13" s="9" t="str">
        <x:v>sealed decisions and repeats</x:v>
      </x:c>
      <x:c r="G13" s="9" t="n">
        <x:v>0</x:v>
      </x:c>
      <x:c r="H13" s="9" t="n">
        <x:v>0</x:v>
      </x:c>
      <x:c r="I13" s="9" t="str">
        <x:f>IF(AND(G13=1,H13=1,D13&lt;='Controls'!$D$16),"PASS","OPEN")</x:f>
        <x:v>OPEN</x:v>
      </x:c>
      <x:c r="J13" s="9" t="str">
        <x:v>NO</x:v>
      </x:c>
    </x:row>
    <x:row r="14">
      <x:c r="B14" s="9" t="str">
        <x:v>destructive and forensic sequence</x:v>
      </x:c>
      <x:c r="C14" s="9" t="n">
        <x:v>18</x:v>
      </x:c>
      <x:c r="D14" s="9" t="n">
        <x:v>26</x:v>
      </x:c>
      <x:c r="E14" s="9" t="n">
        <x:f>D14-C14</x:f>
        <x:v>8</x:v>
      </x:c>
      <x:c r="F14" s="9" t="str">
        <x:v>60 reconciled cuts</x:v>
      </x:c>
      <x:c r="G14" s="9" t="n">
        <x:v>0</x:v>
      </x:c>
      <x:c r="H14" s="9" t="n">
        <x:v>0</x:v>
      </x:c>
      <x:c r="I14" s="9" t="str">
        <x:f>IF(AND(G14=1,H14=1,D14&lt;='Controls'!$D$16),"PASS","OPEN")</x:f>
        <x:v>OPEN</x:v>
      </x:c>
      <x:c r="J14" s="9" t="str">
        <x:v>YES</x:v>
      </x:c>
    </x:row>
    <x:row r="15">
      <x:c r="B15" s="9" t="str">
        <x:v>independent reconstruction</x:v>
      </x:c>
      <x:c r="C15" s="9" t="n">
        <x:v>23</x:v>
      </x:c>
      <x:c r="D15" s="9" t="n">
        <x:v>28</x:v>
      </x:c>
      <x:c r="E15" s="9" t="n">
        <x:f>D15-C15</x:f>
        <x:v>5</x:v>
      </x:c>
      <x:c r="F15" s="9" t="str">
        <x:v>root-specific causal packages</x:v>
      </x:c>
      <x:c r="G15" s="9" t="n">
        <x:v>0</x:v>
      </x:c>
      <x:c r="H15" s="9" t="n">
        <x:v>0</x:v>
      </x:c>
      <x:c r="I15" s="9" t="str">
        <x:f>IF(AND(G15=1,H15=1,D15&lt;='Controls'!$D$16),"PASS","OPEN")</x:f>
        <x:v>OPEN</x:v>
      </x:c>
      <x:c r="J15" s="9" t="str">
        <x:v>YES</x:v>
      </x:c>
    </x:row>
    <x:row r="16">
      <x:c r="B16" s="10" t="str">
        <x:v>admission and baseline board</x:v>
      </x:c>
      <x:c r="C16" s="10" t="n">
        <x:v>28</x:v>
      </x:c>
      <x:c r="D16" s="10" t="n">
        <x:v>30</x:v>
      </x:c>
      <x:c r="E16" s="10" t="n">
        <x:f>D16-C16</x:f>
        <x:v>2</x:v>
      </x:c>
      <x:c r="F16" s="10" t="str">
        <x:v>cell decisions and next state</x:v>
      </x:c>
      <x:c r="G16" s="10" t="n">
        <x:v>0</x:v>
      </x:c>
      <x:c r="H16" s="10" t="n">
        <x:v>0</x:v>
      </x:c>
      <x:c r="I16" s="10" t="str">
        <x:f>IF(AND(G16=1,H16=1,D16&lt;='Controls'!$D$16),"PASS","OPEN")</x:f>
        <x:v>OPEN</x:v>
      </x:c>
      <x:c r="J16" s="10" t="str">
        <x:v>YES</x:v>
      </x:c>
    </x:row>
  </x:sheetData>
  <x:mergeCells>
    <x:mergeCell ref="B2:J2"/>
    <x:mergeCell ref="B3:J3"/>
  </x:mergeCells>
  <x:conditionalFormatting sqref="I7:I16">
    <x:cfRule type="containsText" dxfId="221" priority="1" operator="containsText" text="PASS"/>
    <x:cfRule type="containsText" dxfId="222" priority="2" operator="containsText" text="AUTHORIZED"/>
    <x:cfRule type="containsText" dxfId="223" priority="3" operator="containsText" text="DEFINED"/>
    <x:cfRule type="containsText" dxfId="224" priority="4" operator="containsText" text="READY"/>
    <x:cfRule type="containsText" dxfId="225" priority="5" operator="containsText" text="HOLD"/>
    <x:cfRule type="containsText" dxfId="226" priority="6" operator="containsText" text="OPEN"/>
    <x:cfRule type="containsText" dxfId="227" priority="7" operator="containsText" text="BLOCKED"/>
    <x:cfRule type="containsText" dxfId="228" priority="8" operator="containsText" text="PLANNING"/>
    <x:cfRule type="containsText" dxfId="229" priority="9" operator="containsText" text="QUARANTINE"/>
    <x:cfRule type="containsText" dxfId="230" priority="10" operator="containsText" text="FAIL"/>
    <x:cfRule type="containsText" dxfId="231" priority="11" operator="containsText" text="REJECT"/>
    <x:cfRule type="containsText" dxfId="232" priority="12" operator="containsText" text="INCOMPLETE"/>
    <x:cfRule type="containsText" dxfId="233" priority="13" operator="containsText" text="STOP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6" hidden="0" customWidth="1"/>
    <x:col min="3" max="3" width="13" hidden="0" customWidth="1"/>
    <x:col min="4" max="4" width="13" hidden="0" customWidth="1"/>
    <x:col min="5" max="5" width="16" hidden="0" customWidth="1"/>
    <x:col min="6" max="6" width="14" hidden="0" customWidth="1"/>
    <x:col min="7" max="7" width="13" hidden="0" customWidth="1"/>
    <x:col min="8" max="8" width="15" hidden="0" customWidth="1"/>
    <x:col min="9" max="9" width="30" hidden="0" customWidth="1"/>
  </x:cols>
  <x:sheetData>
    <x:row r="2">
      <x:c r="B2" s="32" t="str">
        <x:v>Standing campaign formation</x:v>
      </x:c>
      <x:c r="C2" s="9"/>
      <x:c r="D2" s="9"/>
      <x:c r="E2" s="9"/>
      <x:c r="F2" s="9"/>
      <x:c r="G2" s="9"/>
      <x:c r="H2" s="9"/>
      <x:c r="I2" s="9"/>
    </x:row>
    <x:row r="3">
      <x:c r="B3" s="33" t="str">
        <x:v>Four hundred forty-eight positions preserve public authority and unlike-root execution without operational-force borrowing.</x:v>
      </x:c>
      <x:c r="C3" s="9"/>
      <x:c r="D3" s="9"/>
      <x:c r="E3" s="9"/>
      <x:c r="F3" s="9"/>
      <x:c r="G3" s="9"/>
      <x:c r="H3" s="9"/>
      <x:c r="I3" s="9"/>
    </x:row>
    <x:row r="4">
      <x:c r="B4" s="34"/>
      <x:c r="C4" s="34"/>
      <x:c r="D4" s="34"/>
      <x:c r="E4" s="34"/>
      <x:c r="F4" s="34"/>
      <x:c r="G4" s="34"/>
      <x:c r="H4" s="34"/>
      <x:c r="I4" s="34"/>
    </x:row>
    <x:row r="5">
      <x:c r="B5" s="9"/>
      <x:c r="C5" s="9"/>
      <x:c r="D5" s="9"/>
      <x:c r="E5" s="9"/>
      <x:c r="F5" s="9"/>
      <x:c r="G5" s="9"/>
      <x:c r="H5" s="9"/>
      <x:c r="I5" s="9"/>
    </x:row>
    <x:row r="6">
      <x:c r="B6" s="7" t="str">
        <x:v>Formation</x:v>
      </x:c>
      <x:c r="C6" s="7" t="str">
        <x:v>People</x:v>
      </x:c>
      <x:c r="D6" s="7" t="str">
        <x:v>Share</x:v>
      </x:c>
      <x:c r="E6" s="7" t="str">
        <x:v>Shift-critical</x:v>
      </x:c>
      <x:c r="F6" s="7" t="str">
        <x:v>Root</x:v>
      </x:c>
      <x:c r="G6" s="7" t="str">
        <x:v>Source</x:v>
      </x:c>
      <x:c r="H6" s="7" t="str">
        <x:v>State</x:v>
      </x:c>
      <x:c r="I6" s="7" t="str">
        <x:v>Function</x:v>
      </x:c>
    </x:row>
    <x:row r="7">
      <x:c r="B7" s="9" t="str">
        <x:v>public configuration and test authority</x:v>
      </x:c>
      <x:c r="C7" s="9" t="n">
        <x:v>38</x:v>
      </x:c>
      <x:c r="D7" s="23" t="n">
        <x:f>C7/'Controls'!$D$17</x:f>
        <x:v>0.08482142857142858</x:v>
      </x:c>
      <x:c r="E7" s="9" t="str">
        <x:v>YES</x:v>
      </x:c>
      <x:c r="F7" s="9" t="str">
        <x:v>PUBLIC</x:v>
      </x:c>
      <x:c r="G7" s="9" t="n">
        <x:v>0</x:v>
      </x:c>
      <x:c r="H7" s="9" t="str">
        <x:v>PLANNING</x:v>
      </x:c>
      <x:c r="I7" s="9" t="str">
        <x:v>registered campaign duty</x:v>
      </x:c>
    </x:row>
    <x:row r="8">
      <x:c r="B8" s="9" t="str">
        <x:v>safety, fluid, sanitary and electrical authority</x:v>
      </x:c>
      <x:c r="C8" s="9" t="n">
        <x:v>34</x:v>
      </x:c>
      <x:c r="D8" s="23" t="n">
        <x:f>C8/'Controls'!$D$17</x:f>
        <x:v>0.07589285714285714</x:v>
      </x:c>
      <x:c r="E8" s="9" t="str">
        <x:v>YES</x:v>
      </x:c>
      <x:c r="F8" s="9" t="str">
        <x:v>PUBLIC</x:v>
      </x:c>
      <x:c r="G8" s="9" t="n">
        <x:v>0</x:v>
      </x:c>
      <x:c r="H8" s="9" t="str">
        <x:v>PLANNING</x:v>
      </x:c>
      <x:c r="I8" s="9" t="str">
        <x:v>registered campaign duty</x:v>
      </x:c>
    </x:row>
    <x:row r="9">
      <x:c r="B9" s="9" t="str">
        <x:v>metrology and NDE</x:v>
      </x:c>
      <x:c r="C9" s="9" t="n">
        <x:v>54</x:v>
      </x:c>
      <x:c r="D9" s="23" t="n">
        <x:f>C9/'Controls'!$D$17</x:f>
        <x:v>0.12053571428571429</x:v>
      </x:c>
      <x:c r="E9" s="9" t="str">
        <x:v>YES</x:v>
      </x:c>
      <x:c r="F9" s="9" t="str">
        <x:v>PUBLIC</x:v>
      </x:c>
      <x:c r="G9" s="9" t="n">
        <x:v>0</x:v>
      </x:c>
      <x:c r="H9" s="9" t="str">
        <x:v>PLANNING</x:v>
      </x:c>
      <x:c r="I9" s="9" t="str">
        <x:v>registered campaign duty</x:v>
      </x:c>
    </x:row>
    <x:row r="10">
      <x:c r="B10" s="9" t="str">
        <x:v>instrumentation, clocks and data custody</x:v>
      </x:c>
      <x:c r="C10" s="9" t="n">
        <x:v>42</x:v>
      </x:c>
      <x:c r="D10" s="23" t="n">
        <x:f>C10/'Controls'!$D$17</x:f>
        <x:v>0.09375</x:v>
      </x:c>
      <x:c r="E10" s="9" t="str">
        <x:v>YES</x:v>
      </x:c>
      <x:c r="F10" s="9" t="str">
        <x:v>PUBLIC</x:v>
      </x:c>
      <x:c r="G10" s="9" t="n">
        <x:v>0</x:v>
      </x:c>
      <x:c r="H10" s="9" t="str">
        <x:v>PLANNING</x:v>
      </x:c>
      <x:c r="I10" s="9" t="str">
        <x:v>registered campaign duty</x:v>
      </x:c>
    </x:row>
    <x:row r="11">
      <x:c r="B11" s="9" t="str">
        <x:v>forensics and destructive examination</x:v>
      </x:c>
      <x:c r="C11" s="9" t="n">
        <x:v>32</x:v>
      </x:c>
      <x:c r="D11" s="23" t="n">
        <x:f>C11/'Controls'!$D$17</x:f>
        <x:v>0.07142857142857142</x:v>
      </x:c>
      <x:c r="E11" s="9" t="str">
        <x:v>YES</x:v>
      </x:c>
      <x:c r="F11" s="9" t="str">
        <x:v>PUBLIC</x:v>
      </x:c>
      <x:c r="G11" s="9" t="n">
        <x:v>0</x:v>
      </x:c>
      <x:c r="H11" s="9" t="str">
        <x:v>PLANNING</x:v>
      </x:c>
      <x:c r="I11" s="9" t="str">
        <x:v>registered campaign duty</x:v>
      </x:c>
    </x:row>
    <x:row r="12">
      <x:c r="B12" s="9" t="str">
        <x:v>statistics and randomization</x:v>
      </x:c>
      <x:c r="C12" s="9" t="n">
        <x:v>18</x:v>
      </x:c>
      <x:c r="D12" s="23" t="n">
        <x:f>C12/'Controls'!$D$17</x:f>
        <x:v>0.04017857142857143</x:v>
      </x:c>
      <x:c r="E12" s="9" t="str">
        <x:v>NO</x:v>
      </x:c>
      <x:c r="F12" s="9" t="str">
        <x:v>PUBLIC</x:v>
      </x:c>
      <x:c r="G12" s="9" t="n">
        <x:v>0</x:v>
      </x:c>
      <x:c r="H12" s="9" t="str">
        <x:v>PLANNING</x:v>
      </x:c>
      <x:c r="I12" s="9" t="str">
        <x:v>registered campaign duty</x:v>
      </x:c>
    </x:row>
    <x:row r="13">
      <x:c r="B13" s="9" t="str">
        <x:v>Root A process and test formation</x:v>
      </x:c>
      <x:c r="C13" s="9" t="n">
        <x:v>86</x:v>
      </x:c>
      <x:c r="D13" s="23" t="n">
        <x:f>C13/'Controls'!$D$17</x:f>
        <x:v>0.19196428571428573</x:v>
      </x:c>
      <x:c r="E13" s="9" t="str">
        <x:v>NO</x:v>
      </x:c>
      <x:c r="F13" s="9" t="str">
        <x:v>A</x:v>
      </x:c>
      <x:c r="G13" s="9" t="n">
        <x:v>0</x:v>
      </x:c>
      <x:c r="H13" s="9" t="str">
        <x:v>PLANNING</x:v>
      </x:c>
      <x:c r="I13" s="9" t="str">
        <x:v>registered campaign duty</x:v>
      </x:c>
    </x:row>
    <x:row r="14">
      <x:c r="B14" s="9" t="str">
        <x:v>Root B process and test formation</x:v>
      </x:c>
      <x:c r="C14" s="9" t="n">
        <x:v>86</x:v>
      </x:c>
      <x:c r="D14" s="23" t="n">
        <x:f>C14/'Controls'!$D$17</x:f>
        <x:v>0.19196428571428573</x:v>
      </x:c>
      <x:c r="E14" s="9" t="str">
        <x:v>NO</x:v>
      </x:c>
      <x:c r="F14" s="9" t="str">
        <x:v>B</x:v>
      </x:c>
      <x:c r="G14" s="9" t="n">
        <x:v>0</x:v>
      </x:c>
      <x:c r="H14" s="9" t="str">
        <x:v>PLANNING</x:v>
      </x:c>
      <x:c r="I14" s="9" t="str">
        <x:v>registered campaign duty</x:v>
      </x:c>
    </x:row>
    <x:row r="15">
      <x:c r="B15" s="9" t="str">
        <x:v>facilities, range operations and logistics</x:v>
      </x:c>
      <x:c r="C15" s="9" t="n">
        <x:v>38</x:v>
      </x:c>
      <x:c r="D15" s="23" t="n">
        <x:f>C15/'Controls'!$D$17</x:f>
        <x:v>0.08482142857142858</x:v>
      </x:c>
      <x:c r="E15" s="9" t="str">
        <x:v>NO</x:v>
      </x:c>
      <x:c r="F15" s="9" t="str">
        <x:v>PUBLIC</x:v>
      </x:c>
      <x:c r="G15" s="9" t="n">
        <x:v>0</x:v>
      </x:c>
      <x:c r="H15" s="9" t="str">
        <x:v>PLANNING</x:v>
      </x:c>
      <x:c r="I15" s="9" t="str">
        <x:v>registered campaign duty</x:v>
      </x:c>
    </x:row>
    <x:row r="16">
      <x:c r="B16" s="9" t="str">
        <x:v>independent admission board</x:v>
      </x:c>
      <x:c r="C16" s="9" t="n">
        <x:v>20</x:v>
      </x:c>
      <x:c r="D16" s="23" t="n">
        <x:f>C16/'Controls'!$D$17</x:f>
        <x:v>0.044642857142857144</x:v>
      </x:c>
      <x:c r="E16" s="9" t="str">
        <x:v>NO</x:v>
      </x:c>
      <x:c r="F16" s="9" t="str">
        <x:v>PUBLIC</x:v>
      </x:c>
      <x:c r="G16" s="9" t="n">
        <x:v>0</x:v>
      </x:c>
      <x:c r="H16" s="9" t="str">
        <x:v>PLANNING</x:v>
      </x:c>
      <x:c r="I16" s="9" t="str">
        <x:v>registered campaign duty</x:v>
      </x:c>
    </x:row>
    <x:row r="17">
      <x:c r="B17" s="9"/>
      <x:c r="C17" s="9"/>
      <x:c r="D17" s="9"/>
      <x:c r="E17" s="9"/>
      <x:c r="F17" s="9"/>
      <x:c r="G17" s="9"/>
      <x:c r="H17" s="9"/>
      <x:c r="I17" s="9"/>
    </x:row>
    <x:row r="18">
      <x:c r="B18" s="9"/>
      <x:c r="C18" s="9"/>
      <x:c r="D18" s="9"/>
      <x:c r="E18" s="9"/>
      <x:c r="F18" s="9"/>
      <x:c r="G18" s="9"/>
      <x:c r="H18" s="9"/>
      <x:c r="I18" s="9"/>
    </x:row>
    <x:row r="19">
      <x:c r="B19" s="17" t="str">
        <x:v>Reconciliation</x:v>
      </x:c>
      <x:c r="C19" s="17" t="str">
        <x:v>Reconciliation</x:v>
      </x:c>
      <x:c r="D19" s="17" t="str">
        <x:v>Reconciliation</x:v>
      </x:c>
      <x:c r="E19" s="17" t="str">
        <x:v>Reconciliation</x:v>
      </x:c>
      <x:c r="F19" s="17" t="str">
        <x:v>Reconciliation</x:v>
      </x:c>
      <x:c r="G19" s="17" t="str">
        <x:v>Reconciliation</x:v>
      </x:c>
      <x:c r="H19" s="17" t="str">
        <x:v>Reconciliation</x:v>
      </x:c>
      <x:c r="I19" s="17" t="str">
        <x:v>Reconciliation</x:v>
      </x:c>
    </x:row>
    <x:row r="20">
      <x:c r="B20" s="7" t="str">
        <x:v>Calculated</x:v>
      </x:c>
      <x:c r="C20" s="7" t="str">
        <x:v>Control</x:v>
      </x:c>
      <x:c r="D20" s="7" t="str">
        <x:v>Difference</x:v>
      </x:c>
      <x:c r="E20" s="7" t="str">
        <x:v>Status</x:v>
      </x:c>
      <x:c r="F20" s="9"/>
      <x:c r="G20" s="9"/>
      <x:c r="H20" s="9"/>
      <x:c r="I20" s="9"/>
    </x:row>
    <x:row r="21">
      <x:c r="B21" s="10" t="n">
        <x:f>SUM(C7:C16)</x:f>
        <x:v>448</x:v>
      </x:c>
      <x:c r="C21" s="10" t="n">
        <x:f>'Controls'!$D$17</x:f>
        <x:v>448</x:v>
      </x:c>
      <x:c r="D21" s="10" t="n">
        <x:f>B21-C21</x:f>
        <x:v>0</x:v>
      </x:c>
      <x:c r="E21" s="10" t="str">
        <x:f>IF(D21=0,"PASS","FAIL")</x:f>
        <x:v>PASS</x:v>
      </x:c>
      <x:c r="F21" s="10"/>
      <x:c r="G21" s="10"/>
      <x:c r="H21" s="10"/>
      <x:c r="I21" s="10"/>
    </x:row>
  </x:sheetData>
  <x:mergeCells>
    <x:mergeCell ref="B2:I2"/>
    <x:mergeCell ref="B3:I3"/>
    <x:mergeCell ref="B19:I19"/>
  </x:mergeCells>
  <x:conditionalFormatting sqref="H7:H16">
    <x:cfRule type="containsText" dxfId="234" priority="1" operator="containsText" text="PASS"/>
    <x:cfRule type="containsText" dxfId="235" priority="2" operator="containsText" text="AUTHORIZED"/>
    <x:cfRule type="containsText" dxfId="236" priority="3" operator="containsText" text="DEFINED"/>
    <x:cfRule type="containsText" dxfId="237" priority="4" operator="containsText" text="READY"/>
    <x:cfRule type="containsText" dxfId="238" priority="5" operator="containsText" text="HOLD"/>
    <x:cfRule type="containsText" dxfId="239" priority="6" operator="containsText" text="OPEN"/>
    <x:cfRule type="containsText" dxfId="240" priority="7" operator="containsText" text="BLOCKED"/>
    <x:cfRule type="containsText" dxfId="241" priority="8" operator="containsText" text="PLANNING"/>
    <x:cfRule type="containsText" dxfId="242" priority="9" operator="containsText" text="QUARANTINE"/>
    <x:cfRule type="containsText" dxfId="243" priority="10" operator="containsText" text="FAIL"/>
    <x:cfRule type="containsText" dxfId="244" priority="11" operator="containsText" text="REJECT"/>
    <x:cfRule type="containsText" dxfId="245" priority="12" operator="containsText" text="INCOMPLETE"/>
    <x:cfRule type="containsText" dxfId="246" priority="13" operator="containsText" text="STOP"/>
  </x:conditionalFormatting>
  <x:conditionalFormatting sqref="E21:E21">
    <x:cfRule type="containsText" dxfId="247" priority="14" operator="containsText" text="PASS"/>
    <x:cfRule type="containsText" dxfId="248" priority="15" operator="containsText" text="AUTHORIZED"/>
    <x:cfRule type="containsText" dxfId="249" priority="16" operator="containsText" text="DEFINED"/>
    <x:cfRule type="containsText" dxfId="250" priority="17" operator="containsText" text="READY"/>
    <x:cfRule type="containsText" dxfId="251" priority="18" operator="containsText" text="HOLD"/>
    <x:cfRule type="containsText" dxfId="252" priority="19" operator="containsText" text="OPEN"/>
    <x:cfRule type="containsText" dxfId="253" priority="20" operator="containsText" text="BLOCKED"/>
    <x:cfRule type="containsText" dxfId="254" priority="21" operator="containsText" text="PLANNING"/>
    <x:cfRule type="containsText" dxfId="255" priority="22" operator="containsText" text="QUARANTINE"/>
    <x:cfRule type="containsText" dxfId="256" priority="23" operator="containsText" text="FAIL"/>
    <x:cfRule type="containsText" dxfId="257" priority="24" operator="containsText" text="REJECT"/>
    <x:cfRule type="containsText" dxfId="258" priority="25" operator="containsText" text="INCOMPLETE"/>
    <x:cfRule type="containsText" dxfId="259" priority="26" operator="containsText" text="STOP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9" hidden="0" customWidth="1"/>
    <x:col min="3" max="3" width="18" hidden="0" customWidth="1"/>
    <x:col min="4" max="4" width="13" hidden="0" customWidth="1"/>
    <x:col min="5" max="5" width="19" hidden="0" customWidth="1"/>
    <x:col min="6" max="6" width="15" hidden="0" customWidth="1"/>
    <x:col min="7" max="7" width="16" hidden="0" customWidth="1"/>
    <x:col min="8" max="8" width="18" hidden="0" customWidth="1"/>
    <x:col min="9" max="9" width="14" hidden="0" customWidth="1"/>
    <x:col min="10" max="10" width="32" hidden="0" customWidth="1"/>
  </x:cols>
  <x:sheetData>
    <x:row r="2">
      <x:c r="B2" s="32" t="str">
        <x:v>Incremental campaign capital and BRD baseline consequence</x:v>
      </x:c>
      <x:c r="C2" s="9"/>
      <x:c r="D2" s="9"/>
      <x:c r="E2" s="9"/>
      <x:c r="F2" s="9"/>
      <x:c r="G2" s="9"/>
      <x:c r="H2" s="9"/>
      <x:c r="I2" s="9"/>
      <x:c r="J2" s="9"/>
    </x:row>
    <x:row r="3">
      <x:c r="B3" s="33" t="str">
        <x:v>Real 2026 USD billions; research allocation only, not a quote or appropriation.</x:v>
      </x:c>
      <x:c r="C3" s="9"/>
      <x:c r="D3" s="9"/>
      <x:c r="E3" s="9"/>
      <x:c r="F3" s="9"/>
      <x:c r="G3" s="9"/>
      <x:c r="H3" s="9"/>
      <x:c r="I3" s="9"/>
      <x:c r="J3" s="9"/>
    </x:row>
    <x:row r="4">
      <x:c r="B4" s="34"/>
      <x:c r="C4" s="34"/>
      <x:c r="D4" s="34"/>
      <x:c r="E4" s="34"/>
      <x:c r="F4" s="34"/>
      <x:c r="G4" s="34"/>
      <x:c r="H4" s="34"/>
      <x:c r="I4" s="34"/>
      <x:c r="J4" s="34"/>
    </x:row>
    <x:row r="5">
      <x:c r="B5" s="9"/>
      <x:c r="C5" s="9"/>
      <x:c r="D5" s="9"/>
      <x:c r="E5" s="9"/>
      <x:c r="F5" s="9"/>
      <x:c r="G5" s="9"/>
      <x:c r="H5" s="9"/>
      <x:c r="I5" s="9"/>
      <x:c r="J5" s="9"/>
    </x:row>
    <x:row r="6">
      <x:c r="B6" s="7" t="str">
        <x:v>Element</x:v>
      </x:c>
      <x:c r="C6" s="7" t="str">
        <x:v>Allocation USD B</x:v>
      </x:c>
      <x:c r="D6" s="7" t="str">
        <x:v>Share</x:v>
      </x:c>
      <x:c r="E6" s="7" t="str">
        <x:v>Inherited remainder</x:v>
      </x:c>
      <x:c r="F6" s="7" t="str">
        <x:v>Difference</x:v>
      </x:c>
      <x:c r="G6" s="7" t="str">
        <x:v>Prior BRD-1</x:v>
      </x:c>
      <x:c r="H6" s="7" t="str">
        <x:v>Provisional BRD-2</x:v>
      </x:c>
      <x:c r="I6" s="7" t="str">
        <x:v>State</x:v>
      </x:c>
      <x:c r="J6" s="7" t="str">
        <x:v>Note</x:v>
      </x:c>
    </x:row>
    <x:row r="7">
      <x:c r="B7" s="9" t="str">
        <x:v>structural and six-axis fixture systems</x:v>
      </x:c>
      <x:c r="C7" s="24" t="n">
        <x:v>0.062</x:v>
      </x:c>
      <x:c r="D7" s="23" t="n">
        <x:f>C7/'Controls'!$D$18</x:f>
        <x:v>0.14418604651162792</x:v>
      </x:c>
      <x:c r="E7" s="24" t="n">
        <x:f>'Controls'!$D$22</x:f>
        <x:v>0.016</x:v>
      </x:c>
      <x:c r="F7" s="24" t="n">
        <x:f>E7-SUM($C$7:C7)</x:f>
        <x:v>-0.046</x:v>
      </x:c>
      <x:c r="G7" s="24" t="n">
        <x:f>'Controls'!$D$20</x:f>
        <x:v>0.318</x:v>
      </x:c>
      <x:c r="H7" s="24" t="n">
        <x:f>'Controls'!$D$20+'Controls'!$D$18</x:f>
        <x:v>0.748</x:v>
      </x:c>
      <x:c r="I7" s="9" t="str">
        <x:v>N4</x:v>
      </x:c>
      <x:c r="J7" s="9" t="str">
        <x:v>requires baseline authorization</x:v>
      </x:c>
    </x:row>
    <x:row r="8">
      <x:c r="B8" s="9" t="str">
        <x:v>hydraulic/collar range and fluid custody</x:v>
      </x:c>
      <x:c r="C8" s="24" t="n">
        <x:v>0.071</x:v>
      </x:c>
      <x:c r="D8" s="23" t="n">
        <x:f>C8/'Controls'!$D$18</x:f>
        <x:v>0.16511627906976742</x:v>
      </x:c>
      <x:c r="E8" s="24" t="n">
        <x:f>'Controls'!$D$22</x:f>
        <x:v>0.016</x:v>
      </x:c>
      <x:c r="F8" s="24" t="n">
        <x:f>E8-SUM($C$7:C8)</x:f>
        <x:v>-0.117</x:v>
      </x:c>
      <x:c r="G8" s="24" t="n">
        <x:f>'Controls'!$D$20</x:f>
        <x:v>0.318</x:v>
      </x:c>
      <x:c r="H8" s="24" t="n">
        <x:f>'Controls'!$D$20+'Controls'!$D$18</x:f>
        <x:v>0.748</x:v>
      </x:c>
      <x:c r="I8" s="9" t="str">
        <x:v>N4</x:v>
      </x:c>
      <x:c r="J8" s="9" t="str">
        <x:v>requires baseline authorization</x:v>
      </x:c>
    </x:row>
    <x:row r="9">
      <x:c r="B9" s="9" t="str">
        <x:v>bus fault source, protection and containment</x:v>
      </x:c>
      <x:c r="C9" s="24" t="n">
        <x:v>0.069</x:v>
      </x:c>
      <x:c r="D9" s="23" t="n">
        <x:f>C9/'Controls'!$D$18</x:f>
        <x:v>0.16046511627906979</x:v>
      </x:c>
      <x:c r="E9" s="24" t="n">
        <x:f>'Controls'!$D$22</x:f>
        <x:v>0.016</x:v>
      </x:c>
      <x:c r="F9" s="24" t="n">
        <x:f>E9-SUM($C$7:C9)</x:f>
        <x:v>-0.186</x:v>
      </x:c>
      <x:c r="G9" s="24" t="n">
        <x:f>'Controls'!$D$20</x:f>
        <x:v>0.318</x:v>
      </x:c>
      <x:c r="H9" s="24" t="n">
        <x:f>'Controls'!$D$20+'Controls'!$D$18</x:f>
        <x:v>0.748</x:v>
      </x:c>
      <x:c r="I9" s="9" t="str">
        <x:v>N4</x:v>
      </x:c>
      <x:c r="J9" s="9" t="str">
        <x:v>requires baseline authorization</x:v>
      </x:c>
    </x:row>
    <x:row r="10">
      <x:c r="B10" s="9" t="str">
        <x:v>thermal sink and environmental systems</x:v>
      </x:c>
      <x:c r="C10" s="24" t="n">
        <x:v>0.042</x:v>
      </x:c>
      <x:c r="D10" s="23" t="n">
        <x:f>C10/'Controls'!$D$18</x:f>
        <x:v>0.09767441860465118</x:v>
      </x:c>
      <x:c r="E10" s="24" t="n">
        <x:f>'Controls'!$D$22</x:f>
        <x:v>0.016</x:v>
      </x:c>
      <x:c r="F10" s="24" t="n">
        <x:f>E10-SUM($C$7:C10)</x:f>
        <x:v>-0.22800000000000004</x:v>
      </x:c>
      <x:c r="G10" s="24" t="n">
        <x:f>'Controls'!$D$20</x:f>
        <x:v>0.318</x:v>
      </x:c>
      <x:c r="H10" s="24" t="n">
        <x:f>'Controls'!$D$20+'Controls'!$D$18</x:f>
        <x:v>0.748</x:v>
      </x:c>
      <x:c r="I10" s="9" t="str">
        <x:v>N4</x:v>
      </x:c>
      <x:c r="J10" s="9" t="str">
        <x:v>requires baseline authorization</x:v>
      </x:c>
    </x:row>
    <x:row r="11">
      <x:c r="B11" s="9" t="str">
        <x:v>four-station energy-ballast rigs</x:v>
      </x:c>
      <x:c r="C11" s="24" t="n">
        <x:v>0.058</x:v>
      </x:c>
      <x:c r="D11" s="23" t="n">
        <x:f>C11/'Controls'!$D$18</x:f>
        <x:v>0.13488372093023257</x:v>
      </x:c>
      <x:c r="E11" s="24" t="n">
        <x:f>'Controls'!$D$22</x:f>
        <x:v>0.016</x:v>
      </x:c>
      <x:c r="F11" s="24" t="n">
        <x:f>E11-SUM($C$7:C11)</x:f>
        <x:v>-0.28600000000000003</x:v>
      </x:c>
      <x:c r="G11" s="24" t="n">
        <x:f>'Controls'!$D$20</x:f>
        <x:v>0.318</x:v>
      </x:c>
      <x:c r="H11" s="24" t="n">
        <x:f>'Controls'!$D$20+'Controls'!$D$18</x:f>
        <x:v>0.748</x:v>
      </x:c>
      <x:c r="I11" s="9" t="str">
        <x:v>N4</x:v>
      </x:c>
      <x:c r="J11" s="9" t="str">
        <x:v>requires baseline authorization</x:v>
      </x:c>
    </x:row>
    <x:row r="12">
      <x:c r="B12" s="9" t="str">
        <x:v>controlled-defect standards and truth metrology</x:v>
      </x:c>
      <x:c r="C12" s="24" t="n">
        <x:v>0.052</x:v>
      </x:c>
      <x:c r="D12" s="23" t="n">
        <x:f>C12/'Controls'!$D$18</x:f>
        <x:v>0.12093023255813953</x:v>
      </x:c>
      <x:c r="E12" s="24" t="n">
        <x:f>'Controls'!$D$22</x:f>
        <x:v>0.016</x:v>
      </x:c>
      <x:c r="F12" s="24" t="n">
        <x:f>E12-SUM($C$7:C12)</x:f>
        <x:v>-0.338</x:v>
      </x:c>
      <x:c r="G12" s="24" t="n">
        <x:f>'Controls'!$D$20</x:f>
        <x:v>0.318</x:v>
      </x:c>
      <x:c r="H12" s="24" t="n">
        <x:f>'Controls'!$D$20+'Controls'!$D$18</x:f>
        <x:v>0.748</x:v>
      </x:c>
      <x:c r="I12" s="9" t="str">
        <x:v>N4</x:v>
      </x:c>
      <x:c r="J12" s="9" t="str">
        <x:v>requires baseline authorization</x:v>
      </x:c>
    </x:row>
    <x:row r="13">
      <x:c r="B13" s="9" t="str">
        <x:v>data, clocks and independent evidence systems</x:v>
      </x:c>
      <x:c r="C13" s="24" t="n">
        <x:v>0.025</x:v>
      </x:c>
      <x:c r="D13" s="23" t="n">
        <x:f>C13/'Controls'!$D$18</x:f>
        <x:v>0.058139534883720936</x:v>
      </x:c>
      <x:c r="E13" s="24" t="n">
        <x:f>'Controls'!$D$22</x:f>
        <x:v>0.016</x:v>
      </x:c>
      <x:c r="F13" s="24" t="n">
        <x:f>E13-SUM($C$7:C13)</x:f>
        <x:v>-0.36300000000000004</x:v>
      </x:c>
      <x:c r="G13" s="24" t="n">
        <x:f>'Controls'!$D$20</x:f>
        <x:v>0.318</x:v>
      </x:c>
      <x:c r="H13" s="24" t="n">
        <x:f>'Controls'!$D$20+'Controls'!$D$18</x:f>
        <x:v>0.748</x:v>
      </x:c>
      <x:c r="I13" s="9" t="str">
        <x:v>N4</x:v>
      </x:c>
      <x:c r="J13" s="9" t="str">
        <x:v>requires baseline authorization</x:v>
      </x:c>
    </x:row>
    <x:row r="14">
      <x:c r="B14" s="9" t="str">
        <x:v>safety, quarantine and hazardous-fluid containment</x:v>
      </x:c>
      <x:c r="C14" s="24" t="n">
        <x:v>0.019</x:v>
      </x:c>
      <x:c r="D14" s="23" t="n">
        <x:f>C14/'Controls'!$D$18</x:f>
        <x:v>0.044186046511627906</x:v>
      </x:c>
      <x:c r="E14" s="24" t="n">
        <x:f>'Controls'!$D$22</x:f>
        <x:v>0.016</x:v>
      </x:c>
      <x:c r="F14" s="24" t="n">
        <x:f>E14-SUM($C$7:C14)</x:f>
        <x:v>-0.38200000000000006</x:v>
      </x:c>
      <x:c r="G14" s="24" t="n">
        <x:f>'Controls'!$D$20</x:f>
        <x:v>0.318</x:v>
      </x:c>
      <x:c r="H14" s="24" t="n">
        <x:f>'Controls'!$D$20+'Controls'!$D$18</x:f>
        <x:v>0.748</x:v>
      </x:c>
      <x:c r="I14" s="9" t="str">
        <x:v>N4</x:v>
      </x:c>
      <x:c r="J14" s="9" t="str">
        <x:v>requires baseline authorization</x:v>
      </x:c>
    </x:row>
    <x:row r="15">
      <x:c r="B15" s="9" t="str">
        <x:v>destructive examination and forensics</x:v>
      </x:c>
      <x:c r="C15" s="24" t="n">
        <x:v>0.015</x:v>
      </x:c>
      <x:c r="D15" s="23" t="n">
        <x:f>C15/'Controls'!$D$18</x:f>
        <x:v>0.03488372093023256</x:v>
      </x:c>
      <x:c r="E15" s="24" t="n">
        <x:f>'Controls'!$D$22</x:f>
        <x:v>0.016</x:v>
      </x:c>
      <x:c r="F15" s="24" t="n">
        <x:f>E15-SUM($C$7:C15)</x:f>
        <x:v>-0.3970000000000001</x:v>
      </x:c>
      <x:c r="G15" s="24" t="n">
        <x:f>'Controls'!$D$20</x:f>
        <x:v>0.318</x:v>
      </x:c>
      <x:c r="H15" s="24" t="n">
        <x:f>'Controls'!$D$20+'Controls'!$D$18</x:f>
        <x:v>0.748</x:v>
      </x:c>
      <x:c r="I15" s="9" t="str">
        <x:v>N4</x:v>
      </x:c>
      <x:c r="J15" s="9" t="str">
        <x:v>requires baseline authorization</x:v>
      </x:c>
    </x:row>
    <x:row r="16">
      <x:c r="B16" s="9" t="str">
        <x:v>root-independent adapters and reference articles</x:v>
      </x:c>
      <x:c r="C16" s="24" t="n">
        <x:v>0.01</x:v>
      </x:c>
      <x:c r="D16" s="23" t="n">
        <x:f>C16/'Controls'!$D$18</x:f>
        <x:v>0.023255813953488372</x:v>
      </x:c>
      <x:c r="E16" s="24" t="n">
        <x:f>'Controls'!$D$22</x:f>
        <x:v>0.016</x:v>
      </x:c>
      <x:c r="F16" s="24" t="n">
        <x:f>E16-SUM($C$7:C16)</x:f>
        <x:v>-0.4070000000000001</x:v>
      </x:c>
      <x:c r="G16" s="24" t="n">
        <x:f>'Controls'!$D$20</x:f>
        <x:v>0.318</x:v>
      </x:c>
      <x:c r="H16" s="24" t="n">
        <x:f>'Controls'!$D$20+'Controls'!$D$18</x:f>
        <x:v>0.748</x:v>
      </x:c>
      <x:c r="I16" s="9" t="str">
        <x:v>N4</x:v>
      </x:c>
      <x:c r="J16" s="9" t="str">
        <x:v>requires baseline authorization</x:v>
      </x:c>
    </x:row>
    <x:row r="17">
      <x:c r="B17" s="9" t="str">
        <x:v>unassigned program reserve</x:v>
      </x:c>
      <x:c r="C17" s="24" t="n">
        <x:v>0.007</x:v>
      </x:c>
      <x:c r="D17" s="23" t="n">
        <x:f>C17/'Controls'!$D$18</x:f>
        <x:v>0.01627906976744186</x:v>
      </x:c>
      <x:c r="E17" s="24" t="n">
        <x:f>'Controls'!$D$22</x:f>
        <x:v>0.016</x:v>
      </x:c>
      <x:c r="F17" s="24" t="n">
        <x:f>E17-SUM($C$7:C17)</x:f>
        <x:v>-0.4140000000000001</x:v>
      </x:c>
      <x:c r="G17" s="24" t="n">
        <x:f>'Controls'!$D$20</x:f>
        <x:v>0.318</x:v>
      </x:c>
      <x:c r="H17" s="24" t="n">
        <x:f>'Controls'!$D$20+'Controls'!$D$18</x:f>
        <x:v>0.748</x:v>
      </x:c>
      <x:c r="I17" s="9" t="str">
        <x:v>N4</x:v>
      </x:c>
      <x:c r="J17" s="9" t="str">
        <x:v>requires baseline authorization</x:v>
      </x:c>
    </x:row>
    <x:row r="18">
      <x:c r="B18" s="9"/>
      <x:c r="C18" s="24"/>
      <x:c r="D18" s="24"/>
      <x:c r="E18" s="24"/>
      <x:c r="F18" s="24"/>
      <x:c r="G18" s="24"/>
      <x:c r="H18" s="24"/>
      <x:c r="I18" s="9"/>
      <x:c r="J18" s="9"/>
    </x:row>
    <x:row r="19">
      <x:c r="B19" s="9"/>
      <x:c r="C19" s="24"/>
      <x:c r="D19" s="24"/>
      <x:c r="E19" s="24"/>
      <x:c r="F19" s="24"/>
      <x:c r="G19" s="24"/>
      <x:c r="H19" s="24"/>
      <x:c r="I19" s="9"/>
      <x:c r="J19" s="9"/>
    </x:row>
    <x:row r="20">
      <x:c r="B20" s="17" t="str">
        <x:v>Reconciliation</x:v>
      </x:c>
      <x:c r="C20" s="25" t="str">
        <x:v>Reconciliation</x:v>
      </x:c>
      <x:c r="D20" s="25" t="str">
        <x:v>Reconciliation</x:v>
      </x:c>
      <x:c r="E20" s="25" t="str">
        <x:v>Reconciliation</x:v>
      </x:c>
      <x:c r="F20" s="25" t="str">
        <x:v>Reconciliation</x:v>
      </x:c>
      <x:c r="G20" s="25" t="str">
        <x:v>Reconciliation</x:v>
      </x:c>
      <x:c r="H20" s="25" t="str">
        <x:v>Reconciliation</x:v>
      </x:c>
      <x:c r="I20" s="17" t="str">
        <x:v>Reconciliation</x:v>
      </x:c>
      <x:c r="J20" s="17" t="str">
        <x:v>Reconciliation</x:v>
      </x:c>
    </x:row>
    <x:row r="21">
      <x:c r="B21" s="7" t="str">
        <x:v>Calculated</x:v>
      </x:c>
      <x:c r="C21" s="26" t="str">
        <x:v>Control</x:v>
      </x:c>
      <x:c r="D21" s="26" t="str">
        <x:v>Difference</x:v>
      </x:c>
      <x:c r="E21" s="26" t="str">
        <x:v>Inherited remainder</x:v>
      </x:c>
      <x:c r="F21" s="26" t="str">
        <x:v>Shortfall</x:v>
      </x:c>
      <x:c r="G21" s="26" t="str">
        <x:v>Provisional BRD-2</x:v>
      </x:c>
      <x:c r="H21" s="26" t="str">
        <x:v>Authorized</x:v>
      </x:c>
      <x:c r="I21" s="9"/>
      <x:c r="J21" s="9"/>
    </x:row>
    <x:row r="22">
      <x:c r="B22" s="10" t="n">
        <x:f>SUM(C7:C17)</x:f>
        <x:v>0.4300000000000001</x:v>
      </x:c>
      <x:c r="C22" s="27" t="n">
        <x:f>'Controls'!$D$18</x:f>
        <x:v>0.43</x:v>
      </x:c>
      <x:c r="D22" s="27" t="n">
        <x:f>B22-C22</x:f>
        <x:v>1.1102230246251565e-16</x:v>
      </x:c>
      <x:c r="E22" s="27" t="n">
        <x:f>'Controls'!$D$22</x:f>
        <x:v>0.016</x:v>
      </x:c>
      <x:c r="F22" s="27" t="n">
        <x:f>B22-E22</x:f>
        <x:v>0.4140000000000001</x:v>
      </x:c>
      <x:c r="G22" s="27" t="n">
        <x:f>'Controls'!$D$20+B22</x:f>
        <x:v>0.7480000000000001</x:v>
      </x:c>
      <x:c r="H22" s="27" t="str">
        <x:f>IF('Controls'!$D$46=1,"AUTHORIZED","OPEN")</x:f>
        <x:v>OPEN</x:v>
      </x:c>
      <x:c r="I22" s="10"/>
      <x:c r="J22" s="10"/>
    </x:row>
  </x:sheetData>
  <x:mergeCells>
    <x:mergeCell ref="B2:J2"/>
    <x:mergeCell ref="B3:J3"/>
    <x:mergeCell ref="B20:J20"/>
  </x:mergeCells>
  <x:conditionalFormatting sqref="I7:I17">
    <x:cfRule type="containsText" dxfId="260" priority="1" operator="containsText" text="PASS"/>
    <x:cfRule type="containsText" dxfId="261" priority="2" operator="containsText" text="AUTHORIZED"/>
    <x:cfRule type="containsText" dxfId="262" priority="3" operator="containsText" text="DEFINED"/>
    <x:cfRule type="containsText" dxfId="263" priority="4" operator="containsText" text="READY"/>
    <x:cfRule type="containsText" dxfId="264" priority="5" operator="containsText" text="HOLD"/>
    <x:cfRule type="containsText" dxfId="265" priority="6" operator="containsText" text="OPEN"/>
    <x:cfRule type="containsText" dxfId="266" priority="7" operator="containsText" text="BLOCKED"/>
    <x:cfRule type="containsText" dxfId="267" priority="8" operator="containsText" text="PLANNING"/>
    <x:cfRule type="containsText" dxfId="268" priority="9" operator="containsText" text="QUARANTINE"/>
    <x:cfRule type="containsText" dxfId="269" priority="10" operator="containsText" text="FAIL"/>
    <x:cfRule type="containsText" dxfId="270" priority="11" operator="containsText" text="REJECT"/>
    <x:cfRule type="containsText" dxfId="271" priority="12" operator="containsText" text="INCOMPLETE"/>
    <x:cfRule type="containsText" dxfId="272" priority="13" operator="containsText" text="STOP"/>
  </x:conditionalFormatting>
  <x:conditionalFormatting sqref="H22:H22">
    <x:cfRule type="containsText" dxfId="273" priority="14" operator="containsText" text="PASS"/>
    <x:cfRule type="containsText" dxfId="274" priority="15" operator="containsText" text="AUTHORIZED"/>
    <x:cfRule type="containsText" dxfId="275" priority="16" operator="containsText" text="DEFINED"/>
    <x:cfRule type="containsText" dxfId="276" priority="17" operator="containsText" text="READY"/>
    <x:cfRule type="containsText" dxfId="277" priority="18" operator="containsText" text="HOLD"/>
    <x:cfRule type="containsText" dxfId="278" priority="19" operator="containsText" text="OPEN"/>
    <x:cfRule type="containsText" dxfId="279" priority="20" operator="containsText" text="BLOCKED"/>
    <x:cfRule type="containsText" dxfId="280" priority="21" operator="containsText" text="PLANNING"/>
    <x:cfRule type="containsText" dxfId="281" priority="22" operator="containsText" text="QUARANTINE"/>
    <x:cfRule type="containsText" dxfId="282" priority="23" operator="containsText" text="FAIL"/>
    <x:cfRule type="containsText" dxfId="283" priority="24" operator="containsText" text="REJECT"/>
    <x:cfRule type="containsText" dxfId="284" priority="25" operator="containsText" text="INCOMPLETE"/>
    <x:cfRule type="containsText" dxfId="285" priority="26" operator="containsText" text="STOP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7" hidden="0" customWidth="1"/>
    <x:col min="3" max="3" width="21" hidden="0" customWidth="1"/>
    <x:col min="4" max="4" width="13" hidden="0" customWidth="1"/>
    <x:col min="5" max="5" width="19" hidden="0" customWidth="1"/>
    <x:col min="6" max="6" width="15" hidden="0" customWidth="1"/>
    <x:col min="7" max="7" width="16" hidden="0" customWidth="1"/>
    <x:col min="8" max="8" width="18" hidden="0" customWidth="1"/>
    <x:col min="9" max="9" width="14" hidden="0" customWidth="1"/>
    <x:col min="10" max="10" width="32" hidden="0" customWidth="1"/>
  </x:cols>
  <x:sheetData>
    <x:row r="2">
      <x:c r="B2" s="32" t="str">
        <x:v>Incremental annual support and thirty-month draw</x:v>
      </x:c>
      <x:c r="C2" s="9"/>
      <x:c r="D2" s="9"/>
      <x:c r="E2" s="9"/>
      <x:c r="F2" s="9"/>
      <x:c r="G2" s="9"/>
      <x:c r="H2" s="9"/>
      <x:c r="I2" s="9"/>
      <x:c r="J2" s="9"/>
    </x:row>
    <x:row r="3">
      <x:c r="B3" s="33" t="str">
        <x:v>Real 2026 USD billions per year; no operational-force borrowing.</x:v>
      </x:c>
      <x:c r="C3" s="9"/>
      <x:c r="D3" s="9"/>
      <x:c r="E3" s="9"/>
      <x:c r="F3" s="9"/>
      <x:c r="G3" s="9"/>
      <x:c r="H3" s="9"/>
      <x:c r="I3" s="9"/>
      <x:c r="J3" s="9"/>
    </x:row>
    <x:row r="4">
      <x:c r="B4" s="34"/>
      <x:c r="C4" s="34"/>
      <x:c r="D4" s="34"/>
      <x:c r="E4" s="34"/>
      <x:c r="F4" s="34"/>
      <x:c r="G4" s="34"/>
      <x:c r="H4" s="34"/>
      <x:c r="I4" s="34"/>
      <x:c r="J4" s="34"/>
    </x:row>
    <x:row r="5">
      <x:c r="B5" s="9"/>
      <x:c r="C5" s="9"/>
      <x:c r="D5" s="9"/>
      <x:c r="E5" s="9"/>
      <x:c r="F5" s="9"/>
      <x:c r="G5" s="9"/>
      <x:c r="H5" s="9"/>
      <x:c r="I5" s="9"/>
      <x:c r="J5" s="9"/>
    </x:row>
    <x:row r="6">
      <x:c r="B6" s="7" t="str">
        <x:v>Element</x:v>
      </x:c>
      <x:c r="C6" s="7" t="str">
        <x:v>Allocation USD B/yr</x:v>
      </x:c>
      <x:c r="D6" s="7" t="str">
        <x:v>Share</x:v>
      </x:c>
      <x:c r="E6" s="7" t="str">
        <x:v>Inherited remainder</x:v>
      </x:c>
      <x:c r="F6" s="7" t="str">
        <x:v>Difference</x:v>
      </x:c>
      <x:c r="G6" s="7" t="str">
        <x:v>Prior BRD-1</x:v>
      </x:c>
      <x:c r="H6" s="7" t="str">
        <x:v>Provisional BRD-2</x:v>
      </x:c>
      <x:c r="I6" s="7" t="str">
        <x:v>State</x:v>
      </x:c>
      <x:c r="J6" s="7" t="str">
        <x:v>Note</x:v>
      </x:c>
    </x:row>
    <x:row r="7">
      <x:c r="B7" s="9" t="str">
        <x:v>people and shift coverage</x:v>
      </x:c>
      <x:c r="C7" s="24" t="n">
        <x:v>0.056</x:v>
      </x:c>
      <x:c r="D7" s="23" t="n">
        <x:f>C7/'Controls'!$D$19</x:f>
        <x:v>0.5714285714285714</x:v>
      </x:c>
      <x:c r="E7" s="24" t="n">
        <x:f>'Controls'!$D$23</x:f>
        <x:v>0.003</x:v>
      </x:c>
      <x:c r="F7" s="24" t="n">
        <x:f>E7-SUM($C$7:C7)</x:f>
        <x:v>-0.053</x:v>
      </x:c>
      <x:c r="G7" s="24" t="n">
        <x:f>'Controls'!$D$21</x:f>
        <x:v>0.084</x:v>
      </x:c>
      <x:c r="H7" s="24" t="n">
        <x:f>'Controls'!$D$21+'Controls'!$D$19</x:f>
        <x:v>0.182</x:v>
      </x:c>
      <x:c r="I7" s="24" t="str">
        <x:v>N4</x:v>
      </x:c>
      <x:c r="J7" s="9" t="str">
        <x:v>requires baseline authorization</x:v>
      </x:c>
    </x:row>
    <x:row r="8">
      <x:c r="B8" s="9" t="str">
        <x:v>specimens, standards and consumables</x:v>
      </x:c>
      <x:c r="C8" s="24" t="n">
        <x:v>0.014</x:v>
      </x:c>
      <x:c r="D8" s="23" t="n">
        <x:f>C8/'Controls'!$D$19</x:f>
        <x:v>0.14285714285714285</x:v>
      </x:c>
      <x:c r="E8" s="24" t="n">
        <x:f>'Controls'!$D$23</x:f>
        <x:v>0.003</x:v>
      </x:c>
      <x:c r="F8" s="24" t="n">
        <x:f>E8-SUM($C$7:C8)</x:f>
        <x:v>-0.067</x:v>
      </x:c>
      <x:c r="G8" s="24" t="n">
        <x:f>'Controls'!$D$21</x:f>
        <x:v>0.084</x:v>
      </x:c>
      <x:c r="H8" s="24" t="n">
        <x:f>'Controls'!$D$21+'Controls'!$D$19</x:f>
        <x:v>0.182</x:v>
      </x:c>
      <x:c r="I8" s="24" t="str">
        <x:v>N4</x:v>
      </x:c>
      <x:c r="J8" s="9" t="str">
        <x:v>requires baseline authorization</x:v>
      </x:c>
    </x:row>
    <x:row r="9">
      <x:c r="B9" s="9" t="str">
        <x:v>utilities and range service</x:v>
      </x:c>
      <x:c r="C9" s="24" t="n">
        <x:v>0.008</x:v>
      </x:c>
      <x:c r="D9" s="23" t="n">
        <x:f>C9/'Controls'!$D$19</x:f>
        <x:v>0.08163265306122448</x:v>
      </x:c>
      <x:c r="E9" s="24" t="n">
        <x:f>'Controls'!$D$23</x:f>
        <x:v>0.003</x:v>
      </x:c>
      <x:c r="F9" s="24" t="n">
        <x:f>E9-SUM($C$7:C9)</x:f>
        <x:v>-0.07500000000000001</x:v>
      </x:c>
      <x:c r="G9" s="24" t="n">
        <x:f>'Controls'!$D$21</x:f>
        <x:v>0.084</x:v>
      </x:c>
      <x:c r="H9" s="24" t="n">
        <x:f>'Controls'!$D$21+'Controls'!$D$19</x:f>
        <x:v>0.182</x:v>
      </x:c>
      <x:c r="I9" s="24" t="str">
        <x:v>N4</x:v>
      </x:c>
      <x:c r="J9" s="9" t="str">
        <x:v>requires baseline authorization</x:v>
      </x:c>
    </x:row>
    <x:row r="10">
      <x:c r="B10" s="9" t="str">
        <x:v>laboratories and metrology</x:v>
      </x:c>
      <x:c r="C10" s="24" t="n">
        <x:v>0.007</x:v>
      </x:c>
      <x:c r="D10" s="23" t="n">
        <x:f>C10/'Controls'!$D$19</x:f>
        <x:v>0.07142857142857142</x:v>
      </x:c>
      <x:c r="E10" s="24" t="n">
        <x:f>'Controls'!$D$23</x:f>
        <x:v>0.003</x:v>
      </x:c>
      <x:c r="F10" s="24" t="n">
        <x:f>E10-SUM($C$7:C10)</x:f>
        <x:v>-0.08200000000000002</x:v>
      </x:c>
      <x:c r="G10" s="24" t="n">
        <x:f>'Controls'!$D$21</x:f>
        <x:v>0.084</x:v>
      </x:c>
      <x:c r="H10" s="24" t="n">
        <x:f>'Controls'!$D$21+'Controls'!$D$19</x:f>
        <x:v>0.182</x:v>
      </x:c>
      <x:c r="I10" s="24" t="str">
        <x:v>N4</x:v>
      </x:c>
      <x:c r="J10" s="9" t="str">
        <x:v>requires baseline authorization</x:v>
      </x:c>
    </x:row>
    <x:row r="11">
      <x:c r="B11" s="9" t="str">
        <x:v>data custody and independent reproduction</x:v>
      </x:c>
      <x:c r="C11" s="24" t="n">
        <x:v>0.004</x:v>
      </x:c>
      <x:c r="D11" s="23" t="n">
        <x:f>C11/'Controls'!$D$19</x:f>
        <x:v>0.04081632653061224</x:v>
      </x:c>
      <x:c r="E11" s="24" t="n">
        <x:f>'Controls'!$D$23</x:f>
        <x:v>0.003</x:v>
      </x:c>
      <x:c r="F11" s="24" t="n">
        <x:f>E11-SUM($C$7:C11)</x:f>
        <x:v>-0.08600000000000002</x:v>
      </x:c>
      <x:c r="G11" s="24" t="n">
        <x:f>'Controls'!$D$21</x:f>
        <x:v>0.084</x:v>
      </x:c>
      <x:c r="H11" s="24" t="n">
        <x:f>'Controls'!$D$21+'Controls'!$D$19</x:f>
        <x:v>0.182</x:v>
      </x:c>
      <x:c r="I11" s="24" t="str">
        <x:v>N4</x:v>
      </x:c>
      <x:c r="J11" s="9" t="str">
        <x:v>requires baseline authorization</x:v>
      </x:c>
    </x:row>
    <x:row r="12">
      <x:c r="B12" s="9" t="str">
        <x:v>safety and environmental control</x:v>
      </x:c>
      <x:c r="C12" s="24" t="n">
        <x:v>0.004</x:v>
      </x:c>
      <x:c r="D12" s="23" t="n">
        <x:f>C12/'Controls'!$D$19</x:f>
        <x:v>0.04081632653061224</x:v>
      </x:c>
      <x:c r="E12" s="24" t="n">
        <x:f>'Controls'!$D$23</x:f>
        <x:v>0.003</x:v>
      </x:c>
      <x:c r="F12" s="24" t="n">
        <x:f>E12-SUM($C$7:C12)</x:f>
        <x:v>-0.09000000000000002</x:v>
      </x:c>
      <x:c r="G12" s="24" t="n">
        <x:f>'Controls'!$D$21</x:f>
        <x:v>0.084</x:v>
      </x:c>
      <x:c r="H12" s="24" t="n">
        <x:f>'Controls'!$D$21+'Controls'!$D$19</x:f>
        <x:v>0.182</x:v>
      </x:c>
      <x:c r="I12" s="24" t="str">
        <x:v>N4</x:v>
      </x:c>
      <x:c r="J12" s="9" t="str">
        <x:v>requires baseline authorization</x:v>
      </x:c>
    </x:row>
    <x:row r="13">
      <x:c r="B13" s="9" t="str">
        <x:v>statistics, blinding and admission</x:v>
      </x:c>
      <x:c r="C13" s="24" t="n">
        <x:v>0.003</x:v>
      </x:c>
      <x:c r="D13" s="23" t="n">
        <x:f>C13/'Controls'!$D$19</x:f>
        <x:v>0.030612244897959183</x:v>
      </x:c>
      <x:c r="E13" s="24" t="n">
        <x:f>'Controls'!$D$23</x:f>
        <x:v>0.003</x:v>
      </x:c>
      <x:c r="F13" s="24" t="n">
        <x:f>E13-SUM($C$7:C13)</x:f>
        <x:v>-0.09300000000000003</x:v>
      </x:c>
      <x:c r="G13" s="24" t="n">
        <x:f>'Controls'!$D$21</x:f>
        <x:v>0.084</x:v>
      </x:c>
      <x:c r="H13" s="24" t="n">
        <x:f>'Controls'!$D$21+'Controls'!$D$19</x:f>
        <x:v>0.182</x:v>
      </x:c>
      <x:c r="I13" s="24" t="str">
        <x:v>N4</x:v>
      </x:c>
      <x:c r="J13" s="9" t="str">
        <x:v>requires baseline authorization</x:v>
      </x:c>
    </x:row>
    <x:row r="14">
      <x:c r="B14" s="9" t="str">
        <x:v>intersite logistics and reserve</x:v>
      </x:c>
      <x:c r="C14" s="24" t="n">
        <x:v>0.002</x:v>
      </x:c>
      <x:c r="D14" s="23" t="n">
        <x:f>C14/'Controls'!$D$19</x:f>
        <x:v>0.02040816326530612</x:v>
      </x:c>
      <x:c r="E14" s="24" t="n">
        <x:f>'Controls'!$D$23</x:f>
        <x:v>0.003</x:v>
      </x:c>
      <x:c r="F14" s="24" t="n">
        <x:f>E14-SUM($C$7:C14)</x:f>
        <x:v>-0.09500000000000003</x:v>
      </x:c>
      <x:c r="G14" s="24" t="n">
        <x:f>'Controls'!$D$21</x:f>
        <x:v>0.084</x:v>
      </x:c>
      <x:c r="H14" s="24" t="n">
        <x:f>'Controls'!$D$21+'Controls'!$D$19</x:f>
        <x:v>0.182</x:v>
      </x:c>
      <x:c r="I14" s="24" t="str">
        <x:v>N4</x:v>
      </x:c>
      <x:c r="J14" s="9" t="str">
        <x:v>requires baseline authorization</x:v>
      </x:c>
    </x:row>
    <x:row r="15">
      <x:c r="B15" s="9"/>
      <x:c r="C15" s="24"/>
      <x:c r="D15" s="24"/>
      <x:c r="E15" s="24"/>
      <x:c r="F15" s="24"/>
      <x:c r="G15" s="24"/>
      <x:c r="H15" s="24"/>
      <x:c r="I15" s="24"/>
      <x:c r="J15" s="9"/>
    </x:row>
    <x:row r="16">
      <x:c r="B16" s="9"/>
      <x:c r="C16" s="24"/>
      <x:c r="D16" s="24"/>
      <x:c r="E16" s="24"/>
      <x:c r="F16" s="24"/>
      <x:c r="G16" s="24"/>
      <x:c r="H16" s="24"/>
      <x:c r="I16" s="24"/>
      <x:c r="J16" s="9"/>
    </x:row>
    <x:row r="17">
      <x:c r="B17" s="17" t="str">
        <x:v>Reconciliation</x:v>
      </x:c>
      <x:c r="C17" s="25" t="str">
        <x:v>Reconciliation</x:v>
      </x:c>
      <x:c r="D17" s="25" t="str">
        <x:v>Reconciliation</x:v>
      </x:c>
      <x:c r="E17" s="25" t="str">
        <x:v>Reconciliation</x:v>
      </x:c>
      <x:c r="F17" s="25" t="str">
        <x:v>Reconciliation</x:v>
      </x:c>
      <x:c r="G17" s="25" t="str">
        <x:v>Reconciliation</x:v>
      </x:c>
      <x:c r="H17" s="25" t="str">
        <x:v>Reconciliation</x:v>
      </x:c>
      <x:c r="I17" s="25" t="str">
        <x:v>Reconciliation</x:v>
      </x:c>
      <x:c r="J17" s="17" t="str">
        <x:v>Reconciliation</x:v>
      </x:c>
    </x:row>
    <x:row r="18">
      <x:c r="B18" s="7" t="str">
        <x:v>Annual calculated</x:v>
      </x:c>
      <x:c r="C18" s="26" t="str">
        <x:v>Annual control</x:v>
      </x:c>
      <x:c r="D18" s="26" t="str">
        <x:v>Difference</x:v>
      </x:c>
      <x:c r="E18" s="26" t="str">
        <x:v>Inherited remainder</x:v>
      </x:c>
      <x:c r="F18" s="26" t="str">
        <x:v>Shortfall</x:v>
      </x:c>
      <x:c r="G18" s="26" t="str">
        <x:v>30-month support</x:v>
      </x:c>
      <x:c r="H18" s="26" t="str">
        <x:v>Capital plus support</x:v>
      </x:c>
      <x:c r="I18" s="26" t="str">
        <x:v>BRD-2 annual</x:v>
      </x:c>
      <x:c r="J18" s="9"/>
    </x:row>
    <x:row r="19">
      <x:c r="B19" s="10" t="n">
        <x:f>SUM(C7:C14)</x:f>
        <x:v>0.09800000000000003</x:v>
      </x:c>
      <x:c r="C19" s="27" t="n">
        <x:f>'Controls'!$D$19</x:f>
        <x:v>0.098</x:v>
      </x:c>
      <x:c r="D19" s="27" t="n">
        <x:f>B19-C19</x:f>
        <x:v>2.7755575615628914e-17</x:v>
      </x:c>
      <x:c r="E19" s="27" t="n">
        <x:f>'Controls'!$D$23</x:f>
        <x:v>0.003</x:v>
      </x:c>
      <x:c r="F19" s="27" t="n">
        <x:f>B19-E19</x:f>
        <x:v>0.09500000000000003</x:v>
      </x:c>
      <x:c r="G19" s="27" t="n">
        <x:f>B19*'Controls'!$D$16/12</x:f>
        <x:v>0.24500000000000008</x:v>
      </x:c>
      <x:c r="H19" s="27" t="n">
        <x:f>G19+'Controls'!$D$18</x:f>
        <x:v>0.675</x:v>
      </x:c>
      <x:c r="I19" s="27" t="n">
        <x:f>'Controls'!$D$21+B19</x:f>
        <x:v>0.18200000000000005</x:v>
      </x:c>
      <x:c r="J19" s="10"/>
    </x:row>
  </x:sheetData>
  <x:mergeCells>
    <x:mergeCell ref="B2:J2"/>
    <x:mergeCell ref="B3:J3"/>
    <x:mergeCell ref="B17:J17"/>
  </x:mergeCells>
  <x:conditionalFormatting sqref="I7:I14">
    <x:cfRule type="containsText" dxfId="286" priority="1" operator="containsText" text="PASS"/>
    <x:cfRule type="containsText" dxfId="287" priority="2" operator="containsText" text="AUTHORIZED"/>
    <x:cfRule type="containsText" dxfId="288" priority="3" operator="containsText" text="DEFINED"/>
    <x:cfRule type="containsText" dxfId="289" priority="4" operator="containsText" text="READY"/>
    <x:cfRule type="containsText" dxfId="290" priority="5" operator="containsText" text="HOLD"/>
    <x:cfRule type="containsText" dxfId="291" priority="6" operator="containsText" text="OPEN"/>
    <x:cfRule type="containsText" dxfId="292" priority="7" operator="containsText" text="BLOCKED"/>
    <x:cfRule type="containsText" dxfId="293" priority="8" operator="containsText" text="PLANNING"/>
    <x:cfRule type="containsText" dxfId="294" priority="9" operator="containsText" text="QUARANTINE"/>
    <x:cfRule type="containsText" dxfId="295" priority="10" operator="containsText" text="FAIL"/>
    <x:cfRule type="containsText" dxfId="296" priority="11" operator="containsText" text="REJECT"/>
    <x:cfRule type="containsText" dxfId="297" priority="12" operator="containsText" text="INCOMPLETE"/>
    <x:cfRule type="containsText" dxfId="298" priority="13" operator="containsText" text="STOP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16" hidden="0" customWidth="1"/>
    <x:col min="4" max="4" width="43" hidden="0" customWidth="1"/>
    <x:col min="5" max="5" width="13" hidden="0" customWidth="1"/>
    <x:col min="6" max="6" width="13" hidden="0" customWidth="1"/>
    <x:col min="7" max="7" width="22" hidden="0" customWidth="1"/>
    <x:col min="8" max="8" width="18" hidden="0" customWidth="1"/>
    <x:col min="9" max="9" width="22" hidden="0" customWidth="1"/>
    <x:col min="10" max="10" width="23" hidden="0" customWidth="1"/>
    <x:col min="11" max="11" width="20" hidden="0" customWidth="1"/>
  </x:cols>
  <x:sheetData>
    <x:row r="2">
      <x:c r="B2" s="32" t="str">
        <x:v>One hundred sequential release gates</x:v>
      </x:c>
      <x:c r="C2" s="9"/>
      <x:c r="D2" s="9"/>
      <x:c r="E2" s="9"/>
      <x:c r="F2" s="9"/>
      <x:c r="G2" s="9"/>
      <x:c r="H2" s="9"/>
      <x:c r="I2" s="9"/>
      <x:c r="J2" s="9"/>
      <x:c r="K2" s="9"/>
    </x:row>
    <x:row r="3">
      <x:c r="B3" s="33" t="str">
        <x:v>Sixty-four planning gates pass. Thirty-two source gates remain open and four downstream gates remain blocked.</x:v>
      </x:c>
      <x:c r="C3" s="9"/>
      <x:c r="D3" s="9"/>
      <x:c r="E3" s="9"/>
      <x:c r="F3" s="9"/>
      <x:c r="G3" s="9"/>
      <x:c r="H3" s="9"/>
      <x:c r="I3" s="9"/>
      <x:c r="J3" s="9"/>
      <x:c r="K3" s="9"/>
    </x:row>
    <x:row r="4">
      <x:c r="B4" s="34"/>
      <x:c r="C4" s="34"/>
      <x:c r="D4" s="34"/>
      <x:c r="E4" s="34"/>
      <x:c r="F4" s="34"/>
      <x:c r="G4" s="34"/>
      <x:c r="H4" s="34"/>
      <x:c r="I4" s="34"/>
      <x:c r="J4" s="34"/>
      <x:c r="K4" s="34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</x:row>
    <x:row r="6">
      <x:c r="B6" s="7" t="str">
        <x:v>Gate</x:v>
      </x:c>
      <x:c r="C6" s="7" t="str">
        <x:v>Class</x:v>
      </x:c>
      <x:c r="D6" s="7" t="str">
        <x:v>Decision</x:v>
      </x:c>
      <x:c r="E6" s="7" t="str">
        <x:v>Required</x:v>
      </x:c>
      <x:c r="F6" s="7" t="str">
        <x:v>Observed</x:v>
      </x:c>
      <x:c r="G6" s="7" t="str">
        <x:v>Source</x:v>
      </x:c>
      <x:c r="H6" s="7" t="str">
        <x:v>Status</x:v>
      </x:c>
      <x:c r="I6" s="7" t="str">
        <x:v>Stop authority</x:v>
      </x:c>
      <x:c r="J6" s="7" t="str">
        <x:v>Evidence authority</x:v>
      </x:c>
      <x:c r="K6" s="7" t="str">
        <x:v>Note</x:v>
      </x:c>
    </x:row>
    <x:row r="7">
      <x:c r="B7" s="9" t="str">
        <x:v>G-001</x:v>
      </x:c>
      <x:c r="C7" s="9" t="str">
        <x:v>PLANNING</x:v>
      </x:c>
      <x:c r="D7" s="9" t="str">
        <x:v>twelve design families</x:v>
      </x:c>
      <x:c r="E7" s="9" t="n">
        <x:v>1</x:v>
      </x:c>
      <x:c r="F7" s="9" t="n">
        <x:v>1</x:v>
      </x:c>
      <x:c r="G7" s="9" t="str">
        <x:v>Pass 114 constitution</x:v>
      </x:c>
      <x:c r="H7" s="9" t="str">
        <x:f>IF(F7&gt;=E7,"PASS","FAIL")</x:f>
        <x:v>PASS</x:v>
      </x:c>
      <x:c r="I7" s="9" t="str">
        <x:v>public board</x:v>
      </x:c>
      <x:c r="J7" s="9" t="str">
        <x:v>public configuration</x:v>
      </x:c>
      <x:c r="K7" s="9" t="str">
        <x:v>design evidence only</x:v>
      </x:c>
    </x:row>
    <x:row r="8">
      <x:c r="B8" s="9" t="str">
        <x:v>G-002</x:v>
      </x:c>
      <x:c r="C8" s="9" t="str">
        <x:v>PLANNING</x:v>
      </x:c>
      <x:c r="D8" s="9" t="str">
        <x:v>sixty-four specimen bank</x:v>
      </x:c>
      <x:c r="E8" s="9" t="n">
        <x:v>1</x:v>
      </x:c>
      <x:c r="F8" s="9" t="n">
        <x:v>1</x:v>
      </x:c>
      <x:c r="G8" s="9" t="str">
        <x:v>Pass 114 constitution</x:v>
      </x:c>
      <x:c r="H8" s="9" t="str">
        <x:f>IF(F8&gt;=E8,"PASS","FAIL")</x:f>
        <x:v>PASS</x:v>
      </x:c>
      <x:c r="I8" s="9" t="str">
        <x:v>public board</x:v>
      </x:c>
      <x:c r="J8" s="9" t="str">
        <x:v>public configuration</x:v>
      </x:c>
      <x:c r="K8" s="9" t="str">
        <x:v>design evidence only</x:v>
      </x:c>
    </x:row>
    <x:row r="9">
      <x:c r="B9" s="9" t="str">
        <x:v>G-003</x:v>
      </x:c>
      <x:c r="C9" s="9" t="str">
        <x:v>PLANNING</x:v>
      </x:c>
      <x:c r="D9" s="9" t="str">
        <x:v>per-serial exposure law</x:v>
      </x:c>
      <x:c r="E9" s="9" t="n">
        <x:v>1</x:v>
      </x:c>
      <x:c r="F9" s="9" t="n">
        <x:v>1</x:v>
      </x:c>
      <x:c r="G9" s="9" t="str">
        <x:v>Pass 114 constitution</x:v>
      </x:c>
      <x:c r="H9" s="9" t="str">
        <x:f>IF(F9&gt;=E9,"PASS","FAIL")</x:f>
        <x:v>PASS</x:v>
      </x:c>
      <x:c r="I9" s="9" t="str">
        <x:v>public board</x:v>
      </x:c>
      <x:c r="J9" s="9" t="str">
        <x:v>public configuration</x:v>
      </x:c>
      <x:c r="K9" s="9" t="str">
        <x:v>design evidence only</x:v>
      </x:c>
    </x:row>
    <x:row r="10">
      <x:c r="B10" s="9" t="str">
        <x:v>G-004</x:v>
      </x:c>
      <x:c r="C10" s="9" t="str">
        <x:v>PLANNING</x:v>
      </x:c>
      <x:c r="D10" s="9" t="str">
        <x:v>40,520-event reconciliation</x:v>
      </x:c>
      <x:c r="E10" s="9" t="n">
        <x:v>1</x:v>
      </x:c>
      <x:c r="F10" s="9" t="n">
        <x:v>1</x:v>
      </x:c>
      <x:c r="G10" s="9" t="str">
        <x:v>Pass 114 constitution</x:v>
      </x:c>
      <x:c r="H10" s="9" t="str">
        <x:f>IF(F10&gt;=E10,"PASS","FAIL")</x:f>
        <x:v>PASS</x:v>
      </x:c>
      <x:c r="I10" s="9" t="str">
        <x:v>public board</x:v>
      </x:c>
      <x:c r="J10" s="9" t="str">
        <x:v>public configuration</x:v>
      </x:c>
      <x:c r="K10" s="9" t="str">
        <x:v>design evidence only</x:v>
      </x:c>
    </x:row>
    <x:row r="11">
      <x:c r="B11" s="9" t="str">
        <x:v>G-005</x:v>
      </x:c>
      <x:c r="C11" s="9" t="str">
        <x:v>PLANNING</x:v>
      </x:c>
      <x:c r="D11" s="9" t="str">
        <x:v>specimen role randomization</x:v>
      </x:c>
      <x:c r="E11" s="9" t="n">
        <x:v>1</x:v>
      </x:c>
      <x:c r="F11" s="9" t="n">
        <x:v>1</x:v>
      </x:c>
      <x:c r="G11" s="9" t="str">
        <x:v>Pass 114 constitution</x:v>
      </x:c>
      <x:c r="H11" s="9" t="str">
        <x:f>IF(F11&gt;=E11,"PASS","FAIL")</x:f>
        <x:v>PASS</x:v>
      </x:c>
      <x:c r="I11" s="9" t="str">
        <x:v>public board</x:v>
      </x:c>
      <x:c r="J11" s="9" t="str">
        <x:v>public configuration</x:v>
      </x:c>
      <x:c r="K11" s="9" t="str">
        <x:v>design evidence only</x:v>
      </x:c>
    </x:row>
    <x:row r="12">
      <x:c r="B12" s="9" t="str">
        <x:v>G-006</x:v>
      </x:c>
      <x:c r="C12" s="9" t="str">
        <x:v>PLANNING</x:v>
      </x:c>
      <x:c r="D12" s="9" t="str">
        <x:v>replacement specimen rule</x:v>
      </x:c>
      <x:c r="E12" s="9" t="n">
        <x:v>1</x:v>
      </x:c>
      <x:c r="F12" s="9" t="n">
        <x:v>1</x:v>
      </x:c>
      <x:c r="G12" s="9" t="str">
        <x:v>Pass 114 constitution</x:v>
      </x:c>
      <x:c r="H12" s="9" t="str">
        <x:f>IF(F12&gt;=E12,"PASS","FAIL")</x:f>
        <x:v>PASS</x:v>
      </x:c>
      <x:c r="I12" s="9" t="str">
        <x:v>public board</x:v>
      </x:c>
      <x:c r="J12" s="9" t="str">
        <x:v>public configuration</x:v>
      </x:c>
      <x:c r="K12" s="9" t="str">
        <x:v>design evidence only</x:v>
      </x:c>
    </x:row>
    <x:row r="13">
      <x:c r="B13" s="9" t="str">
        <x:v>G-007</x:v>
      </x:c>
      <x:c r="C13" s="9" t="str">
        <x:v>PLANNING</x:v>
      </x:c>
      <x:c r="D13" s="9" t="str">
        <x:v>boundary identification grammar</x:v>
      </x:c>
      <x:c r="E13" s="9" t="n">
        <x:v>1</x:v>
      </x:c>
      <x:c r="F13" s="9" t="n">
        <x:v>1</x:v>
      </x:c>
      <x:c r="G13" s="9" t="str">
        <x:v>Pass 114 constitution</x:v>
      </x:c>
      <x:c r="H13" s="9" t="str">
        <x:f>IF(F13&gt;=E13,"PASS","FAIL")</x:f>
        <x:v>PASS</x:v>
      </x:c>
      <x:c r="I13" s="9" t="str">
        <x:v>public board</x:v>
      </x:c>
      <x:c r="J13" s="9" t="str">
        <x:v>public configuration</x:v>
      </x:c>
      <x:c r="K13" s="9" t="str">
        <x:v>design evidence only</x:v>
      </x:c>
    </x:row>
    <x:row r="14">
      <x:c r="B14" s="9" t="str">
        <x:v>G-008</x:v>
      </x:c>
      <x:c r="C14" s="9" t="str">
        <x:v>PLANNING</x:v>
      </x:c>
      <x:c r="D14" s="9" t="str">
        <x:v>support fixture states</x:v>
      </x:c>
      <x:c r="E14" s="9" t="n">
        <x:v>1</x:v>
      </x:c>
      <x:c r="F14" s="9" t="n">
        <x:v>1</x:v>
      </x:c>
      <x:c r="G14" s="9" t="str">
        <x:v>Pass 114 constitution</x:v>
      </x:c>
      <x:c r="H14" s="9" t="str">
        <x:f>IF(F14&gt;=E14,"PASS","FAIL")</x:f>
        <x:v>PASS</x:v>
      </x:c>
      <x:c r="I14" s="9" t="str">
        <x:v>public board</x:v>
      </x:c>
      <x:c r="J14" s="9" t="str">
        <x:v>public configuration</x:v>
      </x:c>
      <x:c r="K14" s="9" t="str">
        <x:v>design evidence only</x:v>
      </x:c>
    </x:row>
    <x:row r="15">
      <x:c r="B15" s="9" t="str">
        <x:v>G-009</x:v>
      </x:c>
      <x:c r="C15" s="9" t="str">
        <x:v>PLANNING</x:v>
      </x:c>
      <x:c r="D15" s="9" t="str">
        <x:v>anchor/lift fixture states</x:v>
      </x:c>
      <x:c r="E15" s="9" t="n">
        <x:v>1</x:v>
      </x:c>
      <x:c r="F15" s="9" t="n">
        <x:v>1</x:v>
      </x:c>
      <x:c r="G15" s="9" t="str">
        <x:v>Pass 114 constitution</x:v>
      </x:c>
      <x:c r="H15" s="9" t="str">
        <x:f>IF(F15&gt;=E15,"PASS","FAIL")</x:f>
        <x:v>PASS</x:v>
      </x:c>
      <x:c r="I15" s="9" t="str">
        <x:v>public board</x:v>
      </x:c>
      <x:c r="J15" s="9" t="str">
        <x:v>public configuration</x:v>
      </x:c>
      <x:c r="K15" s="9" t="str">
        <x:v>design evidence only</x:v>
      </x:c>
    </x:row>
    <x:row r="16">
      <x:c r="B16" s="9" t="str">
        <x:v>G-010</x:v>
      </x:c>
      <x:c r="C16" s="9" t="str">
        <x:v>PLANNING</x:v>
      </x:c>
      <x:c r="D16" s="9" t="str">
        <x:v>collar fixture states</x:v>
      </x:c>
      <x:c r="E16" s="9" t="n">
        <x:v>1</x:v>
      </x:c>
      <x:c r="F16" s="9" t="n">
        <x:v>1</x:v>
      </x:c>
      <x:c r="G16" s="9" t="str">
        <x:v>Pass 114 constitution</x:v>
      </x:c>
      <x:c r="H16" s="9" t="str">
        <x:f>IF(F16&gt;=E16,"PASS","FAIL")</x:f>
        <x:v>PASS</x:v>
      </x:c>
      <x:c r="I16" s="9" t="str">
        <x:v>public board</x:v>
      </x:c>
      <x:c r="J16" s="9" t="str">
        <x:v>public configuration</x:v>
      </x:c>
      <x:c r="K16" s="9" t="str">
        <x:v>design evidence only</x:v>
      </x:c>
    </x:row>
    <x:row r="17">
      <x:c r="B17" s="9" t="str">
        <x:v>G-011</x:v>
      </x:c>
      <x:c r="C17" s="9" t="str">
        <x:v>PLANNING</x:v>
      </x:c>
      <x:c r="D17" s="9" t="str">
        <x:v>bus source identification</x:v>
      </x:c>
      <x:c r="E17" s="9" t="n">
        <x:v>1</x:v>
      </x:c>
      <x:c r="F17" s="9" t="n">
        <x:v>1</x:v>
      </x:c>
      <x:c r="G17" s="9" t="str">
        <x:v>Pass 114 constitution</x:v>
      </x:c>
      <x:c r="H17" s="9" t="str">
        <x:f>IF(F17&gt;=E17,"PASS","FAIL")</x:f>
        <x:v>PASS</x:v>
      </x:c>
      <x:c r="I17" s="9" t="str">
        <x:v>public board</x:v>
      </x:c>
      <x:c r="J17" s="9" t="str">
        <x:v>public configuration</x:v>
      </x:c>
      <x:c r="K17" s="9" t="str">
        <x:v>design evidence only</x:v>
      </x:c>
    </x:row>
    <x:row r="18">
      <x:c r="B18" s="9" t="str">
        <x:v>G-012</x:v>
      </x:c>
      <x:c r="C18" s="9" t="str">
        <x:v>PLANNING</x:v>
      </x:c>
      <x:c r="D18" s="9" t="str">
        <x:v>thermal sink identification</x:v>
      </x:c>
      <x:c r="E18" s="9" t="n">
        <x:v>1</x:v>
      </x:c>
      <x:c r="F18" s="9" t="n">
        <x:v>1</x:v>
      </x:c>
      <x:c r="G18" s="9" t="str">
        <x:v>Pass 114 constitution</x:v>
      </x:c>
      <x:c r="H18" s="9" t="str">
        <x:f>IF(F18&gt;=E18,"PASS","FAIL")</x:f>
        <x:v>PASS</x:v>
      </x:c>
      <x:c r="I18" s="9" t="str">
        <x:v>public board</x:v>
      </x:c>
      <x:c r="J18" s="9" t="str">
        <x:v>public configuration</x:v>
      </x:c>
      <x:c r="K18" s="9" t="str">
        <x:v>design evidence only</x:v>
      </x:c>
    </x:row>
    <x:row r="19">
      <x:c r="B19" s="9" t="str">
        <x:v>G-013</x:v>
      </x:c>
      <x:c r="C19" s="9" t="str">
        <x:v>PLANNING</x:v>
      </x:c>
      <x:c r="D19" s="9" t="str">
        <x:v>EBC orientation identification</x:v>
      </x:c>
      <x:c r="E19" s="9" t="n">
        <x:v>1</x:v>
      </x:c>
      <x:c r="F19" s="9" t="n">
        <x:v>1</x:v>
      </x:c>
      <x:c r="G19" s="9" t="str">
        <x:v>Pass 114 constitution</x:v>
      </x:c>
      <x:c r="H19" s="9" t="str">
        <x:f>IF(F19&gt;=E19,"PASS","FAIL")</x:f>
        <x:v>PASS</x:v>
      </x:c>
      <x:c r="I19" s="9" t="str">
        <x:v>public board</x:v>
      </x:c>
      <x:c r="J19" s="9" t="str">
        <x:v>public configuration</x:v>
      </x:c>
      <x:c r="K19" s="9" t="str">
        <x:v>design evidence only</x:v>
      </x:c>
    </x:row>
    <x:row r="20">
      <x:c r="B20" s="9" t="str">
        <x:v>G-014</x:v>
      </x:c>
      <x:c r="C20" s="9" t="str">
        <x:v>PLANNING</x:v>
      </x:c>
      <x:c r="D20" s="9" t="str">
        <x:v>event twelve-field grammar</x:v>
      </x:c>
      <x:c r="E20" s="9" t="n">
        <x:v>1</x:v>
      </x:c>
      <x:c r="F20" s="9" t="n">
        <x:v>1</x:v>
      </x:c>
      <x:c r="G20" s="9" t="str">
        <x:v>Pass 114 constitution</x:v>
      </x:c>
      <x:c r="H20" s="9" t="str">
        <x:f>IF(F20&gt;=E20,"PASS","FAIL")</x:f>
        <x:v>PASS</x:v>
      </x:c>
      <x:c r="I20" s="9" t="str">
        <x:v>public board</x:v>
      </x:c>
      <x:c r="J20" s="9" t="str">
        <x:v>public configuration</x:v>
      </x:c>
      <x:c r="K20" s="9" t="str">
        <x:v>design evidence only</x:v>
      </x:c>
    </x:row>
    <x:row r="21">
      <x:c r="B21" s="9" t="str">
        <x:v>G-015</x:v>
      </x:c>
      <x:c r="C21" s="9" t="str">
        <x:v>PLANNING</x:v>
      </x:c>
      <x:c r="D21" s="9" t="str">
        <x:v>block size and calibration brackets</x:v>
      </x:c>
      <x:c r="E21" s="9" t="n">
        <x:v>1</x:v>
      </x:c>
      <x:c r="F21" s="9" t="n">
        <x:v>1</x:v>
      </x:c>
      <x:c r="G21" s="9" t="str">
        <x:v>Pass 114 constitution</x:v>
      </x:c>
      <x:c r="H21" s="9" t="str">
        <x:f>IF(F21&gt;=E21,"PASS","FAIL")</x:f>
        <x:v>PASS</x:v>
      </x:c>
      <x:c r="I21" s="9" t="str">
        <x:v>public board</x:v>
      </x:c>
      <x:c r="J21" s="9" t="str">
        <x:v>public configuration</x:v>
      </x:c>
      <x:c r="K21" s="9" t="str">
        <x:v>design evidence only</x:v>
      </x:c>
    </x:row>
    <x:row r="22">
      <x:c r="B22" s="9" t="str">
        <x:v>G-016</x:v>
      </x:c>
      <x:c r="C22" s="9" t="str">
        <x:v>PLANNING</x:v>
      </x:c>
      <x:c r="D22" s="9" t="str">
        <x:v>two-system command/witness separation</x:v>
      </x:c>
      <x:c r="E22" s="9" t="n">
        <x:v>1</x:v>
      </x:c>
      <x:c r="F22" s="9" t="n">
        <x:v>1</x:v>
      </x:c>
      <x:c r="G22" s="9" t="str">
        <x:v>Pass 114 constitution</x:v>
      </x:c>
      <x:c r="H22" s="9" t="str">
        <x:f>IF(F22&gt;=E22,"PASS","FAIL")</x:f>
        <x:v>PASS</x:v>
      </x:c>
      <x:c r="I22" s="9" t="str">
        <x:v>public board</x:v>
      </x:c>
      <x:c r="J22" s="9" t="str">
        <x:v>public configuration</x:v>
      </x:c>
      <x:c r="K22" s="9" t="str">
        <x:v>design evidence only</x:v>
      </x:c>
    </x:row>
    <x:row r="23">
      <x:c r="B23" s="9" t="str">
        <x:v>G-017</x:v>
      </x:c>
      <x:c r="C23" s="9" t="str">
        <x:v>PLANNING</x:v>
      </x:c>
      <x:c r="D23" s="9" t="str">
        <x:v>EBC one-hundred-cycle matrix</x:v>
      </x:c>
      <x:c r="E23" s="9" t="n">
        <x:v>1</x:v>
      </x:c>
      <x:c r="F23" s="9" t="n">
        <x:v>1</x:v>
      </x:c>
      <x:c r="G23" s="9" t="str">
        <x:v>Pass 114 constitution</x:v>
      </x:c>
      <x:c r="H23" s="9" t="str">
        <x:f>IF(F23&gt;=E23,"PASS","FAIL")</x:f>
        <x:v>PASS</x:v>
      </x:c>
      <x:c r="I23" s="9" t="str">
        <x:v>public board</x:v>
      </x:c>
      <x:c r="J23" s="9" t="str">
        <x:v>public configuration</x:v>
      </x:c>
      <x:c r="K23" s="9" t="str">
        <x:v>design evidence only</x:v>
      </x:c>
    </x:row>
    <x:row r="24">
      <x:c r="B24" s="9" t="str">
        <x:v>G-018</x:v>
      </x:c>
      <x:c r="C24" s="9" t="str">
        <x:v>PLANNING</x:v>
      </x:c>
      <x:c r="D24" s="9" t="str">
        <x:v>EBC four-station full-scale rack</x:v>
      </x:c>
      <x:c r="E24" s="9" t="n">
        <x:v>1</x:v>
      </x:c>
      <x:c r="F24" s="9" t="n">
        <x:v>1</x:v>
      </x:c>
      <x:c r="G24" s="9" t="str">
        <x:v>Pass 114 constitution</x:v>
      </x:c>
      <x:c r="H24" s="9" t="str">
        <x:f>IF(F24&gt;=E24,"PASS","FAIL")</x:f>
        <x:v>PASS</x:v>
      </x:c>
      <x:c r="I24" s="9" t="str">
        <x:v>public board</x:v>
      </x:c>
      <x:c r="J24" s="9" t="str">
        <x:v>public configuration</x:v>
      </x:c>
      <x:c r="K24" s="9" t="str">
        <x:v>design evidence only</x:v>
      </x:c>
    </x:row>
    <x:row r="25">
      <x:c r="B25" s="9" t="str">
        <x:v>G-019</x:v>
      </x:c>
      <x:c r="C25" s="9" t="str">
        <x:v>PLANNING</x:v>
      </x:c>
      <x:c r="D25" s="9" t="str">
        <x:v>EBC custody interval</x:v>
      </x:c>
      <x:c r="E25" s="9" t="n">
        <x:v>1</x:v>
      </x:c>
      <x:c r="F25" s="9" t="n">
        <x:v>1</x:v>
      </x:c>
      <x:c r="G25" s="9" t="str">
        <x:v>Pass 114 constitution</x:v>
      </x:c>
      <x:c r="H25" s="9" t="str">
        <x:f>IF(F25&gt;=E25,"PASS","FAIL")</x:f>
        <x:v>PASS</x:v>
      </x:c>
      <x:c r="I25" s="9" t="str">
        <x:v>public board</x:v>
      </x:c>
      <x:c r="J25" s="9" t="str">
        <x:v>public configuration</x:v>
      </x:c>
      <x:c r="K25" s="9" t="str">
        <x:v>design evidence only</x:v>
      </x:c>
    </x:row>
    <x:row r="26">
      <x:c r="B26" s="9" t="str">
        <x:v>G-020</x:v>
      </x:c>
      <x:c r="C26" s="9" t="str">
        <x:v>PLANNING</x:v>
      </x:c>
      <x:c r="D26" s="9" t="str">
        <x:v>EBC cassette interval</x:v>
      </x:c>
      <x:c r="E26" s="9" t="n">
        <x:v>1</x:v>
      </x:c>
      <x:c r="F26" s="9" t="n">
        <x:v>1</x:v>
      </x:c>
      <x:c r="G26" s="9" t="str">
        <x:v>Pass 114 constitution</x:v>
      </x:c>
      <x:c r="H26" s="9" t="str">
        <x:f>IF(F26&gt;=E26,"PASS","FAIL")</x:f>
        <x:v>PASS</x:v>
      </x:c>
      <x:c r="I26" s="9" t="str">
        <x:v>public board</x:v>
      </x:c>
      <x:c r="J26" s="9" t="str">
        <x:v>public configuration</x:v>
      </x:c>
      <x:c r="K26" s="9" t="str">
        <x:v>design evidence only</x:v>
      </x:c>
    </x:row>
    <x:row r="27">
      <x:c r="B27" s="9" t="str">
        <x:v>G-021</x:v>
      </x:c>
      <x:c r="C27" s="9" t="str">
        <x:v>PLANNING</x:v>
      </x:c>
      <x:c r="D27" s="9" t="str">
        <x:v>EBC imbalance interval</x:v>
      </x:c>
      <x:c r="E27" s="9" t="n">
        <x:v>1</x:v>
      </x:c>
      <x:c r="F27" s="9" t="n">
        <x:v>1</x:v>
      </x:c>
      <x:c r="G27" s="9" t="str">
        <x:v>Pass 114 constitution</x:v>
      </x:c>
      <x:c r="H27" s="9" t="str">
        <x:f>IF(F27&gt;=E27,"PASS","FAIL")</x:f>
        <x:v>PASS</x:v>
      </x:c>
      <x:c r="I27" s="9" t="str">
        <x:v>public board</x:v>
      </x:c>
      <x:c r="J27" s="9" t="str">
        <x:v>public configuration</x:v>
      </x:c>
      <x:c r="K27" s="9" t="str">
        <x:v>design evidence only</x:v>
      </x:c>
    </x:row>
    <x:row r="28">
      <x:c r="B28" s="9" t="str">
        <x:v>G-022</x:v>
      </x:c>
      <x:c r="C28" s="9" t="str">
        <x:v>PLANNING</x:v>
      </x:c>
      <x:c r="D28" s="9" t="str">
        <x:v>EBC incompatible-line isolation</x:v>
      </x:c>
      <x:c r="E28" s="9" t="n">
        <x:v>1</x:v>
      </x:c>
      <x:c r="F28" s="9" t="n">
        <x:v>1</x:v>
      </x:c>
      <x:c r="G28" s="9" t="str">
        <x:v>Pass 114 constitution</x:v>
      </x:c>
      <x:c r="H28" s="9" t="str">
        <x:f>IF(F28&gt;=E28,"PASS","FAIL")</x:f>
        <x:v>PASS</x:v>
      </x:c>
      <x:c r="I28" s="9" t="str">
        <x:v>public board</x:v>
      </x:c>
      <x:c r="J28" s="9" t="str">
        <x:v>public configuration</x:v>
      </x:c>
      <x:c r="K28" s="9" t="str">
        <x:v>design evidence only</x:v>
      </x:c>
    </x:row>
    <x:row r="29">
      <x:c r="B29" s="9" t="str">
        <x:v>G-023</x:v>
      </x:c>
      <x:c r="C29" s="9" t="str">
        <x:v>PLANNING</x:v>
      </x:c>
      <x:c r="D29" s="9" t="str">
        <x:v>collar two-thousand-cycle matrix</x:v>
      </x:c>
      <x:c r="E29" s="9" t="n">
        <x:v>1</x:v>
      </x:c>
      <x:c r="F29" s="9" t="n">
        <x:v>1</x:v>
      </x:c>
      <x:c r="G29" s="9" t="str">
        <x:v>Pass 114 constitution</x:v>
      </x:c>
      <x:c r="H29" s="9" t="str">
        <x:f>IF(F29&gt;=E29,"PASS","FAIL")</x:f>
        <x:v>PASS</x:v>
      </x:c>
      <x:c r="I29" s="9" t="str">
        <x:v>public board</x:v>
      </x:c>
      <x:c r="J29" s="9" t="str">
        <x:v>public configuration</x:v>
      </x:c>
      <x:c r="K29" s="9" t="str">
        <x:v>design evidence only</x:v>
      </x:c>
    </x:row>
    <x:row r="30">
      <x:c r="B30" s="9" t="str">
        <x:v>G-024</x:v>
      </x:c>
      <x:c r="C30" s="9" t="str">
        <x:v>PLANNING</x:v>
      </x:c>
      <x:c r="D30" s="9" t="str">
        <x:v>collar combined mechanical matrix</x:v>
      </x:c>
      <x:c r="E30" s="9" t="n">
        <x:v>1</x:v>
      </x:c>
      <x:c r="F30" s="9" t="n">
        <x:v>1</x:v>
      </x:c>
      <x:c r="G30" s="9" t="str">
        <x:v>Pass 114 constitution</x:v>
      </x:c>
      <x:c r="H30" s="9" t="str">
        <x:f>IF(F30&gt;=E30,"PASS","FAIL")</x:f>
        <x:v>PASS</x:v>
      </x:c>
      <x:c r="I30" s="9" t="str">
        <x:v>public board</x:v>
      </x:c>
      <x:c r="J30" s="9" t="str">
        <x:v>public configuration</x:v>
      </x:c>
      <x:c r="K30" s="9" t="str">
        <x:v>design evidence only</x:v>
      </x:c>
    </x:row>
    <x:row r="31">
      <x:c r="B31" s="9" t="str">
        <x:v>G-025</x:v>
      </x:c>
      <x:c r="C31" s="9" t="str">
        <x:v>PLANNING</x:v>
      </x:c>
      <x:c r="D31" s="9" t="str">
        <x:v>collar sanitary challenge</x:v>
      </x:c>
      <x:c r="E31" s="9" t="n">
        <x:v>1</x:v>
      </x:c>
      <x:c r="F31" s="9" t="n">
        <x:v>1</x:v>
      </x:c>
      <x:c r="G31" s="9" t="str">
        <x:v>Pass 114 constitution</x:v>
      </x:c>
      <x:c r="H31" s="9" t="str">
        <x:f>IF(F31&gt;=E31,"PASS","FAIL")</x:f>
        <x:v>PASS</x:v>
      </x:c>
      <x:c r="I31" s="9" t="str">
        <x:v>public board</x:v>
      </x:c>
      <x:c r="J31" s="9" t="str">
        <x:v>public configuration</x:v>
      </x:c>
      <x:c r="K31" s="9" t="str">
        <x:v>design evidence only</x:v>
      </x:c>
    </x:row>
    <x:row r="32">
      <x:c r="B32" s="9" t="str">
        <x:v>G-026</x:v>
      </x:c>
      <x:c r="C32" s="9" t="str">
        <x:v>PLANNING</x:v>
      </x:c>
      <x:c r="D32" s="9" t="str">
        <x:v>collar safe state</x:v>
      </x:c>
      <x:c r="E32" s="9" t="n">
        <x:v>1</x:v>
      </x:c>
      <x:c r="F32" s="9" t="n">
        <x:v>1</x:v>
      </x:c>
      <x:c r="G32" s="9" t="str">
        <x:v>Pass 114 constitution</x:v>
      </x:c>
      <x:c r="H32" s="9" t="str">
        <x:f>IF(F32&gt;=E32,"PASS","FAIL")</x:f>
        <x:v>PASS</x:v>
      </x:c>
      <x:c r="I32" s="9" t="str">
        <x:v>public board</x:v>
      </x:c>
      <x:c r="J32" s="9" t="str">
        <x:v>public configuration</x:v>
      </x:c>
      <x:c r="K32" s="9" t="str">
        <x:v>design evidence only</x:v>
      </x:c>
    </x:row>
    <x:row r="33">
      <x:c r="B33" s="9" t="str">
        <x:v>G-027</x:v>
      </x:c>
      <x:c r="C33" s="9" t="str">
        <x:v>PLANNING</x:v>
      </x:c>
      <x:c r="D33" s="9" t="str">
        <x:v>bus sixty-shot root population</x:v>
      </x:c>
      <x:c r="E33" s="9" t="n">
        <x:v>1</x:v>
      </x:c>
      <x:c r="F33" s="9" t="n">
        <x:v>1</x:v>
      </x:c>
      <x:c r="G33" s="9" t="str">
        <x:v>Pass 114 constitution</x:v>
      </x:c>
      <x:c r="H33" s="9" t="str">
        <x:f>IF(F33&gt;=E33,"PASS","FAIL")</x:f>
        <x:v>PASS</x:v>
      </x:c>
      <x:c r="I33" s="9" t="str">
        <x:v>public board</x:v>
      </x:c>
      <x:c r="J33" s="9" t="str">
        <x:v>public configuration</x:v>
      </x:c>
      <x:c r="K33" s="9" t="str">
        <x:v>design evidence only</x:v>
      </x:c>
    </x:row>
    <x:row r="34">
      <x:c r="B34" s="9" t="str">
        <x:v>G-028</x:v>
      </x:c>
      <x:c r="C34" s="9" t="str">
        <x:v>PLANNING</x:v>
      </x:c>
      <x:c r="D34" s="9" t="str">
        <x:v>bus source/fault/location blocking</x:v>
      </x:c>
      <x:c r="E34" s="9" t="n">
        <x:v>1</x:v>
      </x:c>
      <x:c r="F34" s="9" t="n">
        <x:v>1</x:v>
      </x:c>
      <x:c r="G34" s="9" t="str">
        <x:v>Pass 114 constitution</x:v>
      </x:c>
      <x:c r="H34" s="9" t="str">
        <x:f>IF(F34&gt;=E34,"PASS","FAIL")</x:f>
        <x:v>PASS</x:v>
      </x:c>
      <x:c r="I34" s="9" t="str">
        <x:v>public board</x:v>
      </x:c>
      <x:c r="J34" s="9" t="str">
        <x:v>public configuration</x:v>
      </x:c>
      <x:c r="K34" s="9" t="str">
        <x:v>design evidence only</x:v>
      </x:c>
    </x:row>
    <x:row r="35">
      <x:c r="B35" s="9" t="str">
        <x:v>G-029</x:v>
      </x:c>
      <x:c r="C35" s="9" t="str">
        <x:v>PLANNING</x:v>
      </x:c>
      <x:c r="D35" s="9" t="str">
        <x:v>bus independent evidence survival</x:v>
      </x:c>
      <x:c r="E35" s="9" t="n">
        <x:v>1</x:v>
      </x:c>
      <x:c r="F35" s="9" t="n">
        <x:v>1</x:v>
      </x:c>
      <x:c r="G35" s="9" t="str">
        <x:v>Pass 114 constitution</x:v>
      </x:c>
      <x:c r="H35" s="9" t="str">
        <x:f>IF(F35&gt;=E35,"PASS","FAIL")</x:f>
        <x:v>PASS</x:v>
      </x:c>
      <x:c r="I35" s="9" t="str">
        <x:v>public board</x:v>
      </x:c>
      <x:c r="J35" s="9" t="str">
        <x:v>public configuration</x:v>
      </x:c>
      <x:c r="K35" s="9" t="str">
        <x:v>design evidence only</x:v>
      </x:c>
    </x:row>
    <x:row r="36">
      <x:c r="B36" s="9" t="str">
        <x:v>G-030</x:v>
      </x:c>
      <x:c r="C36" s="9" t="str">
        <x:v>PLANNING</x:v>
      </x:c>
      <x:c r="D36" s="9" t="str">
        <x:v>bus restart separation</x:v>
      </x:c>
      <x:c r="E36" s="9" t="n">
        <x:v>1</x:v>
      </x:c>
      <x:c r="F36" s="9" t="n">
        <x:v>1</x:v>
      </x:c>
      <x:c r="G36" s="9" t="str">
        <x:v>Pass 114 constitution</x:v>
      </x:c>
      <x:c r="H36" s="9" t="str">
        <x:f>IF(F36&gt;=E36,"PASS","FAIL")</x:f>
        <x:v>PASS</x:v>
      </x:c>
      <x:c r="I36" s="9" t="str">
        <x:v>public board</x:v>
      </x:c>
      <x:c r="J36" s="9" t="str">
        <x:v>public configuration</x:v>
      </x:c>
      <x:c r="K36" s="9" t="str">
        <x:v>design evidence only</x:v>
      </x:c>
    </x:row>
    <x:row r="37">
      <x:c r="B37" s="9" t="str">
        <x:v>G-031</x:v>
      </x:c>
      <x:c r="C37" s="9" t="str">
        <x:v>PLANNING</x:v>
      </x:c>
      <x:c r="D37" s="9" t="str">
        <x:v>support exact load history</x:v>
      </x:c>
      <x:c r="E37" s="9" t="n">
        <x:v>1</x:v>
      </x:c>
      <x:c r="F37" s="9" t="n">
        <x:v>1</x:v>
      </x:c>
      <x:c r="G37" s="9" t="str">
        <x:v>Pass 114 constitution</x:v>
      </x:c>
      <x:c r="H37" s="9" t="str">
        <x:f>IF(F37&gt;=E37,"PASS","FAIL")</x:f>
        <x:v>PASS</x:v>
      </x:c>
      <x:c r="I37" s="9" t="str">
        <x:v>public board</x:v>
      </x:c>
      <x:c r="J37" s="9" t="str">
        <x:v>public configuration</x:v>
      </x:c>
      <x:c r="K37" s="9" t="str">
        <x:v>design evidence only</x:v>
      </x:c>
    </x:row>
    <x:row r="38">
      <x:c r="B38" s="9" t="str">
        <x:v>G-032</x:v>
      </x:c>
      <x:c r="C38" s="9" t="str">
        <x:v>PLANNING</x:v>
      </x:c>
      <x:c r="D38" s="9" t="str">
        <x:v>anchor/lift exact load history</x:v>
      </x:c>
      <x:c r="E38" s="9" t="n">
        <x:v>1</x:v>
      </x:c>
      <x:c r="F38" s="9" t="n">
        <x:v>1</x:v>
      </x:c>
      <x:c r="G38" s="9" t="str">
        <x:v>Pass 114 constitution</x:v>
      </x:c>
      <x:c r="H38" s="9" t="str">
        <x:f>IF(F38&gt;=E38,"PASS","FAIL")</x:f>
        <x:v>PASS</x:v>
      </x:c>
      <x:c r="I38" s="9" t="str">
        <x:v>public board</x:v>
      </x:c>
      <x:c r="J38" s="9" t="str">
        <x:v>public configuration</x:v>
      </x:c>
      <x:c r="K38" s="9" t="str">
        <x:v>design evidence only</x:v>
      </x:c>
    </x:row>
    <x:row r="39">
      <x:c r="B39" s="9" t="str">
        <x:v>G-033</x:v>
      </x:c>
      <x:c r="C39" s="9" t="str">
        <x:v>PLANNING</x:v>
      </x:c>
      <x:c r="D39" s="9" t="str">
        <x:v>thermal heat-flux history</x:v>
      </x:c>
      <x:c r="E39" s="9" t="n">
        <x:v>1</x:v>
      </x:c>
      <x:c r="F39" s="9" t="n">
        <x:v>1</x:v>
      </x:c>
      <x:c r="G39" s="9" t="str">
        <x:v>Pass 114 constitution</x:v>
      </x:c>
      <x:c r="H39" s="9" t="str">
        <x:f>IF(F39&gt;=E39,"PASS","FAIL")</x:f>
        <x:v>PASS</x:v>
      </x:c>
      <x:c r="I39" s="9" t="str">
        <x:v>public board</x:v>
      </x:c>
      <x:c r="J39" s="9" t="str">
        <x:v>public configuration</x:v>
      </x:c>
      <x:c r="K39" s="9" t="str">
        <x:v>design evidence only</x:v>
      </x:c>
    </x:row>
    <x:row r="40">
      <x:c r="B40" s="9" t="str">
        <x:v>G-034</x:v>
      </x:c>
      <x:c r="C40" s="9" t="str">
        <x:v>PLANNING</x:v>
      </x:c>
      <x:c r="D40" s="9" t="str">
        <x:v>thermal environmental history</x:v>
      </x:c>
      <x:c r="E40" s="9" t="n">
        <x:v>1</x:v>
      </x:c>
      <x:c r="F40" s="9" t="n">
        <x:v>1</x:v>
      </x:c>
      <x:c r="G40" s="9" t="str">
        <x:v>Pass 114 constitution</x:v>
      </x:c>
      <x:c r="H40" s="9" t="str">
        <x:f>IF(F40&gt;=E40,"PASS","FAIL")</x:f>
        <x:v>PASS</x:v>
      </x:c>
      <x:c r="I40" s="9" t="str">
        <x:v>public board</x:v>
      </x:c>
      <x:c r="J40" s="9" t="str">
        <x:v>public configuration</x:v>
      </x:c>
      <x:c r="K40" s="9" t="str">
        <x:v>design evidence only</x:v>
      </x:c>
    </x:row>
    <x:row r="41">
      <x:c r="B41" s="9" t="str">
        <x:v>G-035</x:v>
      </x:c>
      <x:c r="C41" s="9" t="str">
        <x:v>PLANNING</x:v>
      </x:c>
      <x:c r="D41" s="9" t="str">
        <x:v>twenty-four defect cells</x:v>
      </x:c>
      <x:c r="E41" s="9" t="n">
        <x:v>1</x:v>
      </x:c>
      <x:c r="F41" s="9" t="n">
        <x:v>1</x:v>
      </x:c>
      <x:c r="G41" s="9" t="str">
        <x:v>Pass 114 constitution</x:v>
      </x:c>
      <x:c r="H41" s="9" t="str">
        <x:f>IF(F41&gt;=E41,"PASS","FAIL")</x:f>
        <x:v>PASS</x:v>
      </x:c>
      <x:c r="I41" s="9" t="str">
        <x:v>public board</x:v>
      </x:c>
      <x:c r="J41" s="9" t="str">
        <x:v>public configuration</x:v>
      </x:c>
      <x:c r="K41" s="9" t="str">
        <x:v>design evidence only</x:v>
      </x:c>
    </x:row>
    <x:row r="42">
      <x:c r="B42" s="9" t="str">
        <x:v>G-036</x:v>
      </x:c>
      <x:c r="C42" s="9" t="str">
        <x:v>PLANNING</x:v>
      </x:c>
      <x:c r="D42" s="9" t="str">
        <x:v>four truth strata</x:v>
      </x:c>
      <x:c r="E42" s="9" t="n">
        <x:v>1</x:v>
      </x:c>
      <x:c r="F42" s="9" t="n">
        <x:v>1</x:v>
      </x:c>
      <x:c r="G42" s="9" t="str">
        <x:v>Pass 114 constitution</x:v>
      </x:c>
      <x:c r="H42" s="9" t="str">
        <x:f>IF(F42&gt;=E42,"PASS","FAIL")</x:f>
        <x:v>PASS</x:v>
      </x:c>
      <x:c r="I42" s="9" t="str">
        <x:v>public board</x:v>
      </x:c>
      <x:c r="J42" s="9" t="str">
        <x:v>public configuration</x:v>
      </x:c>
      <x:c r="K42" s="9" t="str">
        <x:v>design evidence only</x:v>
      </x:c>
    </x:row>
    <x:row r="43">
      <x:c r="B43" s="9" t="str">
        <x:v>G-037</x:v>
      </x:c>
      <x:c r="C43" s="9" t="str">
        <x:v>PLANNING</x:v>
      </x:c>
      <x:c r="D43" s="9" t="str">
        <x:v>2,784 independent presentations</x:v>
      </x:c>
      <x:c r="E43" s="9" t="n">
        <x:v>1</x:v>
      </x:c>
      <x:c r="F43" s="9" t="n">
        <x:v>1</x:v>
      </x:c>
      <x:c r="G43" s="9" t="str">
        <x:v>Pass 114 constitution</x:v>
      </x:c>
      <x:c r="H43" s="9" t="str">
        <x:f>IF(F43&gt;=E43,"PASS","FAIL")</x:f>
        <x:v>PASS</x:v>
      </x:c>
      <x:c r="I43" s="9" t="str">
        <x:v>public board</x:v>
      </x:c>
      <x:c r="J43" s="9" t="str">
        <x:v>public configuration</x:v>
      </x:c>
      <x:c r="K43" s="9" t="str">
        <x:v>design evidence only</x:v>
      </x:c>
    </x:row>
    <x:row r="44">
      <x:c r="B44" s="9" t="str">
        <x:v>G-038</x:v>
      </x:c>
      <x:c r="C44" s="9" t="str">
        <x:v>PLANNING</x:v>
      </x:c>
      <x:c r="D44" s="9" t="str">
        <x:v>2,784 repeat acquisitions</x:v>
      </x:c>
      <x:c r="E44" s="9" t="n">
        <x:v>1</x:v>
      </x:c>
      <x:c r="F44" s="9" t="n">
        <x:v>1</x:v>
      </x:c>
      <x:c r="G44" s="9" t="str">
        <x:v>Pass 114 constitution</x:v>
      </x:c>
      <x:c r="H44" s="9" t="str">
        <x:f>IF(F44&gt;=E44,"PASS","FAIL")</x:f>
        <x:v>PASS</x:v>
      </x:c>
      <x:c r="I44" s="9" t="str">
        <x:v>public board</x:v>
      </x:c>
      <x:c r="J44" s="9" t="str">
        <x:v>public configuration</x:v>
      </x:c>
      <x:c r="K44" s="9" t="str">
        <x:v>design evidence only</x:v>
      </x:c>
    </x:row>
    <x:row r="45">
      <x:c r="B45" s="9" t="str">
        <x:v>G-039</x:v>
      </x:c>
      <x:c r="C45" s="9" t="str">
        <x:v>PLANNING</x:v>
      </x:c>
      <x:c r="D45" s="9" t="str">
        <x:v>four-operator allocation</x:v>
      </x:c>
      <x:c r="E45" s="9" t="n">
        <x:v>1</x:v>
      </x:c>
      <x:c r="F45" s="9" t="n">
        <x:v>1</x:v>
      </x:c>
      <x:c r="G45" s="9" t="str">
        <x:v>Pass 114 constitution</x:v>
      </x:c>
      <x:c r="H45" s="9" t="str">
        <x:f>IF(F45&gt;=E45,"PASS","FAIL")</x:f>
        <x:v>PASS</x:v>
      </x:c>
      <x:c r="I45" s="9" t="str">
        <x:v>public board</x:v>
      </x:c>
      <x:c r="J45" s="9" t="str">
        <x:v>public configuration</x:v>
      </x:c>
      <x:c r="K45" s="9" t="str">
        <x:v>design evidence only</x:v>
      </x:c>
    </x:row>
    <x:row r="46">
      <x:c r="B46" s="9" t="str">
        <x:v>G-040</x:v>
      </x:c>
      <x:c r="C46" s="9" t="str">
        <x:v>PLANNING</x:v>
      </x:c>
      <x:c r="D46" s="9" t="str">
        <x:v>three-instrument rotation</x:v>
      </x:c>
      <x:c r="E46" s="9" t="n">
        <x:v>1</x:v>
      </x:c>
      <x:c r="F46" s="9" t="n">
        <x:v>1</x:v>
      </x:c>
      <x:c r="G46" s="9" t="str">
        <x:v>Pass 114 constitution</x:v>
      </x:c>
      <x:c r="H46" s="9" t="str">
        <x:f>IF(F46&gt;=E46,"PASS","FAIL")</x:f>
        <x:v>PASS</x:v>
      </x:c>
      <x:c r="I46" s="9" t="str">
        <x:v>public board</x:v>
      </x:c>
      <x:c r="J46" s="9" t="str">
        <x:v>public configuration</x:v>
      </x:c>
      <x:c r="K46" s="9" t="str">
        <x:v>design evidence only</x:v>
      </x:c>
    </x:row>
    <x:row r="47">
      <x:c r="B47" s="9" t="str">
        <x:v>G-041</x:v>
      </x:c>
      <x:c r="C47" s="9" t="str">
        <x:v>PLANNING</x:v>
      </x:c>
      <x:c r="D47" s="9" t="str">
        <x:v>three-access rotation</x:v>
      </x:c>
      <x:c r="E47" s="9" t="n">
        <x:v>1</x:v>
      </x:c>
      <x:c r="F47" s="9" t="n">
        <x:v>1</x:v>
      </x:c>
      <x:c r="G47" s="9" t="str">
        <x:v>Pass 114 constitution</x:v>
      </x:c>
      <x:c r="H47" s="9" t="str">
        <x:f>IF(F47&gt;=E47,"PASS","FAIL")</x:f>
        <x:v>PASS</x:v>
      </x:c>
      <x:c r="I47" s="9" t="str">
        <x:v>public board</x:v>
      </x:c>
      <x:c r="J47" s="9" t="str">
        <x:v>public configuration</x:v>
      </x:c>
      <x:c r="K47" s="9" t="str">
        <x:v>design evidence only</x:v>
      </x:c>
    </x:row>
    <x:row r="48">
      <x:c r="B48" s="9" t="str">
        <x:v>G-042</x:v>
      </x:c>
      <x:c r="C48" s="9" t="str">
        <x:v>PLANNING</x:v>
      </x:c>
      <x:c r="D48" s="9" t="str">
        <x:v>truth custody sequence</x:v>
      </x:c>
      <x:c r="E48" s="9" t="n">
        <x:v>1</x:v>
      </x:c>
      <x:c r="F48" s="9" t="n">
        <x:v>1</x:v>
      </x:c>
      <x:c r="G48" s="9" t="str">
        <x:v>Pass 114 constitution</x:v>
      </x:c>
      <x:c r="H48" s="9" t="str">
        <x:f>IF(F48&gt;=E48,"PASS","FAIL")</x:f>
        <x:v>PASS</x:v>
      </x:c>
      <x:c r="I48" s="9" t="str">
        <x:v>public board</x:v>
      </x:c>
      <x:c r="J48" s="9" t="str">
        <x:v>public configuration</x:v>
      </x:c>
      <x:c r="K48" s="9" t="str">
        <x:v>design evidence only</x:v>
      </x:c>
    </x:row>
    <x:row r="49">
      <x:c r="B49" s="9" t="str">
        <x:v>G-043</x:v>
      </x:c>
      <x:c r="C49" s="9" t="str">
        <x:v>PLANNING</x:v>
      </x:c>
      <x:c r="D49" s="9" t="str">
        <x:v>replacement blindness rule</x:v>
      </x:c>
      <x:c r="E49" s="9" t="n">
        <x:v>1</x:v>
      </x:c>
      <x:c r="F49" s="9" t="n">
        <x:v>1</x:v>
      </x:c>
      <x:c r="G49" s="9" t="str">
        <x:v>Pass 114 constitution</x:v>
      </x:c>
      <x:c r="H49" s="9" t="str">
        <x:f>IF(F49&gt;=E49,"PASS","FAIL")</x:f>
        <x:v>PASS</x:v>
      </x:c>
      <x:c r="I49" s="9" t="str">
        <x:v>public board</x:v>
      </x:c>
      <x:c r="J49" s="9" t="str">
        <x:v>public configuration</x:v>
      </x:c>
      <x:c r="K49" s="9" t="str">
        <x:v>design evidence only</x:v>
      </x:c>
    </x:row>
    <x:row r="50">
      <x:c r="B50" s="9" t="str">
        <x:v>G-044</x:v>
      </x:c>
      <x:c r="C50" s="9" t="str">
        <x:v>PLANNING</x:v>
      </x:c>
      <x:c r="D50" s="9" t="str">
        <x:v>exact detection lower bound</x:v>
      </x:c>
      <x:c r="E50" s="9" t="n">
        <x:v>1</x:v>
      </x:c>
      <x:c r="F50" s="9" t="n">
        <x:v>1</x:v>
      </x:c>
      <x:c r="G50" s="9" t="str">
        <x:v>Pass 114 constitution</x:v>
      </x:c>
      <x:c r="H50" s="9" t="str">
        <x:f>IF(F50&gt;=E50,"PASS","FAIL")</x:f>
        <x:v>PASS</x:v>
      </x:c>
      <x:c r="I50" s="9" t="str">
        <x:v>public board</x:v>
      </x:c>
      <x:c r="J50" s="9" t="str">
        <x:v>public configuration</x:v>
      </x:c>
      <x:c r="K50" s="9" t="str">
        <x:v>design evidence only</x:v>
      </x:c>
    </x:row>
    <x:row r="51">
      <x:c r="B51" s="9" t="str">
        <x:v>G-045</x:v>
      </x:c>
      <x:c r="C51" s="9" t="str">
        <x:v>PLANNING</x:v>
      </x:c>
      <x:c r="D51" s="9" t="str">
        <x:v>exact false-reject upper bound</x:v>
      </x:c>
      <x:c r="E51" s="9" t="n">
        <x:v>1</x:v>
      </x:c>
      <x:c r="F51" s="9" t="n">
        <x:v>1</x:v>
      </x:c>
      <x:c r="G51" s="9" t="str">
        <x:v>Pass 114 constitution</x:v>
      </x:c>
      <x:c r="H51" s="9" t="str">
        <x:f>IF(F51&gt;=E51,"PASS","FAIL")</x:f>
        <x:v>PASS</x:v>
      </x:c>
      <x:c r="I51" s="9" t="str">
        <x:v>public board</x:v>
      </x:c>
      <x:c r="J51" s="9" t="str">
        <x:v>public configuration</x:v>
      </x:c>
      <x:c r="K51" s="9" t="str">
        <x:v>design evidence only</x:v>
      </x:c>
    </x:row>
    <x:row r="52">
      <x:c r="B52" s="9" t="str">
        <x:v>G-046</x:v>
      </x:c>
      <x:c r="C52" s="9" t="str">
        <x:v>PLANNING</x:v>
      </x:c>
      <x:c r="D52" s="9" t="str">
        <x:v>no root/family pooling</x:v>
      </x:c>
      <x:c r="E52" s="9" t="n">
        <x:v>1</x:v>
      </x:c>
      <x:c r="F52" s="9" t="n">
        <x:v>1</x:v>
      </x:c>
      <x:c r="G52" s="9" t="str">
        <x:v>Pass 114 constitution</x:v>
      </x:c>
      <x:c r="H52" s="9" t="str">
        <x:f>IF(F52&gt;=E52,"PASS","FAIL")</x:f>
        <x:v>PASS</x:v>
      </x:c>
      <x:c r="I52" s="9" t="str">
        <x:v>public board</x:v>
      </x:c>
      <x:c r="J52" s="9" t="str">
        <x:v>public configuration</x:v>
      </x:c>
      <x:c r="K52" s="9" t="str">
        <x:v>design evidence only</x:v>
      </x:c>
    </x:row>
    <x:row r="53">
      <x:c r="B53" s="9" t="str">
        <x:v>G-047</x:v>
      </x:c>
      <x:c r="C53" s="9" t="str">
        <x:v>PLANNING</x:v>
      </x:c>
      <x:c r="D53" s="9" t="str">
        <x:v>instrument range registry</x:v>
      </x:c>
      <x:c r="E53" s="9" t="n">
        <x:v>1</x:v>
      </x:c>
      <x:c r="F53" s="9" t="n">
        <x:v>1</x:v>
      </x:c>
      <x:c r="G53" s="9" t="str">
        <x:v>Pass 114 constitution</x:v>
      </x:c>
      <x:c r="H53" s="9" t="str">
        <x:f>IF(F53&gt;=E53,"PASS","FAIL")</x:f>
        <x:v>PASS</x:v>
      </x:c>
      <x:c r="I53" s="9" t="str">
        <x:v>public board</x:v>
      </x:c>
      <x:c r="J53" s="9" t="str">
        <x:v>public configuration</x:v>
      </x:c>
      <x:c r="K53" s="9" t="str">
        <x:v>design evidence only</x:v>
      </x:c>
    </x:row>
    <x:row r="54">
      <x:c r="B54" s="9" t="str">
        <x:v>G-048</x:v>
      </x:c>
      <x:c r="C54" s="9" t="str">
        <x:v>PLANNING</x:v>
      </x:c>
      <x:c r="D54" s="9" t="str">
        <x:v>uncertainty ratio law</x:v>
      </x:c>
      <x:c r="E54" s="9" t="n">
        <x:v>1</x:v>
      </x:c>
      <x:c r="F54" s="9" t="n">
        <x:v>1</x:v>
      </x:c>
      <x:c r="G54" s="9" t="str">
        <x:v>Pass 114 constitution</x:v>
      </x:c>
      <x:c r="H54" s="9" t="str">
        <x:f>IF(F54&gt;=E54,"PASS","FAIL")</x:f>
        <x:v>PASS</x:v>
      </x:c>
      <x:c r="I54" s="9" t="str">
        <x:v>public board</x:v>
      </x:c>
      <x:c r="J54" s="9" t="str">
        <x:v>public configuration</x:v>
      </x:c>
      <x:c r="K54" s="9" t="str">
        <x:v>design evidence only</x:v>
      </x:c>
    </x:row>
    <x:row r="55">
      <x:c r="B55" s="9" t="str">
        <x:v>G-049</x:v>
      </x:c>
      <x:c r="C55" s="9" t="str">
        <x:v>PLANNING</x:v>
      </x:c>
      <x:c r="D55" s="9" t="str">
        <x:v>safe-state registry</x:v>
      </x:c>
      <x:c r="E55" s="9" t="n">
        <x:v>1</x:v>
      </x:c>
      <x:c r="F55" s="9" t="n">
        <x:v>1</x:v>
      </x:c>
      <x:c r="G55" s="9" t="str">
        <x:v>Pass 114 constitution</x:v>
      </x:c>
      <x:c r="H55" s="9" t="str">
        <x:f>IF(F55&gt;=E55,"PASS","FAIL")</x:f>
        <x:v>PASS</x:v>
      </x:c>
      <x:c r="I55" s="9" t="str">
        <x:v>public board</x:v>
      </x:c>
      <x:c r="J55" s="9" t="str">
        <x:v>public configuration</x:v>
      </x:c>
      <x:c r="K55" s="9" t="str">
        <x:v>design evidence only</x:v>
      </x:c>
    </x:row>
    <x:row r="56">
      <x:c r="B56" s="9" t="str">
        <x:v>G-050</x:v>
      </x:c>
      <x:c r="C56" s="9" t="str">
        <x:v>PLANNING</x:v>
      </x:c>
      <x:c r="D56" s="9" t="str">
        <x:v>invalid-event law</x:v>
      </x:c>
      <x:c r="E56" s="9" t="n">
        <x:v>1</x:v>
      </x:c>
      <x:c r="F56" s="9" t="n">
        <x:v>1</x:v>
      </x:c>
      <x:c r="G56" s="9" t="str">
        <x:v>Pass 114 constitution</x:v>
      </x:c>
      <x:c r="H56" s="9" t="str">
        <x:f>IF(F56&gt;=E56,"PASS","FAIL")</x:f>
        <x:v>PASS</x:v>
      </x:c>
      <x:c r="I56" s="9" t="str">
        <x:v>public board</x:v>
      </x:c>
      <x:c r="J56" s="9" t="str">
        <x:v>public configuration</x:v>
      </x:c>
      <x:c r="K56" s="9" t="str">
        <x:v>design evidence only</x:v>
      </x:c>
    </x:row>
    <x:row r="57">
      <x:c r="B57" s="9" t="str">
        <x:v>G-051</x:v>
      </x:c>
      <x:c r="C57" s="9" t="str">
        <x:v>PLANNING</x:v>
      </x:c>
      <x:c r="D57" s="9" t="str">
        <x:v>pre-event inspection</x:v>
      </x:c>
      <x:c r="E57" s="9" t="n">
        <x:v>1</x:v>
      </x:c>
      <x:c r="F57" s="9" t="n">
        <x:v>1</x:v>
      </x:c>
      <x:c r="G57" s="9" t="str">
        <x:v>Pass 114 constitution</x:v>
      </x:c>
      <x:c r="H57" s="9" t="str">
        <x:f>IF(F57&gt;=E57,"PASS","FAIL")</x:f>
        <x:v>PASS</x:v>
      </x:c>
      <x:c r="I57" s="9" t="str">
        <x:v>public board</x:v>
      </x:c>
      <x:c r="J57" s="9" t="str">
        <x:v>public configuration</x:v>
      </x:c>
      <x:c r="K57" s="9" t="str">
        <x:v>design evidence only</x:v>
      </x:c>
    </x:row>
    <x:row r="58">
      <x:c r="B58" s="9" t="str">
        <x:v>G-052</x:v>
      </x:c>
      <x:c r="C58" s="9" t="str">
        <x:v>PLANNING</x:v>
      </x:c>
      <x:c r="D58" s="9" t="str">
        <x:v>post-event inspection</x:v>
      </x:c>
      <x:c r="E58" s="9" t="n">
        <x:v>1</x:v>
      </x:c>
      <x:c r="F58" s="9" t="n">
        <x:v>1</x:v>
      </x:c>
      <x:c r="G58" s="9" t="str">
        <x:v>Pass 114 constitution</x:v>
      </x:c>
      <x:c r="H58" s="9" t="str">
        <x:f>IF(F58&gt;=E58,"PASS","FAIL")</x:f>
        <x:v>PASS</x:v>
      </x:c>
      <x:c r="I58" s="9" t="str">
        <x:v>public board</x:v>
      </x:c>
      <x:c r="J58" s="9" t="str">
        <x:v>public configuration</x:v>
      </x:c>
      <x:c r="K58" s="9" t="str">
        <x:v>design evidence only</x:v>
      </x:c>
    </x:row>
    <x:row r="59">
      <x:c r="B59" s="9" t="str">
        <x:v>G-053</x:v>
      </x:c>
      <x:c r="C59" s="9" t="str">
        <x:v>PLANNING</x:v>
      </x:c>
      <x:c r="D59" s="9" t="str">
        <x:v>full-scale data arithmetic</x:v>
      </x:c>
      <x:c r="E59" s="9" t="n">
        <x:v>1</x:v>
      </x:c>
      <x:c r="F59" s="9" t="n">
        <x:v>1</x:v>
      </x:c>
      <x:c r="G59" s="9" t="str">
        <x:v>Pass 114 constitution</x:v>
      </x:c>
      <x:c r="H59" s="9" t="str">
        <x:f>IF(F59&gt;=E59,"PASS","FAIL")</x:f>
        <x:v>PASS</x:v>
      </x:c>
      <x:c r="I59" s="9" t="str">
        <x:v>public board</x:v>
      </x:c>
      <x:c r="J59" s="9" t="str">
        <x:v>public configuration</x:v>
      </x:c>
      <x:c r="K59" s="9" t="str">
        <x:v>design evidence only</x:v>
      </x:c>
    </x:row>
    <x:row r="60">
      <x:c r="B60" s="9" t="str">
        <x:v>G-054</x:v>
      </x:c>
      <x:c r="C60" s="9" t="str">
        <x:v>PLANNING</x:v>
      </x:c>
      <x:c r="D60" s="9" t="str">
        <x:v>NDE data arithmetic</x:v>
      </x:c>
      <x:c r="E60" s="9" t="n">
        <x:v>1</x:v>
      </x:c>
      <x:c r="F60" s="9" t="n">
        <x:v>1</x:v>
      </x:c>
      <x:c r="G60" s="9" t="str">
        <x:v>Pass 114 constitution</x:v>
      </x:c>
      <x:c r="H60" s="9" t="str">
        <x:f>IF(F60&gt;=E60,"PASS","FAIL")</x:f>
        <x:v>PASS</x:v>
      </x:c>
      <x:c r="I60" s="9" t="str">
        <x:v>public board</x:v>
      </x:c>
      <x:c r="J60" s="9" t="str">
        <x:v>public configuration</x:v>
      </x:c>
      <x:c r="K60" s="9" t="str">
        <x:v>design evidence only</x:v>
      </x:c>
    </x:row>
    <x:row r="61">
      <x:c r="B61" s="9" t="str">
        <x:v>G-055</x:v>
      </x:c>
      <x:c r="C61" s="9" t="str">
        <x:v>PLANNING</x:v>
      </x:c>
      <x:c r="D61" s="9" t="str">
        <x:v>two-original custody</x:v>
      </x:c>
      <x:c r="E61" s="9" t="n">
        <x:v>1</x:v>
      </x:c>
      <x:c r="F61" s="9" t="n">
        <x:v>1</x:v>
      </x:c>
      <x:c r="G61" s="9" t="str">
        <x:v>Pass 114 constitution</x:v>
      </x:c>
      <x:c r="H61" s="9" t="str">
        <x:f>IF(F61&gt;=E61,"PASS","FAIL")</x:f>
        <x:v>PASS</x:v>
      </x:c>
      <x:c r="I61" s="9" t="str">
        <x:v>public board</x:v>
      </x:c>
      <x:c r="J61" s="9" t="str">
        <x:v>public configuration</x:v>
      </x:c>
      <x:c r="K61" s="9" t="str">
        <x:v>design evidence only</x:v>
      </x:c>
    </x:row>
    <x:row r="62">
      <x:c r="B62" s="9" t="str">
        <x:v>G-056</x:v>
      </x:c>
      <x:c r="C62" s="9" t="str">
        <x:v>PLANNING</x:v>
      </x:c>
      <x:c r="D62" s="9" t="str">
        <x:v>sixty-cut allocation</x:v>
      </x:c>
      <x:c r="E62" s="9" t="n">
        <x:v>1</x:v>
      </x:c>
      <x:c r="F62" s="9" t="n">
        <x:v>1</x:v>
      </x:c>
      <x:c r="G62" s="9" t="str">
        <x:v>Pass 114 constitution</x:v>
      </x:c>
      <x:c r="H62" s="9" t="str">
        <x:f>IF(F62&gt;=E62,"PASS","FAIL")</x:f>
        <x:v>PASS</x:v>
      </x:c>
      <x:c r="I62" s="9" t="str">
        <x:v>public board</x:v>
      </x:c>
      <x:c r="J62" s="9" t="str">
        <x:v>public configuration</x:v>
      </x:c>
      <x:c r="K62" s="9" t="str">
        <x:v>design evidence only</x:v>
      </x:c>
    </x:row>
    <x:row r="63">
      <x:c r="B63" s="9" t="str">
        <x:v>G-057</x:v>
      </x:c>
      <x:c r="C63" s="9" t="str">
        <x:v>PLANNING</x:v>
      </x:c>
      <x:c r="D63" s="9" t="str">
        <x:v>intact-before-cut order</x:v>
      </x:c>
      <x:c r="E63" s="9" t="n">
        <x:v>1</x:v>
      </x:c>
      <x:c r="F63" s="9" t="n">
        <x:v>1</x:v>
      </x:c>
      <x:c r="G63" s="9" t="str">
        <x:v>Pass 114 constitution</x:v>
      </x:c>
      <x:c r="H63" s="9" t="str">
        <x:f>IF(F63&gt;=E63,"PASS","FAIL")</x:f>
        <x:v>PASS</x:v>
      </x:c>
      <x:c r="I63" s="9" t="str">
        <x:v>public board</x:v>
      </x:c>
      <x:c r="J63" s="9" t="str">
        <x:v>public configuration</x:v>
      </x:c>
      <x:c r="K63" s="9" t="str">
        <x:v>design evidence only</x:v>
      </x:c>
    </x:row>
    <x:row r="64">
      <x:c r="B64" s="9" t="str">
        <x:v>G-058</x:v>
      </x:c>
      <x:c r="C64" s="9" t="str">
        <x:v>PLANNING</x:v>
      </x:c>
      <x:c r="D64" s="9" t="str">
        <x:v>thirty-month clock</x:v>
      </x:c>
      <x:c r="E64" s="9" t="n">
        <x:v>1</x:v>
      </x:c>
      <x:c r="F64" s="9" t="n">
        <x:v>1</x:v>
      </x:c>
      <x:c r="G64" s="9" t="str">
        <x:v>Pass 114 constitution</x:v>
      </x:c>
      <x:c r="H64" s="9" t="str">
        <x:f>IF(F64&gt;=E64,"PASS","FAIL")</x:f>
        <x:v>PASS</x:v>
      </x:c>
      <x:c r="I64" s="9" t="str">
        <x:v>public board</x:v>
      </x:c>
      <x:c r="J64" s="9" t="str">
        <x:v>public configuration</x:v>
      </x:c>
      <x:c r="K64" s="9" t="str">
        <x:v>design evidence only</x:v>
      </x:c>
    </x:row>
    <x:row r="65">
      <x:c r="B65" s="9" t="str">
        <x:v>G-059</x:v>
      </x:c>
      <x:c r="C65" s="9" t="str">
        <x:v>PLANNING</x:v>
      </x:c>
      <x:c r="D65" s="9" t="str">
        <x:v>448-person formation</x:v>
      </x:c>
      <x:c r="E65" s="9" t="n">
        <x:v>1</x:v>
      </x:c>
      <x:c r="F65" s="9" t="n">
        <x:v>1</x:v>
      </x:c>
      <x:c r="G65" s="9" t="str">
        <x:v>Pass 114 constitution</x:v>
      </x:c>
      <x:c r="H65" s="9" t="str">
        <x:f>IF(F65&gt;=E65,"PASS","FAIL")</x:f>
        <x:v>PASS</x:v>
      </x:c>
      <x:c r="I65" s="9" t="str">
        <x:v>public board</x:v>
      </x:c>
      <x:c r="J65" s="9" t="str">
        <x:v>public configuration</x:v>
      </x:c>
      <x:c r="K65" s="9" t="str">
        <x:v>design evidence only</x:v>
      </x:c>
    </x:row>
    <x:row r="66">
      <x:c r="B66" s="9" t="str">
        <x:v>G-060</x:v>
      </x:c>
      <x:c r="C66" s="9" t="str">
        <x:v>PLANNING</x:v>
      </x:c>
      <x:c r="D66" s="9" t="str">
        <x:v>capital arithmetic</x:v>
      </x:c>
      <x:c r="E66" s="9" t="n">
        <x:v>1</x:v>
      </x:c>
      <x:c r="F66" s="9" t="n">
        <x:v>1</x:v>
      </x:c>
      <x:c r="G66" s="9" t="str">
        <x:v>Pass 114 constitution</x:v>
      </x:c>
      <x:c r="H66" s="9" t="str">
        <x:f>IF(F66&gt;=E66,"PASS","FAIL")</x:f>
        <x:v>PASS</x:v>
      </x:c>
      <x:c r="I66" s="9" t="str">
        <x:v>public board</x:v>
      </x:c>
      <x:c r="J66" s="9" t="str">
        <x:v>public configuration</x:v>
      </x:c>
      <x:c r="K66" s="9" t="str">
        <x:v>design evidence only</x:v>
      </x:c>
    </x:row>
    <x:row r="67">
      <x:c r="B67" s="9" t="str">
        <x:v>G-061</x:v>
      </x:c>
      <x:c r="C67" s="9" t="str">
        <x:v>PLANNING</x:v>
      </x:c>
      <x:c r="D67" s="9" t="str">
        <x:v>annual arithmetic</x:v>
      </x:c>
      <x:c r="E67" s="9" t="n">
        <x:v>1</x:v>
      </x:c>
      <x:c r="F67" s="9" t="n">
        <x:v>1</x:v>
      </x:c>
      <x:c r="G67" s="9" t="str">
        <x:v>Pass 114 constitution</x:v>
      </x:c>
      <x:c r="H67" s="9" t="str">
        <x:f>IF(F67&gt;=E67,"PASS","FAIL")</x:f>
        <x:v>PASS</x:v>
      </x:c>
      <x:c r="I67" s="9" t="str">
        <x:v>public board</x:v>
      </x:c>
      <x:c r="J67" s="9" t="str">
        <x:v>public configuration</x:v>
      </x:c>
      <x:c r="K67" s="9" t="str">
        <x:v>design evidence only</x:v>
      </x:c>
    </x:row>
    <x:row r="68">
      <x:c r="B68" s="9" t="str">
        <x:v>G-062</x:v>
      </x:c>
      <x:c r="C68" s="9" t="str">
        <x:v>PLANNING</x:v>
      </x:c>
      <x:c r="D68" s="9" t="str">
        <x:v>BRD-2 consequence</x:v>
      </x:c>
      <x:c r="E68" s="9" t="n">
        <x:v>1</x:v>
      </x:c>
      <x:c r="F68" s="9" t="n">
        <x:v>1</x:v>
      </x:c>
      <x:c r="G68" s="9" t="str">
        <x:v>Pass 114 constitution</x:v>
      </x:c>
      <x:c r="H68" s="9" t="str">
        <x:f>IF(F68&gt;=E68,"PASS","FAIL")</x:f>
        <x:v>PASS</x:v>
      </x:c>
      <x:c r="I68" s="9" t="str">
        <x:v>public board</x:v>
      </x:c>
      <x:c r="J68" s="9" t="str">
        <x:v>public configuration</x:v>
      </x:c>
      <x:c r="K68" s="9" t="str">
        <x:v>design evidence only</x:v>
      </x:c>
    </x:row>
    <x:row r="69">
      <x:c r="B69" s="9" t="str">
        <x:v>G-063</x:v>
      </x:c>
      <x:c r="C69" s="9" t="str">
        <x:v>PLANNING</x:v>
      </x:c>
      <x:c r="D69" s="9" t="str">
        <x:v>no double count law</x:v>
      </x:c>
      <x:c r="E69" s="9" t="n">
        <x:v>1</x:v>
      </x:c>
      <x:c r="F69" s="9" t="n">
        <x:v>1</x:v>
      </x:c>
      <x:c r="G69" s="9" t="str">
        <x:v>Pass 114 constitution</x:v>
      </x:c>
      <x:c r="H69" s="9" t="str">
        <x:f>IF(F69&gt;=E69,"PASS","FAIL")</x:f>
        <x:v>PASS</x:v>
      </x:c>
      <x:c r="I69" s="9" t="str">
        <x:v>public board</x:v>
      </x:c>
      <x:c r="J69" s="9" t="str">
        <x:v>public configuration</x:v>
      </x:c>
      <x:c r="K69" s="9" t="str">
        <x:v>design evidence only</x:v>
      </x:c>
    </x:row>
    <x:row r="70">
      <x:c r="B70" s="9" t="str">
        <x:v>G-064</x:v>
      </x:c>
      <x:c r="C70" s="9" t="str">
        <x:v>PLANNING</x:v>
      </x:c>
      <x:c r="D70" s="9" t="str">
        <x:v>exterior-rendering block</x:v>
      </x:c>
      <x:c r="E70" s="9" t="n">
        <x:v>1</x:v>
      </x:c>
      <x:c r="F70" s="9" t="n">
        <x:v>1</x:v>
      </x:c>
      <x:c r="G70" s="9" t="str">
        <x:v>Pass 114 constitution</x:v>
      </x:c>
      <x:c r="H70" s="9" t="str">
        <x:f>IF(F70&gt;=E70,"PASS","FAIL")</x:f>
        <x:v>PASS</x:v>
      </x:c>
      <x:c r="I70" s="9" t="str">
        <x:v>public board</x:v>
      </x:c>
      <x:c r="J70" s="9" t="str">
        <x:v>public configuration</x:v>
      </x:c>
      <x:c r="K70" s="9" t="str">
        <x:v>design evidence only</x:v>
      </x:c>
    </x:row>
    <x:row r="71">
      <x:c r="B71" s="9" t="str">
        <x:v>G-065</x:v>
      </x:c>
      <x:c r="C71" s="9" t="str">
        <x:v>SOURCE</x:v>
      </x:c>
      <x:c r="D71" s="9" t="str">
        <x:v>financial baseline authorization</x:v>
      </x:c>
      <x:c r="E71" s="9" t="n">
        <x:v>1</x:v>
      </x:c>
      <x:c r="F71" s="9" t="n">
        <x:f>'Controls'!$D$46/1</x:f>
        <x:v>0</x:v>
      </x:c>
      <x:c r="G71" s="9" t="str">
        <x:v>C40</x:v>
      </x:c>
      <x:c r="H71" s="9" t="str">
        <x:f>IF(F71&gt;=E71,"PASS","OPEN")</x:f>
        <x:v>OPEN</x:v>
      </x:c>
      <x:c r="I71" s="9" t="str">
        <x:v>public test authority</x:v>
      </x:c>
      <x:c r="J71" s="9" t="str">
        <x:v>independent source</x:v>
      </x:c>
      <x:c r="K71" s="9" t="str">
        <x:v>zero in planning</x:v>
      </x:c>
    </x:row>
    <x:row r="72">
      <x:c r="B72" s="9" t="str">
        <x:v>G-066</x:v>
      </x:c>
      <x:c r="C72" s="9" t="str">
        <x:v>SOURCE</x:v>
      </x:c>
      <x:c r="D72" s="9" t="str">
        <x:v>six commissioned range families</x:v>
      </x:c>
      <x:c r="E72" s="9" t="n">
        <x:v>1</x:v>
      </x:c>
      <x:c r="F72" s="9" t="n">
        <x:f>'Controls'!$D$47/6</x:f>
        <x:v>0</x:v>
      </x:c>
      <x:c r="G72" s="9" t="str">
        <x:v>C41</x:v>
      </x:c>
      <x:c r="H72" s="9" t="str">
        <x:f>IF(F72&gt;=E72,"PASS","OPEN")</x:f>
        <x:v>OPEN</x:v>
      </x:c>
      <x:c r="I72" s="9" t="str">
        <x:v>public test authority</x:v>
      </x:c>
      <x:c r="J72" s="9" t="str">
        <x:v>independent source</x:v>
      </x:c>
      <x:c r="K72" s="9" t="str">
        <x:v>zero in planning</x:v>
      </x:c>
    </x:row>
    <x:row r="73">
      <x:c r="B73" s="9" t="str">
        <x:v>G-067</x:v>
      </x:c>
      <x:c r="C73" s="9" t="str">
        <x:v>SOURCE</x:v>
      </x:c>
      <x:c r="D73" s="9" t="str">
        <x:v>sixty-four accepted specimens</x:v>
      </x:c>
      <x:c r="E73" s="9" t="n">
        <x:v>1</x:v>
      </x:c>
      <x:c r="F73" s="9" t="n">
        <x:f>'Controls'!$D$48/64</x:f>
        <x:v>0</x:v>
      </x:c>
      <x:c r="G73" s="9" t="str">
        <x:v>C42</x:v>
      </x:c>
      <x:c r="H73" s="9" t="str">
        <x:f>IF(F73&gt;=E73,"PASS","OPEN")</x:f>
        <x:v>OPEN</x:v>
      </x:c>
      <x:c r="I73" s="9" t="str">
        <x:v>public test authority</x:v>
      </x:c>
      <x:c r="J73" s="9" t="str">
        <x:v>independent source</x:v>
      </x:c>
      <x:c r="K73" s="9" t="str">
        <x:v>zero in planning</x:v>
      </x:c>
    </x:row>
    <x:row r="74">
      <x:c r="B74" s="9" t="str">
        <x:v>G-068</x:v>
      </x:c>
      <x:c r="C74" s="9" t="str">
        <x:v>SOURCE</x:v>
      </x:c>
      <x:c r="D74" s="9" t="str">
        <x:v>2,784 accepted truth objects</x:v>
      </x:c>
      <x:c r="E74" s="9" t="n">
        <x:v>1</x:v>
      </x:c>
      <x:c r="F74" s="9" t="n">
        <x:f>'Controls'!$D$49/2784</x:f>
        <x:v>0</x:v>
      </x:c>
      <x:c r="G74" s="9" t="str">
        <x:v>C43</x:v>
      </x:c>
      <x:c r="H74" s="9" t="str">
        <x:f>IF(F74&gt;=E74,"PASS","OPEN")</x:f>
        <x:v>OPEN</x:v>
      </x:c>
      <x:c r="I74" s="9" t="str">
        <x:v>public test authority</x:v>
      </x:c>
      <x:c r="J74" s="9" t="str">
        <x:v>independent source</x:v>
      </x:c>
      <x:c r="K74" s="9" t="str">
        <x:v>zero in planning</x:v>
      </x:c>
    </x:row>
    <x:row r="75">
      <x:c r="B75" s="9" t="str">
        <x:v>G-069</x:v>
      </x:c>
      <x:c r="C75" s="9" t="str">
        <x:v>SOURCE</x:v>
      </x:c>
      <x:c r="D75" s="9" t="str">
        <x:v>valid full-scale event population</x:v>
      </x:c>
      <x:c r="E75" s="9" t="n">
        <x:v>1</x:v>
      </x:c>
      <x:c r="F75" s="9" t="n">
        <x:f>'Controls'!$D$50/40520</x:f>
        <x:v>0</x:v>
      </x:c>
      <x:c r="G75" s="9" t="str">
        <x:v>C44</x:v>
      </x:c>
      <x:c r="H75" s="9" t="str">
        <x:f>IF(F75&gt;=E75,"PASS","OPEN")</x:f>
        <x:v>OPEN</x:v>
      </x:c>
      <x:c r="I75" s="9" t="str">
        <x:v>public test authority</x:v>
      </x:c>
      <x:c r="J75" s="9" t="str">
        <x:v>independent source</x:v>
      </x:c>
      <x:c r="K75" s="9" t="str">
        <x:v>zero in planning</x:v>
      </x:c>
    </x:row>
    <x:row r="76">
      <x:c r="B76" s="9" t="str">
        <x:v>G-070</x:v>
      </x:c>
      <x:c r="C76" s="9" t="str">
        <x:v>SOURCE</x:v>
      </x:c>
      <x:c r="D76" s="9" t="str">
        <x:v>sealed primary decisions</x:v>
      </x:c>
      <x:c r="E76" s="9" t="n">
        <x:v>1</x:v>
      </x:c>
      <x:c r="F76" s="9" t="n">
        <x:f>'Controls'!$D$51/2784</x:f>
        <x:v>0</x:v>
      </x:c>
      <x:c r="G76" s="9" t="str">
        <x:v>C45</x:v>
      </x:c>
      <x:c r="H76" s="9" t="str">
        <x:f>IF(F76&gt;=E76,"PASS","OPEN")</x:f>
        <x:v>OPEN</x:v>
      </x:c>
      <x:c r="I76" s="9" t="str">
        <x:v>public test authority</x:v>
      </x:c>
      <x:c r="J76" s="9" t="str">
        <x:v>independent source</x:v>
      </x:c>
      <x:c r="K76" s="9" t="str">
        <x:v>zero in planning</x:v>
      </x:c>
    </x:row>
    <x:row r="77">
      <x:c r="B77" s="9" t="str">
        <x:v>G-071</x:v>
      </x:c>
      <x:c r="C77" s="9" t="str">
        <x:v>SOURCE</x:v>
      </x:c>
      <x:c r="D77" s="9" t="str">
        <x:v>twelve safe-state cells</x:v>
      </x:c>
      <x:c r="E77" s="9" t="n">
        <x:v>1</x:v>
      </x:c>
      <x:c r="F77" s="9" t="n">
        <x:f>'Controls'!$D$52/12</x:f>
        <x:v>0</x:v>
      </x:c>
      <x:c r="G77" s="9" t="str">
        <x:v>C46</x:v>
      </x:c>
      <x:c r="H77" s="9" t="str">
        <x:f>IF(F77&gt;=E77,"PASS","OPEN")</x:f>
        <x:v>OPEN</x:v>
      </x:c>
      <x:c r="I77" s="9" t="str">
        <x:v>public test authority</x:v>
      </x:c>
      <x:c r="J77" s="9" t="str">
        <x:v>independent source</x:v>
      </x:c>
      <x:c r="K77" s="9" t="str">
        <x:v>zero in planning</x:v>
      </x:c>
    </x:row>
    <x:row r="78">
      <x:c r="B78" s="9" t="str">
        <x:v>G-072</x:v>
      </x:c>
      <x:c r="C78" s="9" t="str">
        <x:v>SOURCE</x:v>
      </x:c>
      <x:c r="D78" s="9" t="str">
        <x:v>two independent reconstructions</x:v>
      </x:c>
      <x:c r="E78" s="9" t="n">
        <x:v>1</x:v>
      </x:c>
      <x:c r="F78" s="9" t="n">
        <x:f>'Controls'!$D$53/2</x:f>
        <x:v>0</x:v>
      </x:c>
      <x:c r="G78" s="9" t="str">
        <x:v>C47</x:v>
      </x:c>
      <x:c r="H78" s="9" t="str">
        <x:f>IF(F78&gt;=E78,"PASS","OPEN")</x:f>
        <x:v>OPEN</x:v>
      </x:c>
      <x:c r="I78" s="9" t="str">
        <x:v>public test authority</x:v>
      </x:c>
      <x:c r="J78" s="9" t="str">
        <x:v>independent source</x:v>
      </x:c>
      <x:c r="K78" s="9" t="str">
        <x:v>zero in planning</x:v>
      </x:c>
    </x:row>
    <x:row r="79">
      <x:c r="B79" s="9" t="str">
        <x:v>G-073</x:v>
      </x:c>
      <x:c r="C79" s="9" t="str">
        <x:v>SOURCE</x:v>
      </x:c>
      <x:c r="D79" s="9" t="str">
        <x:v>Root A support screen</x:v>
      </x:c>
      <x:c r="E79" s="9" t="n">
        <x:v>1</x:v>
      </x:c>
      <x:c r="F79" s="9" t="n">
        <x:f>'Controls'!$D$50/40520</x:f>
        <x:v>0</x:v>
      </x:c>
      <x:c r="G79" s="9" t="str">
        <x:v>C44</x:v>
      </x:c>
      <x:c r="H79" s="9" t="str">
        <x:f>IF(F79&gt;=E79,"PASS","OPEN")</x:f>
        <x:v>OPEN</x:v>
      </x:c>
      <x:c r="I79" s="9" t="str">
        <x:v>public test authority</x:v>
      </x:c>
      <x:c r="J79" s="9" t="str">
        <x:v>independent source</x:v>
      </x:c>
      <x:c r="K79" s="9" t="str">
        <x:v>zero in planning</x:v>
      </x:c>
    </x:row>
    <x:row r="80">
      <x:c r="B80" s="9" t="str">
        <x:v>G-074</x:v>
      </x:c>
      <x:c r="C80" s="9" t="str">
        <x:v>SOURCE</x:v>
      </x:c>
      <x:c r="D80" s="9" t="str">
        <x:v>Root B support screen</x:v>
      </x:c>
      <x:c r="E80" s="9" t="n">
        <x:v>1</x:v>
      </x:c>
      <x:c r="F80" s="9" t="n">
        <x:f>'Controls'!$D$50/40520</x:f>
        <x:v>0</x:v>
      </x:c>
      <x:c r="G80" s="9" t="str">
        <x:v>C44</x:v>
      </x:c>
      <x:c r="H80" s="9" t="str">
        <x:f>IF(F80&gt;=E80,"PASS","OPEN")</x:f>
        <x:v>OPEN</x:v>
      </x:c>
      <x:c r="I80" s="9" t="str">
        <x:v>public test authority</x:v>
      </x:c>
      <x:c r="J80" s="9" t="str">
        <x:v>independent source</x:v>
      </x:c>
      <x:c r="K80" s="9" t="str">
        <x:v>zero in planning</x:v>
      </x:c>
    </x:row>
    <x:row r="81">
      <x:c r="B81" s="9" t="str">
        <x:v>G-075</x:v>
      </x:c>
      <x:c r="C81" s="9" t="str">
        <x:v>SOURCE</x:v>
      </x:c>
      <x:c r="D81" s="9" t="str">
        <x:v>Root A anchor/lift screen</x:v>
      </x:c>
      <x:c r="E81" s="9" t="n">
        <x:v>1</x:v>
      </x:c>
      <x:c r="F81" s="9" t="n">
        <x:f>'Controls'!$D$50/40520</x:f>
        <x:v>0</x:v>
      </x:c>
      <x:c r="G81" s="9" t="str">
        <x:v>C44</x:v>
      </x:c>
      <x:c r="H81" s="9" t="str">
        <x:f>IF(F81&gt;=E81,"PASS","OPEN")</x:f>
        <x:v>OPEN</x:v>
      </x:c>
      <x:c r="I81" s="9" t="str">
        <x:v>public test authority</x:v>
      </x:c>
      <x:c r="J81" s="9" t="str">
        <x:v>independent source</x:v>
      </x:c>
      <x:c r="K81" s="9" t="str">
        <x:v>zero in planning</x:v>
      </x:c>
    </x:row>
    <x:row r="82">
      <x:c r="B82" s="9" t="str">
        <x:v>G-076</x:v>
      </x:c>
      <x:c r="C82" s="9" t="str">
        <x:v>SOURCE</x:v>
      </x:c>
      <x:c r="D82" s="9" t="str">
        <x:v>Root B anchor/lift screen</x:v>
      </x:c>
      <x:c r="E82" s="9" t="n">
        <x:v>1</x:v>
      </x:c>
      <x:c r="F82" s="9" t="n">
        <x:f>'Controls'!$D$50/40520</x:f>
        <x:v>0</x:v>
      </x:c>
      <x:c r="G82" s="9" t="str">
        <x:v>C44</x:v>
      </x:c>
      <x:c r="H82" s="9" t="str">
        <x:f>IF(F82&gt;=E82,"PASS","OPEN")</x:f>
        <x:v>OPEN</x:v>
      </x:c>
      <x:c r="I82" s="9" t="str">
        <x:v>public test authority</x:v>
      </x:c>
      <x:c r="J82" s="9" t="str">
        <x:v>independent source</x:v>
      </x:c>
      <x:c r="K82" s="9" t="str">
        <x:v>zero in planning</x:v>
      </x:c>
    </x:row>
    <x:row r="83">
      <x:c r="B83" s="9" t="str">
        <x:v>G-077</x:v>
      </x:c>
      <x:c r="C83" s="9" t="str">
        <x:v>SOURCE</x:v>
      </x:c>
      <x:c r="D83" s="9" t="str">
        <x:v>Root A collar screen</x:v>
      </x:c>
      <x:c r="E83" s="9" t="n">
        <x:v>1</x:v>
      </x:c>
      <x:c r="F83" s="9" t="n">
        <x:f>'Controls'!$D$50/40520</x:f>
        <x:v>0</x:v>
      </x:c>
      <x:c r="G83" s="9" t="str">
        <x:v>C44</x:v>
      </x:c>
      <x:c r="H83" s="9" t="str">
        <x:f>IF(F83&gt;=E83,"PASS","OPEN")</x:f>
        <x:v>OPEN</x:v>
      </x:c>
      <x:c r="I83" s="9" t="str">
        <x:v>public test authority</x:v>
      </x:c>
      <x:c r="J83" s="9" t="str">
        <x:v>independent source</x:v>
      </x:c>
      <x:c r="K83" s="9" t="str">
        <x:v>zero in planning</x:v>
      </x:c>
    </x:row>
    <x:row r="84">
      <x:c r="B84" s="9" t="str">
        <x:v>G-078</x:v>
      </x:c>
      <x:c r="C84" s="9" t="str">
        <x:v>SOURCE</x:v>
      </x:c>
      <x:c r="D84" s="9" t="str">
        <x:v>Root B collar screen</x:v>
      </x:c>
      <x:c r="E84" s="9" t="n">
        <x:v>1</x:v>
      </x:c>
      <x:c r="F84" s="9" t="n">
        <x:f>'Controls'!$D$50/40520</x:f>
        <x:v>0</x:v>
      </x:c>
      <x:c r="G84" s="9" t="str">
        <x:v>C44</x:v>
      </x:c>
      <x:c r="H84" s="9" t="str">
        <x:f>IF(F84&gt;=E84,"PASS","OPEN")</x:f>
        <x:v>OPEN</x:v>
      </x:c>
      <x:c r="I84" s="9" t="str">
        <x:v>public test authority</x:v>
      </x:c>
      <x:c r="J84" s="9" t="str">
        <x:v>independent source</x:v>
      </x:c>
      <x:c r="K84" s="9" t="str">
        <x:v>zero in planning</x:v>
      </x:c>
    </x:row>
    <x:row r="85">
      <x:c r="B85" s="9" t="str">
        <x:v>G-079</x:v>
      </x:c>
      <x:c r="C85" s="9" t="str">
        <x:v>SOURCE</x:v>
      </x:c>
      <x:c r="D85" s="9" t="str">
        <x:v>Root A bus screen</x:v>
      </x:c>
      <x:c r="E85" s="9" t="n">
        <x:v>1</x:v>
      </x:c>
      <x:c r="F85" s="9" t="n">
        <x:f>'Controls'!$D$50/40520</x:f>
        <x:v>0</x:v>
      </x:c>
      <x:c r="G85" s="9" t="str">
        <x:v>C44</x:v>
      </x:c>
      <x:c r="H85" s="9" t="str">
        <x:f>IF(F85&gt;=E85,"PASS","OPEN")</x:f>
        <x:v>OPEN</x:v>
      </x:c>
      <x:c r="I85" s="9" t="str">
        <x:v>public test authority</x:v>
      </x:c>
      <x:c r="J85" s="9" t="str">
        <x:v>independent source</x:v>
      </x:c>
      <x:c r="K85" s="9" t="str">
        <x:v>zero in planning</x:v>
      </x:c>
    </x:row>
    <x:row r="86">
      <x:c r="B86" s="9" t="str">
        <x:v>G-080</x:v>
      </x:c>
      <x:c r="C86" s="9" t="str">
        <x:v>SOURCE</x:v>
      </x:c>
      <x:c r="D86" s="9" t="str">
        <x:v>Root B bus screen</x:v>
      </x:c>
      <x:c r="E86" s="9" t="n">
        <x:v>1</x:v>
      </x:c>
      <x:c r="F86" s="9" t="n">
        <x:f>'Controls'!$D$50/40520</x:f>
        <x:v>0</x:v>
      </x:c>
      <x:c r="G86" s="9" t="str">
        <x:v>C44</x:v>
      </x:c>
      <x:c r="H86" s="9" t="str">
        <x:f>IF(F86&gt;=E86,"PASS","OPEN")</x:f>
        <x:v>OPEN</x:v>
      </x:c>
      <x:c r="I86" s="9" t="str">
        <x:v>public test authority</x:v>
      </x:c>
      <x:c r="J86" s="9" t="str">
        <x:v>independent source</x:v>
      </x:c>
      <x:c r="K86" s="9" t="str">
        <x:v>zero in planning</x:v>
      </x:c>
    </x:row>
    <x:row r="87">
      <x:c r="B87" s="9" t="str">
        <x:v>G-081</x:v>
      </x:c>
      <x:c r="C87" s="9" t="str">
        <x:v>SOURCE</x:v>
      </x:c>
      <x:c r="D87" s="9" t="str">
        <x:v>Root A thermal screen</x:v>
      </x:c>
      <x:c r="E87" s="9" t="n">
        <x:v>1</x:v>
      </x:c>
      <x:c r="F87" s="9" t="n">
        <x:f>'Controls'!$D$50/40520</x:f>
        <x:v>0</x:v>
      </x:c>
      <x:c r="G87" s="9" t="str">
        <x:v>C44</x:v>
      </x:c>
      <x:c r="H87" s="9" t="str">
        <x:f>IF(F87&gt;=E87,"PASS","OPEN")</x:f>
        <x:v>OPEN</x:v>
      </x:c>
      <x:c r="I87" s="9" t="str">
        <x:v>public test authority</x:v>
      </x:c>
      <x:c r="J87" s="9" t="str">
        <x:v>independent source</x:v>
      </x:c>
      <x:c r="K87" s="9" t="str">
        <x:v>zero in planning</x:v>
      </x:c>
    </x:row>
    <x:row r="88">
      <x:c r="B88" s="9" t="str">
        <x:v>G-082</x:v>
      </x:c>
      <x:c r="C88" s="9" t="str">
        <x:v>SOURCE</x:v>
      </x:c>
      <x:c r="D88" s="9" t="str">
        <x:v>Root B thermal screen</x:v>
      </x:c>
      <x:c r="E88" s="9" t="n">
        <x:v>1</x:v>
      </x:c>
      <x:c r="F88" s="9" t="n">
        <x:f>'Controls'!$D$50/40520</x:f>
        <x:v>0</x:v>
      </x:c>
      <x:c r="G88" s="9" t="str">
        <x:v>C44</x:v>
      </x:c>
      <x:c r="H88" s="9" t="str">
        <x:f>IF(F88&gt;=E88,"PASS","OPEN")</x:f>
        <x:v>OPEN</x:v>
      </x:c>
      <x:c r="I88" s="9" t="str">
        <x:v>public test authority</x:v>
      </x:c>
      <x:c r="J88" s="9" t="str">
        <x:v>independent source</x:v>
      </x:c>
      <x:c r="K88" s="9" t="str">
        <x:v>zero in planning</x:v>
      </x:c>
    </x:row>
    <x:row r="89">
      <x:c r="B89" s="9" t="str">
        <x:v>G-083</x:v>
      </x:c>
      <x:c r="C89" s="9" t="str">
        <x:v>SOURCE</x:v>
      </x:c>
      <x:c r="D89" s="9" t="str">
        <x:v>Root A EBC screen</x:v>
      </x:c>
      <x:c r="E89" s="9" t="n">
        <x:v>1</x:v>
      </x:c>
      <x:c r="F89" s="9" t="n">
        <x:f>'Controls'!$D$50/40520</x:f>
        <x:v>0</x:v>
      </x:c>
      <x:c r="G89" s="9" t="str">
        <x:v>C44</x:v>
      </x:c>
      <x:c r="H89" s="9" t="str">
        <x:f>IF(F89&gt;=E89,"PASS","OPEN")</x:f>
        <x:v>OPEN</x:v>
      </x:c>
      <x:c r="I89" s="9" t="str">
        <x:v>public test authority</x:v>
      </x:c>
      <x:c r="J89" s="9" t="str">
        <x:v>independent source</x:v>
      </x:c>
      <x:c r="K89" s="9" t="str">
        <x:v>zero in planning</x:v>
      </x:c>
    </x:row>
    <x:row r="90">
      <x:c r="B90" s="9" t="str">
        <x:v>G-084</x:v>
      </x:c>
      <x:c r="C90" s="9" t="str">
        <x:v>SOURCE</x:v>
      </x:c>
      <x:c r="D90" s="9" t="str">
        <x:v>Root B EBC screen</x:v>
      </x:c>
      <x:c r="E90" s="9" t="n">
        <x:v>1</x:v>
      </x:c>
      <x:c r="F90" s="9" t="n">
        <x:f>'Controls'!$D$50/40520</x:f>
        <x:v>0</x:v>
      </x:c>
      <x:c r="G90" s="9" t="str">
        <x:v>C44</x:v>
      </x:c>
      <x:c r="H90" s="9" t="str">
        <x:f>IF(F90&gt;=E90,"PASS","OPEN")</x:f>
        <x:v>OPEN</x:v>
      </x:c>
      <x:c r="I90" s="9" t="str">
        <x:v>public test authority</x:v>
      </x:c>
      <x:c r="J90" s="9" t="str">
        <x:v>independent source</x:v>
      </x:c>
      <x:c r="K90" s="9" t="str">
        <x:v>zero in planning</x:v>
      </x:c>
    </x:row>
    <x:row r="91">
      <x:c r="B91" s="9" t="str">
        <x:v>G-085</x:v>
      </x:c>
      <x:c r="C91" s="9" t="str">
        <x:v>SOURCE</x:v>
      </x:c>
      <x:c r="D91" s="9" t="str">
        <x:v>Root A defect cells</x:v>
      </x:c>
      <x:c r="E91" s="9" t="n">
        <x:v>1</x:v>
      </x:c>
      <x:c r="F91" s="9" t="n">
        <x:f>'Controls'!$D$51/2784</x:f>
        <x:v>0</x:v>
      </x:c>
      <x:c r="G91" s="9" t="str">
        <x:v>C45</x:v>
      </x:c>
      <x:c r="H91" s="9" t="str">
        <x:f>IF(F91&gt;=E91,"PASS","OPEN")</x:f>
        <x:v>OPEN</x:v>
      </x:c>
      <x:c r="I91" s="9" t="str">
        <x:v>public test authority</x:v>
      </x:c>
      <x:c r="J91" s="9" t="str">
        <x:v>independent source</x:v>
      </x:c>
      <x:c r="K91" s="9" t="str">
        <x:v>zero in planning</x:v>
      </x:c>
    </x:row>
    <x:row r="92">
      <x:c r="B92" s="9" t="str">
        <x:v>G-086</x:v>
      </x:c>
      <x:c r="C92" s="9" t="str">
        <x:v>SOURCE</x:v>
      </x:c>
      <x:c r="D92" s="9" t="str">
        <x:v>Root B defect cells</x:v>
      </x:c>
      <x:c r="E92" s="9" t="n">
        <x:v>1</x:v>
      </x:c>
      <x:c r="F92" s="9" t="n">
        <x:f>'Controls'!$D$51/2784</x:f>
        <x:v>0</x:v>
      </x:c>
      <x:c r="G92" s="9" t="str">
        <x:v>C45</x:v>
      </x:c>
      <x:c r="H92" s="9" t="str">
        <x:f>IF(F92&gt;=E92,"PASS","OPEN")</x:f>
        <x:v>OPEN</x:v>
      </x:c>
      <x:c r="I92" s="9" t="str">
        <x:v>public test authority</x:v>
      </x:c>
      <x:c r="J92" s="9" t="str">
        <x:v>independent source</x:v>
      </x:c>
      <x:c r="K92" s="9" t="str">
        <x:v>zero in planning</x:v>
      </x:c>
    </x:row>
    <x:row r="93">
      <x:c r="B93" s="9" t="str">
        <x:v>G-087</x:v>
      </x:c>
      <x:c r="C93" s="9" t="str">
        <x:v>SOURCE</x:v>
      </x:c>
      <x:c r="D93" s="9" t="str">
        <x:v>Root A fixture bounds</x:v>
      </x:c>
      <x:c r="E93" s="9" t="n">
        <x:v>1</x:v>
      </x:c>
      <x:c r="F93" s="9" t="n">
        <x:f>'Controls'!$D$47/6</x:f>
        <x:v>0</x:v>
      </x:c>
      <x:c r="G93" s="9" t="str">
        <x:v>C41</x:v>
      </x:c>
      <x:c r="H93" s="9" t="str">
        <x:f>IF(F93&gt;=E93,"PASS","OPEN")</x:f>
        <x:v>OPEN</x:v>
      </x:c>
      <x:c r="I93" s="9" t="str">
        <x:v>public test authority</x:v>
      </x:c>
      <x:c r="J93" s="9" t="str">
        <x:v>independent source</x:v>
      </x:c>
      <x:c r="K93" s="9" t="str">
        <x:v>zero in planning</x:v>
      </x:c>
    </x:row>
    <x:row r="94">
      <x:c r="B94" s="9" t="str">
        <x:v>G-088</x:v>
      </x:c>
      <x:c r="C94" s="9" t="str">
        <x:v>SOURCE</x:v>
      </x:c>
      <x:c r="D94" s="9" t="str">
        <x:v>Root B fixture bounds</x:v>
      </x:c>
      <x:c r="E94" s="9" t="n">
        <x:v>1</x:v>
      </x:c>
      <x:c r="F94" s="9" t="n">
        <x:f>'Controls'!$D$47/6</x:f>
        <x:v>0</x:v>
      </x:c>
      <x:c r="G94" s="9" t="str">
        <x:v>C41</x:v>
      </x:c>
      <x:c r="H94" s="9" t="str">
        <x:f>IF(F94&gt;=E94,"PASS","OPEN")</x:f>
        <x:v>OPEN</x:v>
      </x:c>
      <x:c r="I94" s="9" t="str">
        <x:v>public test authority</x:v>
      </x:c>
      <x:c r="J94" s="9" t="str">
        <x:v>independent source</x:v>
      </x:c>
      <x:c r="K94" s="9" t="str">
        <x:v>zero in planning</x:v>
      </x:c>
    </x:row>
    <x:row r="95">
      <x:c r="B95" s="9" t="str">
        <x:v>G-089</x:v>
      </x:c>
      <x:c r="C95" s="9" t="str">
        <x:v>SOURCE</x:v>
      </x:c>
      <x:c r="D95" s="9" t="str">
        <x:v>instrument calibration sources</x:v>
      </x:c>
      <x:c r="E95" s="9" t="n">
        <x:v>1</x:v>
      </x:c>
      <x:c r="F95" s="9" t="n">
        <x:f>'Controls'!$D$47/6</x:f>
        <x:v>0</x:v>
      </x:c>
      <x:c r="G95" s="9" t="str">
        <x:v>C41</x:v>
      </x:c>
      <x:c r="H95" s="9" t="str">
        <x:f>IF(F95&gt;=E95,"PASS","OPEN")</x:f>
        <x:v>OPEN</x:v>
      </x:c>
      <x:c r="I95" s="9" t="str">
        <x:v>public test authority</x:v>
      </x:c>
      <x:c r="J95" s="9" t="str">
        <x:v>independent source</x:v>
      </x:c>
      <x:c r="K95" s="9" t="str">
        <x:v>zero in planning</x:v>
      </x:c>
    </x:row>
    <x:row r="96">
      <x:c r="B96" s="9" t="str">
        <x:v>G-090</x:v>
      </x:c>
      <x:c r="C96" s="9" t="str">
        <x:v>SOURCE</x:v>
      </x:c>
      <x:c r="D96" s="9" t="str">
        <x:v>clock agreement</x:v>
      </x:c>
      <x:c r="E96" s="9" t="n">
        <x:v>1</x:v>
      </x:c>
      <x:c r="F96" s="9" t="n">
        <x:f>'Controls'!$D$47/6</x:f>
        <x:v>0</x:v>
      </x:c>
      <x:c r="G96" s="9" t="str">
        <x:v>C41</x:v>
      </x:c>
      <x:c r="H96" s="9" t="str">
        <x:f>IF(F96&gt;=E96,"PASS","OPEN")</x:f>
        <x:v>OPEN</x:v>
      </x:c>
      <x:c r="I96" s="9" t="str">
        <x:v>public test authority</x:v>
      </x:c>
      <x:c r="J96" s="9" t="str">
        <x:v>independent source</x:v>
      </x:c>
      <x:c r="K96" s="9" t="str">
        <x:v>zero in planning</x:v>
      </x:c>
    </x:row>
    <x:row r="97">
      <x:c r="B97" s="9" t="str">
        <x:v>G-091</x:v>
      </x:c>
      <x:c r="C97" s="9" t="str">
        <x:v>SOURCE</x:v>
      </x:c>
      <x:c r="D97" s="9" t="str">
        <x:v>fluid containment commissioning</x:v>
      </x:c>
      <x:c r="E97" s="9" t="n">
        <x:v>1</x:v>
      </x:c>
      <x:c r="F97" s="9" t="n">
        <x:f>'Controls'!$D$47/6</x:f>
        <x:v>0</x:v>
      </x:c>
      <x:c r="G97" s="9" t="str">
        <x:v>C41</x:v>
      </x:c>
      <x:c r="H97" s="9" t="str">
        <x:f>IF(F97&gt;=E97,"PASS","OPEN")</x:f>
        <x:v>OPEN</x:v>
      </x:c>
      <x:c r="I97" s="9" t="str">
        <x:v>public test authority</x:v>
      </x:c>
      <x:c r="J97" s="9" t="str">
        <x:v>independent source</x:v>
      </x:c>
      <x:c r="K97" s="9" t="str">
        <x:v>zero in planning</x:v>
      </x:c>
    </x:row>
    <x:row r="98">
      <x:c r="B98" s="9" t="str">
        <x:v>G-092</x:v>
      </x:c>
      <x:c r="C98" s="9" t="str">
        <x:v>SOURCE</x:v>
      </x:c>
      <x:c r="D98" s="9" t="str">
        <x:v>fault containment commissioning</x:v>
      </x:c>
      <x:c r="E98" s="9" t="n">
        <x:v>1</x:v>
      </x:c>
      <x:c r="F98" s="9" t="n">
        <x:f>'Controls'!$D$47/6</x:f>
        <x:v>0</x:v>
      </x:c>
      <x:c r="G98" s="9" t="str">
        <x:v>C41</x:v>
      </x:c>
      <x:c r="H98" s="9" t="str">
        <x:f>IF(F98&gt;=E98,"PASS","OPEN")</x:f>
        <x:v>OPEN</x:v>
      </x:c>
      <x:c r="I98" s="9" t="str">
        <x:v>public test authority</x:v>
      </x:c>
      <x:c r="J98" s="9" t="str">
        <x:v>independent source</x:v>
      </x:c>
      <x:c r="K98" s="9" t="str">
        <x:v>zero in planning</x:v>
      </x:c>
    </x:row>
    <x:row r="99">
      <x:c r="B99" s="9" t="str">
        <x:v>G-093</x:v>
      </x:c>
      <x:c r="C99" s="9" t="str">
        <x:v>SOURCE</x:v>
      </x:c>
      <x:c r="D99" s="9" t="str">
        <x:v>destructive custody execution</x:v>
      </x:c>
      <x:c r="E99" s="9" t="n">
        <x:v>1</x:v>
      </x:c>
      <x:c r="F99" s="9" t="n">
        <x:f>'Controls'!$D$50/40520</x:f>
        <x:v>0</x:v>
      </x:c>
      <x:c r="G99" s="9" t="str">
        <x:v>C44</x:v>
      </x:c>
      <x:c r="H99" s="9" t="str">
        <x:f>IF(F99&gt;=E99,"PASS","OPEN")</x:f>
        <x:v>OPEN</x:v>
      </x:c>
      <x:c r="I99" s="9" t="str">
        <x:v>public test authority</x:v>
      </x:c>
      <x:c r="J99" s="9" t="str">
        <x:v>independent source</x:v>
      </x:c>
      <x:c r="K99" s="9" t="str">
        <x:v>zero in planning</x:v>
      </x:c>
    </x:row>
    <x:row r="100">
      <x:c r="B100" s="9" t="str">
        <x:v>G-094</x:v>
      </x:c>
      <x:c r="C100" s="9" t="str">
        <x:v>SOURCE</x:v>
      </x:c>
      <x:c r="D100" s="9" t="str">
        <x:v>data replay</x:v>
      </x:c>
      <x:c r="E100" s="9" t="n">
        <x:v>1</x:v>
      </x:c>
      <x:c r="F100" s="9" t="n">
        <x:f>'Controls'!$D$53/2</x:f>
        <x:v>0</x:v>
      </x:c>
      <x:c r="G100" s="9" t="str">
        <x:v>C47</x:v>
      </x:c>
      <x:c r="H100" s="9" t="str">
        <x:f>IF(F100&gt;=E100,"PASS","OPEN")</x:f>
        <x:v>OPEN</x:v>
      </x:c>
      <x:c r="I100" s="9" t="str">
        <x:v>public test authority</x:v>
      </x:c>
      <x:c r="J100" s="9" t="str">
        <x:v>independent source</x:v>
      </x:c>
      <x:c r="K100" s="9" t="str">
        <x:v>zero in planning</x:v>
      </x:c>
    </x:row>
    <x:row r="101">
      <x:c r="B101" s="9" t="str">
        <x:v>G-095</x:v>
      </x:c>
      <x:c r="C101" s="9" t="str">
        <x:v>SOURCE</x:v>
      </x:c>
      <x:c r="D101" s="9" t="str">
        <x:v>root-independence disposition</x:v>
      </x:c>
      <x:c r="E101" s="9" t="n">
        <x:v>1</x:v>
      </x:c>
      <x:c r="F101" s="9" t="n">
        <x:f>'Controls'!$D$53/2</x:f>
        <x:v>0</x:v>
      </x:c>
      <x:c r="G101" s="9" t="str">
        <x:v>C47</x:v>
      </x:c>
      <x:c r="H101" s="9" t="str">
        <x:f>IF(F101&gt;=E101,"PASS","OPEN")</x:f>
        <x:v>OPEN</x:v>
      </x:c>
      <x:c r="I101" s="9" t="str">
        <x:v>public test authority</x:v>
      </x:c>
      <x:c r="J101" s="9" t="str">
        <x:v>independent source</x:v>
      </x:c>
      <x:c r="K101" s="9" t="str">
        <x:v>zero in planning</x:v>
      </x:c>
    </x:row>
    <x:row r="102">
      <x:c r="B102" s="9" t="str">
        <x:v>G-096</x:v>
      </x:c>
      <x:c r="C102" s="9" t="str">
        <x:v>SOURCE</x:v>
      </x:c>
      <x:c r="D102" s="9" t="str">
        <x:v>BRD-2 reconciliation inside CISA-1</x:v>
      </x:c>
      <x:c r="E102" s="9" t="n">
        <x:v>1</x:v>
      </x:c>
      <x:c r="F102" s="9" t="n">
        <x:f>'Controls'!$D$46/1</x:f>
        <x:v>0</x:v>
      </x:c>
      <x:c r="G102" s="9" t="str">
        <x:v>C40</x:v>
      </x:c>
      <x:c r="H102" s="9" t="str">
        <x:f>IF(F102&gt;=E102,"PASS","OPEN")</x:f>
        <x:v>OPEN</x:v>
      </x:c>
      <x:c r="I102" s="9" t="str">
        <x:v>public test authority</x:v>
      </x:c>
      <x:c r="J102" s="9" t="str">
        <x:v>independent source</x:v>
      </x:c>
      <x:c r="K102" s="9" t="str">
        <x:v>zero in planning</x:v>
      </x:c>
    </x:row>
    <x:row r="103">
      <x:c r="B103" s="9" t="str">
        <x:v>G-097</x:v>
      </x:c>
      <x:c r="C103" s="9" t="str">
        <x:v>DOWNSTREAM</x:v>
      </x:c>
      <x:c r="D103" s="9" t="str">
        <x:v>complete-article admission</x:v>
      </x:c>
      <x:c r="E103" s="9" t="n">
        <x:v>1</x:v>
      </x:c>
      <x:c r="F103" s="9" t="n">
        <x:f>'Controls'!$D$54</x:f>
        <x:v>0</x:v>
      </x:c>
      <x:c r="G103" s="9" t="str">
        <x:v>C48</x:v>
      </x:c>
      <x:c r="H103" s="9" t="str">
        <x:f>IF(F103&gt;=E103,"PASS","BLOCKED")</x:f>
        <x:v>BLOCKED</x:v>
      </x:c>
      <x:c r="I103" s="9" t="str">
        <x:v>baseline/production board</x:v>
      </x:c>
      <x:c r="J103" s="9" t="str">
        <x:v>downstream decision</x:v>
      </x:c>
      <x:c r="K103" s="9" t="str">
        <x:v>not authorized</x:v>
      </x:c>
    </x:row>
    <x:row r="104">
      <x:c r="B104" s="9" t="str">
        <x:v>G-098</x:v>
      </x:c>
      <x:c r="C104" s="9" t="str">
        <x:v>DOWNSTREAM</x:v>
      </x:c>
      <x:c r="D104" s="9" t="str">
        <x:v>CRC-E01 admission</x:v>
      </x:c>
      <x:c r="E104" s="9" t="n">
        <x:v>1</x:v>
      </x:c>
      <x:c r="F104" s="9" t="n">
        <x:f>'Controls'!$D$55</x:f>
        <x:v>0</x:v>
      </x:c>
      <x:c r="G104" s="9" t="str">
        <x:v>C49</x:v>
      </x:c>
      <x:c r="H104" s="9" t="str">
        <x:f>IF(F104&gt;=E104,"PASS","BLOCKED")</x:f>
        <x:v>BLOCKED</x:v>
      </x:c>
      <x:c r="I104" s="9" t="str">
        <x:v>baseline/production board</x:v>
      </x:c>
      <x:c r="J104" s="9" t="str">
        <x:v>downstream decision</x:v>
      </x:c>
      <x:c r="K104" s="9" t="str">
        <x:v>not authorized</x:v>
      </x:c>
    </x:row>
    <x:row r="105">
      <x:c r="B105" s="9" t="str">
        <x:v>G-099</x:v>
      </x:c>
      <x:c r="C105" s="9" t="str">
        <x:v>DOWNSTREAM</x:v>
      </x:c>
      <x:c r="D105" s="9" t="str">
        <x:v>production authority</x:v>
      </x:c>
      <x:c r="E105" s="9" t="n">
        <x:v>1</x:v>
      </x:c>
      <x:c r="F105" s="9" t="n">
        <x:f>'Controls'!$D$56</x:f>
        <x:v>0</x:v>
      </x:c>
      <x:c r="G105" s="9" t="str">
        <x:v>C50</x:v>
      </x:c>
      <x:c r="H105" s="9" t="str">
        <x:f>IF(F105&gt;=E105,"PASS","BLOCKED")</x:f>
        <x:v>BLOCKED</x:v>
      </x:c>
      <x:c r="I105" s="9" t="str">
        <x:v>baseline/production board</x:v>
      </x:c>
      <x:c r="J105" s="9" t="str">
        <x:v>downstream decision</x:v>
      </x:c>
      <x:c r="K105" s="9" t="str">
        <x:v>not authorized</x:v>
      </x:c>
    </x:row>
    <x:row r="106">
      <x:c r="B106" s="10" t="str">
        <x:v>G-100</x:v>
      </x:c>
      <x:c r="C106" s="10" t="str">
        <x:v>DOWNSTREAM</x:v>
      </x:c>
      <x:c r="D106" s="10" t="str">
        <x:v>exterior-rendering authority</x:v>
      </x:c>
      <x:c r="E106" s="10" t="n">
        <x:v>1</x:v>
      </x:c>
      <x:c r="F106" s="10" t="n">
        <x:f>'Controls'!$D$57</x:f>
        <x:v>0</x:v>
      </x:c>
      <x:c r="G106" s="10" t="str">
        <x:v>C51</x:v>
      </x:c>
      <x:c r="H106" s="10" t="str">
        <x:f>IF(F106&gt;=E106,"PASS","BLOCKED")</x:f>
        <x:v>BLOCKED</x:v>
      </x:c>
      <x:c r="I106" s="10" t="str">
        <x:v>baseline/production board</x:v>
      </x:c>
      <x:c r="J106" s="10" t="str">
        <x:v>downstream decision</x:v>
      </x:c>
      <x:c r="K106" s="10" t="str">
        <x:v>not authorized</x:v>
      </x:c>
    </x:row>
  </x:sheetData>
  <x:mergeCells>
    <x:mergeCell ref="B2:K2"/>
    <x:mergeCell ref="B3:K3"/>
  </x:mergeCells>
  <x:conditionalFormatting sqref="H7:H106">
    <x:cfRule type="containsText" dxfId="299" priority="1" operator="containsText" text="PASS"/>
    <x:cfRule type="containsText" dxfId="300" priority="2" operator="containsText" text="AUTHORIZED"/>
    <x:cfRule type="containsText" dxfId="301" priority="3" operator="containsText" text="DEFINED"/>
    <x:cfRule type="containsText" dxfId="302" priority="4" operator="containsText" text="READY"/>
    <x:cfRule type="containsText" dxfId="303" priority="5" operator="containsText" text="HOLD"/>
    <x:cfRule type="containsText" dxfId="304" priority="6" operator="containsText" text="OPEN"/>
    <x:cfRule type="containsText" dxfId="305" priority="7" operator="containsText" text="BLOCKED"/>
    <x:cfRule type="containsText" dxfId="306" priority="8" operator="containsText" text="PLANNING"/>
    <x:cfRule type="containsText" dxfId="307" priority="9" operator="containsText" text="QUARANTINE"/>
    <x:cfRule type="containsText" dxfId="308" priority="10" operator="containsText" text="FAIL"/>
    <x:cfRule type="containsText" dxfId="309" priority="11" operator="containsText" text="REJECT"/>
    <x:cfRule type="containsText" dxfId="310" priority="12" operator="containsText" text="INCOMPLETE"/>
    <x:cfRule type="containsText" dxfId="311" priority="13" operator="containsText" text="STOP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17" hidden="0" customWidth="1"/>
    <x:col min="4" max="4" width="42" hidden="0" customWidth="1"/>
    <x:col min="5" max="5" width="17" hidden="0" customWidth="1"/>
    <x:col min="6" max="6" width="17" hidden="0" customWidth="1"/>
    <x:col min="7" max="7" width="17" hidden="0" customWidth="1"/>
    <x:col min="8" max="8" width="14" hidden="0" customWidth="1"/>
    <x:col min="9" max="9" width="27" hidden="0" customWidth="1"/>
  </x:cols>
  <x:sheetData>
    <x:row r="2">
      <x:c r="B2" s="32" t="str">
        <x:v>Terminal audit</x:v>
      </x:c>
      <x:c r="C2" s="9"/>
      <x:c r="D2" s="9"/>
      <x:c r="E2" s="9"/>
      <x:c r="F2" s="9"/>
      <x:c r="G2" s="9"/>
      <x:c r="H2" s="9"/>
      <x:c r="I2" s="9"/>
    </x:row>
    <x:row r="3">
      <x:c r="B3" s="33" t="str">
        <x:v>Independent checks only; no campaign decision or gate depends on this sheet.</x:v>
      </x:c>
      <x:c r="C3" s="9"/>
      <x:c r="D3" s="9"/>
      <x:c r="E3" s="9"/>
      <x:c r="F3" s="9"/>
      <x:c r="G3" s="9"/>
      <x:c r="H3" s="9"/>
      <x:c r="I3" s="9"/>
    </x:row>
    <x:row r="4">
      <x:c r="B4" s="34"/>
      <x:c r="C4" s="34"/>
      <x:c r="D4" s="34"/>
      <x:c r="E4" s="34"/>
      <x:c r="F4" s="34"/>
      <x:c r="G4" s="34"/>
      <x:c r="H4" s="34"/>
      <x:c r="I4" s="34"/>
    </x:row>
    <x:row r="5">
      <x:c r="B5" s="9"/>
      <x:c r="C5" s="9"/>
      <x:c r="D5" s="9"/>
      <x:c r="E5" s="9"/>
      <x:c r="F5" s="9"/>
      <x:c r="G5" s="9"/>
      <x:c r="H5" s="9"/>
      <x:c r="I5" s="9"/>
    </x:row>
    <x:row r="6">
      <x:c r="B6" s="7" t="str">
        <x:v>Audit</x:v>
      </x:c>
      <x:c r="C6" s="7" t="str">
        <x:v>Domain</x:v>
      </x:c>
      <x:c r="D6" s="7" t="str">
        <x:v>Question</x:v>
      </x:c>
      <x:c r="E6" s="7" t="str">
        <x:v>Observed</x:v>
      </x:c>
      <x:c r="F6" s="7" t="str">
        <x:v>Required</x:v>
      </x:c>
      <x:c r="G6" s="7" t="str">
        <x:v>Difference</x:v>
      </x:c>
      <x:c r="H6" s="7" t="str">
        <x:v>Status</x:v>
      </x:c>
      <x:c r="I6" s="7" t="str">
        <x:v>Trace</x:v>
      </x:c>
    </x:row>
    <x:row r="7">
      <x:c r="B7" s="9" t="str">
        <x:v>AU-001</x:v>
      </x:c>
      <x:c r="C7" s="9" t="str">
        <x:v>scope</x:v>
      </x:c>
      <x:c r="D7" s="9" t="str">
        <x:v>design family count</x:v>
      </x:c>
      <x:c r="E7" s="21" t="n">
        <x:f>2*COUNTA('Event Matrix'!B7:B12)</x:f>
        <x:v>12</x:v>
      </x:c>
      <x:c r="F7" s="21" t="n">
        <x:f>'Controls'!$D$7</x:f>
        <x:v>12</x:v>
      </x:c>
      <x:c r="G7" s="21" t="n">
        <x:f>E7-F7</x:f>
        <x:v>0</x:v>
      </x:c>
      <x:c r="H7" s="9" t="str">
        <x:f>IF(ABS(G7)&lt;0.000001,"PASS","FAIL")</x:f>
        <x:v>PASS</x:v>
      </x:c>
      <x:c r="I7" s="9" t="str">
        <x:v>Event Matrix</x:v>
      </x:c>
    </x:row>
    <x:row r="8">
      <x:c r="B8" s="9" t="str">
        <x:v>AU-002</x:v>
      </x:c>
      <x:c r="C8" s="9" t="str">
        <x:v>scope</x:v>
      </x:c>
      <x:c r="D8" s="9" t="str">
        <x:v>specimen count</x:v>
      </x:c>
      <x:c r="E8" s="21" t="n">
        <x:f>COUNTA('Article Bank'!B7:B70)</x:f>
        <x:v>64</x:v>
      </x:c>
      <x:c r="F8" s="21" t="n">
        <x:f>'Controls'!$D$8</x:f>
        <x:v>64</x:v>
      </x:c>
      <x:c r="G8" s="21" t="n">
        <x:f>E8-F8</x:f>
        <x:v>0</x:v>
      </x:c>
      <x:c r="H8" s="9" t="str">
        <x:f>IF(ABS(G8)&lt;0.000001,"PASS","FAIL")</x:f>
        <x:v>PASS</x:v>
      </x:c>
      <x:c r="I8" s="9" t="str">
        <x:v>Article Bank</x:v>
      </x:c>
    </x:row>
    <x:row r="9">
      <x:c r="B9" s="9" t="str">
        <x:v>AU-003</x:v>
      </x:c>
      <x:c r="C9" s="9" t="str">
        <x:v>scope</x:v>
      </x:c>
      <x:c r="D9" s="9" t="str">
        <x:v>event count</x:v>
      </x:c>
      <x:c r="E9" s="21" t="n">
        <x:f>SUM('Event Matrix'!I7:I12)</x:f>
        <x:v>40520</x:v>
      </x:c>
      <x:c r="F9" s="21" t="n">
        <x:f>'Controls'!$D$9</x:f>
        <x:v>40520</x:v>
      </x:c>
      <x:c r="G9" s="21" t="n">
        <x:f>E9-F9</x:f>
        <x:v>0</x:v>
      </x:c>
      <x:c r="H9" s="9" t="str">
        <x:f>IF(ABS(G9)&lt;0.000001,"PASS","FAIL")</x:f>
        <x:v>PASS</x:v>
      </x:c>
      <x:c r="I9" s="9" t="str">
        <x:v>Event Matrix</x:v>
      </x:c>
    </x:row>
    <x:row r="10">
      <x:c r="B10" s="9" t="str">
        <x:v>AU-004</x:v>
      </x:c>
      <x:c r="C10" s="9" t="str">
        <x:v>scope</x:v>
      </x:c>
      <x:c r="D10" s="9" t="str">
        <x:v>defect cell count</x:v>
      </x:c>
      <x:c r="E10" s="21" t="n">
        <x:f>COUNTA('Defect Population'!B7:B30)</x:f>
        <x:v>24</x:v>
      </x:c>
      <x:c r="F10" s="21" t="n">
        <x:f>'Controls'!$D$10</x:f>
        <x:v>24</x:v>
      </x:c>
      <x:c r="G10" s="21" t="n">
        <x:f>E10-F10</x:f>
        <x:v>0</x:v>
      </x:c>
      <x:c r="H10" s="9" t="str">
        <x:f>IF(ABS(G10)&lt;0.000001,"PASS","FAIL")</x:f>
        <x:v>PASS</x:v>
      </x:c>
      <x:c r="I10" s="9" t="str">
        <x:v>Defect Population</x:v>
      </x:c>
    </x:row>
    <x:row r="11">
      <x:c r="B11" s="9" t="str">
        <x:v>AU-005</x:v>
      </x:c>
      <x:c r="C11" s="9" t="str">
        <x:v>scope</x:v>
      </x:c>
      <x:c r="D11" s="9" t="str">
        <x:v>primary population</x:v>
      </x:c>
      <x:c r="E11" s="21" t="n">
        <x:f>SUM('Defect Population'!I7:I30)</x:f>
        <x:v>2784</x:v>
      </x:c>
      <x:c r="F11" s="21" t="n">
        <x:f>'Controls'!$D$13</x:f>
        <x:v>2784</x:v>
      </x:c>
      <x:c r="G11" s="21" t="n">
        <x:f>E11-F11</x:f>
        <x:v>0</x:v>
      </x:c>
      <x:c r="H11" s="9" t="str">
        <x:f>IF(ABS(G11)&lt;0.000001,"PASS","FAIL")</x:f>
        <x:v>PASS</x:v>
      </x:c>
      <x:c r="I11" s="9" t="str">
        <x:v>Defect Population</x:v>
      </x:c>
    </x:row>
    <x:row r="12">
      <x:c r="B12" s="9" t="str">
        <x:v>AU-006</x:v>
      </x:c>
      <x:c r="C12" s="9" t="str">
        <x:v>scope</x:v>
      </x:c>
      <x:c r="D12" s="9" t="str">
        <x:v>cut count</x:v>
      </x:c>
      <x:c r="E12" s="21" t="n">
        <x:f>COUNTA('Destructive Order'!B7:B66)</x:f>
        <x:v>60</x:v>
      </x:c>
      <x:c r="F12" s="21" t="n">
        <x:f>'Controls'!$D$15</x:f>
        <x:v>60</x:v>
      </x:c>
      <x:c r="G12" s="21" t="n">
        <x:f>E12-F12</x:f>
        <x:v>0</x:v>
      </x:c>
      <x:c r="H12" s="9" t="str">
        <x:f>IF(ABS(G12)&lt;0.000001,"PASS","FAIL")</x:f>
        <x:v>PASS</x:v>
      </x:c>
      <x:c r="I12" s="9" t="str">
        <x:v>Destructive Order</x:v>
      </x:c>
    </x:row>
    <x:row r="13">
      <x:c r="B13" s="9" t="str">
        <x:v>AU-007</x:v>
      </x:c>
      <x:c r="C13" s="9" t="str">
        <x:v>scope</x:v>
      </x:c>
      <x:c r="D13" s="9" t="str">
        <x:v>duration</x:v>
      </x:c>
      <x:c r="E13" s="21" t="n">
        <x:f>MAX(Schedule!D7:D16)</x:f>
        <x:v>30</x:v>
      </x:c>
      <x:c r="F13" s="21" t="n">
        <x:f>'Controls'!$D$16</x:f>
        <x:v>30</x:v>
      </x:c>
      <x:c r="G13" s="21" t="n">
        <x:f>E13-F13</x:f>
        <x:v>0</x:v>
      </x:c>
      <x:c r="H13" s="9" t="str">
        <x:f>IF(ABS(G13)&lt;0.000001,"PASS","FAIL")</x:f>
        <x:v>PASS</x:v>
      </x:c>
      <x:c r="I13" s="9" t="str">
        <x:v>Schedule</x:v>
      </x:c>
    </x:row>
    <x:row r="14">
      <x:c r="B14" s="9" t="str">
        <x:v>AU-008</x:v>
      </x:c>
      <x:c r="C14" s="9" t="str">
        <x:v>scope</x:v>
      </x:c>
      <x:c r="D14" s="9" t="str">
        <x:v>workforce</x:v>
      </x:c>
      <x:c r="E14" s="21" t="n">
        <x:f>Workforce!B21</x:f>
        <x:v>448</x:v>
      </x:c>
      <x:c r="F14" s="21" t="n">
        <x:f>'Controls'!$D$17</x:f>
        <x:v>448</x:v>
      </x:c>
      <x:c r="G14" s="21" t="n">
        <x:f>E14-F14</x:f>
        <x:v>0</x:v>
      </x:c>
      <x:c r="H14" s="9" t="str">
        <x:f>IF(ABS(G14)&lt;0.000001,"PASS","FAIL")</x:f>
        <x:v>PASS</x:v>
      </x:c>
      <x:c r="I14" s="9" t="str">
        <x:v>Workforce</x:v>
      </x:c>
    </x:row>
    <x:row r="15">
      <x:c r="B15" s="9" t="str">
        <x:v>AU-009</x:v>
      </x:c>
      <x:c r="C15" s="9" t="str">
        <x:v>statistics</x:v>
      </x:c>
      <x:c r="D15" s="9" t="str">
        <x:v>detection lower bound</x:v>
      </x:c>
      <x:c r="E15" s="21" t="n">
        <x:f>POWER(0.05,1/'Controls'!$D$12)</x:f>
        <x:v>0.9018553723227043</x:v>
      </x:c>
      <x:c r="F15" s="21" t="n">
        <x:f>'Controls'!$D$44</x:f>
        <x:v>0.9</x:v>
      </x:c>
      <x:c r="G15" s="21" t="n">
        <x:f>E15-F15</x:f>
        <x:v>0.001855372322704274</x:v>
      </x:c>
      <x:c r="H15" s="9" t="str">
        <x:f>IF(E15&gt;=F15,"PASS","FAIL")</x:f>
        <x:v>PASS</x:v>
      </x:c>
      <x:c r="I15" s="9" t="str">
        <x:v>exact zero-miss screen</x:v>
      </x:c>
    </x:row>
    <x:row r="16">
      <x:c r="B16" s="9" t="str">
        <x:v>AU-010</x:v>
      </x:c>
      <x:c r="C16" s="9" t="str">
        <x:v>statistics</x:v>
      </x:c>
      <x:c r="D16" s="9" t="str">
        <x:v>false-reject upper bound</x:v>
      </x:c>
      <x:c r="E16" s="21" t="n">
        <x:f>1-POWER(0.05,1/(2*'Controls'!$D$12))</x:f>
        <x:v>0.05033933833042015</x:v>
      </x:c>
      <x:c r="F16" s="21" t="n">
        <x:f>'Controls'!$D$45</x:f>
        <x:v>0.051</x:v>
      </x:c>
      <x:c r="G16" s="21" t="n">
        <x:f>E16-F16</x:f>
        <x:v>-0.0006606616695798498</x:v>
      </x:c>
      <x:c r="H16" s="9" t="str">
        <x:f>IF(E16&lt;=F16,"PASS","FAIL")</x:f>
        <x:v>PASS</x:v>
      </x:c>
      <x:c r="I16" s="9" t="str">
        <x:v>58 negative cases</x:v>
      </x:c>
    </x:row>
    <x:row r="17">
      <x:c r="B17" s="9" t="str">
        <x:v>AU-011</x:v>
      </x:c>
      <x:c r="C17" s="9" t="str">
        <x:v>measurement</x:v>
      </x:c>
      <x:c r="D17" s="9" t="str">
        <x:v>custody ratio</x:v>
      </x:c>
      <x:c r="E17" s="21" t="n">
        <x:f>'Controls'!$D$25/'Controls'!$D$43</x:f>
        <x:v>4</x:v>
      </x:c>
      <x:c r="F17" s="21" t="n">
        <x:f>'Controls'!$D$24</x:f>
        <x:v>4</x:v>
      </x:c>
      <x:c r="G17" s="21" t="n">
        <x:f>E17-F17</x:f>
        <x:v>0</x:v>
      </x:c>
      <x:c r="H17" s="9" t="str">
        <x:f>IF(E17&gt;=F17,"PASS","FAIL")</x:f>
        <x:v>PASS</x:v>
      </x:c>
      <x:c r="I17" s="9" t="str">
        <x:v>four-to-one rule</x:v>
      </x:c>
    </x:row>
    <x:row r="18">
      <x:c r="B18" s="9" t="str">
        <x:v>AU-012</x:v>
      </x:c>
      <x:c r="C18" s="9" t="str">
        <x:v>finance</x:v>
      </x:c>
      <x:c r="D18" s="9" t="str">
        <x:v>capital total</x:v>
      </x:c>
      <x:c r="E18" s="21" t="n">
        <x:f>Capital!B22</x:f>
        <x:v>0.4300000000000001</x:v>
      </x:c>
      <x:c r="F18" s="21" t="n">
        <x:f>'Controls'!$D$18</x:f>
        <x:v>0.43</x:v>
      </x:c>
      <x:c r="G18" s="21" t="n">
        <x:f>E18-F18</x:f>
        <x:v>1.1102230246251565e-16</x:v>
      </x:c>
      <x:c r="H18" s="9" t="str">
        <x:f>IF(ABS(G18)&lt;0.000001,"PASS","FAIL")</x:f>
        <x:v>PASS</x:v>
      </x:c>
      <x:c r="I18" s="9" t="str">
        <x:v>Capital</x:v>
      </x:c>
    </x:row>
    <x:row r="19">
      <x:c r="B19" s="9" t="str">
        <x:v>AU-013</x:v>
      </x:c>
      <x:c r="C19" s="9" t="str">
        <x:v>finance</x:v>
      </x:c>
      <x:c r="D19" s="9" t="str">
        <x:v>annual total</x:v>
      </x:c>
      <x:c r="E19" s="21" t="n">
        <x:f>'Annual Support'!B19</x:f>
        <x:v>0.09800000000000003</x:v>
      </x:c>
      <x:c r="F19" s="21" t="n">
        <x:f>'Controls'!$D$19</x:f>
        <x:v>0.098</x:v>
      </x:c>
      <x:c r="G19" s="21" t="n">
        <x:f>E19-F19</x:f>
        <x:v>2.7755575615628914e-17</x:v>
      </x:c>
      <x:c r="H19" s="9" t="str">
        <x:f>IF(ABS(G19)&lt;0.000001,"PASS","FAIL")</x:f>
        <x:v>PASS</x:v>
      </x:c>
      <x:c r="I19" s="9" t="str">
        <x:v>Annual Support</x:v>
      </x:c>
    </x:row>
    <x:row r="20">
      <x:c r="B20" s="9" t="str">
        <x:v>AU-014</x:v>
      </x:c>
      <x:c r="C20" s="9" t="str">
        <x:v>finance</x:v>
      </x:c>
      <x:c r="D20" s="9" t="str">
        <x:v>BRD-2 capital</x:v>
      </x:c>
      <x:c r="E20" s="21" t="n">
        <x:f>Capital!G22</x:f>
        <x:v>0.7480000000000001</x:v>
      </x:c>
      <x:c r="F20" s="21" t="n">
        <x:v>0.748</x:v>
      </x:c>
      <x:c r="G20" s="21" t="n">
        <x:f>E20-F20</x:f>
        <x:v>1.1102230246251565e-16</x:v>
      </x:c>
      <x:c r="H20" s="9" t="str">
        <x:f>IF(ABS(G20)&lt;0.000001,"PASS","FAIL")</x:f>
        <x:v>PASS</x:v>
      </x:c>
      <x:c r="I20" s="9" t="str">
        <x:v>prior plus increment</x:v>
      </x:c>
    </x:row>
    <x:row r="21">
      <x:c r="B21" s="9" t="str">
        <x:v>AU-015</x:v>
      </x:c>
      <x:c r="C21" s="9" t="str">
        <x:v>finance</x:v>
      </x:c>
      <x:c r="D21" s="9" t="str">
        <x:v>BRD-2 annual</x:v>
      </x:c>
      <x:c r="E21" s="21" t="n">
        <x:f>'Annual Support'!I19</x:f>
        <x:v>0.18200000000000005</x:v>
      </x:c>
      <x:c r="F21" s="21" t="n">
        <x:v>0.182</x:v>
      </x:c>
      <x:c r="G21" s="21" t="n">
        <x:f>E21-F21</x:f>
        <x:v>5.551115123125783e-17</x:v>
      </x:c>
      <x:c r="H21" s="9" t="str">
        <x:f>IF(ABS(G21)&lt;0.000001,"PASS","FAIL")</x:f>
        <x:v>PASS</x:v>
      </x:c>
      <x:c r="I21" s="9" t="str">
        <x:v>prior plus increment</x:v>
      </x:c>
    </x:row>
    <x:row r="22">
      <x:c r="B22" s="9" t="str">
        <x:v>AU-016</x:v>
      </x:c>
      <x:c r="C22" s="9" t="str">
        <x:v>finance</x:v>
      </x:c>
      <x:c r="D22" s="9" t="str">
        <x:v>30-month campaign</x:v>
      </x:c>
      <x:c r="E22" s="21" t="n">
        <x:f>'Annual Support'!H19</x:f>
        <x:v>0.675</x:v>
      </x:c>
      <x:c r="F22" s="21" t="n">
        <x:v>0.675</x:v>
      </x:c>
      <x:c r="G22" s="21" t="n">
        <x:f>E22-F22</x:f>
        <x:v>0</x:v>
      </x:c>
      <x:c r="H22" s="9" t="str">
        <x:f>IF(ABS(G22)&lt;0.000001,"PASS","FAIL")</x:f>
        <x:v>PASS</x:v>
      </x:c>
      <x:c r="I22" s="9" t="str">
        <x:v>capital plus support</x:v>
      </x:c>
    </x:row>
    <x:row r="23">
      <x:c r="B23" s="9" t="str">
        <x:v>AU-017</x:v>
      </x:c>
      <x:c r="C23" s="9" t="str">
        <x:v>authority</x:v>
      </x:c>
      <x:c r="D23" s="9" t="str">
        <x:v>planning gates</x:v>
      </x:c>
      <x:c r="E23" s="21" t="n">
        <x:f>COUNTIF('Release Gates'!H7:H70,"PASS")</x:f>
        <x:v>64</x:v>
      </x:c>
      <x:c r="F23" s="21" t="n">
        <x:f>'Controls'!$D$33</x:f>
        <x:v>64</x:v>
      </x:c>
      <x:c r="G23" s="21" t="n">
        <x:f>E23-F23</x:f>
        <x:v>0</x:v>
      </x:c>
      <x:c r="H23" s="9" t="str">
        <x:f>IF(ABS(G23)&lt;0.000001,"PASS","FAIL")</x:f>
        <x:v>PASS</x:v>
      </x:c>
      <x:c r="I23" s="9" t="str">
        <x:v>Release Gates</x:v>
      </x:c>
    </x:row>
    <x:row r="24">
      <x:c r="B24" s="9" t="str">
        <x:v>AU-018</x:v>
      </x:c>
      <x:c r="C24" s="9" t="str">
        <x:v>authority</x:v>
      </x:c>
      <x:c r="D24" s="9" t="str">
        <x:v>source gates passing</x:v>
      </x:c>
      <x:c r="E24" s="21" t="n">
        <x:f>COUNTIF('Release Gates'!H71:H102,"PASS")</x:f>
        <x:v>0</x:v>
      </x:c>
      <x:c r="F24" s="21" t="n">
        <x:v>0</x:v>
      </x:c>
      <x:c r="G24" s="21" t="n">
        <x:f>E24-F24</x:f>
        <x:v>0</x:v>
      </x:c>
      <x:c r="H24" s="9" t="str">
        <x:f>IF(ABS(G24)&lt;0.000001,"PASS","FAIL")</x:f>
        <x:v>PASS</x:v>
      </x:c>
      <x:c r="I24" s="9" t="str">
        <x:v>must remain zero</x:v>
      </x:c>
    </x:row>
    <x:row r="25">
      <x:c r="B25" s="9" t="str">
        <x:v>AU-019</x:v>
      </x:c>
      <x:c r="C25" s="9" t="str">
        <x:v>authority</x:v>
      </x:c>
      <x:c r="D25" s="9" t="str">
        <x:v>downstream gates passing</x:v>
      </x:c>
      <x:c r="E25" s="21" t="n">
        <x:f>COUNTIF('Release Gates'!H103:H106,"PASS")</x:f>
        <x:v>0</x:v>
      </x:c>
      <x:c r="F25" s="21" t="n">
        <x:v>0</x:v>
      </x:c>
      <x:c r="G25" s="21" t="n">
        <x:f>E25-F25</x:f>
        <x:v>0</x:v>
      </x:c>
      <x:c r="H25" s="9" t="str">
        <x:f>IF(ABS(G25)&lt;0.000001,"PASS","FAIL")</x:f>
        <x:v>PASS</x:v>
      </x:c>
      <x:c r="I25" s="9" t="str">
        <x:v>must remain zero</x:v>
      </x:c>
    </x:row>
    <x:row r="26">
      <x:c r="B26" s="9" t="str">
        <x:v>AU-020</x:v>
      </x:c>
      <x:c r="C26" s="9" t="str">
        <x:v>article</x:v>
      </x:c>
      <x:c r="D26" s="9" t="str">
        <x:v>specimen definition 1</x:v>
      </x:c>
      <x:c r="E26" s="21" t="n">
        <x:f>IF('Article Bank'!L7="PASS",1,0)</x:f>
        <x:v>1</x:v>
      </x:c>
      <x:c r="F26" s="21" t="n">
        <x:v>1</x:v>
      </x:c>
      <x:c r="G26" s="21" t="n">
        <x:f>E26-F26</x:f>
        <x:v>0</x:v>
      </x:c>
      <x:c r="H26" s="9" t="str">
        <x:f>IF(ABS(G26)&lt;0.000001,"PASS","FAIL")</x:f>
        <x:v>PASS</x:v>
      </x:c>
      <x:c r="I26" s="9" t="str">
        <x:v>Article Bank!7</x:v>
      </x:c>
    </x:row>
    <x:row r="27">
      <x:c r="B27" s="9" t="str">
        <x:v>AU-021</x:v>
      </x:c>
      <x:c r="C27" s="9" t="str">
        <x:v>article</x:v>
      </x:c>
      <x:c r="D27" s="9" t="str">
        <x:v>specimen definition 2</x:v>
      </x:c>
      <x:c r="E27" s="21" t="n">
        <x:f>IF('Article Bank'!L8="PASS",1,0)</x:f>
        <x:v>1</x:v>
      </x:c>
      <x:c r="F27" s="21" t="n">
        <x:v>1</x:v>
      </x:c>
      <x:c r="G27" s="21" t="n">
        <x:f>E27-F27</x:f>
        <x:v>0</x:v>
      </x:c>
      <x:c r="H27" s="9" t="str">
        <x:f>IF(ABS(G27)&lt;0.000001,"PASS","FAIL")</x:f>
        <x:v>PASS</x:v>
      </x:c>
      <x:c r="I27" s="9" t="str">
        <x:v>Article Bank!8</x:v>
      </x:c>
    </x:row>
    <x:row r="28">
      <x:c r="B28" s="9" t="str">
        <x:v>AU-022</x:v>
      </x:c>
      <x:c r="C28" s="9" t="str">
        <x:v>article</x:v>
      </x:c>
      <x:c r="D28" s="9" t="str">
        <x:v>specimen definition 3</x:v>
      </x:c>
      <x:c r="E28" s="21" t="n">
        <x:f>IF('Article Bank'!L9="PASS",1,0)</x:f>
        <x:v>1</x:v>
      </x:c>
      <x:c r="F28" s="21" t="n">
        <x:v>1</x:v>
      </x:c>
      <x:c r="G28" s="21" t="n">
        <x:f>E28-F28</x:f>
        <x:v>0</x:v>
      </x:c>
      <x:c r="H28" s="9" t="str">
        <x:f>IF(ABS(G28)&lt;0.000001,"PASS","FAIL")</x:f>
        <x:v>PASS</x:v>
      </x:c>
      <x:c r="I28" s="9" t="str">
        <x:v>Article Bank!9</x:v>
      </x:c>
    </x:row>
    <x:row r="29">
      <x:c r="B29" s="9" t="str">
        <x:v>AU-023</x:v>
      </x:c>
      <x:c r="C29" s="9" t="str">
        <x:v>article</x:v>
      </x:c>
      <x:c r="D29" s="9" t="str">
        <x:v>specimen definition 4</x:v>
      </x:c>
      <x:c r="E29" s="21" t="n">
        <x:f>IF('Article Bank'!L10="PASS",1,0)</x:f>
        <x:v>1</x:v>
      </x:c>
      <x:c r="F29" s="21" t="n">
        <x:v>1</x:v>
      </x:c>
      <x:c r="G29" s="21" t="n">
        <x:f>E29-F29</x:f>
        <x:v>0</x:v>
      </x:c>
      <x:c r="H29" s="9" t="str">
        <x:f>IF(ABS(G29)&lt;0.000001,"PASS","FAIL")</x:f>
        <x:v>PASS</x:v>
      </x:c>
      <x:c r="I29" s="9" t="str">
        <x:v>Article Bank!10</x:v>
      </x:c>
    </x:row>
    <x:row r="30">
      <x:c r="B30" s="9" t="str">
        <x:v>AU-024</x:v>
      </x:c>
      <x:c r="C30" s="9" t="str">
        <x:v>article</x:v>
      </x:c>
      <x:c r="D30" s="9" t="str">
        <x:v>specimen definition 5</x:v>
      </x:c>
      <x:c r="E30" s="21" t="n">
        <x:f>IF('Article Bank'!L11="PASS",1,0)</x:f>
        <x:v>1</x:v>
      </x:c>
      <x:c r="F30" s="21" t="n">
        <x:v>1</x:v>
      </x:c>
      <x:c r="G30" s="21" t="n">
        <x:f>E30-F30</x:f>
        <x:v>0</x:v>
      </x:c>
      <x:c r="H30" s="9" t="str">
        <x:f>IF(ABS(G30)&lt;0.000001,"PASS","FAIL")</x:f>
        <x:v>PASS</x:v>
      </x:c>
      <x:c r="I30" s="9" t="str">
        <x:v>Article Bank!11</x:v>
      </x:c>
    </x:row>
    <x:row r="31">
      <x:c r="B31" s="9" t="str">
        <x:v>AU-025</x:v>
      </x:c>
      <x:c r="C31" s="9" t="str">
        <x:v>article</x:v>
      </x:c>
      <x:c r="D31" s="9" t="str">
        <x:v>specimen definition 6</x:v>
      </x:c>
      <x:c r="E31" s="21" t="n">
        <x:f>IF('Article Bank'!L12="PASS",1,0)</x:f>
        <x:v>1</x:v>
      </x:c>
      <x:c r="F31" s="21" t="n">
        <x:v>1</x:v>
      </x:c>
      <x:c r="G31" s="21" t="n">
        <x:f>E31-F31</x:f>
        <x:v>0</x:v>
      </x:c>
      <x:c r="H31" s="9" t="str">
        <x:f>IF(ABS(G31)&lt;0.000001,"PASS","FAIL")</x:f>
        <x:v>PASS</x:v>
      </x:c>
      <x:c r="I31" s="9" t="str">
        <x:v>Article Bank!12</x:v>
      </x:c>
    </x:row>
    <x:row r="32">
      <x:c r="B32" s="9" t="str">
        <x:v>AU-026</x:v>
      </x:c>
      <x:c r="C32" s="9" t="str">
        <x:v>article</x:v>
      </x:c>
      <x:c r="D32" s="9" t="str">
        <x:v>specimen definition 7</x:v>
      </x:c>
      <x:c r="E32" s="21" t="n">
        <x:f>IF('Article Bank'!L13="PASS",1,0)</x:f>
        <x:v>1</x:v>
      </x:c>
      <x:c r="F32" s="21" t="n">
        <x:v>1</x:v>
      </x:c>
      <x:c r="G32" s="21" t="n">
        <x:f>E32-F32</x:f>
        <x:v>0</x:v>
      </x:c>
      <x:c r="H32" s="9" t="str">
        <x:f>IF(ABS(G32)&lt;0.000001,"PASS","FAIL")</x:f>
        <x:v>PASS</x:v>
      </x:c>
      <x:c r="I32" s="9" t="str">
        <x:v>Article Bank!13</x:v>
      </x:c>
    </x:row>
    <x:row r="33">
      <x:c r="B33" s="9" t="str">
        <x:v>AU-027</x:v>
      </x:c>
      <x:c r="C33" s="9" t="str">
        <x:v>article</x:v>
      </x:c>
      <x:c r="D33" s="9" t="str">
        <x:v>specimen definition 8</x:v>
      </x:c>
      <x:c r="E33" s="21" t="n">
        <x:f>IF('Article Bank'!L14="PASS",1,0)</x:f>
        <x:v>1</x:v>
      </x:c>
      <x:c r="F33" s="21" t="n">
        <x:v>1</x:v>
      </x:c>
      <x:c r="G33" s="21" t="n">
        <x:f>E33-F33</x:f>
        <x:v>0</x:v>
      </x:c>
      <x:c r="H33" s="9" t="str">
        <x:f>IF(ABS(G33)&lt;0.000001,"PASS","FAIL")</x:f>
        <x:v>PASS</x:v>
      </x:c>
      <x:c r="I33" s="9" t="str">
        <x:v>Article Bank!14</x:v>
      </x:c>
    </x:row>
    <x:row r="34">
      <x:c r="B34" s="9" t="str">
        <x:v>AU-028</x:v>
      </x:c>
      <x:c r="C34" s="9" t="str">
        <x:v>article</x:v>
      </x:c>
      <x:c r="D34" s="9" t="str">
        <x:v>specimen definition 9</x:v>
      </x:c>
      <x:c r="E34" s="21" t="n">
        <x:f>IF('Article Bank'!L15="PASS",1,0)</x:f>
        <x:v>1</x:v>
      </x:c>
      <x:c r="F34" s="21" t="n">
        <x:v>1</x:v>
      </x:c>
      <x:c r="G34" s="21" t="n">
        <x:f>E34-F34</x:f>
        <x:v>0</x:v>
      </x:c>
      <x:c r="H34" s="9" t="str">
        <x:f>IF(ABS(G34)&lt;0.000001,"PASS","FAIL")</x:f>
        <x:v>PASS</x:v>
      </x:c>
      <x:c r="I34" s="9" t="str">
        <x:v>Article Bank!15</x:v>
      </x:c>
    </x:row>
    <x:row r="35">
      <x:c r="B35" s="9" t="str">
        <x:v>AU-029</x:v>
      </x:c>
      <x:c r="C35" s="9" t="str">
        <x:v>article</x:v>
      </x:c>
      <x:c r="D35" s="9" t="str">
        <x:v>specimen definition 10</x:v>
      </x:c>
      <x:c r="E35" s="21" t="n">
        <x:f>IF('Article Bank'!L16="PASS",1,0)</x:f>
        <x:v>1</x:v>
      </x:c>
      <x:c r="F35" s="21" t="n">
        <x:v>1</x:v>
      </x:c>
      <x:c r="G35" s="21" t="n">
        <x:f>E35-F35</x:f>
        <x:v>0</x:v>
      </x:c>
      <x:c r="H35" s="9" t="str">
        <x:f>IF(ABS(G35)&lt;0.000001,"PASS","FAIL")</x:f>
        <x:v>PASS</x:v>
      </x:c>
      <x:c r="I35" s="9" t="str">
        <x:v>Article Bank!16</x:v>
      </x:c>
    </x:row>
    <x:row r="36">
      <x:c r="B36" s="9" t="str">
        <x:v>AU-030</x:v>
      </x:c>
      <x:c r="C36" s="9" t="str">
        <x:v>article</x:v>
      </x:c>
      <x:c r="D36" s="9" t="str">
        <x:v>specimen definition 11</x:v>
      </x:c>
      <x:c r="E36" s="21" t="n">
        <x:f>IF('Article Bank'!L17="PASS",1,0)</x:f>
        <x:v>1</x:v>
      </x:c>
      <x:c r="F36" s="21" t="n">
        <x:v>1</x:v>
      </x:c>
      <x:c r="G36" s="21" t="n">
        <x:f>E36-F36</x:f>
        <x:v>0</x:v>
      </x:c>
      <x:c r="H36" s="9" t="str">
        <x:f>IF(ABS(G36)&lt;0.000001,"PASS","FAIL")</x:f>
        <x:v>PASS</x:v>
      </x:c>
      <x:c r="I36" s="9" t="str">
        <x:v>Article Bank!17</x:v>
      </x:c>
    </x:row>
    <x:row r="37">
      <x:c r="B37" s="9" t="str">
        <x:v>AU-031</x:v>
      </x:c>
      <x:c r="C37" s="9" t="str">
        <x:v>article</x:v>
      </x:c>
      <x:c r="D37" s="9" t="str">
        <x:v>specimen definition 12</x:v>
      </x:c>
      <x:c r="E37" s="21" t="n">
        <x:f>IF('Article Bank'!L18="PASS",1,0)</x:f>
        <x:v>1</x:v>
      </x:c>
      <x:c r="F37" s="21" t="n">
        <x:v>1</x:v>
      </x:c>
      <x:c r="G37" s="21" t="n">
        <x:f>E37-F37</x:f>
        <x:v>0</x:v>
      </x:c>
      <x:c r="H37" s="9" t="str">
        <x:f>IF(ABS(G37)&lt;0.000001,"PASS","FAIL")</x:f>
        <x:v>PASS</x:v>
      </x:c>
      <x:c r="I37" s="9" t="str">
        <x:v>Article Bank!18</x:v>
      </x:c>
    </x:row>
    <x:row r="38">
      <x:c r="B38" s="9" t="str">
        <x:v>AU-032</x:v>
      </x:c>
      <x:c r="C38" s="9" t="str">
        <x:v>article</x:v>
      </x:c>
      <x:c r="D38" s="9" t="str">
        <x:v>specimen definition 13</x:v>
      </x:c>
      <x:c r="E38" s="21" t="n">
        <x:f>IF('Article Bank'!L19="PASS",1,0)</x:f>
        <x:v>1</x:v>
      </x:c>
      <x:c r="F38" s="21" t="n">
        <x:v>1</x:v>
      </x:c>
      <x:c r="G38" s="21" t="n">
        <x:f>E38-F38</x:f>
        <x:v>0</x:v>
      </x:c>
      <x:c r="H38" s="9" t="str">
        <x:f>IF(ABS(G38)&lt;0.000001,"PASS","FAIL")</x:f>
        <x:v>PASS</x:v>
      </x:c>
      <x:c r="I38" s="9" t="str">
        <x:v>Article Bank!19</x:v>
      </x:c>
    </x:row>
    <x:row r="39">
      <x:c r="B39" s="9" t="str">
        <x:v>AU-033</x:v>
      </x:c>
      <x:c r="C39" s="9" t="str">
        <x:v>article</x:v>
      </x:c>
      <x:c r="D39" s="9" t="str">
        <x:v>specimen definition 14</x:v>
      </x:c>
      <x:c r="E39" s="21" t="n">
        <x:f>IF('Article Bank'!L20="PASS",1,0)</x:f>
        <x:v>1</x:v>
      </x:c>
      <x:c r="F39" s="21" t="n">
        <x:v>1</x:v>
      </x:c>
      <x:c r="G39" s="21" t="n">
        <x:f>E39-F39</x:f>
        <x:v>0</x:v>
      </x:c>
      <x:c r="H39" s="9" t="str">
        <x:f>IF(ABS(G39)&lt;0.000001,"PASS","FAIL")</x:f>
        <x:v>PASS</x:v>
      </x:c>
      <x:c r="I39" s="9" t="str">
        <x:v>Article Bank!20</x:v>
      </x:c>
    </x:row>
    <x:row r="40">
      <x:c r="B40" s="9" t="str">
        <x:v>AU-034</x:v>
      </x:c>
      <x:c r="C40" s="9" t="str">
        <x:v>article</x:v>
      </x:c>
      <x:c r="D40" s="9" t="str">
        <x:v>specimen definition 15</x:v>
      </x:c>
      <x:c r="E40" s="21" t="n">
        <x:f>IF('Article Bank'!L21="PASS",1,0)</x:f>
        <x:v>1</x:v>
      </x:c>
      <x:c r="F40" s="21" t="n">
        <x:v>1</x:v>
      </x:c>
      <x:c r="G40" s="21" t="n">
        <x:f>E40-F40</x:f>
        <x:v>0</x:v>
      </x:c>
      <x:c r="H40" s="9" t="str">
        <x:f>IF(ABS(G40)&lt;0.000001,"PASS","FAIL")</x:f>
        <x:v>PASS</x:v>
      </x:c>
      <x:c r="I40" s="9" t="str">
        <x:v>Article Bank!21</x:v>
      </x:c>
    </x:row>
    <x:row r="41">
      <x:c r="B41" s="9" t="str">
        <x:v>AU-035</x:v>
      </x:c>
      <x:c r="C41" s="9" t="str">
        <x:v>article</x:v>
      </x:c>
      <x:c r="D41" s="9" t="str">
        <x:v>specimen definition 16</x:v>
      </x:c>
      <x:c r="E41" s="21" t="n">
        <x:f>IF('Article Bank'!L22="PASS",1,0)</x:f>
        <x:v>1</x:v>
      </x:c>
      <x:c r="F41" s="21" t="n">
        <x:v>1</x:v>
      </x:c>
      <x:c r="G41" s="21" t="n">
        <x:f>E41-F41</x:f>
        <x:v>0</x:v>
      </x:c>
      <x:c r="H41" s="9" t="str">
        <x:f>IF(ABS(G41)&lt;0.000001,"PASS","FAIL")</x:f>
        <x:v>PASS</x:v>
      </x:c>
      <x:c r="I41" s="9" t="str">
        <x:v>Article Bank!22</x:v>
      </x:c>
    </x:row>
    <x:row r="42">
      <x:c r="B42" s="9" t="str">
        <x:v>AU-036</x:v>
      </x:c>
      <x:c r="C42" s="9" t="str">
        <x:v>article</x:v>
      </x:c>
      <x:c r="D42" s="9" t="str">
        <x:v>specimen definition 17</x:v>
      </x:c>
      <x:c r="E42" s="21" t="n">
        <x:f>IF('Article Bank'!L23="PASS",1,0)</x:f>
        <x:v>1</x:v>
      </x:c>
      <x:c r="F42" s="21" t="n">
        <x:v>1</x:v>
      </x:c>
      <x:c r="G42" s="21" t="n">
        <x:f>E42-F42</x:f>
        <x:v>0</x:v>
      </x:c>
      <x:c r="H42" s="9" t="str">
        <x:f>IF(ABS(G42)&lt;0.000001,"PASS","FAIL")</x:f>
        <x:v>PASS</x:v>
      </x:c>
      <x:c r="I42" s="9" t="str">
        <x:v>Article Bank!23</x:v>
      </x:c>
    </x:row>
    <x:row r="43">
      <x:c r="B43" s="9" t="str">
        <x:v>AU-037</x:v>
      </x:c>
      <x:c r="C43" s="9" t="str">
        <x:v>article</x:v>
      </x:c>
      <x:c r="D43" s="9" t="str">
        <x:v>specimen definition 18</x:v>
      </x:c>
      <x:c r="E43" s="21" t="n">
        <x:f>IF('Article Bank'!L24="PASS",1,0)</x:f>
        <x:v>1</x:v>
      </x:c>
      <x:c r="F43" s="21" t="n">
        <x:v>1</x:v>
      </x:c>
      <x:c r="G43" s="21" t="n">
        <x:f>E43-F43</x:f>
        <x:v>0</x:v>
      </x:c>
      <x:c r="H43" s="9" t="str">
        <x:f>IF(ABS(G43)&lt;0.000001,"PASS","FAIL")</x:f>
        <x:v>PASS</x:v>
      </x:c>
      <x:c r="I43" s="9" t="str">
        <x:v>Article Bank!24</x:v>
      </x:c>
    </x:row>
    <x:row r="44">
      <x:c r="B44" s="9" t="str">
        <x:v>AU-038</x:v>
      </x:c>
      <x:c r="C44" s="9" t="str">
        <x:v>article</x:v>
      </x:c>
      <x:c r="D44" s="9" t="str">
        <x:v>specimen definition 19</x:v>
      </x:c>
      <x:c r="E44" s="21" t="n">
        <x:f>IF('Article Bank'!L25="PASS",1,0)</x:f>
        <x:v>1</x:v>
      </x:c>
      <x:c r="F44" s="21" t="n">
        <x:v>1</x:v>
      </x:c>
      <x:c r="G44" s="21" t="n">
        <x:f>E44-F44</x:f>
        <x:v>0</x:v>
      </x:c>
      <x:c r="H44" s="9" t="str">
        <x:f>IF(ABS(G44)&lt;0.000001,"PASS","FAIL")</x:f>
        <x:v>PASS</x:v>
      </x:c>
      <x:c r="I44" s="9" t="str">
        <x:v>Article Bank!25</x:v>
      </x:c>
    </x:row>
    <x:row r="45">
      <x:c r="B45" s="9" t="str">
        <x:v>AU-039</x:v>
      </x:c>
      <x:c r="C45" s="9" t="str">
        <x:v>article</x:v>
      </x:c>
      <x:c r="D45" s="9" t="str">
        <x:v>specimen definition 20</x:v>
      </x:c>
      <x:c r="E45" s="21" t="n">
        <x:f>IF('Article Bank'!L26="PASS",1,0)</x:f>
        <x:v>1</x:v>
      </x:c>
      <x:c r="F45" s="21" t="n">
        <x:v>1</x:v>
      </x:c>
      <x:c r="G45" s="21" t="n">
        <x:f>E45-F45</x:f>
        <x:v>0</x:v>
      </x:c>
      <x:c r="H45" s="9" t="str">
        <x:f>IF(ABS(G45)&lt;0.000001,"PASS","FAIL")</x:f>
        <x:v>PASS</x:v>
      </x:c>
      <x:c r="I45" s="9" t="str">
        <x:v>Article Bank!26</x:v>
      </x:c>
    </x:row>
    <x:row r="46">
      <x:c r="B46" s="9" t="str">
        <x:v>AU-040</x:v>
      </x:c>
      <x:c r="C46" s="9" t="str">
        <x:v>article</x:v>
      </x:c>
      <x:c r="D46" s="9" t="str">
        <x:v>specimen definition 21</x:v>
      </x:c>
      <x:c r="E46" s="21" t="n">
        <x:f>IF('Article Bank'!L27="PASS",1,0)</x:f>
        <x:v>1</x:v>
      </x:c>
      <x:c r="F46" s="21" t="n">
        <x:v>1</x:v>
      </x:c>
      <x:c r="G46" s="21" t="n">
        <x:f>E46-F46</x:f>
        <x:v>0</x:v>
      </x:c>
      <x:c r="H46" s="9" t="str">
        <x:f>IF(ABS(G46)&lt;0.000001,"PASS","FAIL")</x:f>
        <x:v>PASS</x:v>
      </x:c>
      <x:c r="I46" s="9" t="str">
        <x:v>Article Bank!27</x:v>
      </x:c>
    </x:row>
    <x:row r="47">
      <x:c r="B47" s="9" t="str">
        <x:v>AU-041</x:v>
      </x:c>
      <x:c r="C47" s="9" t="str">
        <x:v>article</x:v>
      </x:c>
      <x:c r="D47" s="9" t="str">
        <x:v>specimen definition 22</x:v>
      </x:c>
      <x:c r="E47" s="21" t="n">
        <x:f>IF('Article Bank'!L28="PASS",1,0)</x:f>
        <x:v>1</x:v>
      </x:c>
      <x:c r="F47" s="21" t="n">
        <x:v>1</x:v>
      </x:c>
      <x:c r="G47" s="21" t="n">
        <x:f>E47-F47</x:f>
        <x:v>0</x:v>
      </x:c>
      <x:c r="H47" s="9" t="str">
        <x:f>IF(ABS(G47)&lt;0.000001,"PASS","FAIL")</x:f>
        <x:v>PASS</x:v>
      </x:c>
      <x:c r="I47" s="9" t="str">
        <x:v>Article Bank!28</x:v>
      </x:c>
    </x:row>
    <x:row r="48">
      <x:c r="B48" s="9" t="str">
        <x:v>AU-042</x:v>
      </x:c>
      <x:c r="C48" s="9" t="str">
        <x:v>article</x:v>
      </x:c>
      <x:c r="D48" s="9" t="str">
        <x:v>specimen definition 23</x:v>
      </x:c>
      <x:c r="E48" s="21" t="n">
        <x:f>IF('Article Bank'!L29="PASS",1,0)</x:f>
        <x:v>1</x:v>
      </x:c>
      <x:c r="F48" s="21" t="n">
        <x:v>1</x:v>
      </x:c>
      <x:c r="G48" s="21" t="n">
        <x:f>E48-F48</x:f>
        <x:v>0</x:v>
      </x:c>
      <x:c r="H48" s="9" t="str">
        <x:f>IF(ABS(G48)&lt;0.000001,"PASS","FAIL")</x:f>
        <x:v>PASS</x:v>
      </x:c>
      <x:c r="I48" s="9" t="str">
        <x:v>Article Bank!29</x:v>
      </x:c>
    </x:row>
    <x:row r="49">
      <x:c r="B49" s="9" t="str">
        <x:v>AU-043</x:v>
      </x:c>
      <x:c r="C49" s="9" t="str">
        <x:v>article</x:v>
      </x:c>
      <x:c r="D49" s="9" t="str">
        <x:v>specimen definition 24</x:v>
      </x:c>
      <x:c r="E49" s="21" t="n">
        <x:f>IF('Article Bank'!L30="PASS",1,0)</x:f>
        <x:v>1</x:v>
      </x:c>
      <x:c r="F49" s="21" t="n">
        <x:v>1</x:v>
      </x:c>
      <x:c r="G49" s="21" t="n">
        <x:f>E49-F49</x:f>
        <x:v>0</x:v>
      </x:c>
      <x:c r="H49" s="9" t="str">
        <x:f>IF(ABS(G49)&lt;0.000001,"PASS","FAIL")</x:f>
        <x:v>PASS</x:v>
      </x:c>
      <x:c r="I49" s="9" t="str">
        <x:v>Article Bank!30</x:v>
      </x:c>
    </x:row>
    <x:row r="50">
      <x:c r="B50" s="9" t="str">
        <x:v>AU-044</x:v>
      </x:c>
      <x:c r="C50" s="9" t="str">
        <x:v>article</x:v>
      </x:c>
      <x:c r="D50" s="9" t="str">
        <x:v>specimen definition 25</x:v>
      </x:c>
      <x:c r="E50" s="21" t="n">
        <x:f>IF('Article Bank'!L31="PASS",1,0)</x:f>
        <x:v>1</x:v>
      </x:c>
      <x:c r="F50" s="21" t="n">
        <x:v>1</x:v>
      </x:c>
      <x:c r="G50" s="21" t="n">
        <x:f>E50-F50</x:f>
        <x:v>0</x:v>
      </x:c>
      <x:c r="H50" s="9" t="str">
        <x:f>IF(ABS(G50)&lt;0.000001,"PASS","FAIL")</x:f>
        <x:v>PASS</x:v>
      </x:c>
      <x:c r="I50" s="9" t="str">
        <x:v>Article Bank!31</x:v>
      </x:c>
    </x:row>
    <x:row r="51">
      <x:c r="B51" s="9" t="str">
        <x:v>AU-045</x:v>
      </x:c>
      <x:c r="C51" s="9" t="str">
        <x:v>article</x:v>
      </x:c>
      <x:c r="D51" s="9" t="str">
        <x:v>specimen definition 26</x:v>
      </x:c>
      <x:c r="E51" s="21" t="n">
        <x:f>IF('Article Bank'!L32="PASS",1,0)</x:f>
        <x:v>1</x:v>
      </x:c>
      <x:c r="F51" s="21" t="n">
        <x:v>1</x:v>
      </x:c>
      <x:c r="G51" s="21" t="n">
        <x:f>E51-F51</x:f>
        <x:v>0</x:v>
      </x:c>
      <x:c r="H51" s="9" t="str">
        <x:f>IF(ABS(G51)&lt;0.000001,"PASS","FAIL")</x:f>
        <x:v>PASS</x:v>
      </x:c>
      <x:c r="I51" s="9" t="str">
        <x:v>Article Bank!32</x:v>
      </x:c>
    </x:row>
    <x:row r="52">
      <x:c r="B52" s="9" t="str">
        <x:v>AU-046</x:v>
      </x:c>
      <x:c r="C52" s="9" t="str">
        <x:v>article</x:v>
      </x:c>
      <x:c r="D52" s="9" t="str">
        <x:v>specimen definition 27</x:v>
      </x:c>
      <x:c r="E52" s="21" t="n">
        <x:f>IF('Article Bank'!L33="PASS",1,0)</x:f>
        <x:v>1</x:v>
      </x:c>
      <x:c r="F52" s="21" t="n">
        <x:v>1</x:v>
      </x:c>
      <x:c r="G52" s="21" t="n">
        <x:f>E52-F52</x:f>
        <x:v>0</x:v>
      </x:c>
      <x:c r="H52" s="9" t="str">
        <x:f>IF(ABS(G52)&lt;0.000001,"PASS","FAIL")</x:f>
        <x:v>PASS</x:v>
      </x:c>
      <x:c r="I52" s="9" t="str">
        <x:v>Article Bank!33</x:v>
      </x:c>
    </x:row>
    <x:row r="53">
      <x:c r="B53" s="9" t="str">
        <x:v>AU-047</x:v>
      </x:c>
      <x:c r="C53" s="9" t="str">
        <x:v>article</x:v>
      </x:c>
      <x:c r="D53" s="9" t="str">
        <x:v>specimen definition 28</x:v>
      </x:c>
      <x:c r="E53" s="21" t="n">
        <x:f>IF('Article Bank'!L34="PASS",1,0)</x:f>
        <x:v>1</x:v>
      </x:c>
      <x:c r="F53" s="21" t="n">
        <x:v>1</x:v>
      </x:c>
      <x:c r="G53" s="21" t="n">
        <x:f>E53-F53</x:f>
        <x:v>0</x:v>
      </x:c>
      <x:c r="H53" s="9" t="str">
        <x:f>IF(ABS(G53)&lt;0.000001,"PASS","FAIL")</x:f>
        <x:v>PASS</x:v>
      </x:c>
      <x:c r="I53" s="9" t="str">
        <x:v>Article Bank!34</x:v>
      </x:c>
    </x:row>
    <x:row r="54">
      <x:c r="B54" s="9" t="str">
        <x:v>AU-048</x:v>
      </x:c>
      <x:c r="C54" s="9" t="str">
        <x:v>article</x:v>
      </x:c>
      <x:c r="D54" s="9" t="str">
        <x:v>specimen definition 29</x:v>
      </x:c>
      <x:c r="E54" s="21" t="n">
        <x:f>IF('Article Bank'!L35="PASS",1,0)</x:f>
        <x:v>1</x:v>
      </x:c>
      <x:c r="F54" s="21" t="n">
        <x:v>1</x:v>
      </x:c>
      <x:c r="G54" s="21" t="n">
        <x:f>E54-F54</x:f>
        <x:v>0</x:v>
      </x:c>
      <x:c r="H54" s="9" t="str">
        <x:f>IF(ABS(G54)&lt;0.000001,"PASS","FAIL")</x:f>
        <x:v>PASS</x:v>
      </x:c>
      <x:c r="I54" s="9" t="str">
        <x:v>Article Bank!35</x:v>
      </x:c>
    </x:row>
    <x:row r="55">
      <x:c r="B55" s="9" t="str">
        <x:v>AU-049</x:v>
      </x:c>
      <x:c r="C55" s="9" t="str">
        <x:v>article</x:v>
      </x:c>
      <x:c r="D55" s="9" t="str">
        <x:v>specimen definition 30</x:v>
      </x:c>
      <x:c r="E55" s="21" t="n">
        <x:f>IF('Article Bank'!L36="PASS",1,0)</x:f>
        <x:v>1</x:v>
      </x:c>
      <x:c r="F55" s="21" t="n">
        <x:v>1</x:v>
      </x:c>
      <x:c r="G55" s="21" t="n">
        <x:f>E55-F55</x:f>
        <x:v>0</x:v>
      </x:c>
      <x:c r="H55" s="9" t="str">
        <x:f>IF(ABS(G55)&lt;0.000001,"PASS","FAIL")</x:f>
        <x:v>PASS</x:v>
      </x:c>
      <x:c r="I55" s="9" t="str">
        <x:v>Article Bank!36</x:v>
      </x:c>
    </x:row>
    <x:row r="56">
      <x:c r="B56" s="9" t="str">
        <x:v>AU-050</x:v>
      </x:c>
      <x:c r="C56" s="9" t="str">
        <x:v>article</x:v>
      </x:c>
      <x:c r="D56" s="9" t="str">
        <x:v>specimen definition 31</x:v>
      </x:c>
      <x:c r="E56" s="21" t="n">
        <x:f>IF('Article Bank'!L37="PASS",1,0)</x:f>
        <x:v>1</x:v>
      </x:c>
      <x:c r="F56" s="21" t="n">
        <x:v>1</x:v>
      </x:c>
      <x:c r="G56" s="21" t="n">
        <x:f>E56-F56</x:f>
        <x:v>0</x:v>
      </x:c>
      <x:c r="H56" s="9" t="str">
        <x:f>IF(ABS(G56)&lt;0.000001,"PASS","FAIL")</x:f>
        <x:v>PASS</x:v>
      </x:c>
      <x:c r="I56" s="9" t="str">
        <x:v>Article Bank!37</x:v>
      </x:c>
    </x:row>
    <x:row r="57">
      <x:c r="B57" s="9" t="str">
        <x:v>AU-051</x:v>
      </x:c>
      <x:c r="C57" s="9" t="str">
        <x:v>article</x:v>
      </x:c>
      <x:c r="D57" s="9" t="str">
        <x:v>specimen definition 32</x:v>
      </x:c>
      <x:c r="E57" s="21" t="n">
        <x:f>IF('Article Bank'!L38="PASS",1,0)</x:f>
        <x:v>1</x:v>
      </x:c>
      <x:c r="F57" s="21" t="n">
        <x:v>1</x:v>
      </x:c>
      <x:c r="G57" s="21" t="n">
        <x:f>E57-F57</x:f>
        <x:v>0</x:v>
      </x:c>
      <x:c r="H57" s="9" t="str">
        <x:f>IF(ABS(G57)&lt;0.000001,"PASS","FAIL")</x:f>
        <x:v>PASS</x:v>
      </x:c>
      <x:c r="I57" s="9" t="str">
        <x:v>Article Bank!38</x:v>
      </x:c>
    </x:row>
    <x:row r="58">
      <x:c r="B58" s="9" t="str">
        <x:v>AU-052</x:v>
      </x:c>
      <x:c r="C58" s="9" t="str">
        <x:v>article</x:v>
      </x:c>
      <x:c r="D58" s="9" t="str">
        <x:v>specimen definition 33</x:v>
      </x:c>
      <x:c r="E58" s="21" t="n">
        <x:f>IF('Article Bank'!L39="PASS",1,0)</x:f>
        <x:v>1</x:v>
      </x:c>
      <x:c r="F58" s="21" t="n">
        <x:v>1</x:v>
      </x:c>
      <x:c r="G58" s="21" t="n">
        <x:f>E58-F58</x:f>
        <x:v>0</x:v>
      </x:c>
      <x:c r="H58" s="9" t="str">
        <x:f>IF(ABS(G58)&lt;0.000001,"PASS","FAIL")</x:f>
        <x:v>PASS</x:v>
      </x:c>
      <x:c r="I58" s="9" t="str">
        <x:v>Article Bank!39</x:v>
      </x:c>
    </x:row>
    <x:row r="59">
      <x:c r="B59" s="9" t="str">
        <x:v>AU-053</x:v>
      </x:c>
      <x:c r="C59" s="9" t="str">
        <x:v>article</x:v>
      </x:c>
      <x:c r="D59" s="9" t="str">
        <x:v>specimen definition 34</x:v>
      </x:c>
      <x:c r="E59" s="21" t="n">
        <x:f>IF('Article Bank'!L40="PASS",1,0)</x:f>
        <x:v>1</x:v>
      </x:c>
      <x:c r="F59" s="21" t="n">
        <x:v>1</x:v>
      </x:c>
      <x:c r="G59" s="21" t="n">
        <x:f>E59-F59</x:f>
        <x:v>0</x:v>
      </x:c>
      <x:c r="H59" s="9" t="str">
        <x:f>IF(ABS(G59)&lt;0.000001,"PASS","FAIL")</x:f>
        <x:v>PASS</x:v>
      </x:c>
      <x:c r="I59" s="9" t="str">
        <x:v>Article Bank!40</x:v>
      </x:c>
    </x:row>
    <x:row r="60">
      <x:c r="B60" s="9" t="str">
        <x:v>AU-054</x:v>
      </x:c>
      <x:c r="C60" s="9" t="str">
        <x:v>article</x:v>
      </x:c>
      <x:c r="D60" s="9" t="str">
        <x:v>specimen definition 35</x:v>
      </x:c>
      <x:c r="E60" s="21" t="n">
        <x:f>IF('Article Bank'!L41="PASS",1,0)</x:f>
        <x:v>1</x:v>
      </x:c>
      <x:c r="F60" s="21" t="n">
        <x:v>1</x:v>
      </x:c>
      <x:c r="G60" s="21" t="n">
        <x:f>E60-F60</x:f>
        <x:v>0</x:v>
      </x:c>
      <x:c r="H60" s="9" t="str">
        <x:f>IF(ABS(G60)&lt;0.000001,"PASS","FAIL")</x:f>
        <x:v>PASS</x:v>
      </x:c>
      <x:c r="I60" s="9" t="str">
        <x:v>Article Bank!41</x:v>
      </x:c>
    </x:row>
    <x:row r="61">
      <x:c r="B61" s="9" t="str">
        <x:v>AU-055</x:v>
      </x:c>
      <x:c r="C61" s="9" t="str">
        <x:v>article</x:v>
      </x:c>
      <x:c r="D61" s="9" t="str">
        <x:v>specimen definition 36</x:v>
      </x:c>
      <x:c r="E61" s="21" t="n">
        <x:f>IF('Article Bank'!L42="PASS",1,0)</x:f>
        <x:v>1</x:v>
      </x:c>
      <x:c r="F61" s="21" t="n">
        <x:v>1</x:v>
      </x:c>
      <x:c r="G61" s="21" t="n">
        <x:f>E61-F61</x:f>
        <x:v>0</x:v>
      </x:c>
      <x:c r="H61" s="9" t="str">
        <x:f>IF(ABS(G61)&lt;0.000001,"PASS","FAIL")</x:f>
        <x:v>PASS</x:v>
      </x:c>
      <x:c r="I61" s="9" t="str">
        <x:v>Article Bank!42</x:v>
      </x:c>
    </x:row>
    <x:row r="62">
      <x:c r="B62" s="9" t="str">
        <x:v>AU-056</x:v>
      </x:c>
      <x:c r="C62" s="9" t="str">
        <x:v>article</x:v>
      </x:c>
      <x:c r="D62" s="9" t="str">
        <x:v>specimen definition 37</x:v>
      </x:c>
      <x:c r="E62" s="21" t="n">
        <x:f>IF('Article Bank'!L43="PASS",1,0)</x:f>
        <x:v>1</x:v>
      </x:c>
      <x:c r="F62" s="21" t="n">
        <x:v>1</x:v>
      </x:c>
      <x:c r="G62" s="21" t="n">
        <x:f>E62-F62</x:f>
        <x:v>0</x:v>
      </x:c>
      <x:c r="H62" s="9" t="str">
        <x:f>IF(ABS(G62)&lt;0.000001,"PASS","FAIL")</x:f>
        <x:v>PASS</x:v>
      </x:c>
      <x:c r="I62" s="9" t="str">
        <x:v>Article Bank!43</x:v>
      </x:c>
    </x:row>
    <x:row r="63">
      <x:c r="B63" s="9" t="str">
        <x:v>AU-057</x:v>
      </x:c>
      <x:c r="C63" s="9" t="str">
        <x:v>article</x:v>
      </x:c>
      <x:c r="D63" s="9" t="str">
        <x:v>specimen definition 38</x:v>
      </x:c>
      <x:c r="E63" s="21" t="n">
        <x:f>IF('Article Bank'!L44="PASS",1,0)</x:f>
        <x:v>1</x:v>
      </x:c>
      <x:c r="F63" s="21" t="n">
        <x:v>1</x:v>
      </x:c>
      <x:c r="G63" s="21" t="n">
        <x:f>E63-F63</x:f>
        <x:v>0</x:v>
      </x:c>
      <x:c r="H63" s="9" t="str">
        <x:f>IF(ABS(G63)&lt;0.000001,"PASS","FAIL")</x:f>
        <x:v>PASS</x:v>
      </x:c>
      <x:c r="I63" s="9" t="str">
        <x:v>Article Bank!44</x:v>
      </x:c>
    </x:row>
    <x:row r="64">
      <x:c r="B64" s="9" t="str">
        <x:v>AU-058</x:v>
      </x:c>
      <x:c r="C64" s="9" t="str">
        <x:v>article</x:v>
      </x:c>
      <x:c r="D64" s="9" t="str">
        <x:v>specimen definition 39</x:v>
      </x:c>
      <x:c r="E64" s="21" t="n">
        <x:f>IF('Article Bank'!L45="PASS",1,0)</x:f>
        <x:v>1</x:v>
      </x:c>
      <x:c r="F64" s="21" t="n">
        <x:v>1</x:v>
      </x:c>
      <x:c r="G64" s="21" t="n">
        <x:f>E64-F64</x:f>
        <x:v>0</x:v>
      </x:c>
      <x:c r="H64" s="9" t="str">
        <x:f>IF(ABS(G64)&lt;0.000001,"PASS","FAIL")</x:f>
        <x:v>PASS</x:v>
      </x:c>
      <x:c r="I64" s="9" t="str">
        <x:v>Article Bank!45</x:v>
      </x:c>
    </x:row>
    <x:row r="65">
      <x:c r="B65" s="9" t="str">
        <x:v>AU-059</x:v>
      </x:c>
      <x:c r="C65" s="9" t="str">
        <x:v>article</x:v>
      </x:c>
      <x:c r="D65" s="9" t="str">
        <x:v>specimen definition 40</x:v>
      </x:c>
      <x:c r="E65" s="21" t="n">
        <x:f>IF('Article Bank'!L46="PASS",1,0)</x:f>
        <x:v>1</x:v>
      </x:c>
      <x:c r="F65" s="21" t="n">
        <x:v>1</x:v>
      </x:c>
      <x:c r="G65" s="21" t="n">
        <x:f>E65-F65</x:f>
        <x:v>0</x:v>
      </x:c>
      <x:c r="H65" s="9" t="str">
        <x:f>IF(ABS(G65)&lt;0.000001,"PASS","FAIL")</x:f>
        <x:v>PASS</x:v>
      </x:c>
      <x:c r="I65" s="9" t="str">
        <x:v>Article Bank!46</x:v>
      </x:c>
    </x:row>
    <x:row r="66">
      <x:c r="B66" s="9" t="str">
        <x:v>AU-060</x:v>
      </x:c>
      <x:c r="C66" s="9" t="str">
        <x:v>article</x:v>
      </x:c>
      <x:c r="D66" s="9" t="str">
        <x:v>specimen definition 41</x:v>
      </x:c>
      <x:c r="E66" s="21" t="n">
        <x:f>IF('Article Bank'!L47="PASS",1,0)</x:f>
        <x:v>1</x:v>
      </x:c>
      <x:c r="F66" s="21" t="n">
        <x:v>1</x:v>
      </x:c>
      <x:c r="G66" s="21" t="n">
        <x:f>E66-F66</x:f>
        <x:v>0</x:v>
      </x:c>
      <x:c r="H66" s="9" t="str">
        <x:f>IF(ABS(G66)&lt;0.000001,"PASS","FAIL")</x:f>
        <x:v>PASS</x:v>
      </x:c>
      <x:c r="I66" s="9" t="str">
        <x:v>Article Bank!47</x:v>
      </x:c>
    </x:row>
    <x:row r="67">
      <x:c r="B67" s="9" t="str">
        <x:v>AU-061</x:v>
      </x:c>
      <x:c r="C67" s="9" t="str">
        <x:v>article</x:v>
      </x:c>
      <x:c r="D67" s="9" t="str">
        <x:v>specimen definition 42</x:v>
      </x:c>
      <x:c r="E67" s="21" t="n">
        <x:f>IF('Article Bank'!L48="PASS",1,0)</x:f>
        <x:v>1</x:v>
      </x:c>
      <x:c r="F67" s="21" t="n">
        <x:v>1</x:v>
      </x:c>
      <x:c r="G67" s="21" t="n">
        <x:f>E67-F67</x:f>
        <x:v>0</x:v>
      </x:c>
      <x:c r="H67" s="9" t="str">
        <x:f>IF(ABS(G67)&lt;0.000001,"PASS","FAIL")</x:f>
        <x:v>PASS</x:v>
      </x:c>
      <x:c r="I67" s="9" t="str">
        <x:v>Article Bank!48</x:v>
      </x:c>
    </x:row>
    <x:row r="68">
      <x:c r="B68" s="9" t="str">
        <x:v>AU-062</x:v>
      </x:c>
      <x:c r="C68" s="9" t="str">
        <x:v>article</x:v>
      </x:c>
      <x:c r="D68" s="9" t="str">
        <x:v>specimen definition 43</x:v>
      </x:c>
      <x:c r="E68" s="21" t="n">
        <x:f>IF('Article Bank'!L49="PASS",1,0)</x:f>
        <x:v>1</x:v>
      </x:c>
      <x:c r="F68" s="21" t="n">
        <x:v>1</x:v>
      </x:c>
      <x:c r="G68" s="21" t="n">
        <x:f>E68-F68</x:f>
        <x:v>0</x:v>
      </x:c>
      <x:c r="H68" s="9" t="str">
        <x:f>IF(ABS(G68)&lt;0.000001,"PASS","FAIL")</x:f>
        <x:v>PASS</x:v>
      </x:c>
      <x:c r="I68" s="9" t="str">
        <x:v>Article Bank!49</x:v>
      </x:c>
    </x:row>
    <x:row r="69">
      <x:c r="B69" s="9" t="str">
        <x:v>AU-063</x:v>
      </x:c>
      <x:c r="C69" s="9" t="str">
        <x:v>article</x:v>
      </x:c>
      <x:c r="D69" s="9" t="str">
        <x:v>specimen definition 44</x:v>
      </x:c>
      <x:c r="E69" s="21" t="n">
        <x:f>IF('Article Bank'!L50="PASS",1,0)</x:f>
        <x:v>1</x:v>
      </x:c>
      <x:c r="F69" s="21" t="n">
        <x:v>1</x:v>
      </x:c>
      <x:c r="G69" s="21" t="n">
        <x:f>E69-F69</x:f>
        <x:v>0</x:v>
      </x:c>
      <x:c r="H69" s="9" t="str">
        <x:f>IF(ABS(G69)&lt;0.000001,"PASS","FAIL")</x:f>
        <x:v>PASS</x:v>
      </x:c>
      <x:c r="I69" s="9" t="str">
        <x:v>Article Bank!50</x:v>
      </x:c>
    </x:row>
    <x:row r="70">
      <x:c r="B70" s="9" t="str">
        <x:v>AU-064</x:v>
      </x:c>
      <x:c r="C70" s="9" t="str">
        <x:v>article</x:v>
      </x:c>
      <x:c r="D70" s="9" t="str">
        <x:v>specimen definition 45</x:v>
      </x:c>
      <x:c r="E70" s="21" t="n">
        <x:f>IF('Article Bank'!L51="PASS",1,0)</x:f>
        <x:v>1</x:v>
      </x:c>
      <x:c r="F70" s="21" t="n">
        <x:v>1</x:v>
      </x:c>
      <x:c r="G70" s="21" t="n">
        <x:f>E70-F70</x:f>
        <x:v>0</x:v>
      </x:c>
      <x:c r="H70" s="9" t="str">
        <x:f>IF(ABS(G70)&lt;0.000001,"PASS","FAIL")</x:f>
        <x:v>PASS</x:v>
      </x:c>
      <x:c r="I70" s="9" t="str">
        <x:v>Article Bank!51</x:v>
      </x:c>
    </x:row>
    <x:row r="71">
      <x:c r="B71" s="9" t="str">
        <x:v>AU-065</x:v>
      </x:c>
      <x:c r="C71" s="9" t="str">
        <x:v>article</x:v>
      </x:c>
      <x:c r="D71" s="9" t="str">
        <x:v>specimen definition 46</x:v>
      </x:c>
      <x:c r="E71" s="21" t="n">
        <x:f>IF('Article Bank'!L52="PASS",1,0)</x:f>
        <x:v>1</x:v>
      </x:c>
      <x:c r="F71" s="21" t="n">
        <x:v>1</x:v>
      </x:c>
      <x:c r="G71" s="21" t="n">
        <x:f>E71-F71</x:f>
        <x:v>0</x:v>
      </x:c>
      <x:c r="H71" s="9" t="str">
        <x:f>IF(ABS(G71)&lt;0.000001,"PASS","FAIL")</x:f>
        <x:v>PASS</x:v>
      </x:c>
      <x:c r="I71" s="9" t="str">
        <x:v>Article Bank!52</x:v>
      </x:c>
    </x:row>
    <x:row r="72">
      <x:c r="B72" s="9" t="str">
        <x:v>AU-066</x:v>
      </x:c>
      <x:c r="C72" s="9" t="str">
        <x:v>article</x:v>
      </x:c>
      <x:c r="D72" s="9" t="str">
        <x:v>specimen definition 47</x:v>
      </x:c>
      <x:c r="E72" s="21" t="n">
        <x:f>IF('Article Bank'!L53="PASS",1,0)</x:f>
        <x:v>1</x:v>
      </x:c>
      <x:c r="F72" s="21" t="n">
        <x:v>1</x:v>
      </x:c>
      <x:c r="G72" s="21" t="n">
        <x:f>E72-F72</x:f>
        <x:v>0</x:v>
      </x:c>
      <x:c r="H72" s="9" t="str">
        <x:f>IF(ABS(G72)&lt;0.000001,"PASS","FAIL")</x:f>
        <x:v>PASS</x:v>
      </x:c>
      <x:c r="I72" s="9" t="str">
        <x:v>Article Bank!53</x:v>
      </x:c>
    </x:row>
    <x:row r="73">
      <x:c r="B73" s="9" t="str">
        <x:v>AU-067</x:v>
      </x:c>
      <x:c r="C73" s="9" t="str">
        <x:v>article</x:v>
      </x:c>
      <x:c r="D73" s="9" t="str">
        <x:v>specimen definition 48</x:v>
      </x:c>
      <x:c r="E73" s="21" t="n">
        <x:f>IF('Article Bank'!L54="PASS",1,0)</x:f>
        <x:v>1</x:v>
      </x:c>
      <x:c r="F73" s="21" t="n">
        <x:v>1</x:v>
      </x:c>
      <x:c r="G73" s="21" t="n">
        <x:f>E73-F73</x:f>
        <x:v>0</x:v>
      </x:c>
      <x:c r="H73" s="9" t="str">
        <x:f>IF(ABS(G73)&lt;0.000001,"PASS","FAIL")</x:f>
        <x:v>PASS</x:v>
      </x:c>
      <x:c r="I73" s="9" t="str">
        <x:v>Article Bank!54</x:v>
      </x:c>
    </x:row>
    <x:row r="74">
      <x:c r="B74" s="9" t="str">
        <x:v>AU-068</x:v>
      </x:c>
      <x:c r="C74" s="9" t="str">
        <x:v>article</x:v>
      </x:c>
      <x:c r="D74" s="9" t="str">
        <x:v>specimen definition 49</x:v>
      </x:c>
      <x:c r="E74" s="21" t="n">
        <x:f>IF('Article Bank'!L55="PASS",1,0)</x:f>
        <x:v>1</x:v>
      </x:c>
      <x:c r="F74" s="21" t="n">
        <x:v>1</x:v>
      </x:c>
      <x:c r="G74" s="21" t="n">
        <x:f>E74-F74</x:f>
        <x:v>0</x:v>
      </x:c>
      <x:c r="H74" s="9" t="str">
        <x:f>IF(ABS(G74)&lt;0.000001,"PASS","FAIL")</x:f>
        <x:v>PASS</x:v>
      </x:c>
      <x:c r="I74" s="9" t="str">
        <x:v>Article Bank!55</x:v>
      </x:c>
    </x:row>
    <x:row r="75">
      <x:c r="B75" s="9" t="str">
        <x:v>AU-069</x:v>
      </x:c>
      <x:c r="C75" s="9" t="str">
        <x:v>article</x:v>
      </x:c>
      <x:c r="D75" s="9" t="str">
        <x:v>specimen definition 50</x:v>
      </x:c>
      <x:c r="E75" s="21" t="n">
        <x:f>IF('Article Bank'!L56="PASS",1,0)</x:f>
        <x:v>1</x:v>
      </x:c>
      <x:c r="F75" s="21" t="n">
        <x:v>1</x:v>
      </x:c>
      <x:c r="G75" s="21" t="n">
        <x:f>E75-F75</x:f>
        <x:v>0</x:v>
      </x:c>
      <x:c r="H75" s="9" t="str">
        <x:f>IF(ABS(G75)&lt;0.000001,"PASS","FAIL")</x:f>
        <x:v>PASS</x:v>
      </x:c>
      <x:c r="I75" s="9" t="str">
        <x:v>Article Bank!56</x:v>
      </x:c>
    </x:row>
    <x:row r="76">
      <x:c r="B76" s="9" t="str">
        <x:v>AU-070</x:v>
      </x:c>
      <x:c r="C76" s="9" t="str">
        <x:v>article</x:v>
      </x:c>
      <x:c r="D76" s="9" t="str">
        <x:v>specimen definition 51</x:v>
      </x:c>
      <x:c r="E76" s="21" t="n">
        <x:f>IF('Article Bank'!L57="PASS",1,0)</x:f>
        <x:v>1</x:v>
      </x:c>
      <x:c r="F76" s="21" t="n">
        <x:v>1</x:v>
      </x:c>
      <x:c r="G76" s="21" t="n">
        <x:f>E76-F76</x:f>
        <x:v>0</x:v>
      </x:c>
      <x:c r="H76" s="9" t="str">
        <x:f>IF(ABS(G76)&lt;0.000001,"PASS","FAIL")</x:f>
        <x:v>PASS</x:v>
      </x:c>
      <x:c r="I76" s="9" t="str">
        <x:v>Article Bank!57</x:v>
      </x:c>
    </x:row>
    <x:row r="77">
      <x:c r="B77" s="9" t="str">
        <x:v>AU-071</x:v>
      </x:c>
      <x:c r="C77" s="9" t="str">
        <x:v>article</x:v>
      </x:c>
      <x:c r="D77" s="9" t="str">
        <x:v>specimen definition 52</x:v>
      </x:c>
      <x:c r="E77" s="21" t="n">
        <x:f>IF('Article Bank'!L58="PASS",1,0)</x:f>
        <x:v>1</x:v>
      </x:c>
      <x:c r="F77" s="21" t="n">
        <x:v>1</x:v>
      </x:c>
      <x:c r="G77" s="21" t="n">
        <x:f>E77-F77</x:f>
        <x:v>0</x:v>
      </x:c>
      <x:c r="H77" s="9" t="str">
        <x:f>IF(ABS(G77)&lt;0.000001,"PASS","FAIL")</x:f>
        <x:v>PASS</x:v>
      </x:c>
      <x:c r="I77" s="9" t="str">
        <x:v>Article Bank!58</x:v>
      </x:c>
    </x:row>
    <x:row r="78">
      <x:c r="B78" s="9" t="str">
        <x:v>AU-072</x:v>
      </x:c>
      <x:c r="C78" s="9" t="str">
        <x:v>article</x:v>
      </x:c>
      <x:c r="D78" s="9" t="str">
        <x:v>specimen definition 53</x:v>
      </x:c>
      <x:c r="E78" s="21" t="n">
        <x:f>IF('Article Bank'!L59="PASS",1,0)</x:f>
        <x:v>1</x:v>
      </x:c>
      <x:c r="F78" s="21" t="n">
        <x:v>1</x:v>
      </x:c>
      <x:c r="G78" s="21" t="n">
        <x:f>E78-F78</x:f>
        <x:v>0</x:v>
      </x:c>
      <x:c r="H78" s="9" t="str">
        <x:f>IF(ABS(G78)&lt;0.000001,"PASS","FAIL")</x:f>
        <x:v>PASS</x:v>
      </x:c>
      <x:c r="I78" s="9" t="str">
        <x:v>Article Bank!59</x:v>
      </x:c>
    </x:row>
    <x:row r="79">
      <x:c r="B79" s="9" t="str">
        <x:v>AU-073</x:v>
      </x:c>
      <x:c r="C79" s="9" t="str">
        <x:v>article</x:v>
      </x:c>
      <x:c r="D79" s="9" t="str">
        <x:v>specimen definition 54</x:v>
      </x:c>
      <x:c r="E79" s="21" t="n">
        <x:f>IF('Article Bank'!L60="PASS",1,0)</x:f>
        <x:v>1</x:v>
      </x:c>
      <x:c r="F79" s="21" t="n">
        <x:v>1</x:v>
      </x:c>
      <x:c r="G79" s="21" t="n">
        <x:f>E79-F79</x:f>
        <x:v>0</x:v>
      </x:c>
      <x:c r="H79" s="9" t="str">
        <x:f>IF(ABS(G79)&lt;0.000001,"PASS","FAIL")</x:f>
        <x:v>PASS</x:v>
      </x:c>
      <x:c r="I79" s="9" t="str">
        <x:v>Article Bank!60</x:v>
      </x:c>
    </x:row>
    <x:row r="80">
      <x:c r="B80" s="9" t="str">
        <x:v>AU-074</x:v>
      </x:c>
      <x:c r="C80" s="9" t="str">
        <x:v>article</x:v>
      </x:c>
      <x:c r="D80" s="9" t="str">
        <x:v>specimen definition 55</x:v>
      </x:c>
      <x:c r="E80" s="21" t="n">
        <x:f>IF('Article Bank'!L61="PASS",1,0)</x:f>
        <x:v>1</x:v>
      </x:c>
      <x:c r="F80" s="21" t="n">
        <x:v>1</x:v>
      </x:c>
      <x:c r="G80" s="21" t="n">
        <x:f>E80-F80</x:f>
        <x:v>0</x:v>
      </x:c>
      <x:c r="H80" s="9" t="str">
        <x:f>IF(ABS(G80)&lt;0.000001,"PASS","FAIL")</x:f>
        <x:v>PASS</x:v>
      </x:c>
      <x:c r="I80" s="9" t="str">
        <x:v>Article Bank!61</x:v>
      </x:c>
    </x:row>
    <x:row r="81">
      <x:c r="B81" s="9" t="str">
        <x:v>AU-075</x:v>
      </x:c>
      <x:c r="C81" s="9" t="str">
        <x:v>article</x:v>
      </x:c>
      <x:c r="D81" s="9" t="str">
        <x:v>specimen definition 56</x:v>
      </x:c>
      <x:c r="E81" s="21" t="n">
        <x:f>IF('Article Bank'!L62="PASS",1,0)</x:f>
        <x:v>1</x:v>
      </x:c>
      <x:c r="F81" s="21" t="n">
        <x:v>1</x:v>
      </x:c>
      <x:c r="G81" s="21" t="n">
        <x:f>E81-F81</x:f>
        <x:v>0</x:v>
      </x:c>
      <x:c r="H81" s="9" t="str">
        <x:f>IF(ABS(G81)&lt;0.000001,"PASS","FAIL")</x:f>
        <x:v>PASS</x:v>
      </x:c>
      <x:c r="I81" s="9" t="str">
        <x:v>Article Bank!62</x:v>
      </x:c>
    </x:row>
    <x:row r="82">
      <x:c r="B82" s="9" t="str">
        <x:v>AU-076</x:v>
      </x:c>
      <x:c r="C82" s="9" t="str">
        <x:v>article</x:v>
      </x:c>
      <x:c r="D82" s="9" t="str">
        <x:v>specimen definition 57</x:v>
      </x:c>
      <x:c r="E82" s="21" t="n">
        <x:f>IF('Article Bank'!L63="PASS",1,0)</x:f>
        <x:v>1</x:v>
      </x:c>
      <x:c r="F82" s="21" t="n">
        <x:v>1</x:v>
      </x:c>
      <x:c r="G82" s="21" t="n">
        <x:f>E82-F82</x:f>
        <x:v>0</x:v>
      </x:c>
      <x:c r="H82" s="9" t="str">
        <x:f>IF(ABS(G82)&lt;0.000001,"PASS","FAIL")</x:f>
        <x:v>PASS</x:v>
      </x:c>
      <x:c r="I82" s="9" t="str">
        <x:v>Article Bank!63</x:v>
      </x:c>
    </x:row>
    <x:row r="83">
      <x:c r="B83" s="9" t="str">
        <x:v>AU-077</x:v>
      </x:c>
      <x:c r="C83" s="9" t="str">
        <x:v>article</x:v>
      </x:c>
      <x:c r="D83" s="9" t="str">
        <x:v>specimen definition 58</x:v>
      </x:c>
      <x:c r="E83" s="21" t="n">
        <x:f>IF('Article Bank'!L64="PASS",1,0)</x:f>
        <x:v>1</x:v>
      </x:c>
      <x:c r="F83" s="21" t="n">
        <x:v>1</x:v>
      </x:c>
      <x:c r="G83" s="21" t="n">
        <x:f>E83-F83</x:f>
        <x:v>0</x:v>
      </x:c>
      <x:c r="H83" s="9" t="str">
        <x:f>IF(ABS(G83)&lt;0.000001,"PASS","FAIL")</x:f>
        <x:v>PASS</x:v>
      </x:c>
      <x:c r="I83" s="9" t="str">
        <x:v>Article Bank!64</x:v>
      </x:c>
    </x:row>
    <x:row r="84">
      <x:c r="B84" s="9" t="str">
        <x:v>AU-078</x:v>
      </x:c>
      <x:c r="C84" s="9" t="str">
        <x:v>article</x:v>
      </x:c>
      <x:c r="D84" s="9" t="str">
        <x:v>specimen definition 59</x:v>
      </x:c>
      <x:c r="E84" s="21" t="n">
        <x:f>IF('Article Bank'!L65="PASS",1,0)</x:f>
        <x:v>1</x:v>
      </x:c>
      <x:c r="F84" s="21" t="n">
        <x:v>1</x:v>
      </x:c>
      <x:c r="G84" s="21" t="n">
        <x:f>E84-F84</x:f>
        <x:v>0</x:v>
      </x:c>
      <x:c r="H84" s="9" t="str">
        <x:f>IF(ABS(G84)&lt;0.000001,"PASS","FAIL")</x:f>
        <x:v>PASS</x:v>
      </x:c>
      <x:c r="I84" s="9" t="str">
        <x:v>Article Bank!65</x:v>
      </x:c>
    </x:row>
    <x:row r="85">
      <x:c r="B85" s="9" t="str">
        <x:v>AU-079</x:v>
      </x:c>
      <x:c r="C85" s="9" t="str">
        <x:v>article</x:v>
      </x:c>
      <x:c r="D85" s="9" t="str">
        <x:v>specimen definition 60</x:v>
      </x:c>
      <x:c r="E85" s="21" t="n">
        <x:f>IF('Article Bank'!L66="PASS",1,0)</x:f>
        <x:v>1</x:v>
      </x:c>
      <x:c r="F85" s="21" t="n">
        <x:v>1</x:v>
      </x:c>
      <x:c r="G85" s="21" t="n">
        <x:f>E85-F85</x:f>
        <x:v>0</x:v>
      </x:c>
      <x:c r="H85" s="9" t="str">
        <x:f>IF(ABS(G85)&lt;0.000001,"PASS","FAIL")</x:f>
        <x:v>PASS</x:v>
      </x:c>
      <x:c r="I85" s="9" t="str">
        <x:v>Article Bank!66</x:v>
      </x:c>
    </x:row>
    <x:row r="86">
      <x:c r="B86" s="9" t="str">
        <x:v>AU-080</x:v>
      </x:c>
      <x:c r="C86" s="9" t="str">
        <x:v>article</x:v>
      </x:c>
      <x:c r="D86" s="9" t="str">
        <x:v>specimen definition 61</x:v>
      </x:c>
      <x:c r="E86" s="21" t="n">
        <x:f>IF('Article Bank'!L67="PASS",1,0)</x:f>
        <x:v>1</x:v>
      </x:c>
      <x:c r="F86" s="21" t="n">
        <x:v>1</x:v>
      </x:c>
      <x:c r="G86" s="21" t="n">
        <x:f>E86-F86</x:f>
        <x:v>0</x:v>
      </x:c>
      <x:c r="H86" s="9" t="str">
        <x:f>IF(ABS(G86)&lt;0.000001,"PASS","FAIL")</x:f>
        <x:v>PASS</x:v>
      </x:c>
      <x:c r="I86" s="9" t="str">
        <x:v>Article Bank!67</x:v>
      </x:c>
    </x:row>
    <x:row r="87">
      <x:c r="B87" s="9" t="str">
        <x:v>AU-081</x:v>
      </x:c>
      <x:c r="C87" s="9" t="str">
        <x:v>article</x:v>
      </x:c>
      <x:c r="D87" s="9" t="str">
        <x:v>specimen definition 62</x:v>
      </x:c>
      <x:c r="E87" s="21" t="n">
        <x:f>IF('Article Bank'!L68="PASS",1,0)</x:f>
        <x:v>1</x:v>
      </x:c>
      <x:c r="F87" s="21" t="n">
        <x:v>1</x:v>
      </x:c>
      <x:c r="G87" s="21" t="n">
        <x:f>E87-F87</x:f>
        <x:v>0</x:v>
      </x:c>
      <x:c r="H87" s="9" t="str">
        <x:f>IF(ABS(G87)&lt;0.000001,"PASS","FAIL")</x:f>
        <x:v>PASS</x:v>
      </x:c>
      <x:c r="I87" s="9" t="str">
        <x:v>Article Bank!68</x:v>
      </x:c>
    </x:row>
    <x:row r="88">
      <x:c r="B88" s="9" t="str">
        <x:v>AU-082</x:v>
      </x:c>
      <x:c r="C88" s="9" t="str">
        <x:v>article</x:v>
      </x:c>
      <x:c r="D88" s="9" t="str">
        <x:v>specimen definition 63</x:v>
      </x:c>
      <x:c r="E88" s="21" t="n">
        <x:f>IF('Article Bank'!L69="PASS",1,0)</x:f>
        <x:v>1</x:v>
      </x:c>
      <x:c r="F88" s="21" t="n">
        <x:v>1</x:v>
      </x:c>
      <x:c r="G88" s="21" t="n">
        <x:f>E88-F88</x:f>
        <x:v>0</x:v>
      </x:c>
      <x:c r="H88" s="9" t="str">
        <x:f>IF(ABS(G88)&lt;0.000001,"PASS","FAIL")</x:f>
        <x:v>PASS</x:v>
      </x:c>
      <x:c r="I88" s="9" t="str">
        <x:v>Article Bank!69</x:v>
      </x:c>
    </x:row>
    <x:row r="89">
      <x:c r="B89" s="9" t="str">
        <x:v>AU-083</x:v>
      </x:c>
      <x:c r="C89" s="9" t="str">
        <x:v>article</x:v>
      </x:c>
      <x:c r="D89" s="9" t="str">
        <x:v>specimen definition 64</x:v>
      </x:c>
      <x:c r="E89" s="21" t="n">
        <x:f>IF('Article Bank'!L70="PASS",1,0)</x:f>
        <x:v>1</x:v>
      </x:c>
      <x:c r="F89" s="21" t="n">
        <x:v>1</x:v>
      </x:c>
      <x:c r="G89" s="21" t="n">
        <x:f>E89-F89</x:f>
        <x:v>0</x:v>
      </x:c>
      <x:c r="H89" s="9" t="str">
        <x:f>IF(ABS(G89)&lt;0.000001,"PASS","FAIL")</x:f>
        <x:v>PASS</x:v>
      </x:c>
      <x:c r="I89" s="9" t="str">
        <x:v>Article Bank!70</x:v>
      </x:c>
    </x:row>
    <x:row r="90">
      <x:c r="B90" s="9" t="str">
        <x:v>AU-084</x:v>
      </x:c>
      <x:c r="C90" s="9" t="str">
        <x:v>fixture</x:v>
      </x:c>
      <x:c r="D90" s="9" t="str">
        <x:v>boundary definition 1</x:v>
      </x:c>
      <x:c r="E90" s="21" t="n">
        <x:f>IF('Boundary ID'!J7="PASS",1,0)</x:f>
        <x:v>1</x:v>
      </x:c>
      <x:c r="F90" s="21" t="n">
        <x:v>1</x:v>
      </x:c>
      <x:c r="G90" s="21" t="n">
        <x:f>E90-F90</x:f>
        <x:v>0</x:v>
      </x:c>
      <x:c r="H90" s="9" t="str">
        <x:f>IF(ABS(G90)&lt;0.000001,"PASS","FAIL")</x:f>
        <x:v>PASS</x:v>
      </x:c>
      <x:c r="I90" s="9" t="str">
        <x:v>Boundary ID!7</x:v>
      </x:c>
    </x:row>
    <x:row r="91">
      <x:c r="B91" s="9" t="str">
        <x:v>AU-085</x:v>
      </x:c>
      <x:c r="C91" s="9" t="str">
        <x:v>fixture</x:v>
      </x:c>
      <x:c r="D91" s="9" t="str">
        <x:v>boundary definition 2</x:v>
      </x:c>
      <x:c r="E91" s="21" t="n">
        <x:f>IF('Boundary ID'!J8="PASS",1,0)</x:f>
        <x:v>1</x:v>
      </x:c>
      <x:c r="F91" s="21" t="n">
        <x:v>1</x:v>
      </x:c>
      <x:c r="G91" s="21" t="n">
        <x:f>E91-F91</x:f>
        <x:v>0</x:v>
      </x:c>
      <x:c r="H91" s="9" t="str">
        <x:f>IF(ABS(G91)&lt;0.000001,"PASS","FAIL")</x:f>
        <x:v>PASS</x:v>
      </x:c>
      <x:c r="I91" s="9" t="str">
        <x:v>Boundary ID!8</x:v>
      </x:c>
    </x:row>
    <x:row r="92">
      <x:c r="B92" s="9" t="str">
        <x:v>AU-086</x:v>
      </x:c>
      <x:c r="C92" s="9" t="str">
        <x:v>fixture</x:v>
      </x:c>
      <x:c r="D92" s="9" t="str">
        <x:v>boundary definition 3</x:v>
      </x:c>
      <x:c r="E92" s="21" t="n">
        <x:f>IF('Boundary ID'!J9="PASS",1,0)</x:f>
        <x:v>1</x:v>
      </x:c>
      <x:c r="F92" s="21" t="n">
        <x:v>1</x:v>
      </x:c>
      <x:c r="G92" s="21" t="n">
        <x:f>E92-F92</x:f>
        <x:v>0</x:v>
      </x:c>
      <x:c r="H92" s="9" t="str">
        <x:f>IF(ABS(G92)&lt;0.000001,"PASS","FAIL")</x:f>
        <x:v>PASS</x:v>
      </x:c>
      <x:c r="I92" s="9" t="str">
        <x:v>Boundary ID!9</x:v>
      </x:c>
    </x:row>
    <x:row r="93">
      <x:c r="B93" s="9" t="str">
        <x:v>AU-087</x:v>
      </x:c>
      <x:c r="C93" s="9" t="str">
        <x:v>fixture</x:v>
      </x:c>
      <x:c r="D93" s="9" t="str">
        <x:v>boundary definition 4</x:v>
      </x:c>
      <x:c r="E93" s="21" t="n">
        <x:f>IF('Boundary ID'!J10="PASS",1,0)</x:f>
        <x:v>1</x:v>
      </x:c>
      <x:c r="F93" s="21" t="n">
        <x:v>1</x:v>
      </x:c>
      <x:c r="G93" s="21" t="n">
        <x:f>E93-F93</x:f>
        <x:v>0</x:v>
      </x:c>
      <x:c r="H93" s="9" t="str">
        <x:f>IF(ABS(G93)&lt;0.000001,"PASS","FAIL")</x:f>
        <x:v>PASS</x:v>
      </x:c>
      <x:c r="I93" s="9" t="str">
        <x:v>Boundary ID!10</x:v>
      </x:c>
    </x:row>
    <x:row r="94">
      <x:c r="B94" s="9" t="str">
        <x:v>AU-088</x:v>
      </x:c>
      <x:c r="C94" s="9" t="str">
        <x:v>fixture</x:v>
      </x:c>
      <x:c r="D94" s="9" t="str">
        <x:v>boundary definition 5</x:v>
      </x:c>
      <x:c r="E94" s="21" t="n">
        <x:f>IF('Boundary ID'!J11="PASS",1,0)</x:f>
        <x:v>1</x:v>
      </x:c>
      <x:c r="F94" s="21" t="n">
        <x:v>1</x:v>
      </x:c>
      <x:c r="G94" s="21" t="n">
        <x:f>E94-F94</x:f>
        <x:v>0</x:v>
      </x:c>
      <x:c r="H94" s="9" t="str">
        <x:f>IF(ABS(G94)&lt;0.000001,"PASS","FAIL")</x:f>
        <x:v>PASS</x:v>
      </x:c>
      <x:c r="I94" s="9" t="str">
        <x:v>Boundary ID!11</x:v>
      </x:c>
    </x:row>
    <x:row r="95">
      <x:c r="B95" s="9" t="str">
        <x:v>AU-089</x:v>
      </x:c>
      <x:c r="C95" s="9" t="str">
        <x:v>fixture</x:v>
      </x:c>
      <x:c r="D95" s="9" t="str">
        <x:v>boundary definition 6</x:v>
      </x:c>
      <x:c r="E95" s="21" t="n">
        <x:f>IF('Boundary ID'!J12="PASS",1,0)</x:f>
        <x:v>1</x:v>
      </x:c>
      <x:c r="F95" s="21" t="n">
        <x:v>1</x:v>
      </x:c>
      <x:c r="G95" s="21" t="n">
        <x:f>E95-F95</x:f>
        <x:v>0</x:v>
      </x:c>
      <x:c r="H95" s="9" t="str">
        <x:f>IF(ABS(G95)&lt;0.000001,"PASS","FAIL")</x:f>
        <x:v>PASS</x:v>
      </x:c>
      <x:c r="I95" s="9" t="str">
        <x:v>Boundary ID!12</x:v>
      </x:c>
    </x:row>
    <x:row r="96">
      <x:c r="B96" s="9" t="str">
        <x:v>AU-090</x:v>
      </x:c>
      <x:c r="C96" s="9" t="str">
        <x:v>fixture</x:v>
      </x:c>
      <x:c r="D96" s="9" t="str">
        <x:v>boundary definition 7</x:v>
      </x:c>
      <x:c r="E96" s="21" t="n">
        <x:f>IF('Boundary ID'!J13="PASS",1,0)</x:f>
        <x:v>1</x:v>
      </x:c>
      <x:c r="F96" s="21" t="n">
        <x:v>1</x:v>
      </x:c>
      <x:c r="G96" s="21" t="n">
        <x:f>E96-F96</x:f>
        <x:v>0</x:v>
      </x:c>
      <x:c r="H96" s="9" t="str">
        <x:f>IF(ABS(G96)&lt;0.000001,"PASS","FAIL")</x:f>
        <x:v>PASS</x:v>
      </x:c>
      <x:c r="I96" s="9" t="str">
        <x:v>Boundary ID!13</x:v>
      </x:c>
    </x:row>
    <x:row r="97">
      <x:c r="B97" s="9" t="str">
        <x:v>AU-091</x:v>
      </x:c>
      <x:c r="C97" s="9" t="str">
        <x:v>fixture</x:v>
      </x:c>
      <x:c r="D97" s="9" t="str">
        <x:v>boundary definition 8</x:v>
      </x:c>
      <x:c r="E97" s="21" t="n">
        <x:f>IF('Boundary ID'!J14="PASS",1,0)</x:f>
        <x:v>1</x:v>
      </x:c>
      <x:c r="F97" s="21" t="n">
        <x:v>1</x:v>
      </x:c>
      <x:c r="G97" s="21" t="n">
        <x:f>E97-F97</x:f>
        <x:v>0</x:v>
      </x:c>
      <x:c r="H97" s="9" t="str">
        <x:f>IF(ABS(G97)&lt;0.000001,"PASS","FAIL")</x:f>
        <x:v>PASS</x:v>
      </x:c>
      <x:c r="I97" s="9" t="str">
        <x:v>Boundary ID!14</x:v>
      </x:c>
    </x:row>
    <x:row r="98">
      <x:c r="B98" s="9" t="str">
        <x:v>AU-092</x:v>
      </x:c>
      <x:c r="C98" s="9" t="str">
        <x:v>fixture</x:v>
      </x:c>
      <x:c r="D98" s="9" t="str">
        <x:v>boundary definition 9</x:v>
      </x:c>
      <x:c r="E98" s="21" t="n">
        <x:f>IF('Boundary ID'!J15="PASS",1,0)</x:f>
        <x:v>1</x:v>
      </x:c>
      <x:c r="F98" s="21" t="n">
        <x:v>1</x:v>
      </x:c>
      <x:c r="G98" s="21" t="n">
        <x:f>E98-F98</x:f>
        <x:v>0</x:v>
      </x:c>
      <x:c r="H98" s="9" t="str">
        <x:f>IF(ABS(G98)&lt;0.000001,"PASS","FAIL")</x:f>
        <x:v>PASS</x:v>
      </x:c>
      <x:c r="I98" s="9" t="str">
        <x:v>Boundary ID!15</x:v>
      </x:c>
    </x:row>
    <x:row r="99">
      <x:c r="B99" s="9" t="str">
        <x:v>AU-093</x:v>
      </x:c>
      <x:c r="C99" s="9" t="str">
        <x:v>fixture</x:v>
      </x:c>
      <x:c r="D99" s="9" t="str">
        <x:v>boundary definition 10</x:v>
      </x:c>
      <x:c r="E99" s="21" t="n">
        <x:f>IF('Boundary ID'!J16="PASS",1,0)</x:f>
        <x:v>1</x:v>
      </x:c>
      <x:c r="F99" s="21" t="n">
        <x:v>1</x:v>
      </x:c>
      <x:c r="G99" s="21" t="n">
        <x:f>E99-F99</x:f>
        <x:v>0</x:v>
      </x:c>
      <x:c r="H99" s="9" t="str">
        <x:f>IF(ABS(G99)&lt;0.000001,"PASS","FAIL")</x:f>
        <x:v>PASS</x:v>
      </x:c>
      <x:c r="I99" s="9" t="str">
        <x:v>Boundary ID!16</x:v>
      </x:c>
    </x:row>
    <x:row r="100">
      <x:c r="B100" s="9" t="str">
        <x:v>AU-094</x:v>
      </x:c>
      <x:c r="C100" s="9" t="str">
        <x:v>fixture</x:v>
      </x:c>
      <x:c r="D100" s="9" t="str">
        <x:v>boundary definition 11</x:v>
      </x:c>
      <x:c r="E100" s="21" t="n">
        <x:f>IF('Boundary ID'!J17="PASS",1,0)</x:f>
        <x:v>1</x:v>
      </x:c>
      <x:c r="F100" s="21" t="n">
        <x:v>1</x:v>
      </x:c>
      <x:c r="G100" s="21" t="n">
        <x:f>E100-F100</x:f>
        <x:v>0</x:v>
      </x:c>
      <x:c r="H100" s="9" t="str">
        <x:f>IF(ABS(G100)&lt;0.000001,"PASS","FAIL")</x:f>
        <x:v>PASS</x:v>
      </x:c>
      <x:c r="I100" s="9" t="str">
        <x:v>Boundary ID!17</x:v>
      </x:c>
    </x:row>
    <x:row r="101">
      <x:c r="B101" s="9" t="str">
        <x:v>AU-095</x:v>
      </x:c>
      <x:c r="C101" s="9" t="str">
        <x:v>fixture</x:v>
      </x:c>
      <x:c r="D101" s="9" t="str">
        <x:v>boundary definition 12</x:v>
      </x:c>
      <x:c r="E101" s="21" t="n">
        <x:f>IF('Boundary ID'!J18="PASS",1,0)</x:f>
        <x:v>1</x:v>
      </x:c>
      <x:c r="F101" s="21" t="n">
        <x:v>1</x:v>
      </x:c>
      <x:c r="G101" s="21" t="n">
        <x:f>E101-F101</x:f>
        <x:v>0</x:v>
      </x:c>
      <x:c r="H101" s="9" t="str">
        <x:f>IF(ABS(G101)&lt;0.000001,"PASS","FAIL")</x:f>
        <x:v>PASS</x:v>
      </x:c>
      <x:c r="I101" s="9" t="str">
        <x:v>Boundary ID!18</x:v>
      </x:c>
    </x:row>
    <x:row r="102">
      <x:c r="B102" s="9" t="str">
        <x:v>AU-096</x:v>
      </x:c>
      <x:c r="C102" s="9" t="str">
        <x:v>defect</x:v>
      </x:c>
      <x:c r="D102" s="9" t="str">
        <x:v>cell primary count 1</x:v>
      </x:c>
      <x:c r="E102" s="21" t="n">
        <x:f>'Defect Population'!I7</x:f>
        <x:v>116</x:v>
      </x:c>
      <x:c r="F102" s="21" t="n">
        <x:v>116</x:v>
      </x:c>
      <x:c r="G102" s="21" t="n">
        <x:f>E102-F102</x:f>
        <x:v>0</x:v>
      </x:c>
      <x:c r="H102" s="9" t="str">
        <x:f>IF(ABS(G102)&lt;0.000001,"PASS","FAIL")</x:f>
        <x:v>PASS</x:v>
      </x:c>
      <x:c r="I102" s="9" t="str">
        <x:v>Defect Population!7</x:v>
      </x:c>
    </x:row>
    <x:row r="103">
      <x:c r="B103" s="9" t="str">
        <x:v>AU-097</x:v>
      </x:c>
      <x:c r="C103" s="9" t="str">
        <x:v>defect</x:v>
      </x:c>
      <x:c r="D103" s="9" t="str">
        <x:v>cell detection bound 1</x:v>
      </x:c>
      <x:c r="E103" s="21" t="n">
        <x:f>'Defect Population'!N7</x:f>
        <x:v>0.9018553723227043</x:v>
      </x:c>
      <x:c r="F103" s="21" t="n">
        <x:f>'Controls'!$D$44</x:f>
        <x:v>0.9</x:v>
      </x:c>
      <x:c r="G103" s="21" t="n">
        <x:f>E103-F103</x:f>
        <x:v>0.001855372322704274</x:v>
      </x:c>
      <x:c r="H103" s="9" t="str">
        <x:f>IF(E103&gt;=F103,"PASS","FAIL")</x:f>
        <x:v>PASS</x:v>
      </x:c>
      <x:c r="I103" s="9" t="str">
        <x:v>Defect Population!7</x:v>
      </x:c>
    </x:row>
    <x:row r="104">
      <x:c r="B104" s="9" t="str">
        <x:v>AU-098</x:v>
      </x:c>
      <x:c r="C104" s="9" t="str">
        <x:v>defect</x:v>
      </x:c>
      <x:c r="D104" s="9" t="str">
        <x:v>cell primary count 2</x:v>
      </x:c>
      <x:c r="E104" s="21" t="n">
        <x:f>'Defect Population'!I8</x:f>
        <x:v>116</x:v>
      </x:c>
      <x:c r="F104" s="21" t="n">
        <x:v>116</x:v>
      </x:c>
      <x:c r="G104" s="21" t="n">
        <x:f>E104-F104</x:f>
        <x:v>0</x:v>
      </x:c>
      <x:c r="H104" s="9" t="str">
        <x:f>IF(ABS(G104)&lt;0.000001,"PASS","FAIL")</x:f>
        <x:v>PASS</x:v>
      </x:c>
      <x:c r="I104" s="9" t="str">
        <x:v>Defect Population!8</x:v>
      </x:c>
    </x:row>
    <x:row r="105">
      <x:c r="B105" s="9" t="str">
        <x:v>AU-099</x:v>
      </x:c>
      <x:c r="C105" s="9" t="str">
        <x:v>defect</x:v>
      </x:c>
      <x:c r="D105" s="9" t="str">
        <x:v>cell detection bound 2</x:v>
      </x:c>
      <x:c r="E105" s="21" t="n">
        <x:f>'Defect Population'!N8</x:f>
        <x:v>0.9018553723227043</x:v>
      </x:c>
      <x:c r="F105" s="21" t="n">
        <x:f>'Controls'!$D$44</x:f>
        <x:v>0.9</x:v>
      </x:c>
      <x:c r="G105" s="21" t="n">
        <x:f>E105-F105</x:f>
        <x:v>0.001855372322704274</x:v>
      </x:c>
      <x:c r="H105" s="9" t="str">
        <x:f>IF(E105&gt;=F105,"PASS","FAIL")</x:f>
        <x:v>PASS</x:v>
      </x:c>
      <x:c r="I105" s="9" t="str">
        <x:v>Defect Population!8</x:v>
      </x:c>
    </x:row>
    <x:row r="106">
      <x:c r="B106" s="9" t="str">
        <x:v>AU-100</x:v>
      </x:c>
      <x:c r="C106" s="9" t="str">
        <x:v>defect</x:v>
      </x:c>
      <x:c r="D106" s="9" t="str">
        <x:v>cell primary count 3</x:v>
      </x:c>
      <x:c r="E106" s="21" t="n">
        <x:f>'Defect Population'!I9</x:f>
        <x:v>116</x:v>
      </x:c>
      <x:c r="F106" s="21" t="n">
        <x:v>116</x:v>
      </x:c>
      <x:c r="G106" s="21" t="n">
        <x:f>E106-F106</x:f>
        <x:v>0</x:v>
      </x:c>
      <x:c r="H106" s="9" t="str">
        <x:f>IF(ABS(G106)&lt;0.000001,"PASS","FAIL")</x:f>
        <x:v>PASS</x:v>
      </x:c>
      <x:c r="I106" s="9" t="str">
        <x:v>Defect Population!9</x:v>
      </x:c>
    </x:row>
    <x:row r="107">
      <x:c r="B107" s="9" t="str">
        <x:v>AU-101</x:v>
      </x:c>
      <x:c r="C107" s="9" t="str">
        <x:v>defect</x:v>
      </x:c>
      <x:c r="D107" s="9" t="str">
        <x:v>cell detection bound 3</x:v>
      </x:c>
      <x:c r="E107" s="21" t="n">
        <x:f>'Defect Population'!N9</x:f>
        <x:v>0.9018553723227043</x:v>
      </x:c>
      <x:c r="F107" s="21" t="n">
        <x:f>'Controls'!$D$44</x:f>
        <x:v>0.9</x:v>
      </x:c>
      <x:c r="G107" s="21" t="n">
        <x:f>E107-F107</x:f>
        <x:v>0.001855372322704274</x:v>
      </x:c>
      <x:c r="H107" s="9" t="str">
        <x:f>IF(E107&gt;=F107,"PASS","FAIL")</x:f>
        <x:v>PASS</x:v>
      </x:c>
      <x:c r="I107" s="9" t="str">
        <x:v>Defect Population!9</x:v>
      </x:c>
    </x:row>
    <x:row r="108">
      <x:c r="B108" s="9" t="str">
        <x:v>AU-102</x:v>
      </x:c>
      <x:c r="C108" s="9" t="str">
        <x:v>defect</x:v>
      </x:c>
      <x:c r="D108" s="9" t="str">
        <x:v>cell primary count 4</x:v>
      </x:c>
      <x:c r="E108" s="21" t="n">
        <x:f>'Defect Population'!I10</x:f>
        <x:v>116</x:v>
      </x:c>
      <x:c r="F108" s="21" t="n">
        <x:v>116</x:v>
      </x:c>
      <x:c r="G108" s="21" t="n">
        <x:f>E108-F108</x:f>
        <x:v>0</x:v>
      </x:c>
      <x:c r="H108" s="9" t="str">
        <x:f>IF(ABS(G108)&lt;0.000001,"PASS","FAIL")</x:f>
        <x:v>PASS</x:v>
      </x:c>
      <x:c r="I108" s="9" t="str">
        <x:v>Defect Population!10</x:v>
      </x:c>
    </x:row>
    <x:row r="109">
      <x:c r="B109" s="9" t="str">
        <x:v>AU-103</x:v>
      </x:c>
      <x:c r="C109" s="9" t="str">
        <x:v>defect</x:v>
      </x:c>
      <x:c r="D109" s="9" t="str">
        <x:v>cell detection bound 4</x:v>
      </x:c>
      <x:c r="E109" s="21" t="n">
        <x:f>'Defect Population'!N10</x:f>
        <x:v>0.9018553723227043</x:v>
      </x:c>
      <x:c r="F109" s="21" t="n">
        <x:f>'Controls'!$D$44</x:f>
        <x:v>0.9</x:v>
      </x:c>
      <x:c r="G109" s="21" t="n">
        <x:f>E109-F109</x:f>
        <x:v>0.001855372322704274</x:v>
      </x:c>
      <x:c r="H109" s="9" t="str">
        <x:f>IF(E109&gt;=F109,"PASS","FAIL")</x:f>
        <x:v>PASS</x:v>
      </x:c>
      <x:c r="I109" s="9" t="str">
        <x:v>Defect Population!10</x:v>
      </x:c>
    </x:row>
    <x:row r="110">
      <x:c r="B110" s="9" t="str">
        <x:v>AU-104</x:v>
      </x:c>
      <x:c r="C110" s="9" t="str">
        <x:v>defect</x:v>
      </x:c>
      <x:c r="D110" s="9" t="str">
        <x:v>cell primary count 5</x:v>
      </x:c>
      <x:c r="E110" s="21" t="n">
        <x:f>'Defect Population'!I11</x:f>
        <x:v>116</x:v>
      </x:c>
      <x:c r="F110" s="21" t="n">
        <x:v>116</x:v>
      </x:c>
      <x:c r="G110" s="21" t="n">
        <x:f>E110-F110</x:f>
        <x:v>0</x:v>
      </x:c>
      <x:c r="H110" s="9" t="str">
        <x:f>IF(ABS(G110)&lt;0.000001,"PASS","FAIL")</x:f>
        <x:v>PASS</x:v>
      </x:c>
      <x:c r="I110" s="9" t="str">
        <x:v>Defect Population!11</x:v>
      </x:c>
    </x:row>
    <x:row r="111">
      <x:c r="B111" s="9" t="str">
        <x:v>AU-105</x:v>
      </x:c>
      <x:c r="C111" s="9" t="str">
        <x:v>defect</x:v>
      </x:c>
      <x:c r="D111" s="9" t="str">
        <x:v>cell detection bound 5</x:v>
      </x:c>
      <x:c r="E111" s="21" t="n">
        <x:f>'Defect Population'!N11</x:f>
        <x:v>0.9018553723227043</x:v>
      </x:c>
      <x:c r="F111" s="21" t="n">
        <x:f>'Controls'!$D$44</x:f>
        <x:v>0.9</x:v>
      </x:c>
      <x:c r="G111" s="21" t="n">
        <x:f>E111-F111</x:f>
        <x:v>0.001855372322704274</x:v>
      </x:c>
      <x:c r="H111" s="9" t="str">
        <x:f>IF(E111&gt;=F111,"PASS","FAIL")</x:f>
        <x:v>PASS</x:v>
      </x:c>
      <x:c r="I111" s="9" t="str">
        <x:v>Defect Population!11</x:v>
      </x:c>
    </x:row>
    <x:row r="112">
      <x:c r="B112" s="9" t="str">
        <x:v>AU-106</x:v>
      </x:c>
      <x:c r="C112" s="9" t="str">
        <x:v>defect</x:v>
      </x:c>
      <x:c r="D112" s="9" t="str">
        <x:v>cell primary count 6</x:v>
      </x:c>
      <x:c r="E112" s="21" t="n">
        <x:f>'Defect Population'!I12</x:f>
        <x:v>116</x:v>
      </x:c>
      <x:c r="F112" s="21" t="n">
        <x:v>116</x:v>
      </x:c>
      <x:c r="G112" s="21" t="n">
        <x:f>E112-F112</x:f>
        <x:v>0</x:v>
      </x:c>
      <x:c r="H112" s="9" t="str">
        <x:f>IF(ABS(G112)&lt;0.000001,"PASS","FAIL")</x:f>
        <x:v>PASS</x:v>
      </x:c>
      <x:c r="I112" s="9" t="str">
        <x:v>Defect Population!12</x:v>
      </x:c>
    </x:row>
    <x:row r="113">
      <x:c r="B113" s="9" t="str">
        <x:v>AU-107</x:v>
      </x:c>
      <x:c r="C113" s="9" t="str">
        <x:v>defect</x:v>
      </x:c>
      <x:c r="D113" s="9" t="str">
        <x:v>cell detection bound 6</x:v>
      </x:c>
      <x:c r="E113" s="21" t="n">
        <x:f>'Defect Population'!N12</x:f>
        <x:v>0.9018553723227043</x:v>
      </x:c>
      <x:c r="F113" s="21" t="n">
        <x:f>'Controls'!$D$44</x:f>
        <x:v>0.9</x:v>
      </x:c>
      <x:c r="G113" s="21" t="n">
        <x:f>E113-F113</x:f>
        <x:v>0.001855372322704274</x:v>
      </x:c>
      <x:c r="H113" s="9" t="str">
        <x:f>IF(E113&gt;=F113,"PASS","FAIL")</x:f>
        <x:v>PASS</x:v>
      </x:c>
      <x:c r="I113" s="9" t="str">
        <x:v>Defect Population!12</x:v>
      </x:c>
    </x:row>
    <x:row r="114">
      <x:c r="B114" s="9" t="str">
        <x:v>AU-108</x:v>
      </x:c>
      <x:c r="C114" s="9" t="str">
        <x:v>defect</x:v>
      </x:c>
      <x:c r="D114" s="9" t="str">
        <x:v>cell primary count 7</x:v>
      </x:c>
      <x:c r="E114" s="21" t="n">
        <x:f>'Defect Population'!I13</x:f>
        <x:v>116</x:v>
      </x:c>
      <x:c r="F114" s="21" t="n">
        <x:v>116</x:v>
      </x:c>
      <x:c r="G114" s="21" t="n">
        <x:f>E114-F114</x:f>
        <x:v>0</x:v>
      </x:c>
      <x:c r="H114" s="9" t="str">
        <x:f>IF(ABS(G114)&lt;0.000001,"PASS","FAIL")</x:f>
        <x:v>PASS</x:v>
      </x:c>
      <x:c r="I114" s="9" t="str">
        <x:v>Defect Population!13</x:v>
      </x:c>
    </x:row>
    <x:row r="115">
      <x:c r="B115" s="9" t="str">
        <x:v>AU-109</x:v>
      </x:c>
      <x:c r="C115" s="9" t="str">
        <x:v>defect</x:v>
      </x:c>
      <x:c r="D115" s="9" t="str">
        <x:v>cell detection bound 7</x:v>
      </x:c>
      <x:c r="E115" s="21" t="n">
        <x:f>'Defect Population'!N13</x:f>
        <x:v>0.9018553723227043</x:v>
      </x:c>
      <x:c r="F115" s="21" t="n">
        <x:f>'Controls'!$D$44</x:f>
        <x:v>0.9</x:v>
      </x:c>
      <x:c r="G115" s="21" t="n">
        <x:f>E115-F115</x:f>
        <x:v>0.001855372322704274</x:v>
      </x:c>
      <x:c r="H115" s="9" t="str">
        <x:f>IF(E115&gt;=F115,"PASS","FAIL")</x:f>
        <x:v>PASS</x:v>
      </x:c>
      <x:c r="I115" s="9" t="str">
        <x:v>Defect Population!13</x:v>
      </x:c>
    </x:row>
    <x:row r="116">
      <x:c r="B116" s="9" t="str">
        <x:v>AU-110</x:v>
      </x:c>
      <x:c r="C116" s="9" t="str">
        <x:v>defect</x:v>
      </x:c>
      <x:c r="D116" s="9" t="str">
        <x:v>cell primary count 8</x:v>
      </x:c>
      <x:c r="E116" s="21" t="n">
        <x:f>'Defect Population'!I14</x:f>
        <x:v>116</x:v>
      </x:c>
      <x:c r="F116" s="21" t="n">
        <x:v>116</x:v>
      </x:c>
      <x:c r="G116" s="21" t="n">
        <x:f>E116-F116</x:f>
        <x:v>0</x:v>
      </x:c>
      <x:c r="H116" s="9" t="str">
        <x:f>IF(ABS(G116)&lt;0.000001,"PASS","FAIL")</x:f>
        <x:v>PASS</x:v>
      </x:c>
      <x:c r="I116" s="9" t="str">
        <x:v>Defect Population!14</x:v>
      </x:c>
    </x:row>
    <x:row r="117">
      <x:c r="B117" s="9" t="str">
        <x:v>AU-111</x:v>
      </x:c>
      <x:c r="C117" s="9" t="str">
        <x:v>defect</x:v>
      </x:c>
      <x:c r="D117" s="9" t="str">
        <x:v>cell detection bound 8</x:v>
      </x:c>
      <x:c r="E117" s="21" t="n">
        <x:f>'Defect Population'!N14</x:f>
        <x:v>0.9018553723227043</x:v>
      </x:c>
      <x:c r="F117" s="21" t="n">
        <x:f>'Controls'!$D$44</x:f>
        <x:v>0.9</x:v>
      </x:c>
      <x:c r="G117" s="21" t="n">
        <x:f>E117-F117</x:f>
        <x:v>0.001855372322704274</x:v>
      </x:c>
      <x:c r="H117" s="9" t="str">
        <x:f>IF(E117&gt;=F117,"PASS","FAIL")</x:f>
        <x:v>PASS</x:v>
      </x:c>
      <x:c r="I117" s="9" t="str">
        <x:v>Defect Population!14</x:v>
      </x:c>
    </x:row>
    <x:row r="118">
      <x:c r="B118" s="9" t="str">
        <x:v>AU-112</x:v>
      </x:c>
      <x:c r="C118" s="9" t="str">
        <x:v>defect</x:v>
      </x:c>
      <x:c r="D118" s="9" t="str">
        <x:v>cell primary count 9</x:v>
      </x:c>
      <x:c r="E118" s="21" t="n">
        <x:f>'Defect Population'!I15</x:f>
        <x:v>116</x:v>
      </x:c>
      <x:c r="F118" s="21" t="n">
        <x:v>116</x:v>
      </x:c>
      <x:c r="G118" s="21" t="n">
        <x:f>E118-F118</x:f>
        <x:v>0</x:v>
      </x:c>
      <x:c r="H118" s="9" t="str">
        <x:f>IF(ABS(G118)&lt;0.000001,"PASS","FAIL")</x:f>
        <x:v>PASS</x:v>
      </x:c>
      <x:c r="I118" s="9" t="str">
        <x:v>Defect Population!15</x:v>
      </x:c>
    </x:row>
    <x:row r="119">
      <x:c r="B119" s="9" t="str">
        <x:v>AU-113</x:v>
      </x:c>
      <x:c r="C119" s="9" t="str">
        <x:v>defect</x:v>
      </x:c>
      <x:c r="D119" s="9" t="str">
        <x:v>cell detection bound 9</x:v>
      </x:c>
      <x:c r="E119" s="21" t="n">
        <x:f>'Defect Population'!N15</x:f>
        <x:v>0.9018553723227043</x:v>
      </x:c>
      <x:c r="F119" s="21" t="n">
        <x:f>'Controls'!$D$44</x:f>
        <x:v>0.9</x:v>
      </x:c>
      <x:c r="G119" s="21" t="n">
        <x:f>E119-F119</x:f>
        <x:v>0.001855372322704274</x:v>
      </x:c>
      <x:c r="H119" s="9" t="str">
        <x:f>IF(E119&gt;=F119,"PASS","FAIL")</x:f>
        <x:v>PASS</x:v>
      </x:c>
      <x:c r="I119" s="9" t="str">
        <x:v>Defect Population!15</x:v>
      </x:c>
    </x:row>
    <x:row r="120">
      <x:c r="B120" s="9" t="str">
        <x:v>AU-114</x:v>
      </x:c>
      <x:c r="C120" s="9" t="str">
        <x:v>defect</x:v>
      </x:c>
      <x:c r="D120" s="9" t="str">
        <x:v>cell primary count 10</x:v>
      </x:c>
      <x:c r="E120" s="21" t="n">
        <x:f>'Defect Population'!I16</x:f>
        <x:v>116</x:v>
      </x:c>
      <x:c r="F120" s="21" t="n">
        <x:v>116</x:v>
      </x:c>
      <x:c r="G120" s="21" t="n">
        <x:f>E120-F120</x:f>
        <x:v>0</x:v>
      </x:c>
      <x:c r="H120" s="9" t="str">
        <x:f>IF(ABS(G120)&lt;0.000001,"PASS","FAIL")</x:f>
        <x:v>PASS</x:v>
      </x:c>
      <x:c r="I120" s="9" t="str">
        <x:v>Defect Population!16</x:v>
      </x:c>
    </x:row>
    <x:row r="121">
      <x:c r="B121" s="9" t="str">
        <x:v>AU-115</x:v>
      </x:c>
      <x:c r="C121" s="9" t="str">
        <x:v>defect</x:v>
      </x:c>
      <x:c r="D121" s="9" t="str">
        <x:v>cell detection bound 10</x:v>
      </x:c>
      <x:c r="E121" s="21" t="n">
        <x:f>'Defect Population'!N16</x:f>
        <x:v>0.9018553723227043</x:v>
      </x:c>
      <x:c r="F121" s="21" t="n">
        <x:f>'Controls'!$D$44</x:f>
        <x:v>0.9</x:v>
      </x:c>
      <x:c r="G121" s="21" t="n">
        <x:f>E121-F121</x:f>
        <x:v>0.001855372322704274</x:v>
      </x:c>
      <x:c r="H121" s="9" t="str">
        <x:f>IF(E121&gt;=F121,"PASS","FAIL")</x:f>
        <x:v>PASS</x:v>
      </x:c>
      <x:c r="I121" s="9" t="str">
        <x:v>Defect Population!16</x:v>
      </x:c>
    </x:row>
    <x:row r="122">
      <x:c r="B122" s="9" t="str">
        <x:v>AU-116</x:v>
      </x:c>
      <x:c r="C122" s="9" t="str">
        <x:v>defect</x:v>
      </x:c>
      <x:c r="D122" s="9" t="str">
        <x:v>cell primary count 11</x:v>
      </x:c>
      <x:c r="E122" s="21" t="n">
        <x:f>'Defect Population'!I17</x:f>
        <x:v>116</x:v>
      </x:c>
      <x:c r="F122" s="21" t="n">
        <x:v>116</x:v>
      </x:c>
      <x:c r="G122" s="21" t="n">
        <x:f>E122-F122</x:f>
        <x:v>0</x:v>
      </x:c>
      <x:c r="H122" s="9" t="str">
        <x:f>IF(ABS(G122)&lt;0.000001,"PASS","FAIL")</x:f>
        <x:v>PASS</x:v>
      </x:c>
      <x:c r="I122" s="9" t="str">
        <x:v>Defect Population!17</x:v>
      </x:c>
    </x:row>
    <x:row r="123">
      <x:c r="B123" s="9" t="str">
        <x:v>AU-117</x:v>
      </x:c>
      <x:c r="C123" s="9" t="str">
        <x:v>defect</x:v>
      </x:c>
      <x:c r="D123" s="9" t="str">
        <x:v>cell detection bound 11</x:v>
      </x:c>
      <x:c r="E123" s="21" t="n">
        <x:f>'Defect Population'!N17</x:f>
        <x:v>0.9018553723227043</x:v>
      </x:c>
      <x:c r="F123" s="21" t="n">
        <x:f>'Controls'!$D$44</x:f>
        <x:v>0.9</x:v>
      </x:c>
      <x:c r="G123" s="21" t="n">
        <x:f>E123-F123</x:f>
        <x:v>0.001855372322704274</x:v>
      </x:c>
      <x:c r="H123" s="9" t="str">
        <x:f>IF(E123&gt;=F123,"PASS","FAIL")</x:f>
        <x:v>PASS</x:v>
      </x:c>
      <x:c r="I123" s="9" t="str">
        <x:v>Defect Population!17</x:v>
      </x:c>
    </x:row>
    <x:row r="124">
      <x:c r="B124" s="9" t="str">
        <x:v>AU-118</x:v>
      </x:c>
      <x:c r="C124" s="9" t="str">
        <x:v>defect</x:v>
      </x:c>
      <x:c r="D124" s="9" t="str">
        <x:v>cell primary count 12</x:v>
      </x:c>
      <x:c r="E124" s="21" t="n">
        <x:f>'Defect Population'!I18</x:f>
        <x:v>116</x:v>
      </x:c>
      <x:c r="F124" s="21" t="n">
        <x:v>116</x:v>
      </x:c>
      <x:c r="G124" s="21" t="n">
        <x:f>E124-F124</x:f>
        <x:v>0</x:v>
      </x:c>
      <x:c r="H124" s="9" t="str">
        <x:f>IF(ABS(G124)&lt;0.000001,"PASS","FAIL")</x:f>
        <x:v>PASS</x:v>
      </x:c>
      <x:c r="I124" s="9" t="str">
        <x:v>Defect Population!18</x:v>
      </x:c>
    </x:row>
    <x:row r="125">
      <x:c r="B125" s="9" t="str">
        <x:v>AU-119</x:v>
      </x:c>
      <x:c r="C125" s="9" t="str">
        <x:v>defect</x:v>
      </x:c>
      <x:c r="D125" s="9" t="str">
        <x:v>cell detection bound 12</x:v>
      </x:c>
      <x:c r="E125" s="21" t="n">
        <x:f>'Defect Population'!N18</x:f>
        <x:v>0.9018553723227043</x:v>
      </x:c>
      <x:c r="F125" s="21" t="n">
        <x:f>'Controls'!$D$44</x:f>
        <x:v>0.9</x:v>
      </x:c>
      <x:c r="G125" s="21" t="n">
        <x:f>E125-F125</x:f>
        <x:v>0.001855372322704274</x:v>
      </x:c>
      <x:c r="H125" s="9" t="str">
        <x:f>IF(E125&gt;=F125,"PASS","FAIL")</x:f>
        <x:v>PASS</x:v>
      </x:c>
      <x:c r="I125" s="9" t="str">
        <x:v>Defect Population!18</x:v>
      </x:c>
    </x:row>
    <x:row r="126">
      <x:c r="B126" s="9" t="str">
        <x:v>AU-120</x:v>
      </x:c>
      <x:c r="C126" s="9" t="str">
        <x:v>defect</x:v>
      </x:c>
      <x:c r="D126" s="9" t="str">
        <x:v>cell primary count 13</x:v>
      </x:c>
      <x:c r="E126" s="21" t="n">
        <x:f>'Defect Population'!I19</x:f>
        <x:v>116</x:v>
      </x:c>
      <x:c r="F126" s="21" t="n">
        <x:v>116</x:v>
      </x:c>
      <x:c r="G126" s="21" t="n">
        <x:f>E126-F126</x:f>
        <x:v>0</x:v>
      </x:c>
      <x:c r="H126" s="9" t="str">
        <x:f>IF(ABS(G126)&lt;0.000001,"PASS","FAIL")</x:f>
        <x:v>PASS</x:v>
      </x:c>
      <x:c r="I126" s="9" t="str">
        <x:v>Defect Population!19</x:v>
      </x:c>
    </x:row>
    <x:row r="127">
      <x:c r="B127" s="9" t="str">
        <x:v>AU-121</x:v>
      </x:c>
      <x:c r="C127" s="9" t="str">
        <x:v>defect</x:v>
      </x:c>
      <x:c r="D127" s="9" t="str">
        <x:v>cell detection bound 13</x:v>
      </x:c>
      <x:c r="E127" s="21" t="n">
        <x:f>'Defect Population'!N19</x:f>
        <x:v>0.9018553723227043</x:v>
      </x:c>
      <x:c r="F127" s="21" t="n">
        <x:f>'Controls'!$D$44</x:f>
        <x:v>0.9</x:v>
      </x:c>
      <x:c r="G127" s="21" t="n">
        <x:f>E127-F127</x:f>
        <x:v>0.001855372322704274</x:v>
      </x:c>
      <x:c r="H127" s="9" t="str">
        <x:f>IF(E127&gt;=F127,"PASS","FAIL")</x:f>
        <x:v>PASS</x:v>
      </x:c>
      <x:c r="I127" s="9" t="str">
        <x:v>Defect Population!19</x:v>
      </x:c>
    </x:row>
    <x:row r="128">
      <x:c r="B128" s="9" t="str">
        <x:v>AU-122</x:v>
      </x:c>
      <x:c r="C128" s="9" t="str">
        <x:v>defect</x:v>
      </x:c>
      <x:c r="D128" s="9" t="str">
        <x:v>cell primary count 14</x:v>
      </x:c>
      <x:c r="E128" s="21" t="n">
        <x:f>'Defect Population'!I20</x:f>
        <x:v>116</x:v>
      </x:c>
      <x:c r="F128" s="21" t="n">
        <x:v>116</x:v>
      </x:c>
      <x:c r="G128" s="21" t="n">
        <x:f>E128-F128</x:f>
        <x:v>0</x:v>
      </x:c>
      <x:c r="H128" s="9" t="str">
        <x:f>IF(ABS(G128)&lt;0.000001,"PASS","FAIL")</x:f>
        <x:v>PASS</x:v>
      </x:c>
      <x:c r="I128" s="9" t="str">
        <x:v>Defect Population!20</x:v>
      </x:c>
    </x:row>
    <x:row r="129">
      <x:c r="B129" s="9" t="str">
        <x:v>AU-123</x:v>
      </x:c>
      <x:c r="C129" s="9" t="str">
        <x:v>defect</x:v>
      </x:c>
      <x:c r="D129" s="9" t="str">
        <x:v>cell detection bound 14</x:v>
      </x:c>
      <x:c r="E129" s="21" t="n">
        <x:f>'Defect Population'!N20</x:f>
        <x:v>0.9018553723227043</x:v>
      </x:c>
      <x:c r="F129" s="21" t="n">
        <x:f>'Controls'!$D$44</x:f>
        <x:v>0.9</x:v>
      </x:c>
      <x:c r="G129" s="21" t="n">
        <x:f>E129-F129</x:f>
        <x:v>0.001855372322704274</x:v>
      </x:c>
      <x:c r="H129" s="9" t="str">
        <x:f>IF(E129&gt;=F129,"PASS","FAIL")</x:f>
        <x:v>PASS</x:v>
      </x:c>
      <x:c r="I129" s="9" t="str">
        <x:v>Defect Population!20</x:v>
      </x:c>
    </x:row>
    <x:row r="130">
      <x:c r="B130" s="9" t="str">
        <x:v>AU-124</x:v>
      </x:c>
      <x:c r="C130" s="9" t="str">
        <x:v>defect</x:v>
      </x:c>
      <x:c r="D130" s="9" t="str">
        <x:v>cell primary count 15</x:v>
      </x:c>
      <x:c r="E130" s="21" t="n">
        <x:f>'Defect Population'!I21</x:f>
        <x:v>116</x:v>
      </x:c>
      <x:c r="F130" s="21" t="n">
        <x:v>116</x:v>
      </x:c>
      <x:c r="G130" s="21" t="n">
        <x:f>E130-F130</x:f>
        <x:v>0</x:v>
      </x:c>
      <x:c r="H130" s="9" t="str">
        <x:f>IF(ABS(G130)&lt;0.000001,"PASS","FAIL")</x:f>
        <x:v>PASS</x:v>
      </x:c>
      <x:c r="I130" s="9" t="str">
        <x:v>Defect Population!21</x:v>
      </x:c>
    </x:row>
    <x:row r="131">
      <x:c r="B131" s="9" t="str">
        <x:v>AU-125</x:v>
      </x:c>
      <x:c r="C131" s="9" t="str">
        <x:v>defect</x:v>
      </x:c>
      <x:c r="D131" s="9" t="str">
        <x:v>cell detection bound 15</x:v>
      </x:c>
      <x:c r="E131" s="21" t="n">
        <x:f>'Defect Population'!N21</x:f>
        <x:v>0.9018553723227043</x:v>
      </x:c>
      <x:c r="F131" s="21" t="n">
        <x:f>'Controls'!$D$44</x:f>
        <x:v>0.9</x:v>
      </x:c>
      <x:c r="G131" s="21" t="n">
        <x:f>E131-F131</x:f>
        <x:v>0.001855372322704274</x:v>
      </x:c>
      <x:c r="H131" s="9" t="str">
        <x:f>IF(E131&gt;=F131,"PASS","FAIL")</x:f>
        <x:v>PASS</x:v>
      </x:c>
      <x:c r="I131" s="9" t="str">
        <x:v>Defect Population!21</x:v>
      </x:c>
    </x:row>
    <x:row r="132">
      <x:c r="B132" s="9" t="str">
        <x:v>AU-126</x:v>
      </x:c>
      <x:c r="C132" s="9" t="str">
        <x:v>defect</x:v>
      </x:c>
      <x:c r="D132" s="9" t="str">
        <x:v>cell primary count 16</x:v>
      </x:c>
      <x:c r="E132" s="21" t="n">
        <x:f>'Defect Population'!I22</x:f>
        <x:v>116</x:v>
      </x:c>
      <x:c r="F132" s="21" t="n">
        <x:v>116</x:v>
      </x:c>
      <x:c r="G132" s="21" t="n">
        <x:f>E132-F132</x:f>
        <x:v>0</x:v>
      </x:c>
      <x:c r="H132" s="9" t="str">
        <x:f>IF(ABS(G132)&lt;0.000001,"PASS","FAIL")</x:f>
        <x:v>PASS</x:v>
      </x:c>
      <x:c r="I132" s="9" t="str">
        <x:v>Defect Population!22</x:v>
      </x:c>
    </x:row>
    <x:row r="133">
      <x:c r="B133" s="9" t="str">
        <x:v>AU-127</x:v>
      </x:c>
      <x:c r="C133" s="9" t="str">
        <x:v>defect</x:v>
      </x:c>
      <x:c r="D133" s="9" t="str">
        <x:v>cell detection bound 16</x:v>
      </x:c>
      <x:c r="E133" s="21" t="n">
        <x:f>'Defect Population'!N22</x:f>
        <x:v>0.9018553723227043</x:v>
      </x:c>
      <x:c r="F133" s="21" t="n">
        <x:f>'Controls'!$D$44</x:f>
        <x:v>0.9</x:v>
      </x:c>
      <x:c r="G133" s="21" t="n">
        <x:f>E133-F133</x:f>
        <x:v>0.001855372322704274</x:v>
      </x:c>
      <x:c r="H133" s="9" t="str">
        <x:f>IF(E133&gt;=F133,"PASS","FAIL")</x:f>
        <x:v>PASS</x:v>
      </x:c>
      <x:c r="I133" s="9" t="str">
        <x:v>Defect Population!22</x:v>
      </x:c>
    </x:row>
    <x:row r="134">
      <x:c r="B134" s="9" t="str">
        <x:v>AU-128</x:v>
      </x:c>
      <x:c r="C134" s="9" t="str">
        <x:v>defect</x:v>
      </x:c>
      <x:c r="D134" s="9" t="str">
        <x:v>cell primary count 17</x:v>
      </x:c>
      <x:c r="E134" s="21" t="n">
        <x:f>'Defect Population'!I23</x:f>
        <x:v>116</x:v>
      </x:c>
      <x:c r="F134" s="21" t="n">
        <x:v>116</x:v>
      </x:c>
      <x:c r="G134" s="21" t="n">
        <x:f>E134-F134</x:f>
        <x:v>0</x:v>
      </x:c>
      <x:c r="H134" s="9" t="str">
        <x:f>IF(ABS(G134)&lt;0.000001,"PASS","FAIL")</x:f>
        <x:v>PASS</x:v>
      </x:c>
      <x:c r="I134" s="9" t="str">
        <x:v>Defect Population!23</x:v>
      </x:c>
    </x:row>
    <x:row r="135">
      <x:c r="B135" s="9" t="str">
        <x:v>AU-129</x:v>
      </x:c>
      <x:c r="C135" s="9" t="str">
        <x:v>defect</x:v>
      </x:c>
      <x:c r="D135" s="9" t="str">
        <x:v>cell detection bound 17</x:v>
      </x:c>
      <x:c r="E135" s="21" t="n">
        <x:f>'Defect Population'!N23</x:f>
        <x:v>0.9018553723227043</x:v>
      </x:c>
      <x:c r="F135" s="21" t="n">
        <x:f>'Controls'!$D$44</x:f>
        <x:v>0.9</x:v>
      </x:c>
      <x:c r="G135" s="21" t="n">
        <x:f>E135-F135</x:f>
        <x:v>0.001855372322704274</x:v>
      </x:c>
      <x:c r="H135" s="9" t="str">
        <x:f>IF(E135&gt;=F135,"PASS","FAIL")</x:f>
        <x:v>PASS</x:v>
      </x:c>
      <x:c r="I135" s="9" t="str">
        <x:v>Defect Population!23</x:v>
      </x:c>
    </x:row>
    <x:row r="136">
      <x:c r="B136" s="9" t="str">
        <x:v>AU-130</x:v>
      </x:c>
      <x:c r="C136" s="9" t="str">
        <x:v>defect</x:v>
      </x:c>
      <x:c r="D136" s="9" t="str">
        <x:v>cell primary count 18</x:v>
      </x:c>
      <x:c r="E136" s="21" t="n">
        <x:f>'Defect Population'!I24</x:f>
        <x:v>116</x:v>
      </x:c>
      <x:c r="F136" s="21" t="n">
        <x:v>116</x:v>
      </x:c>
      <x:c r="G136" s="21" t="n">
        <x:f>E136-F136</x:f>
        <x:v>0</x:v>
      </x:c>
      <x:c r="H136" s="9" t="str">
        <x:f>IF(ABS(G136)&lt;0.000001,"PASS","FAIL")</x:f>
        <x:v>PASS</x:v>
      </x:c>
      <x:c r="I136" s="9" t="str">
        <x:v>Defect Population!24</x:v>
      </x:c>
    </x:row>
    <x:row r="137">
      <x:c r="B137" s="9" t="str">
        <x:v>AU-131</x:v>
      </x:c>
      <x:c r="C137" s="9" t="str">
        <x:v>defect</x:v>
      </x:c>
      <x:c r="D137" s="9" t="str">
        <x:v>cell detection bound 18</x:v>
      </x:c>
      <x:c r="E137" s="21" t="n">
        <x:f>'Defect Population'!N24</x:f>
        <x:v>0.9018553723227043</x:v>
      </x:c>
      <x:c r="F137" s="21" t="n">
        <x:f>'Controls'!$D$44</x:f>
        <x:v>0.9</x:v>
      </x:c>
      <x:c r="G137" s="21" t="n">
        <x:f>E137-F137</x:f>
        <x:v>0.001855372322704274</x:v>
      </x:c>
      <x:c r="H137" s="9" t="str">
        <x:f>IF(E137&gt;=F137,"PASS","FAIL")</x:f>
        <x:v>PASS</x:v>
      </x:c>
      <x:c r="I137" s="9" t="str">
        <x:v>Defect Population!24</x:v>
      </x:c>
    </x:row>
    <x:row r="138">
      <x:c r="B138" s="9" t="str">
        <x:v>AU-132</x:v>
      </x:c>
      <x:c r="C138" s="9" t="str">
        <x:v>defect</x:v>
      </x:c>
      <x:c r="D138" s="9" t="str">
        <x:v>cell primary count 19</x:v>
      </x:c>
      <x:c r="E138" s="21" t="n">
        <x:f>'Defect Population'!I25</x:f>
        <x:v>116</x:v>
      </x:c>
      <x:c r="F138" s="21" t="n">
        <x:v>116</x:v>
      </x:c>
      <x:c r="G138" s="21" t="n">
        <x:f>E138-F138</x:f>
        <x:v>0</x:v>
      </x:c>
      <x:c r="H138" s="9" t="str">
        <x:f>IF(ABS(G138)&lt;0.000001,"PASS","FAIL")</x:f>
        <x:v>PASS</x:v>
      </x:c>
      <x:c r="I138" s="9" t="str">
        <x:v>Defect Population!25</x:v>
      </x:c>
    </x:row>
    <x:row r="139">
      <x:c r="B139" s="9" t="str">
        <x:v>AU-133</x:v>
      </x:c>
      <x:c r="C139" s="9" t="str">
        <x:v>defect</x:v>
      </x:c>
      <x:c r="D139" s="9" t="str">
        <x:v>cell detection bound 19</x:v>
      </x:c>
      <x:c r="E139" s="21" t="n">
        <x:f>'Defect Population'!N25</x:f>
        <x:v>0.9018553723227043</x:v>
      </x:c>
      <x:c r="F139" s="21" t="n">
        <x:f>'Controls'!$D$44</x:f>
        <x:v>0.9</x:v>
      </x:c>
      <x:c r="G139" s="21" t="n">
        <x:f>E139-F139</x:f>
        <x:v>0.001855372322704274</x:v>
      </x:c>
      <x:c r="H139" s="9" t="str">
        <x:f>IF(E139&gt;=F139,"PASS","FAIL")</x:f>
        <x:v>PASS</x:v>
      </x:c>
      <x:c r="I139" s="9" t="str">
        <x:v>Defect Population!25</x:v>
      </x:c>
    </x:row>
    <x:row r="140">
      <x:c r="B140" s="9" t="str">
        <x:v>AU-134</x:v>
      </x:c>
      <x:c r="C140" s="9" t="str">
        <x:v>defect</x:v>
      </x:c>
      <x:c r="D140" s="9" t="str">
        <x:v>cell primary count 20</x:v>
      </x:c>
      <x:c r="E140" s="21" t="n">
        <x:f>'Defect Population'!I26</x:f>
        <x:v>116</x:v>
      </x:c>
      <x:c r="F140" s="21" t="n">
        <x:v>116</x:v>
      </x:c>
      <x:c r="G140" s="21" t="n">
        <x:f>E140-F140</x:f>
        <x:v>0</x:v>
      </x:c>
      <x:c r="H140" s="9" t="str">
        <x:f>IF(ABS(G140)&lt;0.000001,"PASS","FAIL")</x:f>
        <x:v>PASS</x:v>
      </x:c>
      <x:c r="I140" s="9" t="str">
        <x:v>Defect Population!26</x:v>
      </x:c>
    </x:row>
    <x:row r="141">
      <x:c r="B141" s="9" t="str">
        <x:v>AU-135</x:v>
      </x:c>
      <x:c r="C141" s="9" t="str">
        <x:v>defect</x:v>
      </x:c>
      <x:c r="D141" s="9" t="str">
        <x:v>cell detection bound 20</x:v>
      </x:c>
      <x:c r="E141" s="21" t="n">
        <x:f>'Defect Population'!N26</x:f>
        <x:v>0.9018553723227043</x:v>
      </x:c>
      <x:c r="F141" s="21" t="n">
        <x:f>'Controls'!$D$44</x:f>
        <x:v>0.9</x:v>
      </x:c>
      <x:c r="G141" s="21" t="n">
        <x:f>E141-F141</x:f>
        <x:v>0.001855372322704274</x:v>
      </x:c>
      <x:c r="H141" s="9" t="str">
        <x:f>IF(E141&gt;=F141,"PASS","FAIL")</x:f>
        <x:v>PASS</x:v>
      </x:c>
      <x:c r="I141" s="9" t="str">
        <x:v>Defect Population!26</x:v>
      </x:c>
    </x:row>
    <x:row r="142">
      <x:c r="B142" s="9" t="str">
        <x:v>AU-136</x:v>
      </x:c>
      <x:c r="C142" s="9" t="str">
        <x:v>defect</x:v>
      </x:c>
      <x:c r="D142" s="9" t="str">
        <x:v>cell primary count 21</x:v>
      </x:c>
      <x:c r="E142" s="21" t="n">
        <x:f>'Defect Population'!I27</x:f>
        <x:v>116</x:v>
      </x:c>
      <x:c r="F142" s="21" t="n">
        <x:v>116</x:v>
      </x:c>
      <x:c r="G142" s="21" t="n">
        <x:f>E142-F142</x:f>
        <x:v>0</x:v>
      </x:c>
      <x:c r="H142" s="9" t="str">
        <x:f>IF(ABS(G142)&lt;0.000001,"PASS","FAIL")</x:f>
        <x:v>PASS</x:v>
      </x:c>
      <x:c r="I142" s="9" t="str">
        <x:v>Defect Population!27</x:v>
      </x:c>
    </x:row>
    <x:row r="143">
      <x:c r="B143" s="9" t="str">
        <x:v>AU-137</x:v>
      </x:c>
      <x:c r="C143" s="9" t="str">
        <x:v>defect</x:v>
      </x:c>
      <x:c r="D143" s="9" t="str">
        <x:v>cell detection bound 21</x:v>
      </x:c>
      <x:c r="E143" s="21" t="n">
        <x:f>'Defect Population'!N27</x:f>
        <x:v>0.9018553723227043</x:v>
      </x:c>
      <x:c r="F143" s="21" t="n">
        <x:f>'Controls'!$D$44</x:f>
        <x:v>0.9</x:v>
      </x:c>
      <x:c r="G143" s="21" t="n">
        <x:f>E143-F143</x:f>
        <x:v>0.001855372322704274</x:v>
      </x:c>
      <x:c r="H143" s="9" t="str">
        <x:f>IF(E143&gt;=F143,"PASS","FAIL")</x:f>
        <x:v>PASS</x:v>
      </x:c>
      <x:c r="I143" s="9" t="str">
        <x:v>Defect Population!27</x:v>
      </x:c>
    </x:row>
    <x:row r="144">
      <x:c r="B144" s="9" t="str">
        <x:v>AU-138</x:v>
      </x:c>
      <x:c r="C144" s="9" t="str">
        <x:v>defect</x:v>
      </x:c>
      <x:c r="D144" s="9" t="str">
        <x:v>cell primary count 22</x:v>
      </x:c>
      <x:c r="E144" s="21" t="n">
        <x:f>'Defect Population'!I28</x:f>
        <x:v>116</x:v>
      </x:c>
      <x:c r="F144" s="21" t="n">
        <x:v>116</x:v>
      </x:c>
      <x:c r="G144" s="21" t="n">
        <x:f>E144-F144</x:f>
        <x:v>0</x:v>
      </x:c>
      <x:c r="H144" s="9" t="str">
        <x:f>IF(ABS(G144)&lt;0.000001,"PASS","FAIL")</x:f>
        <x:v>PASS</x:v>
      </x:c>
      <x:c r="I144" s="9" t="str">
        <x:v>Defect Population!28</x:v>
      </x:c>
    </x:row>
    <x:row r="145">
      <x:c r="B145" s="9" t="str">
        <x:v>AU-139</x:v>
      </x:c>
      <x:c r="C145" s="9" t="str">
        <x:v>defect</x:v>
      </x:c>
      <x:c r="D145" s="9" t="str">
        <x:v>cell detection bound 22</x:v>
      </x:c>
      <x:c r="E145" s="21" t="n">
        <x:f>'Defect Population'!N28</x:f>
        <x:v>0.9018553723227043</x:v>
      </x:c>
      <x:c r="F145" s="21" t="n">
        <x:f>'Controls'!$D$44</x:f>
        <x:v>0.9</x:v>
      </x:c>
      <x:c r="G145" s="21" t="n">
        <x:f>E145-F145</x:f>
        <x:v>0.001855372322704274</x:v>
      </x:c>
      <x:c r="H145" s="9" t="str">
        <x:f>IF(E145&gt;=F145,"PASS","FAIL")</x:f>
        <x:v>PASS</x:v>
      </x:c>
      <x:c r="I145" s="9" t="str">
        <x:v>Defect Population!28</x:v>
      </x:c>
    </x:row>
    <x:row r="146">
      <x:c r="B146" s="9" t="str">
        <x:v>AU-140</x:v>
      </x:c>
      <x:c r="C146" s="9" t="str">
        <x:v>defect</x:v>
      </x:c>
      <x:c r="D146" s="9" t="str">
        <x:v>cell primary count 23</x:v>
      </x:c>
      <x:c r="E146" s="21" t="n">
        <x:f>'Defect Population'!I29</x:f>
        <x:v>116</x:v>
      </x:c>
      <x:c r="F146" s="21" t="n">
        <x:v>116</x:v>
      </x:c>
      <x:c r="G146" s="21" t="n">
        <x:f>E146-F146</x:f>
        <x:v>0</x:v>
      </x:c>
      <x:c r="H146" s="9" t="str">
        <x:f>IF(ABS(G146)&lt;0.000001,"PASS","FAIL")</x:f>
        <x:v>PASS</x:v>
      </x:c>
      <x:c r="I146" s="9" t="str">
        <x:v>Defect Population!29</x:v>
      </x:c>
    </x:row>
    <x:row r="147">
      <x:c r="B147" s="9" t="str">
        <x:v>AU-141</x:v>
      </x:c>
      <x:c r="C147" s="9" t="str">
        <x:v>defect</x:v>
      </x:c>
      <x:c r="D147" s="9" t="str">
        <x:v>cell detection bound 23</x:v>
      </x:c>
      <x:c r="E147" s="21" t="n">
        <x:f>'Defect Population'!N29</x:f>
        <x:v>0.9018553723227043</x:v>
      </x:c>
      <x:c r="F147" s="21" t="n">
        <x:f>'Controls'!$D$44</x:f>
        <x:v>0.9</x:v>
      </x:c>
      <x:c r="G147" s="21" t="n">
        <x:f>E147-F147</x:f>
        <x:v>0.001855372322704274</x:v>
      </x:c>
      <x:c r="H147" s="9" t="str">
        <x:f>IF(E147&gt;=F147,"PASS","FAIL")</x:f>
        <x:v>PASS</x:v>
      </x:c>
      <x:c r="I147" s="9" t="str">
        <x:v>Defect Population!29</x:v>
      </x:c>
    </x:row>
    <x:row r="148">
      <x:c r="B148" s="9" t="str">
        <x:v>AU-142</x:v>
      </x:c>
      <x:c r="C148" s="9" t="str">
        <x:v>defect</x:v>
      </x:c>
      <x:c r="D148" s="9" t="str">
        <x:v>cell primary count 24</x:v>
      </x:c>
      <x:c r="E148" s="21" t="n">
        <x:f>'Defect Population'!I30</x:f>
        <x:v>116</x:v>
      </x:c>
      <x:c r="F148" s="21" t="n">
        <x:v>116</x:v>
      </x:c>
      <x:c r="G148" s="21" t="n">
        <x:f>E148-F148</x:f>
        <x:v>0</x:v>
      </x:c>
      <x:c r="H148" s="9" t="str">
        <x:f>IF(ABS(G148)&lt;0.000001,"PASS","FAIL")</x:f>
        <x:v>PASS</x:v>
      </x:c>
      <x:c r="I148" s="9" t="str">
        <x:v>Defect Population!30</x:v>
      </x:c>
    </x:row>
    <x:row r="149">
      <x:c r="B149" s="9" t="str">
        <x:v>AU-143</x:v>
      </x:c>
      <x:c r="C149" s="9" t="str">
        <x:v>defect</x:v>
      </x:c>
      <x:c r="D149" s="9" t="str">
        <x:v>cell detection bound 24</x:v>
      </x:c>
      <x:c r="E149" s="21" t="n">
        <x:f>'Defect Population'!N30</x:f>
        <x:v>0.9018553723227043</x:v>
      </x:c>
      <x:c r="F149" s="21" t="n">
        <x:f>'Controls'!$D$44</x:f>
        <x:v>0.9</x:v>
      </x:c>
      <x:c r="G149" s="21" t="n">
        <x:f>E149-F149</x:f>
        <x:v>0.001855372322704274</x:v>
      </x:c>
      <x:c r="H149" s="9" t="str">
        <x:f>IF(E149&gt;=F149,"PASS","FAIL")</x:f>
        <x:v>PASS</x:v>
      </x:c>
      <x:c r="I149" s="9" t="str">
        <x:v>Defect Population!30</x:v>
      </x:c>
    </x:row>
    <x:row r="150">
      <x:c r="B150" s="9" t="str">
        <x:v>AU-144</x:v>
      </x:c>
      <x:c r="C150" s="9" t="str">
        <x:v>instrument</x:v>
      </x:c>
      <x:c r="D150" s="9" t="str">
        <x:v>ratio allocation 1</x:v>
      </x:c>
      <x:c r="E150" s="21" t="n">
        <x:f>Instruments!I7</x:f>
        <x:v>4</x:v>
      </x:c>
      <x:c r="F150" s="21" t="n">
        <x:f>'Controls'!$D$24</x:f>
        <x:v>4</x:v>
      </x:c>
      <x:c r="G150" s="21" t="n">
        <x:f>E150-F150</x:f>
        <x:v>0</x:v>
      </x:c>
      <x:c r="H150" s="9" t="str">
        <x:f>IF(E150&gt;=F150,"PASS","FAIL")</x:f>
        <x:v>PASS</x:v>
      </x:c>
      <x:c r="I150" s="9" t="str">
        <x:v>Instruments!7</x:v>
      </x:c>
    </x:row>
    <x:row r="151">
      <x:c r="B151" s="9" t="str">
        <x:v>AU-145</x:v>
      </x:c>
      <x:c r="C151" s="9" t="str">
        <x:v>instrument</x:v>
      </x:c>
      <x:c r="D151" s="9" t="str">
        <x:v>ratio allocation 2</x:v>
      </x:c>
      <x:c r="E151" s="21" t="n">
        <x:f>Instruments!I8</x:f>
        <x:v>4</x:v>
      </x:c>
      <x:c r="F151" s="21" t="n">
        <x:f>'Controls'!$D$24</x:f>
        <x:v>4</x:v>
      </x:c>
      <x:c r="G151" s="21" t="n">
        <x:f>E151-F151</x:f>
        <x:v>0</x:v>
      </x:c>
      <x:c r="H151" s="9" t="str">
        <x:f>IF(E151&gt;=F151,"PASS","FAIL")</x:f>
        <x:v>PASS</x:v>
      </x:c>
      <x:c r="I151" s="9" t="str">
        <x:v>Instruments!8</x:v>
      </x:c>
    </x:row>
    <x:row r="152">
      <x:c r="B152" s="9" t="str">
        <x:v>AU-146</x:v>
      </x:c>
      <x:c r="C152" s="9" t="str">
        <x:v>instrument</x:v>
      </x:c>
      <x:c r="D152" s="9" t="str">
        <x:v>ratio allocation 3</x:v>
      </x:c>
      <x:c r="E152" s="21" t="n">
        <x:f>Instruments!I9</x:f>
        <x:v>4</x:v>
      </x:c>
      <x:c r="F152" s="21" t="n">
        <x:f>'Controls'!$D$24</x:f>
        <x:v>4</x:v>
      </x:c>
      <x:c r="G152" s="21" t="n">
        <x:f>E152-F152</x:f>
        <x:v>0</x:v>
      </x:c>
      <x:c r="H152" s="9" t="str">
        <x:f>IF(E152&gt;=F152,"PASS","FAIL")</x:f>
        <x:v>PASS</x:v>
      </x:c>
      <x:c r="I152" s="9" t="str">
        <x:v>Instruments!9</x:v>
      </x:c>
    </x:row>
    <x:row r="153">
      <x:c r="B153" s="9" t="str">
        <x:v>AU-147</x:v>
      </x:c>
      <x:c r="C153" s="9" t="str">
        <x:v>instrument</x:v>
      </x:c>
      <x:c r="D153" s="9" t="str">
        <x:v>ratio allocation 4</x:v>
      </x:c>
      <x:c r="E153" s="21" t="n">
        <x:f>Instruments!I10</x:f>
        <x:v>4</x:v>
      </x:c>
      <x:c r="F153" s="21" t="n">
        <x:f>'Controls'!$D$24</x:f>
        <x:v>4</x:v>
      </x:c>
      <x:c r="G153" s="21" t="n">
        <x:f>E153-F153</x:f>
        <x:v>0</x:v>
      </x:c>
      <x:c r="H153" s="9" t="str">
        <x:f>IF(E153&gt;=F153,"PASS","FAIL")</x:f>
        <x:v>PASS</x:v>
      </x:c>
      <x:c r="I153" s="9" t="str">
        <x:v>Instruments!10</x:v>
      </x:c>
    </x:row>
    <x:row r="154">
      <x:c r="B154" s="9" t="str">
        <x:v>AU-148</x:v>
      </x:c>
      <x:c r="C154" s="9" t="str">
        <x:v>instrument</x:v>
      </x:c>
      <x:c r="D154" s="9" t="str">
        <x:v>ratio allocation 5</x:v>
      </x:c>
      <x:c r="E154" s="21" t="n">
        <x:f>Instruments!I11</x:f>
        <x:v>4</x:v>
      </x:c>
      <x:c r="F154" s="21" t="n">
        <x:f>'Controls'!$D$24</x:f>
        <x:v>4</x:v>
      </x:c>
      <x:c r="G154" s="21" t="n">
        <x:f>E154-F154</x:f>
        <x:v>0</x:v>
      </x:c>
      <x:c r="H154" s="9" t="str">
        <x:f>IF(E154&gt;=F154,"PASS","FAIL")</x:f>
        <x:v>PASS</x:v>
      </x:c>
      <x:c r="I154" s="9" t="str">
        <x:v>Instruments!11</x:v>
      </x:c>
    </x:row>
    <x:row r="155">
      <x:c r="B155" s="9" t="str">
        <x:v>AU-149</x:v>
      </x:c>
      <x:c r="C155" s="9" t="str">
        <x:v>instrument</x:v>
      </x:c>
      <x:c r="D155" s="9" t="str">
        <x:v>ratio allocation 6</x:v>
      </x:c>
      <x:c r="E155" s="21" t="n">
        <x:f>Instruments!I12</x:f>
        <x:v>4</x:v>
      </x:c>
      <x:c r="F155" s="21" t="n">
        <x:f>'Controls'!$D$24</x:f>
        <x:v>4</x:v>
      </x:c>
      <x:c r="G155" s="21" t="n">
        <x:f>E155-F155</x:f>
        <x:v>0</x:v>
      </x:c>
      <x:c r="H155" s="9" t="str">
        <x:f>IF(E155&gt;=F155,"PASS","FAIL")</x:f>
        <x:v>PASS</x:v>
      </x:c>
      <x:c r="I155" s="9" t="str">
        <x:v>Instruments!12</x:v>
      </x:c>
    </x:row>
    <x:row r="156">
      <x:c r="B156" s="9" t="str">
        <x:v>AU-150</x:v>
      </x:c>
      <x:c r="C156" s="9" t="str">
        <x:v>instrument</x:v>
      </x:c>
      <x:c r="D156" s="9" t="str">
        <x:v>ratio allocation 7</x:v>
      </x:c>
      <x:c r="E156" s="21" t="n">
        <x:f>Instruments!I13</x:f>
        <x:v>4</x:v>
      </x:c>
      <x:c r="F156" s="21" t="n">
        <x:f>'Controls'!$D$24</x:f>
        <x:v>4</x:v>
      </x:c>
      <x:c r="G156" s="21" t="n">
        <x:f>E156-F156</x:f>
        <x:v>0</x:v>
      </x:c>
      <x:c r="H156" s="9" t="str">
        <x:f>IF(E156&gt;=F156,"PASS","FAIL")</x:f>
        <x:v>PASS</x:v>
      </x:c>
      <x:c r="I156" s="9" t="str">
        <x:v>Instruments!13</x:v>
      </x:c>
    </x:row>
    <x:row r="157">
      <x:c r="B157" s="9" t="str">
        <x:v>AU-151</x:v>
      </x:c>
      <x:c r="C157" s="9" t="str">
        <x:v>instrument</x:v>
      </x:c>
      <x:c r="D157" s="9" t="str">
        <x:v>ratio allocation 8</x:v>
      </x:c>
      <x:c r="E157" s="21" t="n">
        <x:f>Instruments!I14</x:f>
        <x:v>4</x:v>
      </x:c>
      <x:c r="F157" s="21" t="n">
        <x:f>'Controls'!$D$24</x:f>
        <x:v>4</x:v>
      </x:c>
      <x:c r="G157" s="21" t="n">
        <x:f>E157-F157</x:f>
        <x:v>0</x:v>
      </x:c>
      <x:c r="H157" s="9" t="str">
        <x:f>IF(E157&gt;=F157,"PASS","FAIL")</x:f>
        <x:v>PASS</x:v>
      </x:c>
      <x:c r="I157" s="9" t="str">
        <x:v>Instruments!14</x:v>
      </x:c>
    </x:row>
    <x:row r="158">
      <x:c r="B158" s="9" t="str">
        <x:v>AU-152</x:v>
      </x:c>
      <x:c r="C158" s="9" t="str">
        <x:v>instrument</x:v>
      </x:c>
      <x:c r="D158" s="9" t="str">
        <x:v>ratio allocation 9</x:v>
      </x:c>
      <x:c r="E158" s="21" t="n">
        <x:f>Instruments!I15</x:f>
        <x:v>4</x:v>
      </x:c>
      <x:c r="F158" s="21" t="n">
        <x:f>'Controls'!$D$24</x:f>
        <x:v>4</x:v>
      </x:c>
      <x:c r="G158" s="21" t="n">
        <x:f>E158-F158</x:f>
        <x:v>0</x:v>
      </x:c>
      <x:c r="H158" s="9" t="str">
        <x:f>IF(E158&gt;=F158,"PASS","FAIL")</x:f>
        <x:v>PASS</x:v>
      </x:c>
      <x:c r="I158" s="9" t="str">
        <x:v>Instruments!15</x:v>
      </x:c>
    </x:row>
    <x:row r="159">
      <x:c r="B159" s="9" t="str">
        <x:v>AU-153</x:v>
      </x:c>
      <x:c r="C159" s="9" t="str">
        <x:v>instrument</x:v>
      </x:c>
      <x:c r="D159" s="9" t="str">
        <x:v>ratio allocation 10</x:v>
      </x:c>
      <x:c r="E159" s="21" t="n">
        <x:f>Instruments!I16</x:f>
        <x:v>4</x:v>
      </x:c>
      <x:c r="F159" s="21" t="n">
        <x:f>'Controls'!$D$24</x:f>
        <x:v>4</x:v>
      </x:c>
      <x:c r="G159" s="21" t="n">
        <x:f>E159-F159</x:f>
        <x:v>0</x:v>
      </x:c>
      <x:c r="H159" s="9" t="str">
        <x:f>IF(E159&gt;=F159,"PASS","FAIL")</x:f>
        <x:v>PASS</x:v>
      </x:c>
      <x:c r="I159" s="9" t="str">
        <x:v>Instruments!16</x:v>
      </x:c>
    </x:row>
    <x:row r="160">
      <x:c r="B160" s="9" t="str">
        <x:v>AU-154</x:v>
      </x:c>
      <x:c r="C160" s="9" t="str">
        <x:v>instrument</x:v>
      </x:c>
      <x:c r="D160" s="9" t="str">
        <x:v>ratio allocation 11</x:v>
      </x:c>
      <x:c r="E160" s="21" t="n">
        <x:f>Instruments!I17</x:f>
        <x:v>4</x:v>
      </x:c>
      <x:c r="F160" s="21" t="n">
        <x:f>'Controls'!$D$24</x:f>
        <x:v>4</x:v>
      </x:c>
      <x:c r="G160" s="21" t="n">
        <x:f>E160-F160</x:f>
        <x:v>0</x:v>
      </x:c>
      <x:c r="H160" s="9" t="str">
        <x:f>IF(E160&gt;=F160,"PASS","FAIL")</x:f>
        <x:v>PASS</x:v>
      </x:c>
      <x:c r="I160" s="9" t="str">
        <x:v>Instruments!17</x:v>
      </x:c>
    </x:row>
    <x:row r="161">
      <x:c r="B161" s="9" t="str">
        <x:v>AU-155</x:v>
      </x:c>
      <x:c r="C161" s="9" t="str">
        <x:v>instrument</x:v>
      </x:c>
      <x:c r="D161" s="9" t="str">
        <x:v>ratio allocation 12</x:v>
      </x:c>
      <x:c r="E161" s="21" t="n">
        <x:f>Instruments!I18</x:f>
        <x:v>4</x:v>
      </x:c>
      <x:c r="F161" s="21" t="n">
        <x:f>'Controls'!$D$24</x:f>
        <x:v>4</x:v>
      </x:c>
      <x:c r="G161" s="21" t="n">
        <x:f>E161-F161</x:f>
        <x:v>0</x:v>
      </x:c>
      <x:c r="H161" s="9" t="str">
        <x:f>IF(E161&gt;=F161,"PASS","FAIL")</x:f>
        <x:v>PASS</x:v>
      </x:c>
      <x:c r="I161" s="9" t="str">
        <x:v>Instruments!18</x:v>
      </x:c>
    </x:row>
    <x:row r="162">
      <x:c r="B162" s="9" t="str">
        <x:v>AU-156</x:v>
      </x:c>
      <x:c r="C162" s="9" t="str">
        <x:v>safe state</x:v>
      </x:c>
      <x:c r="D162" s="9" t="str">
        <x:v>definition 1</x:v>
      </x:c>
      <x:c r="E162" s="21" t="n">
        <x:f>IF('Safe States'!J7="PASS",1,0)</x:f>
        <x:v>1</x:v>
      </x:c>
      <x:c r="F162" s="21" t="n">
        <x:v>1</x:v>
      </x:c>
      <x:c r="G162" s="21" t="n">
        <x:f>E162-F162</x:f>
        <x:v>0</x:v>
      </x:c>
      <x:c r="H162" s="9" t="str">
        <x:f>IF(ABS(G162)&lt;0.000001,"PASS","FAIL")</x:f>
        <x:v>PASS</x:v>
      </x:c>
      <x:c r="I162" s="9" t="str">
        <x:v>Safe States!7</x:v>
      </x:c>
    </x:row>
    <x:row r="163">
      <x:c r="B163" s="9" t="str">
        <x:v>AU-157</x:v>
      </x:c>
      <x:c r="C163" s="9" t="str">
        <x:v>safe state</x:v>
      </x:c>
      <x:c r="D163" s="9" t="str">
        <x:v>definition 2</x:v>
      </x:c>
      <x:c r="E163" s="21" t="n">
        <x:f>IF('Safe States'!J8="PASS",1,0)</x:f>
        <x:v>1</x:v>
      </x:c>
      <x:c r="F163" s="21" t="n">
        <x:v>1</x:v>
      </x:c>
      <x:c r="G163" s="21" t="n">
        <x:f>E163-F163</x:f>
        <x:v>0</x:v>
      </x:c>
      <x:c r="H163" s="9" t="str">
        <x:f>IF(ABS(G163)&lt;0.000001,"PASS","FAIL")</x:f>
        <x:v>PASS</x:v>
      </x:c>
      <x:c r="I163" s="9" t="str">
        <x:v>Safe States!8</x:v>
      </x:c>
    </x:row>
    <x:row r="164">
      <x:c r="B164" s="9" t="str">
        <x:v>AU-158</x:v>
      </x:c>
      <x:c r="C164" s="9" t="str">
        <x:v>safe state</x:v>
      </x:c>
      <x:c r="D164" s="9" t="str">
        <x:v>definition 3</x:v>
      </x:c>
      <x:c r="E164" s="21" t="n">
        <x:f>IF('Safe States'!J9="PASS",1,0)</x:f>
        <x:v>1</x:v>
      </x:c>
      <x:c r="F164" s="21" t="n">
        <x:v>1</x:v>
      </x:c>
      <x:c r="G164" s="21" t="n">
        <x:f>E164-F164</x:f>
        <x:v>0</x:v>
      </x:c>
      <x:c r="H164" s="9" t="str">
        <x:f>IF(ABS(G164)&lt;0.000001,"PASS","FAIL")</x:f>
        <x:v>PASS</x:v>
      </x:c>
      <x:c r="I164" s="9" t="str">
        <x:v>Safe States!9</x:v>
      </x:c>
    </x:row>
    <x:row r="165">
      <x:c r="B165" s="9" t="str">
        <x:v>AU-159</x:v>
      </x:c>
      <x:c r="C165" s="9" t="str">
        <x:v>safe state</x:v>
      </x:c>
      <x:c r="D165" s="9" t="str">
        <x:v>definition 4</x:v>
      </x:c>
      <x:c r="E165" s="21" t="n">
        <x:f>IF('Safe States'!J10="PASS",1,0)</x:f>
        <x:v>1</x:v>
      </x:c>
      <x:c r="F165" s="21" t="n">
        <x:v>1</x:v>
      </x:c>
      <x:c r="G165" s="21" t="n">
        <x:f>E165-F165</x:f>
        <x:v>0</x:v>
      </x:c>
      <x:c r="H165" s="9" t="str">
        <x:f>IF(ABS(G165)&lt;0.000001,"PASS","FAIL")</x:f>
        <x:v>PASS</x:v>
      </x:c>
      <x:c r="I165" s="9" t="str">
        <x:v>Safe States!10</x:v>
      </x:c>
    </x:row>
    <x:row r="166">
      <x:c r="B166" s="9" t="str">
        <x:v>AU-160</x:v>
      </x:c>
      <x:c r="C166" s="9" t="str">
        <x:v>safe state</x:v>
      </x:c>
      <x:c r="D166" s="9" t="str">
        <x:v>definition 5</x:v>
      </x:c>
      <x:c r="E166" s="21" t="n">
        <x:f>IF('Safe States'!J11="PASS",1,0)</x:f>
        <x:v>1</x:v>
      </x:c>
      <x:c r="F166" s="21" t="n">
        <x:v>1</x:v>
      </x:c>
      <x:c r="G166" s="21" t="n">
        <x:f>E166-F166</x:f>
        <x:v>0</x:v>
      </x:c>
      <x:c r="H166" s="9" t="str">
        <x:f>IF(ABS(G166)&lt;0.000001,"PASS","FAIL")</x:f>
        <x:v>PASS</x:v>
      </x:c>
      <x:c r="I166" s="9" t="str">
        <x:v>Safe States!11</x:v>
      </x:c>
    </x:row>
    <x:row r="167">
      <x:c r="B167" s="9" t="str">
        <x:v>AU-161</x:v>
      </x:c>
      <x:c r="C167" s="9" t="str">
        <x:v>safe state</x:v>
      </x:c>
      <x:c r="D167" s="9" t="str">
        <x:v>definition 6</x:v>
      </x:c>
      <x:c r="E167" s="21" t="n">
        <x:f>IF('Safe States'!J12="PASS",1,0)</x:f>
        <x:v>1</x:v>
      </x:c>
      <x:c r="F167" s="21" t="n">
        <x:v>1</x:v>
      </x:c>
      <x:c r="G167" s="21" t="n">
        <x:f>E167-F167</x:f>
        <x:v>0</x:v>
      </x:c>
      <x:c r="H167" s="9" t="str">
        <x:f>IF(ABS(G167)&lt;0.000001,"PASS","FAIL")</x:f>
        <x:v>PASS</x:v>
      </x:c>
      <x:c r="I167" s="9" t="str">
        <x:v>Safe States!12</x:v>
      </x:c>
    </x:row>
    <x:row r="168">
      <x:c r="B168" s="9" t="str">
        <x:v>AU-162</x:v>
      </x:c>
      <x:c r="C168" s="9" t="str">
        <x:v>safe state</x:v>
      </x:c>
      <x:c r="D168" s="9" t="str">
        <x:v>definition 7</x:v>
      </x:c>
      <x:c r="E168" s="21" t="n">
        <x:f>IF('Safe States'!J13="PASS",1,0)</x:f>
        <x:v>1</x:v>
      </x:c>
      <x:c r="F168" s="21" t="n">
        <x:v>1</x:v>
      </x:c>
      <x:c r="G168" s="21" t="n">
        <x:f>E168-F168</x:f>
        <x:v>0</x:v>
      </x:c>
      <x:c r="H168" s="9" t="str">
        <x:f>IF(ABS(G168)&lt;0.000001,"PASS","FAIL")</x:f>
        <x:v>PASS</x:v>
      </x:c>
      <x:c r="I168" s="9" t="str">
        <x:v>Safe States!13</x:v>
      </x:c>
    </x:row>
    <x:row r="169">
      <x:c r="B169" s="9" t="str">
        <x:v>AU-163</x:v>
      </x:c>
      <x:c r="C169" s="9" t="str">
        <x:v>safe state</x:v>
      </x:c>
      <x:c r="D169" s="9" t="str">
        <x:v>definition 8</x:v>
      </x:c>
      <x:c r="E169" s="21" t="n">
        <x:f>IF('Safe States'!J14="PASS",1,0)</x:f>
        <x:v>1</x:v>
      </x:c>
      <x:c r="F169" s="21" t="n">
        <x:v>1</x:v>
      </x:c>
      <x:c r="G169" s="21" t="n">
        <x:f>E169-F169</x:f>
        <x:v>0</x:v>
      </x:c>
      <x:c r="H169" s="9" t="str">
        <x:f>IF(ABS(G169)&lt;0.000001,"PASS","FAIL")</x:f>
        <x:v>PASS</x:v>
      </x:c>
      <x:c r="I169" s="9" t="str">
        <x:v>Safe States!14</x:v>
      </x:c>
    </x:row>
    <x:row r="170">
      <x:c r="B170" s="9" t="str">
        <x:v>AU-164</x:v>
      </x:c>
      <x:c r="C170" s="9" t="str">
        <x:v>safe state</x:v>
      </x:c>
      <x:c r="D170" s="9" t="str">
        <x:v>definition 9</x:v>
      </x:c>
      <x:c r="E170" s="21" t="n">
        <x:f>IF('Safe States'!J15="PASS",1,0)</x:f>
        <x:v>1</x:v>
      </x:c>
      <x:c r="F170" s="21" t="n">
        <x:v>1</x:v>
      </x:c>
      <x:c r="G170" s="21" t="n">
        <x:f>E170-F170</x:f>
        <x:v>0</x:v>
      </x:c>
      <x:c r="H170" s="9" t="str">
        <x:f>IF(ABS(G170)&lt;0.000001,"PASS","FAIL")</x:f>
        <x:v>PASS</x:v>
      </x:c>
      <x:c r="I170" s="9" t="str">
        <x:v>Safe States!15</x:v>
      </x:c>
    </x:row>
    <x:row r="171">
      <x:c r="B171" s="9" t="str">
        <x:v>AU-165</x:v>
      </x:c>
      <x:c r="C171" s="9" t="str">
        <x:v>safe state</x:v>
      </x:c>
      <x:c r="D171" s="9" t="str">
        <x:v>definition 10</x:v>
      </x:c>
      <x:c r="E171" s="21" t="n">
        <x:f>IF('Safe States'!J16="PASS",1,0)</x:f>
        <x:v>1</x:v>
      </x:c>
      <x:c r="F171" s="21" t="n">
        <x:v>1</x:v>
      </x:c>
      <x:c r="G171" s="21" t="n">
        <x:f>E171-F171</x:f>
        <x:v>0</x:v>
      </x:c>
      <x:c r="H171" s="9" t="str">
        <x:f>IF(ABS(G171)&lt;0.000001,"PASS","FAIL")</x:f>
        <x:v>PASS</x:v>
      </x:c>
      <x:c r="I171" s="9" t="str">
        <x:v>Safe States!16</x:v>
      </x:c>
    </x:row>
    <x:row r="172">
      <x:c r="B172" s="9" t="str">
        <x:v>AU-166</x:v>
      </x:c>
      <x:c r="C172" s="9" t="str">
        <x:v>safe state</x:v>
      </x:c>
      <x:c r="D172" s="9" t="str">
        <x:v>definition 11</x:v>
      </x:c>
      <x:c r="E172" s="21" t="n">
        <x:f>IF('Safe States'!J17="PASS",1,0)</x:f>
        <x:v>1</x:v>
      </x:c>
      <x:c r="F172" s="21" t="n">
        <x:v>1</x:v>
      </x:c>
      <x:c r="G172" s="21" t="n">
        <x:f>E172-F172</x:f>
        <x:v>0</x:v>
      </x:c>
      <x:c r="H172" s="9" t="str">
        <x:f>IF(ABS(G172)&lt;0.000001,"PASS","FAIL")</x:f>
        <x:v>PASS</x:v>
      </x:c>
      <x:c r="I172" s="9" t="str">
        <x:v>Safe States!17</x:v>
      </x:c>
    </x:row>
    <x:row r="173">
      <x:c r="B173" s="9" t="str">
        <x:v>AU-167</x:v>
      </x:c>
      <x:c r="C173" s="9" t="str">
        <x:v>safe state</x:v>
      </x:c>
      <x:c r="D173" s="9" t="str">
        <x:v>definition 12</x:v>
      </x:c>
      <x:c r="E173" s="21" t="n">
        <x:f>IF('Safe States'!J18="PASS",1,0)</x:f>
        <x:v>1</x:v>
      </x:c>
      <x:c r="F173" s="21" t="n">
        <x:v>1</x:v>
      </x:c>
      <x:c r="G173" s="21" t="n">
        <x:f>E173-F173</x:f>
        <x:v>0</x:v>
      </x:c>
      <x:c r="H173" s="9" t="str">
        <x:f>IF(ABS(G173)&lt;0.000001,"PASS","FAIL")</x:f>
        <x:v>PASS</x:v>
      </x:c>
      <x:c r="I173" s="9" t="str">
        <x:v>Safe States!18</x:v>
      </x:c>
    </x:row>
    <x:row r="174">
      <x:c r="B174" s="9" t="str">
        <x:v>AU-168</x:v>
      </x:c>
      <x:c r="C174" s="9" t="str">
        <x:v>destructive</x:v>
      </x:c>
      <x:c r="D174" s="9" t="str">
        <x:v>cut definition 1</x:v>
      </x:c>
      <x:c r="E174" s="21" t="n">
        <x:f>'Destructive Order'!K7</x:f>
        <x:v>1</x:v>
      </x:c>
      <x:c r="F174" s="21" t="n">
        <x:v>1</x:v>
      </x:c>
      <x:c r="G174" s="21" t="n">
        <x:f>E174-F174</x:f>
        <x:v>0</x:v>
      </x:c>
      <x:c r="H174" s="9" t="str">
        <x:f>IF(ABS(G174)&lt;0.000001,"PASS","FAIL")</x:f>
        <x:v>PASS</x:v>
      </x:c>
      <x:c r="I174" s="9" t="str">
        <x:v>Destructive Order!7</x:v>
      </x:c>
    </x:row>
    <x:row r="175">
      <x:c r="B175" s="9" t="str">
        <x:v>AU-169</x:v>
      </x:c>
      <x:c r="C175" s="9" t="str">
        <x:v>destructive</x:v>
      </x:c>
      <x:c r="D175" s="9" t="str">
        <x:v>cut definition 2</x:v>
      </x:c>
      <x:c r="E175" s="21" t="n">
        <x:f>'Destructive Order'!K8</x:f>
        <x:v>1</x:v>
      </x:c>
      <x:c r="F175" s="21" t="n">
        <x:v>1</x:v>
      </x:c>
      <x:c r="G175" s="21" t="n">
        <x:f>E175-F175</x:f>
        <x:v>0</x:v>
      </x:c>
      <x:c r="H175" s="9" t="str">
        <x:f>IF(ABS(G175)&lt;0.000001,"PASS","FAIL")</x:f>
        <x:v>PASS</x:v>
      </x:c>
      <x:c r="I175" s="9" t="str">
        <x:v>Destructive Order!8</x:v>
      </x:c>
    </x:row>
    <x:row r="176">
      <x:c r="B176" s="9" t="str">
        <x:v>AU-170</x:v>
      </x:c>
      <x:c r="C176" s="9" t="str">
        <x:v>destructive</x:v>
      </x:c>
      <x:c r="D176" s="9" t="str">
        <x:v>cut definition 3</x:v>
      </x:c>
      <x:c r="E176" s="21" t="n">
        <x:f>'Destructive Order'!K9</x:f>
        <x:v>1</x:v>
      </x:c>
      <x:c r="F176" s="21" t="n">
        <x:v>1</x:v>
      </x:c>
      <x:c r="G176" s="21" t="n">
        <x:f>E176-F176</x:f>
        <x:v>0</x:v>
      </x:c>
      <x:c r="H176" s="9" t="str">
        <x:f>IF(ABS(G176)&lt;0.000001,"PASS","FAIL")</x:f>
        <x:v>PASS</x:v>
      </x:c>
      <x:c r="I176" s="9" t="str">
        <x:v>Destructive Order!9</x:v>
      </x:c>
    </x:row>
    <x:row r="177">
      <x:c r="B177" s="9" t="str">
        <x:v>AU-171</x:v>
      </x:c>
      <x:c r="C177" s="9" t="str">
        <x:v>destructive</x:v>
      </x:c>
      <x:c r="D177" s="9" t="str">
        <x:v>cut definition 4</x:v>
      </x:c>
      <x:c r="E177" s="21" t="n">
        <x:f>'Destructive Order'!K10</x:f>
        <x:v>1</x:v>
      </x:c>
      <x:c r="F177" s="21" t="n">
        <x:v>1</x:v>
      </x:c>
      <x:c r="G177" s="21" t="n">
        <x:f>E177-F177</x:f>
        <x:v>0</x:v>
      </x:c>
      <x:c r="H177" s="9" t="str">
        <x:f>IF(ABS(G177)&lt;0.000001,"PASS","FAIL")</x:f>
        <x:v>PASS</x:v>
      </x:c>
      <x:c r="I177" s="9" t="str">
        <x:v>Destructive Order!10</x:v>
      </x:c>
    </x:row>
    <x:row r="178">
      <x:c r="B178" s="9" t="str">
        <x:v>AU-172</x:v>
      </x:c>
      <x:c r="C178" s="9" t="str">
        <x:v>destructive</x:v>
      </x:c>
      <x:c r="D178" s="9" t="str">
        <x:v>cut definition 5</x:v>
      </x:c>
      <x:c r="E178" s="21" t="n">
        <x:f>'Destructive Order'!K11</x:f>
        <x:v>1</x:v>
      </x:c>
      <x:c r="F178" s="21" t="n">
        <x:v>1</x:v>
      </x:c>
      <x:c r="G178" s="21" t="n">
        <x:f>E178-F178</x:f>
        <x:v>0</x:v>
      </x:c>
      <x:c r="H178" s="9" t="str">
        <x:f>IF(ABS(G178)&lt;0.000001,"PASS","FAIL")</x:f>
        <x:v>PASS</x:v>
      </x:c>
      <x:c r="I178" s="9" t="str">
        <x:v>Destructive Order!11</x:v>
      </x:c>
    </x:row>
    <x:row r="179">
      <x:c r="B179" s="9" t="str">
        <x:v>AU-173</x:v>
      </x:c>
      <x:c r="C179" s="9" t="str">
        <x:v>destructive</x:v>
      </x:c>
      <x:c r="D179" s="9" t="str">
        <x:v>cut definition 6</x:v>
      </x:c>
      <x:c r="E179" s="21" t="n">
        <x:f>'Destructive Order'!K12</x:f>
        <x:v>1</x:v>
      </x:c>
      <x:c r="F179" s="21" t="n">
        <x:v>1</x:v>
      </x:c>
      <x:c r="G179" s="21" t="n">
        <x:f>E179-F179</x:f>
        <x:v>0</x:v>
      </x:c>
      <x:c r="H179" s="9" t="str">
        <x:f>IF(ABS(G179)&lt;0.000001,"PASS","FAIL")</x:f>
        <x:v>PASS</x:v>
      </x:c>
      <x:c r="I179" s="9" t="str">
        <x:v>Destructive Order!12</x:v>
      </x:c>
    </x:row>
    <x:row r="180">
      <x:c r="B180" s="9" t="str">
        <x:v>AU-174</x:v>
      </x:c>
      <x:c r="C180" s="9" t="str">
        <x:v>destructive</x:v>
      </x:c>
      <x:c r="D180" s="9" t="str">
        <x:v>cut definition 7</x:v>
      </x:c>
      <x:c r="E180" s="21" t="n">
        <x:f>'Destructive Order'!K13</x:f>
        <x:v>1</x:v>
      </x:c>
      <x:c r="F180" s="21" t="n">
        <x:v>1</x:v>
      </x:c>
      <x:c r="G180" s="21" t="n">
        <x:f>E180-F180</x:f>
        <x:v>0</x:v>
      </x:c>
      <x:c r="H180" s="9" t="str">
        <x:f>IF(ABS(G180)&lt;0.000001,"PASS","FAIL")</x:f>
        <x:v>PASS</x:v>
      </x:c>
      <x:c r="I180" s="9" t="str">
        <x:v>Destructive Order!13</x:v>
      </x:c>
    </x:row>
    <x:row r="181">
      <x:c r="B181" s="9" t="str">
        <x:v>AU-175</x:v>
      </x:c>
      <x:c r="C181" s="9" t="str">
        <x:v>destructive</x:v>
      </x:c>
      <x:c r="D181" s="9" t="str">
        <x:v>cut definition 8</x:v>
      </x:c>
      <x:c r="E181" s="21" t="n">
        <x:f>'Destructive Order'!K14</x:f>
        <x:v>1</x:v>
      </x:c>
      <x:c r="F181" s="21" t="n">
        <x:v>1</x:v>
      </x:c>
      <x:c r="G181" s="21" t="n">
        <x:f>E181-F181</x:f>
        <x:v>0</x:v>
      </x:c>
      <x:c r="H181" s="9" t="str">
        <x:f>IF(ABS(G181)&lt;0.000001,"PASS","FAIL")</x:f>
        <x:v>PASS</x:v>
      </x:c>
      <x:c r="I181" s="9" t="str">
        <x:v>Destructive Order!14</x:v>
      </x:c>
    </x:row>
    <x:row r="182">
      <x:c r="B182" s="9" t="str">
        <x:v>AU-176</x:v>
      </x:c>
      <x:c r="C182" s="9" t="str">
        <x:v>destructive</x:v>
      </x:c>
      <x:c r="D182" s="9" t="str">
        <x:v>cut definition 9</x:v>
      </x:c>
      <x:c r="E182" s="21" t="n">
        <x:f>'Destructive Order'!K15</x:f>
        <x:v>1</x:v>
      </x:c>
      <x:c r="F182" s="21" t="n">
        <x:v>1</x:v>
      </x:c>
      <x:c r="G182" s="21" t="n">
        <x:f>E182-F182</x:f>
        <x:v>0</x:v>
      </x:c>
      <x:c r="H182" s="9" t="str">
        <x:f>IF(ABS(G182)&lt;0.000001,"PASS","FAIL")</x:f>
        <x:v>PASS</x:v>
      </x:c>
      <x:c r="I182" s="9" t="str">
        <x:v>Destructive Order!15</x:v>
      </x:c>
    </x:row>
    <x:row r="183">
      <x:c r="B183" s="9" t="str">
        <x:v>AU-177</x:v>
      </x:c>
      <x:c r="C183" s="9" t="str">
        <x:v>destructive</x:v>
      </x:c>
      <x:c r="D183" s="9" t="str">
        <x:v>cut definition 10</x:v>
      </x:c>
      <x:c r="E183" s="21" t="n">
        <x:f>'Destructive Order'!K16</x:f>
        <x:v>1</x:v>
      </x:c>
      <x:c r="F183" s="21" t="n">
        <x:v>1</x:v>
      </x:c>
      <x:c r="G183" s="21" t="n">
        <x:f>E183-F183</x:f>
        <x:v>0</x:v>
      </x:c>
      <x:c r="H183" s="9" t="str">
        <x:f>IF(ABS(G183)&lt;0.000001,"PASS","FAIL")</x:f>
        <x:v>PASS</x:v>
      </x:c>
      <x:c r="I183" s="9" t="str">
        <x:v>Destructive Order!16</x:v>
      </x:c>
    </x:row>
    <x:row r="184">
      <x:c r="B184" s="9" t="str">
        <x:v>AU-178</x:v>
      </x:c>
      <x:c r="C184" s="9" t="str">
        <x:v>destructive</x:v>
      </x:c>
      <x:c r="D184" s="9" t="str">
        <x:v>cut definition 11</x:v>
      </x:c>
      <x:c r="E184" s="21" t="n">
        <x:f>'Destructive Order'!K17</x:f>
        <x:v>1</x:v>
      </x:c>
      <x:c r="F184" s="21" t="n">
        <x:v>1</x:v>
      </x:c>
      <x:c r="G184" s="21" t="n">
        <x:f>E184-F184</x:f>
        <x:v>0</x:v>
      </x:c>
      <x:c r="H184" s="9" t="str">
        <x:f>IF(ABS(G184)&lt;0.000001,"PASS","FAIL")</x:f>
        <x:v>PASS</x:v>
      </x:c>
      <x:c r="I184" s="9" t="str">
        <x:v>Destructive Order!17</x:v>
      </x:c>
    </x:row>
    <x:row r="185">
      <x:c r="B185" s="9" t="str">
        <x:v>AU-179</x:v>
      </x:c>
      <x:c r="C185" s="9" t="str">
        <x:v>destructive</x:v>
      </x:c>
      <x:c r="D185" s="9" t="str">
        <x:v>cut definition 12</x:v>
      </x:c>
      <x:c r="E185" s="21" t="n">
        <x:f>'Destructive Order'!K18</x:f>
        <x:v>1</x:v>
      </x:c>
      <x:c r="F185" s="21" t="n">
        <x:v>1</x:v>
      </x:c>
      <x:c r="G185" s="21" t="n">
        <x:f>E185-F185</x:f>
        <x:v>0</x:v>
      </x:c>
      <x:c r="H185" s="9" t="str">
        <x:f>IF(ABS(G185)&lt;0.000001,"PASS","FAIL")</x:f>
        <x:v>PASS</x:v>
      </x:c>
      <x:c r="I185" s="9" t="str">
        <x:v>Destructive Order!18</x:v>
      </x:c>
    </x:row>
    <x:row r="186">
      <x:c r="B186" s="9" t="str">
        <x:v>AU-180</x:v>
      </x:c>
      <x:c r="C186" s="9" t="str">
        <x:v>destructive</x:v>
      </x:c>
      <x:c r="D186" s="9" t="str">
        <x:v>cut definition 13</x:v>
      </x:c>
      <x:c r="E186" s="21" t="n">
        <x:f>'Destructive Order'!K19</x:f>
        <x:v>1</x:v>
      </x:c>
      <x:c r="F186" s="21" t="n">
        <x:v>1</x:v>
      </x:c>
      <x:c r="G186" s="21" t="n">
        <x:f>E186-F186</x:f>
        <x:v>0</x:v>
      </x:c>
      <x:c r="H186" s="9" t="str">
        <x:f>IF(ABS(G186)&lt;0.000001,"PASS","FAIL")</x:f>
        <x:v>PASS</x:v>
      </x:c>
      <x:c r="I186" s="9" t="str">
        <x:v>Destructive Order!19</x:v>
      </x:c>
    </x:row>
    <x:row r="187">
      <x:c r="B187" s="9" t="str">
        <x:v>AU-181</x:v>
      </x:c>
      <x:c r="C187" s="9" t="str">
        <x:v>destructive</x:v>
      </x:c>
      <x:c r="D187" s="9" t="str">
        <x:v>cut definition 14</x:v>
      </x:c>
      <x:c r="E187" s="21" t="n">
        <x:f>'Destructive Order'!K20</x:f>
        <x:v>1</x:v>
      </x:c>
      <x:c r="F187" s="21" t="n">
        <x:v>1</x:v>
      </x:c>
      <x:c r="G187" s="21" t="n">
        <x:f>E187-F187</x:f>
        <x:v>0</x:v>
      </x:c>
      <x:c r="H187" s="9" t="str">
        <x:f>IF(ABS(G187)&lt;0.000001,"PASS","FAIL")</x:f>
        <x:v>PASS</x:v>
      </x:c>
      <x:c r="I187" s="9" t="str">
        <x:v>Destructive Order!20</x:v>
      </x:c>
    </x:row>
    <x:row r="188">
      <x:c r="B188" s="9" t="str">
        <x:v>AU-182</x:v>
      </x:c>
      <x:c r="C188" s="9" t="str">
        <x:v>destructive</x:v>
      </x:c>
      <x:c r="D188" s="9" t="str">
        <x:v>cut definition 15</x:v>
      </x:c>
      <x:c r="E188" s="21" t="n">
        <x:f>'Destructive Order'!K21</x:f>
        <x:v>1</x:v>
      </x:c>
      <x:c r="F188" s="21" t="n">
        <x:v>1</x:v>
      </x:c>
      <x:c r="G188" s="21" t="n">
        <x:f>E188-F188</x:f>
        <x:v>0</x:v>
      </x:c>
      <x:c r="H188" s="9" t="str">
        <x:f>IF(ABS(G188)&lt;0.000001,"PASS","FAIL")</x:f>
        <x:v>PASS</x:v>
      </x:c>
      <x:c r="I188" s="9" t="str">
        <x:v>Destructive Order!21</x:v>
      </x:c>
    </x:row>
    <x:row r="189">
      <x:c r="B189" s="9" t="str">
        <x:v>AU-183</x:v>
      </x:c>
      <x:c r="C189" s="9" t="str">
        <x:v>destructive</x:v>
      </x:c>
      <x:c r="D189" s="9" t="str">
        <x:v>cut definition 16</x:v>
      </x:c>
      <x:c r="E189" s="21" t="n">
        <x:f>'Destructive Order'!K22</x:f>
        <x:v>1</x:v>
      </x:c>
      <x:c r="F189" s="21" t="n">
        <x:v>1</x:v>
      </x:c>
      <x:c r="G189" s="21" t="n">
        <x:f>E189-F189</x:f>
        <x:v>0</x:v>
      </x:c>
      <x:c r="H189" s="9" t="str">
        <x:f>IF(ABS(G189)&lt;0.000001,"PASS","FAIL")</x:f>
        <x:v>PASS</x:v>
      </x:c>
      <x:c r="I189" s="9" t="str">
        <x:v>Destructive Order!22</x:v>
      </x:c>
    </x:row>
    <x:row r="190">
      <x:c r="B190" s="9" t="str">
        <x:v>AU-184</x:v>
      </x:c>
      <x:c r="C190" s="9" t="str">
        <x:v>destructive</x:v>
      </x:c>
      <x:c r="D190" s="9" t="str">
        <x:v>cut definition 17</x:v>
      </x:c>
      <x:c r="E190" s="21" t="n">
        <x:f>'Destructive Order'!K23</x:f>
        <x:v>1</x:v>
      </x:c>
      <x:c r="F190" s="21" t="n">
        <x:v>1</x:v>
      </x:c>
      <x:c r="G190" s="21" t="n">
        <x:f>E190-F190</x:f>
        <x:v>0</x:v>
      </x:c>
      <x:c r="H190" s="9" t="str">
        <x:f>IF(ABS(G190)&lt;0.000001,"PASS","FAIL")</x:f>
        <x:v>PASS</x:v>
      </x:c>
      <x:c r="I190" s="9" t="str">
        <x:v>Destructive Order!23</x:v>
      </x:c>
    </x:row>
    <x:row r="191">
      <x:c r="B191" s="9" t="str">
        <x:v>AU-185</x:v>
      </x:c>
      <x:c r="C191" s="9" t="str">
        <x:v>destructive</x:v>
      </x:c>
      <x:c r="D191" s="9" t="str">
        <x:v>cut definition 18</x:v>
      </x:c>
      <x:c r="E191" s="21" t="n">
        <x:f>'Destructive Order'!K24</x:f>
        <x:v>1</x:v>
      </x:c>
      <x:c r="F191" s="21" t="n">
        <x:v>1</x:v>
      </x:c>
      <x:c r="G191" s="21" t="n">
        <x:f>E191-F191</x:f>
        <x:v>0</x:v>
      </x:c>
      <x:c r="H191" s="9" t="str">
        <x:f>IF(ABS(G191)&lt;0.000001,"PASS","FAIL")</x:f>
        <x:v>PASS</x:v>
      </x:c>
      <x:c r="I191" s="9" t="str">
        <x:v>Destructive Order!24</x:v>
      </x:c>
    </x:row>
    <x:row r="192">
      <x:c r="B192" s="9" t="str">
        <x:v>AU-186</x:v>
      </x:c>
      <x:c r="C192" s="9" t="str">
        <x:v>destructive</x:v>
      </x:c>
      <x:c r="D192" s="9" t="str">
        <x:v>cut definition 19</x:v>
      </x:c>
      <x:c r="E192" s="21" t="n">
        <x:f>'Destructive Order'!K25</x:f>
        <x:v>1</x:v>
      </x:c>
      <x:c r="F192" s="21" t="n">
        <x:v>1</x:v>
      </x:c>
      <x:c r="G192" s="21" t="n">
        <x:f>E192-F192</x:f>
        <x:v>0</x:v>
      </x:c>
      <x:c r="H192" s="9" t="str">
        <x:f>IF(ABS(G192)&lt;0.000001,"PASS","FAIL")</x:f>
        <x:v>PASS</x:v>
      </x:c>
      <x:c r="I192" s="9" t="str">
        <x:v>Destructive Order!25</x:v>
      </x:c>
    </x:row>
    <x:row r="193">
      <x:c r="B193" s="9" t="str">
        <x:v>AU-187</x:v>
      </x:c>
      <x:c r="C193" s="9" t="str">
        <x:v>destructive</x:v>
      </x:c>
      <x:c r="D193" s="9" t="str">
        <x:v>cut definition 20</x:v>
      </x:c>
      <x:c r="E193" s="21" t="n">
        <x:f>'Destructive Order'!K26</x:f>
        <x:v>1</x:v>
      </x:c>
      <x:c r="F193" s="21" t="n">
        <x:v>1</x:v>
      </x:c>
      <x:c r="G193" s="21" t="n">
        <x:f>E193-F193</x:f>
        <x:v>0</x:v>
      </x:c>
      <x:c r="H193" s="9" t="str">
        <x:f>IF(ABS(G193)&lt;0.000001,"PASS","FAIL")</x:f>
        <x:v>PASS</x:v>
      </x:c>
      <x:c r="I193" s="9" t="str">
        <x:v>Destructive Order!26</x:v>
      </x:c>
    </x:row>
    <x:row r="194">
      <x:c r="B194" s="9" t="str">
        <x:v>AU-188</x:v>
      </x:c>
      <x:c r="C194" s="9" t="str">
        <x:v>destructive</x:v>
      </x:c>
      <x:c r="D194" s="9" t="str">
        <x:v>cut definition 21</x:v>
      </x:c>
      <x:c r="E194" s="21" t="n">
        <x:f>'Destructive Order'!K27</x:f>
        <x:v>1</x:v>
      </x:c>
      <x:c r="F194" s="21" t="n">
        <x:v>1</x:v>
      </x:c>
      <x:c r="G194" s="21" t="n">
        <x:f>E194-F194</x:f>
        <x:v>0</x:v>
      </x:c>
      <x:c r="H194" s="9" t="str">
        <x:f>IF(ABS(G194)&lt;0.000001,"PASS","FAIL")</x:f>
        <x:v>PASS</x:v>
      </x:c>
      <x:c r="I194" s="9" t="str">
        <x:v>Destructive Order!27</x:v>
      </x:c>
    </x:row>
    <x:row r="195">
      <x:c r="B195" s="9" t="str">
        <x:v>AU-189</x:v>
      </x:c>
      <x:c r="C195" s="9" t="str">
        <x:v>destructive</x:v>
      </x:c>
      <x:c r="D195" s="9" t="str">
        <x:v>cut definition 22</x:v>
      </x:c>
      <x:c r="E195" s="21" t="n">
        <x:f>'Destructive Order'!K28</x:f>
        <x:v>1</x:v>
      </x:c>
      <x:c r="F195" s="21" t="n">
        <x:v>1</x:v>
      </x:c>
      <x:c r="G195" s="21" t="n">
        <x:f>E195-F195</x:f>
        <x:v>0</x:v>
      </x:c>
      <x:c r="H195" s="9" t="str">
        <x:f>IF(ABS(G195)&lt;0.000001,"PASS","FAIL")</x:f>
        <x:v>PASS</x:v>
      </x:c>
      <x:c r="I195" s="9" t="str">
        <x:v>Destructive Order!28</x:v>
      </x:c>
    </x:row>
    <x:row r="196">
      <x:c r="B196" s="9" t="str">
        <x:v>AU-190</x:v>
      </x:c>
      <x:c r="C196" s="9" t="str">
        <x:v>destructive</x:v>
      </x:c>
      <x:c r="D196" s="9" t="str">
        <x:v>cut definition 23</x:v>
      </x:c>
      <x:c r="E196" s="21" t="n">
        <x:f>'Destructive Order'!K29</x:f>
        <x:v>1</x:v>
      </x:c>
      <x:c r="F196" s="21" t="n">
        <x:v>1</x:v>
      </x:c>
      <x:c r="G196" s="21" t="n">
        <x:f>E196-F196</x:f>
        <x:v>0</x:v>
      </x:c>
      <x:c r="H196" s="9" t="str">
        <x:f>IF(ABS(G196)&lt;0.000001,"PASS","FAIL")</x:f>
        <x:v>PASS</x:v>
      </x:c>
      <x:c r="I196" s="9" t="str">
        <x:v>Destructive Order!29</x:v>
      </x:c>
    </x:row>
    <x:row r="197">
      <x:c r="B197" s="9" t="str">
        <x:v>AU-191</x:v>
      </x:c>
      <x:c r="C197" s="9" t="str">
        <x:v>destructive</x:v>
      </x:c>
      <x:c r="D197" s="9" t="str">
        <x:v>cut definition 24</x:v>
      </x:c>
      <x:c r="E197" s="21" t="n">
        <x:f>'Destructive Order'!K30</x:f>
        <x:v>1</x:v>
      </x:c>
      <x:c r="F197" s="21" t="n">
        <x:v>1</x:v>
      </x:c>
      <x:c r="G197" s="21" t="n">
        <x:f>E197-F197</x:f>
        <x:v>0</x:v>
      </x:c>
      <x:c r="H197" s="9" t="str">
        <x:f>IF(ABS(G197)&lt;0.000001,"PASS","FAIL")</x:f>
        <x:v>PASS</x:v>
      </x:c>
      <x:c r="I197" s="9" t="str">
        <x:v>Destructive Order!30</x:v>
      </x:c>
    </x:row>
    <x:row r="198">
      <x:c r="B198" s="9" t="str">
        <x:v>AU-192</x:v>
      </x:c>
      <x:c r="C198" s="9" t="str">
        <x:v>destructive</x:v>
      </x:c>
      <x:c r="D198" s="9" t="str">
        <x:v>cut definition 25</x:v>
      </x:c>
      <x:c r="E198" s="21" t="n">
        <x:f>'Destructive Order'!K31</x:f>
        <x:v>1</x:v>
      </x:c>
      <x:c r="F198" s="21" t="n">
        <x:v>1</x:v>
      </x:c>
      <x:c r="G198" s="21" t="n">
        <x:f>E198-F198</x:f>
        <x:v>0</x:v>
      </x:c>
      <x:c r="H198" s="9" t="str">
        <x:f>IF(ABS(G198)&lt;0.000001,"PASS","FAIL")</x:f>
        <x:v>PASS</x:v>
      </x:c>
      <x:c r="I198" s="9" t="str">
        <x:v>Destructive Order!31</x:v>
      </x:c>
    </x:row>
    <x:row r="199">
      <x:c r="B199" s="9" t="str">
        <x:v>AU-193</x:v>
      </x:c>
      <x:c r="C199" s="9" t="str">
        <x:v>destructive</x:v>
      </x:c>
      <x:c r="D199" s="9" t="str">
        <x:v>cut definition 26</x:v>
      </x:c>
      <x:c r="E199" s="21" t="n">
        <x:f>'Destructive Order'!K32</x:f>
        <x:v>1</x:v>
      </x:c>
      <x:c r="F199" s="21" t="n">
        <x:v>1</x:v>
      </x:c>
      <x:c r="G199" s="21" t="n">
        <x:f>E199-F199</x:f>
        <x:v>0</x:v>
      </x:c>
      <x:c r="H199" s="9" t="str">
        <x:f>IF(ABS(G199)&lt;0.000001,"PASS","FAIL")</x:f>
        <x:v>PASS</x:v>
      </x:c>
      <x:c r="I199" s="9" t="str">
        <x:v>Destructive Order!32</x:v>
      </x:c>
    </x:row>
    <x:row r="200">
      <x:c r="B200" s="9" t="str">
        <x:v>AU-194</x:v>
      </x:c>
      <x:c r="C200" s="9" t="str">
        <x:v>destructive</x:v>
      </x:c>
      <x:c r="D200" s="9" t="str">
        <x:v>cut definition 27</x:v>
      </x:c>
      <x:c r="E200" s="21" t="n">
        <x:f>'Destructive Order'!K33</x:f>
        <x:v>1</x:v>
      </x:c>
      <x:c r="F200" s="21" t="n">
        <x:v>1</x:v>
      </x:c>
      <x:c r="G200" s="21" t="n">
        <x:f>E200-F200</x:f>
        <x:v>0</x:v>
      </x:c>
      <x:c r="H200" s="9" t="str">
        <x:f>IF(ABS(G200)&lt;0.000001,"PASS","FAIL")</x:f>
        <x:v>PASS</x:v>
      </x:c>
      <x:c r="I200" s="9" t="str">
        <x:v>Destructive Order!33</x:v>
      </x:c>
    </x:row>
    <x:row r="201">
      <x:c r="B201" s="9" t="str">
        <x:v>AU-195</x:v>
      </x:c>
      <x:c r="C201" s="9" t="str">
        <x:v>destructive</x:v>
      </x:c>
      <x:c r="D201" s="9" t="str">
        <x:v>cut definition 28</x:v>
      </x:c>
      <x:c r="E201" s="21" t="n">
        <x:f>'Destructive Order'!K34</x:f>
        <x:v>1</x:v>
      </x:c>
      <x:c r="F201" s="21" t="n">
        <x:v>1</x:v>
      </x:c>
      <x:c r="G201" s="21" t="n">
        <x:f>E201-F201</x:f>
        <x:v>0</x:v>
      </x:c>
      <x:c r="H201" s="9" t="str">
        <x:f>IF(ABS(G201)&lt;0.000001,"PASS","FAIL")</x:f>
        <x:v>PASS</x:v>
      </x:c>
      <x:c r="I201" s="9" t="str">
        <x:v>Destructive Order!34</x:v>
      </x:c>
    </x:row>
    <x:row r="202">
      <x:c r="B202" s="9" t="str">
        <x:v>AU-196</x:v>
      </x:c>
      <x:c r="C202" s="9" t="str">
        <x:v>destructive</x:v>
      </x:c>
      <x:c r="D202" s="9" t="str">
        <x:v>cut definition 29</x:v>
      </x:c>
      <x:c r="E202" s="21" t="n">
        <x:f>'Destructive Order'!K35</x:f>
        <x:v>1</x:v>
      </x:c>
      <x:c r="F202" s="21" t="n">
        <x:v>1</x:v>
      </x:c>
      <x:c r="G202" s="21" t="n">
        <x:f>E202-F202</x:f>
        <x:v>0</x:v>
      </x:c>
      <x:c r="H202" s="9" t="str">
        <x:f>IF(ABS(G202)&lt;0.000001,"PASS","FAIL")</x:f>
        <x:v>PASS</x:v>
      </x:c>
      <x:c r="I202" s="9" t="str">
        <x:v>Destructive Order!35</x:v>
      </x:c>
    </x:row>
    <x:row r="203">
      <x:c r="B203" s="9" t="str">
        <x:v>AU-197</x:v>
      </x:c>
      <x:c r="C203" s="9" t="str">
        <x:v>destructive</x:v>
      </x:c>
      <x:c r="D203" s="9" t="str">
        <x:v>cut definition 30</x:v>
      </x:c>
      <x:c r="E203" s="21" t="n">
        <x:f>'Destructive Order'!K36</x:f>
        <x:v>1</x:v>
      </x:c>
      <x:c r="F203" s="21" t="n">
        <x:v>1</x:v>
      </x:c>
      <x:c r="G203" s="21" t="n">
        <x:f>E203-F203</x:f>
        <x:v>0</x:v>
      </x:c>
      <x:c r="H203" s="9" t="str">
        <x:f>IF(ABS(G203)&lt;0.000001,"PASS","FAIL")</x:f>
        <x:v>PASS</x:v>
      </x:c>
      <x:c r="I203" s="9" t="str">
        <x:v>Destructive Order!36</x:v>
      </x:c>
    </x:row>
    <x:row r="204">
      <x:c r="B204" s="9" t="str">
        <x:v>AU-198</x:v>
      </x:c>
      <x:c r="C204" s="9" t="str">
        <x:v>destructive</x:v>
      </x:c>
      <x:c r="D204" s="9" t="str">
        <x:v>cut definition 31</x:v>
      </x:c>
      <x:c r="E204" s="21" t="n">
        <x:f>'Destructive Order'!K37</x:f>
        <x:v>1</x:v>
      </x:c>
      <x:c r="F204" s="21" t="n">
        <x:v>1</x:v>
      </x:c>
      <x:c r="G204" s="21" t="n">
        <x:f>E204-F204</x:f>
        <x:v>0</x:v>
      </x:c>
      <x:c r="H204" s="9" t="str">
        <x:f>IF(ABS(G204)&lt;0.000001,"PASS","FAIL")</x:f>
        <x:v>PASS</x:v>
      </x:c>
      <x:c r="I204" s="9" t="str">
        <x:v>Destructive Order!37</x:v>
      </x:c>
    </x:row>
    <x:row r="205">
      <x:c r="B205" s="9" t="str">
        <x:v>AU-199</x:v>
      </x:c>
      <x:c r="C205" s="9" t="str">
        <x:v>destructive</x:v>
      </x:c>
      <x:c r="D205" s="9" t="str">
        <x:v>cut definition 32</x:v>
      </x:c>
      <x:c r="E205" s="21" t="n">
        <x:f>'Destructive Order'!K38</x:f>
        <x:v>1</x:v>
      </x:c>
      <x:c r="F205" s="21" t="n">
        <x:v>1</x:v>
      </x:c>
      <x:c r="G205" s="21" t="n">
        <x:f>E205-F205</x:f>
        <x:v>0</x:v>
      </x:c>
      <x:c r="H205" s="9" t="str">
        <x:f>IF(ABS(G205)&lt;0.000001,"PASS","FAIL")</x:f>
        <x:v>PASS</x:v>
      </x:c>
      <x:c r="I205" s="9" t="str">
        <x:v>Destructive Order!38</x:v>
      </x:c>
    </x:row>
    <x:row r="206">
      <x:c r="B206" s="9" t="str">
        <x:v>AU-200</x:v>
      </x:c>
      <x:c r="C206" s="9" t="str">
        <x:v>destructive</x:v>
      </x:c>
      <x:c r="D206" s="9" t="str">
        <x:v>cut definition 33</x:v>
      </x:c>
      <x:c r="E206" s="21" t="n">
        <x:f>'Destructive Order'!K39</x:f>
        <x:v>1</x:v>
      </x:c>
      <x:c r="F206" s="21" t="n">
        <x:v>1</x:v>
      </x:c>
      <x:c r="G206" s="21" t="n">
        <x:f>E206-F206</x:f>
        <x:v>0</x:v>
      </x:c>
      <x:c r="H206" s="9" t="str">
        <x:f>IF(ABS(G206)&lt;0.000001,"PASS","FAIL")</x:f>
        <x:v>PASS</x:v>
      </x:c>
      <x:c r="I206" s="9" t="str">
        <x:v>Destructive Order!39</x:v>
      </x:c>
    </x:row>
    <x:row r="207">
      <x:c r="B207" s="9" t="str">
        <x:v>AU-201</x:v>
      </x:c>
      <x:c r="C207" s="9" t="str">
        <x:v>destructive</x:v>
      </x:c>
      <x:c r="D207" s="9" t="str">
        <x:v>cut definition 34</x:v>
      </x:c>
      <x:c r="E207" s="21" t="n">
        <x:f>'Destructive Order'!K40</x:f>
        <x:v>1</x:v>
      </x:c>
      <x:c r="F207" s="21" t="n">
        <x:v>1</x:v>
      </x:c>
      <x:c r="G207" s="21" t="n">
        <x:f>E207-F207</x:f>
        <x:v>0</x:v>
      </x:c>
      <x:c r="H207" s="9" t="str">
        <x:f>IF(ABS(G207)&lt;0.000001,"PASS","FAIL")</x:f>
        <x:v>PASS</x:v>
      </x:c>
      <x:c r="I207" s="9" t="str">
        <x:v>Destructive Order!40</x:v>
      </x:c>
    </x:row>
    <x:row r="208">
      <x:c r="B208" s="9" t="str">
        <x:v>AU-202</x:v>
      </x:c>
      <x:c r="C208" s="9" t="str">
        <x:v>destructive</x:v>
      </x:c>
      <x:c r="D208" s="9" t="str">
        <x:v>cut definition 35</x:v>
      </x:c>
      <x:c r="E208" s="21" t="n">
        <x:f>'Destructive Order'!K41</x:f>
        <x:v>1</x:v>
      </x:c>
      <x:c r="F208" s="21" t="n">
        <x:v>1</x:v>
      </x:c>
      <x:c r="G208" s="21" t="n">
        <x:f>E208-F208</x:f>
        <x:v>0</x:v>
      </x:c>
      <x:c r="H208" s="9" t="str">
        <x:f>IF(ABS(G208)&lt;0.000001,"PASS","FAIL")</x:f>
        <x:v>PASS</x:v>
      </x:c>
      <x:c r="I208" s="9" t="str">
        <x:v>Destructive Order!41</x:v>
      </x:c>
    </x:row>
    <x:row r="209">
      <x:c r="B209" s="9" t="str">
        <x:v>AU-203</x:v>
      </x:c>
      <x:c r="C209" s="9" t="str">
        <x:v>destructive</x:v>
      </x:c>
      <x:c r="D209" s="9" t="str">
        <x:v>cut definition 36</x:v>
      </x:c>
      <x:c r="E209" s="21" t="n">
        <x:f>'Destructive Order'!K42</x:f>
        <x:v>1</x:v>
      </x:c>
      <x:c r="F209" s="21" t="n">
        <x:v>1</x:v>
      </x:c>
      <x:c r="G209" s="21" t="n">
        <x:f>E209-F209</x:f>
        <x:v>0</x:v>
      </x:c>
      <x:c r="H209" s="9" t="str">
        <x:f>IF(ABS(G209)&lt;0.000001,"PASS","FAIL")</x:f>
        <x:v>PASS</x:v>
      </x:c>
      <x:c r="I209" s="9" t="str">
        <x:v>Destructive Order!42</x:v>
      </x:c>
    </x:row>
    <x:row r="210">
      <x:c r="B210" s="9" t="str">
        <x:v>AU-204</x:v>
      </x:c>
      <x:c r="C210" s="9" t="str">
        <x:v>destructive</x:v>
      </x:c>
      <x:c r="D210" s="9" t="str">
        <x:v>cut definition 37</x:v>
      </x:c>
      <x:c r="E210" s="21" t="n">
        <x:f>'Destructive Order'!K43</x:f>
        <x:v>1</x:v>
      </x:c>
      <x:c r="F210" s="21" t="n">
        <x:v>1</x:v>
      </x:c>
      <x:c r="G210" s="21" t="n">
        <x:f>E210-F210</x:f>
        <x:v>0</x:v>
      </x:c>
      <x:c r="H210" s="9" t="str">
        <x:f>IF(ABS(G210)&lt;0.000001,"PASS","FAIL")</x:f>
        <x:v>PASS</x:v>
      </x:c>
      <x:c r="I210" s="9" t="str">
        <x:v>Destructive Order!43</x:v>
      </x:c>
    </x:row>
    <x:row r="211">
      <x:c r="B211" s="9" t="str">
        <x:v>AU-205</x:v>
      </x:c>
      <x:c r="C211" s="9" t="str">
        <x:v>destructive</x:v>
      </x:c>
      <x:c r="D211" s="9" t="str">
        <x:v>cut definition 38</x:v>
      </x:c>
      <x:c r="E211" s="21" t="n">
        <x:f>'Destructive Order'!K44</x:f>
        <x:v>1</x:v>
      </x:c>
      <x:c r="F211" s="21" t="n">
        <x:v>1</x:v>
      </x:c>
      <x:c r="G211" s="21" t="n">
        <x:f>E211-F211</x:f>
        <x:v>0</x:v>
      </x:c>
      <x:c r="H211" s="9" t="str">
        <x:f>IF(ABS(G211)&lt;0.000001,"PASS","FAIL")</x:f>
        <x:v>PASS</x:v>
      </x:c>
      <x:c r="I211" s="9" t="str">
        <x:v>Destructive Order!44</x:v>
      </x:c>
    </x:row>
    <x:row r="212">
      <x:c r="B212" s="9" t="str">
        <x:v>AU-206</x:v>
      </x:c>
      <x:c r="C212" s="9" t="str">
        <x:v>destructive</x:v>
      </x:c>
      <x:c r="D212" s="9" t="str">
        <x:v>cut definition 39</x:v>
      </x:c>
      <x:c r="E212" s="21" t="n">
        <x:f>'Destructive Order'!K45</x:f>
        <x:v>1</x:v>
      </x:c>
      <x:c r="F212" s="21" t="n">
        <x:v>1</x:v>
      </x:c>
      <x:c r="G212" s="21" t="n">
        <x:f>E212-F212</x:f>
        <x:v>0</x:v>
      </x:c>
      <x:c r="H212" s="9" t="str">
        <x:f>IF(ABS(G212)&lt;0.000001,"PASS","FAIL")</x:f>
        <x:v>PASS</x:v>
      </x:c>
      <x:c r="I212" s="9" t="str">
        <x:v>Destructive Order!45</x:v>
      </x:c>
    </x:row>
    <x:row r="213">
      <x:c r="B213" s="9" t="str">
        <x:v>AU-207</x:v>
      </x:c>
      <x:c r="C213" s="9" t="str">
        <x:v>destructive</x:v>
      </x:c>
      <x:c r="D213" s="9" t="str">
        <x:v>cut definition 40</x:v>
      </x:c>
      <x:c r="E213" s="21" t="n">
        <x:f>'Destructive Order'!K46</x:f>
        <x:v>1</x:v>
      </x:c>
      <x:c r="F213" s="21" t="n">
        <x:v>1</x:v>
      </x:c>
      <x:c r="G213" s="21" t="n">
        <x:f>E213-F213</x:f>
        <x:v>0</x:v>
      </x:c>
      <x:c r="H213" s="9" t="str">
        <x:f>IF(ABS(G213)&lt;0.000001,"PASS","FAIL")</x:f>
        <x:v>PASS</x:v>
      </x:c>
      <x:c r="I213" s="9" t="str">
        <x:v>Destructive Order!46</x:v>
      </x:c>
    </x:row>
    <x:row r="214">
      <x:c r="B214" s="9" t="str">
        <x:v>AU-208</x:v>
      </x:c>
      <x:c r="C214" s="9" t="str">
        <x:v>destructive</x:v>
      </x:c>
      <x:c r="D214" s="9" t="str">
        <x:v>cut definition 41</x:v>
      </x:c>
      <x:c r="E214" s="21" t="n">
        <x:f>'Destructive Order'!K47</x:f>
        <x:v>1</x:v>
      </x:c>
      <x:c r="F214" s="21" t="n">
        <x:v>1</x:v>
      </x:c>
      <x:c r="G214" s="21" t="n">
        <x:f>E214-F214</x:f>
        <x:v>0</x:v>
      </x:c>
      <x:c r="H214" s="9" t="str">
        <x:f>IF(ABS(G214)&lt;0.000001,"PASS","FAIL")</x:f>
        <x:v>PASS</x:v>
      </x:c>
      <x:c r="I214" s="9" t="str">
        <x:v>Destructive Order!47</x:v>
      </x:c>
    </x:row>
    <x:row r="215">
      <x:c r="B215" s="9" t="str">
        <x:v>AU-209</x:v>
      </x:c>
      <x:c r="C215" s="9" t="str">
        <x:v>destructive</x:v>
      </x:c>
      <x:c r="D215" s="9" t="str">
        <x:v>cut definition 42</x:v>
      </x:c>
      <x:c r="E215" s="21" t="n">
        <x:f>'Destructive Order'!K48</x:f>
        <x:v>1</x:v>
      </x:c>
      <x:c r="F215" s="21" t="n">
        <x:v>1</x:v>
      </x:c>
      <x:c r="G215" s="21" t="n">
        <x:f>E215-F215</x:f>
        <x:v>0</x:v>
      </x:c>
      <x:c r="H215" s="9" t="str">
        <x:f>IF(ABS(G215)&lt;0.000001,"PASS","FAIL")</x:f>
        <x:v>PASS</x:v>
      </x:c>
      <x:c r="I215" s="9" t="str">
        <x:v>Destructive Order!48</x:v>
      </x:c>
    </x:row>
    <x:row r="216">
      <x:c r="B216" s="9" t="str">
        <x:v>AU-210</x:v>
      </x:c>
      <x:c r="C216" s="9" t="str">
        <x:v>destructive</x:v>
      </x:c>
      <x:c r="D216" s="9" t="str">
        <x:v>cut definition 43</x:v>
      </x:c>
      <x:c r="E216" s="21" t="n">
        <x:f>'Destructive Order'!K49</x:f>
        <x:v>1</x:v>
      </x:c>
      <x:c r="F216" s="21" t="n">
        <x:v>1</x:v>
      </x:c>
      <x:c r="G216" s="21" t="n">
        <x:f>E216-F216</x:f>
        <x:v>0</x:v>
      </x:c>
      <x:c r="H216" s="9" t="str">
        <x:f>IF(ABS(G216)&lt;0.000001,"PASS","FAIL")</x:f>
        <x:v>PASS</x:v>
      </x:c>
      <x:c r="I216" s="9" t="str">
        <x:v>Destructive Order!49</x:v>
      </x:c>
    </x:row>
    <x:row r="217">
      <x:c r="B217" s="9" t="str">
        <x:v>AU-211</x:v>
      </x:c>
      <x:c r="C217" s="9" t="str">
        <x:v>destructive</x:v>
      </x:c>
      <x:c r="D217" s="9" t="str">
        <x:v>cut definition 44</x:v>
      </x:c>
      <x:c r="E217" s="21" t="n">
        <x:f>'Destructive Order'!K50</x:f>
        <x:v>1</x:v>
      </x:c>
      <x:c r="F217" s="21" t="n">
        <x:v>1</x:v>
      </x:c>
      <x:c r="G217" s="21" t="n">
        <x:f>E217-F217</x:f>
        <x:v>0</x:v>
      </x:c>
      <x:c r="H217" s="9" t="str">
        <x:f>IF(ABS(G217)&lt;0.000001,"PASS","FAIL")</x:f>
        <x:v>PASS</x:v>
      </x:c>
      <x:c r="I217" s="9" t="str">
        <x:v>Destructive Order!50</x:v>
      </x:c>
    </x:row>
    <x:row r="218">
      <x:c r="B218" s="9" t="str">
        <x:v>AU-212</x:v>
      </x:c>
      <x:c r="C218" s="9" t="str">
        <x:v>destructive</x:v>
      </x:c>
      <x:c r="D218" s="9" t="str">
        <x:v>cut definition 45</x:v>
      </x:c>
      <x:c r="E218" s="21" t="n">
        <x:f>'Destructive Order'!K51</x:f>
        <x:v>1</x:v>
      </x:c>
      <x:c r="F218" s="21" t="n">
        <x:v>1</x:v>
      </x:c>
      <x:c r="G218" s="21" t="n">
        <x:f>E218-F218</x:f>
        <x:v>0</x:v>
      </x:c>
      <x:c r="H218" s="9" t="str">
        <x:f>IF(ABS(G218)&lt;0.000001,"PASS","FAIL")</x:f>
        <x:v>PASS</x:v>
      </x:c>
      <x:c r="I218" s="9" t="str">
        <x:v>Destructive Order!51</x:v>
      </x:c>
    </x:row>
    <x:row r="219">
      <x:c r="B219" s="9" t="str">
        <x:v>AU-213</x:v>
      </x:c>
      <x:c r="C219" s="9" t="str">
        <x:v>destructive</x:v>
      </x:c>
      <x:c r="D219" s="9" t="str">
        <x:v>cut definition 46</x:v>
      </x:c>
      <x:c r="E219" s="21" t="n">
        <x:f>'Destructive Order'!K52</x:f>
        <x:v>1</x:v>
      </x:c>
      <x:c r="F219" s="21" t="n">
        <x:v>1</x:v>
      </x:c>
      <x:c r="G219" s="21" t="n">
        <x:f>E219-F219</x:f>
        <x:v>0</x:v>
      </x:c>
      <x:c r="H219" s="9" t="str">
        <x:f>IF(ABS(G219)&lt;0.000001,"PASS","FAIL")</x:f>
        <x:v>PASS</x:v>
      </x:c>
      <x:c r="I219" s="9" t="str">
        <x:v>Destructive Order!52</x:v>
      </x:c>
    </x:row>
    <x:row r="220">
      <x:c r="B220" s="9" t="str">
        <x:v>AU-214</x:v>
      </x:c>
      <x:c r="C220" s="9" t="str">
        <x:v>destructive</x:v>
      </x:c>
      <x:c r="D220" s="9" t="str">
        <x:v>cut definition 47</x:v>
      </x:c>
      <x:c r="E220" s="21" t="n">
        <x:f>'Destructive Order'!K53</x:f>
        <x:v>1</x:v>
      </x:c>
      <x:c r="F220" s="21" t="n">
        <x:v>1</x:v>
      </x:c>
      <x:c r="G220" s="21" t="n">
        <x:f>E220-F220</x:f>
        <x:v>0</x:v>
      </x:c>
      <x:c r="H220" s="9" t="str">
        <x:f>IF(ABS(G220)&lt;0.000001,"PASS","FAIL")</x:f>
        <x:v>PASS</x:v>
      </x:c>
      <x:c r="I220" s="9" t="str">
        <x:v>Destructive Order!53</x:v>
      </x:c>
    </x:row>
    <x:row r="221">
      <x:c r="B221" s="9" t="str">
        <x:v>AU-215</x:v>
      </x:c>
      <x:c r="C221" s="9" t="str">
        <x:v>destructive</x:v>
      </x:c>
      <x:c r="D221" s="9" t="str">
        <x:v>cut definition 48</x:v>
      </x:c>
      <x:c r="E221" s="21" t="n">
        <x:f>'Destructive Order'!K54</x:f>
        <x:v>1</x:v>
      </x:c>
      <x:c r="F221" s="21" t="n">
        <x:v>1</x:v>
      </x:c>
      <x:c r="G221" s="21" t="n">
        <x:f>E221-F221</x:f>
        <x:v>0</x:v>
      </x:c>
      <x:c r="H221" s="9" t="str">
        <x:f>IF(ABS(G221)&lt;0.000001,"PASS","FAIL")</x:f>
        <x:v>PASS</x:v>
      </x:c>
      <x:c r="I221" s="9" t="str">
        <x:v>Destructive Order!54</x:v>
      </x:c>
    </x:row>
    <x:row r="222">
      <x:c r="B222" s="9" t="str">
        <x:v>AU-216</x:v>
      </x:c>
      <x:c r="C222" s="9" t="str">
        <x:v>destructive</x:v>
      </x:c>
      <x:c r="D222" s="9" t="str">
        <x:v>cut definition 49</x:v>
      </x:c>
      <x:c r="E222" s="21" t="n">
        <x:f>'Destructive Order'!K55</x:f>
        <x:v>1</x:v>
      </x:c>
      <x:c r="F222" s="21" t="n">
        <x:v>1</x:v>
      </x:c>
      <x:c r="G222" s="21" t="n">
        <x:f>E222-F222</x:f>
        <x:v>0</x:v>
      </x:c>
      <x:c r="H222" s="9" t="str">
        <x:f>IF(ABS(G222)&lt;0.000001,"PASS","FAIL")</x:f>
        <x:v>PASS</x:v>
      </x:c>
      <x:c r="I222" s="9" t="str">
        <x:v>Destructive Order!55</x:v>
      </x:c>
    </x:row>
    <x:row r="223">
      <x:c r="B223" s="9" t="str">
        <x:v>AU-217</x:v>
      </x:c>
      <x:c r="C223" s="9" t="str">
        <x:v>destructive</x:v>
      </x:c>
      <x:c r="D223" s="9" t="str">
        <x:v>cut definition 50</x:v>
      </x:c>
      <x:c r="E223" s="21" t="n">
        <x:f>'Destructive Order'!K56</x:f>
        <x:v>1</x:v>
      </x:c>
      <x:c r="F223" s="21" t="n">
        <x:v>1</x:v>
      </x:c>
      <x:c r="G223" s="21" t="n">
        <x:f>E223-F223</x:f>
        <x:v>0</x:v>
      </x:c>
      <x:c r="H223" s="9" t="str">
        <x:f>IF(ABS(G223)&lt;0.000001,"PASS","FAIL")</x:f>
        <x:v>PASS</x:v>
      </x:c>
      <x:c r="I223" s="9" t="str">
        <x:v>Destructive Order!56</x:v>
      </x:c>
    </x:row>
    <x:row r="224">
      <x:c r="B224" s="9" t="str">
        <x:v>AU-218</x:v>
      </x:c>
      <x:c r="C224" s="9" t="str">
        <x:v>destructive</x:v>
      </x:c>
      <x:c r="D224" s="9" t="str">
        <x:v>cut definition 51</x:v>
      </x:c>
      <x:c r="E224" s="21" t="n">
        <x:f>'Destructive Order'!K57</x:f>
        <x:v>1</x:v>
      </x:c>
      <x:c r="F224" s="21" t="n">
        <x:v>1</x:v>
      </x:c>
      <x:c r="G224" s="21" t="n">
        <x:f>E224-F224</x:f>
        <x:v>0</x:v>
      </x:c>
      <x:c r="H224" s="9" t="str">
        <x:f>IF(ABS(G224)&lt;0.000001,"PASS","FAIL")</x:f>
        <x:v>PASS</x:v>
      </x:c>
      <x:c r="I224" s="9" t="str">
        <x:v>Destructive Order!57</x:v>
      </x:c>
    </x:row>
    <x:row r="225">
      <x:c r="B225" s="9" t="str">
        <x:v>AU-219</x:v>
      </x:c>
      <x:c r="C225" s="9" t="str">
        <x:v>destructive</x:v>
      </x:c>
      <x:c r="D225" s="9" t="str">
        <x:v>cut definition 52</x:v>
      </x:c>
      <x:c r="E225" s="21" t="n">
        <x:f>'Destructive Order'!K58</x:f>
        <x:v>1</x:v>
      </x:c>
      <x:c r="F225" s="21" t="n">
        <x:v>1</x:v>
      </x:c>
      <x:c r="G225" s="21" t="n">
        <x:f>E225-F225</x:f>
        <x:v>0</x:v>
      </x:c>
      <x:c r="H225" s="9" t="str">
        <x:f>IF(ABS(G225)&lt;0.000001,"PASS","FAIL")</x:f>
        <x:v>PASS</x:v>
      </x:c>
      <x:c r="I225" s="9" t="str">
        <x:v>Destructive Order!58</x:v>
      </x:c>
    </x:row>
    <x:row r="226">
      <x:c r="B226" s="9" t="str">
        <x:v>AU-220</x:v>
      </x:c>
      <x:c r="C226" s="9" t="str">
        <x:v>destructive</x:v>
      </x:c>
      <x:c r="D226" s="9" t="str">
        <x:v>cut definition 53</x:v>
      </x:c>
      <x:c r="E226" s="21" t="n">
        <x:f>'Destructive Order'!K59</x:f>
        <x:v>1</x:v>
      </x:c>
      <x:c r="F226" s="21" t="n">
        <x:v>1</x:v>
      </x:c>
      <x:c r="G226" s="21" t="n">
        <x:f>E226-F226</x:f>
        <x:v>0</x:v>
      </x:c>
      <x:c r="H226" s="9" t="str">
        <x:f>IF(ABS(G226)&lt;0.000001,"PASS","FAIL")</x:f>
        <x:v>PASS</x:v>
      </x:c>
      <x:c r="I226" s="9" t="str">
        <x:v>Destructive Order!59</x:v>
      </x:c>
    </x:row>
    <x:row r="227">
      <x:c r="B227" s="9" t="str">
        <x:v>AU-221</x:v>
      </x:c>
      <x:c r="C227" s="9" t="str">
        <x:v>destructive</x:v>
      </x:c>
      <x:c r="D227" s="9" t="str">
        <x:v>cut definition 54</x:v>
      </x:c>
      <x:c r="E227" s="21" t="n">
        <x:f>'Destructive Order'!K60</x:f>
        <x:v>1</x:v>
      </x:c>
      <x:c r="F227" s="21" t="n">
        <x:v>1</x:v>
      </x:c>
      <x:c r="G227" s="21" t="n">
        <x:f>E227-F227</x:f>
        <x:v>0</x:v>
      </x:c>
      <x:c r="H227" s="9" t="str">
        <x:f>IF(ABS(G227)&lt;0.000001,"PASS","FAIL")</x:f>
        <x:v>PASS</x:v>
      </x:c>
      <x:c r="I227" s="9" t="str">
        <x:v>Destructive Order!60</x:v>
      </x:c>
    </x:row>
    <x:row r="228">
      <x:c r="B228" s="9" t="str">
        <x:v>AU-222</x:v>
      </x:c>
      <x:c r="C228" s="9" t="str">
        <x:v>destructive</x:v>
      </x:c>
      <x:c r="D228" s="9" t="str">
        <x:v>cut definition 55</x:v>
      </x:c>
      <x:c r="E228" s="21" t="n">
        <x:f>'Destructive Order'!K61</x:f>
        <x:v>1</x:v>
      </x:c>
      <x:c r="F228" s="21" t="n">
        <x:v>1</x:v>
      </x:c>
      <x:c r="G228" s="21" t="n">
        <x:f>E228-F228</x:f>
        <x:v>0</x:v>
      </x:c>
      <x:c r="H228" s="9" t="str">
        <x:f>IF(ABS(G228)&lt;0.000001,"PASS","FAIL")</x:f>
        <x:v>PASS</x:v>
      </x:c>
      <x:c r="I228" s="9" t="str">
        <x:v>Destructive Order!61</x:v>
      </x:c>
    </x:row>
    <x:row r="229">
      <x:c r="B229" s="9" t="str">
        <x:v>AU-223</x:v>
      </x:c>
      <x:c r="C229" s="9" t="str">
        <x:v>destructive</x:v>
      </x:c>
      <x:c r="D229" s="9" t="str">
        <x:v>cut definition 56</x:v>
      </x:c>
      <x:c r="E229" s="21" t="n">
        <x:f>'Destructive Order'!K62</x:f>
        <x:v>1</x:v>
      </x:c>
      <x:c r="F229" s="21" t="n">
        <x:v>1</x:v>
      </x:c>
      <x:c r="G229" s="21" t="n">
        <x:f>E229-F229</x:f>
        <x:v>0</x:v>
      </x:c>
      <x:c r="H229" s="9" t="str">
        <x:f>IF(ABS(G229)&lt;0.000001,"PASS","FAIL")</x:f>
        <x:v>PASS</x:v>
      </x:c>
      <x:c r="I229" s="9" t="str">
        <x:v>Destructive Order!62</x:v>
      </x:c>
    </x:row>
    <x:row r="230">
      <x:c r="B230" s="9" t="str">
        <x:v>AU-224</x:v>
      </x:c>
      <x:c r="C230" s="9" t="str">
        <x:v>destructive</x:v>
      </x:c>
      <x:c r="D230" s="9" t="str">
        <x:v>cut definition 57</x:v>
      </x:c>
      <x:c r="E230" s="21" t="n">
        <x:f>'Destructive Order'!K63</x:f>
        <x:v>1</x:v>
      </x:c>
      <x:c r="F230" s="21" t="n">
        <x:v>1</x:v>
      </x:c>
      <x:c r="G230" s="21" t="n">
        <x:f>E230-F230</x:f>
        <x:v>0</x:v>
      </x:c>
      <x:c r="H230" s="9" t="str">
        <x:f>IF(ABS(G230)&lt;0.000001,"PASS","FAIL")</x:f>
        <x:v>PASS</x:v>
      </x:c>
      <x:c r="I230" s="9" t="str">
        <x:v>Destructive Order!63</x:v>
      </x:c>
    </x:row>
    <x:row r="231">
      <x:c r="B231" s="9" t="str">
        <x:v>AU-225</x:v>
      </x:c>
      <x:c r="C231" s="9" t="str">
        <x:v>destructive</x:v>
      </x:c>
      <x:c r="D231" s="9" t="str">
        <x:v>cut definition 58</x:v>
      </x:c>
      <x:c r="E231" s="21" t="n">
        <x:f>'Destructive Order'!K64</x:f>
        <x:v>1</x:v>
      </x:c>
      <x:c r="F231" s="21" t="n">
        <x:v>1</x:v>
      </x:c>
      <x:c r="G231" s="21" t="n">
        <x:f>E231-F231</x:f>
        <x:v>0</x:v>
      </x:c>
      <x:c r="H231" s="9" t="str">
        <x:f>IF(ABS(G231)&lt;0.000001,"PASS","FAIL")</x:f>
        <x:v>PASS</x:v>
      </x:c>
      <x:c r="I231" s="9" t="str">
        <x:v>Destructive Order!64</x:v>
      </x:c>
    </x:row>
    <x:row r="232">
      <x:c r="B232" s="9" t="str">
        <x:v>AU-226</x:v>
      </x:c>
      <x:c r="C232" s="9" t="str">
        <x:v>destructive</x:v>
      </x:c>
      <x:c r="D232" s="9" t="str">
        <x:v>cut definition 59</x:v>
      </x:c>
      <x:c r="E232" s="21" t="n">
        <x:f>'Destructive Order'!K65</x:f>
        <x:v>1</x:v>
      </x:c>
      <x:c r="F232" s="21" t="n">
        <x:v>1</x:v>
      </x:c>
      <x:c r="G232" s="21" t="n">
        <x:f>E232-F232</x:f>
        <x:v>0</x:v>
      </x:c>
      <x:c r="H232" s="9" t="str">
        <x:f>IF(ABS(G232)&lt;0.000001,"PASS","FAIL")</x:f>
        <x:v>PASS</x:v>
      </x:c>
      <x:c r="I232" s="9" t="str">
        <x:v>Destructive Order!65</x:v>
      </x:c>
    </x:row>
    <x:row r="233">
      <x:c r="B233" s="9" t="str">
        <x:v>AU-227</x:v>
      </x:c>
      <x:c r="C233" s="9" t="str">
        <x:v>destructive</x:v>
      </x:c>
      <x:c r="D233" s="9" t="str">
        <x:v>cut definition 60</x:v>
      </x:c>
      <x:c r="E233" s="21" t="n">
        <x:f>'Destructive Order'!K66</x:f>
        <x:v>1</x:v>
      </x:c>
      <x:c r="F233" s="21" t="n">
        <x:v>1</x:v>
      </x:c>
      <x:c r="G233" s="21" t="n">
        <x:f>E233-F233</x:f>
        <x:v>0</x:v>
      </x:c>
      <x:c r="H233" s="9" t="str">
        <x:f>IF(ABS(G233)&lt;0.000001,"PASS","FAIL")</x:f>
        <x:v>PASS</x:v>
      </x:c>
      <x:c r="I233" s="9" t="str">
        <x:v>Destructive Order!66</x:v>
      </x:c>
    </x:row>
    <x:row r="234">
      <x:c r="B234" s="9" t="str">
        <x:v>AU-228</x:v>
      </x:c>
      <x:c r="C234" s="9" t="str">
        <x:v>capital</x:v>
      </x:c>
      <x:c r="D234" s="9" t="str">
        <x:v>line 1</x:v>
      </x:c>
      <x:c r="E234" s="21" t="n">
        <x:f>Capital!C7</x:f>
        <x:v>0.062</x:v>
      </x:c>
      <x:c r="F234" s="21" t="n">
        <x:v>0</x:v>
      </x:c>
      <x:c r="G234" s="21" t="n">
        <x:f>E234-F234</x:f>
        <x:v>0.062</x:v>
      </x:c>
      <x:c r="H234" s="9" t="str">
        <x:f>IF(E234&gt;F234,"PASS","FAIL")</x:f>
        <x:v>PASS</x:v>
      </x:c>
      <x:c r="I234" s="9" t="str">
        <x:v>Capital!7</x:v>
      </x:c>
    </x:row>
    <x:row r="235">
      <x:c r="B235" s="9" t="str">
        <x:v>AU-229</x:v>
      </x:c>
      <x:c r="C235" s="9" t="str">
        <x:v>capital</x:v>
      </x:c>
      <x:c r="D235" s="9" t="str">
        <x:v>line 2</x:v>
      </x:c>
      <x:c r="E235" s="21" t="n">
        <x:f>Capital!C8</x:f>
        <x:v>0.071</x:v>
      </x:c>
      <x:c r="F235" s="21" t="n">
        <x:v>0</x:v>
      </x:c>
      <x:c r="G235" s="21" t="n">
        <x:f>E235-F235</x:f>
        <x:v>0.071</x:v>
      </x:c>
      <x:c r="H235" s="9" t="str">
        <x:f>IF(E235&gt;F235,"PASS","FAIL")</x:f>
        <x:v>PASS</x:v>
      </x:c>
      <x:c r="I235" s="9" t="str">
        <x:v>Capital!8</x:v>
      </x:c>
    </x:row>
    <x:row r="236">
      <x:c r="B236" s="9" t="str">
        <x:v>AU-230</x:v>
      </x:c>
      <x:c r="C236" s="9" t="str">
        <x:v>capital</x:v>
      </x:c>
      <x:c r="D236" s="9" t="str">
        <x:v>line 3</x:v>
      </x:c>
      <x:c r="E236" s="21" t="n">
        <x:f>Capital!C9</x:f>
        <x:v>0.069</x:v>
      </x:c>
      <x:c r="F236" s="21" t="n">
        <x:v>0</x:v>
      </x:c>
      <x:c r="G236" s="21" t="n">
        <x:f>E236-F236</x:f>
        <x:v>0.069</x:v>
      </x:c>
      <x:c r="H236" s="9" t="str">
        <x:f>IF(E236&gt;F236,"PASS","FAIL")</x:f>
        <x:v>PASS</x:v>
      </x:c>
      <x:c r="I236" s="9" t="str">
        <x:v>Capital!9</x:v>
      </x:c>
    </x:row>
    <x:row r="237">
      <x:c r="B237" s="9" t="str">
        <x:v>AU-231</x:v>
      </x:c>
      <x:c r="C237" s="9" t="str">
        <x:v>capital</x:v>
      </x:c>
      <x:c r="D237" s="9" t="str">
        <x:v>line 4</x:v>
      </x:c>
      <x:c r="E237" s="21" t="n">
        <x:f>Capital!C10</x:f>
        <x:v>0.042</x:v>
      </x:c>
      <x:c r="F237" s="21" t="n">
        <x:v>0</x:v>
      </x:c>
      <x:c r="G237" s="21" t="n">
        <x:f>E237-F237</x:f>
        <x:v>0.042</x:v>
      </x:c>
      <x:c r="H237" s="9" t="str">
        <x:f>IF(E237&gt;F237,"PASS","FAIL")</x:f>
        <x:v>PASS</x:v>
      </x:c>
      <x:c r="I237" s="9" t="str">
        <x:v>Capital!10</x:v>
      </x:c>
    </x:row>
    <x:row r="238">
      <x:c r="B238" s="9" t="str">
        <x:v>AU-232</x:v>
      </x:c>
      <x:c r="C238" s="9" t="str">
        <x:v>capital</x:v>
      </x:c>
      <x:c r="D238" s="9" t="str">
        <x:v>line 5</x:v>
      </x:c>
      <x:c r="E238" s="21" t="n">
        <x:f>Capital!C11</x:f>
        <x:v>0.058</x:v>
      </x:c>
      <x:c r="F238" s="21" t="n">
        <x:v>0</x:v>
      </x:c>
      <x:c r="G238" s="21" t="n">
        <x:f>E238-F238</x:f>
        <x:v>0.058</x:v>
      </x:c>
      <x:c r="H238" s="9" t="str">
        <x:f>IF(E238&gt;F238,"PASS","FAIL")</x:f>
        <x:v>PASS</x:v>
      </x:c>
      <x:c r="I238" s="9" t="str">
        <x:v>Capital!11</x:v>
      </x:c>
    </x:row>
    <x:row r="239">
      <x:c r="B239" s="9" t="str">
        <x:v>AU-233</x:v>
      </x:c>
      <x:c r="C239" s="9" t="str">
        <x:v>capital</x:v>
      </x:c>
      <x:c r="D239" s="9" t="str">
        <x:v>line 6</x:v>
      </x:c>
      <x:c r="E239" s="21" t="n">
        <x:f>Capital!C12</x:f>
        <x:v>0.052</x:v>
      </x:c>
      <x:c r="F239" s="21" t="n">
        <x:v>0</x:v>
      </x:c>
      <x:c r="G239" s="21" t="n">
        <x:f>E239-F239</x:f>
        <x:v>0.052</x:v>
      </x:c>
      <x:c r="H239" s="9" t="str">
        <x:f>IF(E239&gt;F239,"PASS","FAIL")</x:f>
        <x:v>PASS</x:v>
      </x:c>
      <x:c r="I239" s="9" t="str">
        <x:v>Capital!12</x:v>
      </x:c>
    </x:row>
    <x:row r="240">
      <x:c r="B240" s="9" t="str">
        <x:v>AU-234</x:v>
      </x:c>
      <x:c r="C240" s="9" t="str">
        <x:v>capital</x:v>
      </x:c>
      <x:c r="D240" s="9" t="str">
        <x:v>line 7</x:v>
      </x:c>
      <x:c r="E240" s="21" t="n">
        <x:f>Capital!C13</x:f>
        <x:v>0.025</x:v>
      </x:c>
      <x:c r="F240" s="21" t="n">
        <x:v>0</x:v>
      </x:c>
      <x:c r="G240" s="21" t="n">
        <x:f>E240-F240</x:f>
        <x:v>0.025</x:v>
      </x:c>
      <x:c r="H240" s="9" t="str">
        <x:f>IF(E240&gt;F240,"PASS","FAIL")</x:f>
        <x:v>PASS</x:v>
      </x:c>
      <x:c r="I240" s="9" t="str">
        <x:v>Capital!13</x:v>
      </x:c>
    </x:row>
    <x:row r="241">
      <x:c r="B241" s="9" t="str">
        <x:v>AU-235</x:v>
      </x:c>
      <x:c r="C241" s="9" t="str">
        <x:v>capital</x:v>
      </x:c>
      <x:c r="D241" s="9" t="str">
        <x:v>line 8</x:v>
      </x:c>
      <x:c r="E241" s="21" t="n">
        <x:f>Capital!C14</x:f>
        <x:v>0.019</x:v>
      </x:c>
      <x:c r="F241" s="21" t="n">
        <x:v>0</x:v>
      </x:c>
      <x:c r="G241" s="21" t="n">
        <x:f>E241-F241</x:f>
        <x:v>0.019</x:v>
      </x:c>
      <x:c r="H241" s="9" t="str">
        <x:f>IF(E241&gt;F241,"PASS","FAIL")</x:f>
        <x:v>PASS</x:v>
      </x:c>
      <x:c r="I241" s="9" t="str">
        <x:v>Capital!14</x:v>
      </x:c>
    </x:row>
    <x:row r="242">
      <x:c r="B242" s="9" t="str">
        <x:v>AU-236</x:v>
      </x:c>
      <x:c r="C242" s="9" t="str">
        <x:v>capital</x:v>
      </x:c>
      <x:c r="D242" s="9" t="str">
        <x:v>line 9</x:v>
      </x:c>
      <x:c r="E242" s="21" t="n">
        <x:f>Capital!C15</x:f>
        <x:v>0.015</x:v>
      </x:c>
      <x:c r="F242" s="21" t="n">
        <x:v>0</x:v>
      </x:c>
      <x:c r="G242" s="21" t="n">
        <x:f>E242-F242</x:f>
        <x:v>0.015</x:v>
      </x:c>
      <x:c r="H242" s="9" t="str">
        <x:f>IF(E242&gt;F242,"PASS","FAIL")</x:f>
        <x:v>PASS</x:v>
      </x:c>
      <x:c r="I242" s="9" t="str">
        <x:v>Capital!15</x:v>
      </x:c>
    </x:row>
    <x:row r="243">
      <x:c r="B243" s="9" t="str">
        <x:v>AU-237</x:v>
      </x:c>
      <x:c r="C243" s="9" t="str">
        <x:v>capital</x:v>
      </x:c>
      <x:c r="D243" s="9" t="str">
        <x:v>line 10</x:v>
      </x:c>
      <x:c r="E243" s="21" t="n">
        <x:f>Capital!C16</x:f>
        <x:v>0.01</x:v>
      </x:c>
      <x:c r="F243" s="21" t="n">
        <x:v>0</x:v>
      </x:c>
      <x:c r="G243" s="21" t="n">
        <x:f>E243-F243</x:f>
        <x:v>0.01</x:v>
      </x:c>
      <x:c r="H243" s="9" t="str">
        <x:f>IF(E243&gt;F243,"PASS","FAIL")</x:f>
        <x:v>PASS</x:v>
      </x:c>
      <x:c r="I243" s="9" t="str">
        <x:v>Capital!16</x:v>
      </x:c>
    </x:row>
    <x:row r="244">
      <x:c r="B244" s="9" t="str">
        <x:v>AU-238</x:v>
      </x:c>
      <x:c r="C244" s="9" t="str">
        <x:v>capital</x:v>
      </x:c>
      <x:c r="D244" s="9" t="str">
        <x:v>line 11</x:v>
      </x:c>
      <x:c r="E244" s="21" t="n">
        <x:f>Capital!C17</x:f>
        <x:v>0.007</x:v>
      </x:c>
      <x:c r="F244" s="21" t="n">
        <x:v>0</x:v>
      </x:c>
      <x:c r="G244" s="21" t="n">
        <x:f>E244-F244</x:f>
        <x:v>0.007</x:v>
      </x:c>
      <x:c r="H244" s="9" t="str">
        <x:f>IF(E244&gt;F244,"PASS","FAIL")</x:f>
        <x:v>PASS</x:v>
      </x:c>
      <x:c r="I244" s="9" t="str">
        <x:v>Capital!17</x:v>
      </x:c>
    </x:row>
    <x:row r="245">
      <x:c r="B245" s="9" t="str">
        <x:v>AU-239</x:v>
      </x:c>
      <x:c r="C245" s="9" t="str">
        <x:v>annual</x:v>
      </x:c>
      <x:c r="D245" s="9" t="str">
        <x:v>line 1</x:v>
      </x:c>
      <x:c r="E245" s="21" t="n">
        <x:f>'Annual Support'!C7</x:f>
        <x:v>0.056</x:v>
      </x:c>
      <x:c r="F245" s="21" t="n">
        <x:v>0</x:v>
      </x:c>
      <x:c r="G245" s="21" t="n">
        <x:f>E245-F245</x:f>
        <x:v>0.056</x:v>
      </x:c>
      <x:c r="H245" s="9" t="str">
        <x:f>IF(E245&gt;F245,"PASS","FAIL")</x:f>
        <x:v>PASS</x:v>
      </x:c>
      <x:c r="I245" s="9" t="str">
        <x:v>Annual Support!7</x:v>
      </x:c>
    </x:row>
    <x:row r="246">
      <x:c r="B246" s="9" t="str">
        <x:v>AU-240</x:v>
      </x:c>
      <x:c r="C246" s="9" t="str">
        <x:v>annual</x:v>
      </x:c>
      <x:c r="D246" s="9" t="str">
        <x:v>line 2</x:v>
      </x:c>
      <x:c r="E246" s="21" t="n">
        <x:f>'Annual Support'!C8</x:f>
        <x:v>0.014</x:v>
      </x:c>
      <x:c r="F246" s="21" t="n">
        <x:v>0</x:v>
      </x:c>
      <x:c r="G246" s="21" t="n">
        <x:f>E246-F246</x:f>
        <x:v>0.014</x:v>
      </x:c>
      <x:c r="H246" s="9" t="str">
        <x:f>IF(E246&gt;F246,"PASS","FAIL")</x:f>
        <x:v>PASS</x:v>
      </x:c>
      <x:c r="I246" s="9" t="str">
        <x:v>Annual Support!8</x:v>
      </x:c>
    </x:row>
    <x:row r="247">
      <x:c r="B247" s="9" t="str">
        <x:v>AU-241</x:v>
      </x:c>
      <x:c r="C247" s="9" t="str">
        <x:v>annual</x:v>
      </x:c>
      <x:c r="D247" s="9" t="str">
        <x:v>line 3</x:v>
      </x:c>
      <x:c r="E247" s="21" t="n">
        <x:f>'Annual Support'!C9</x:f>
        <x:v>0.008</x:v>
      </x:c>
      <x:c r="F247" s="21" t="n">
        <x:v>0</x:v>
      </x:c>
      <x:c r="G247" s="21" t="n">
        <x:f>E247-F247</x:f>
        <x:v>0.008</x:v>
      </x:c>
      <x:c r="H247" s="9" t="str">
        <x:f>IF(E247&gt;F247,"PASS","FAIL")</x:f>
        <x:v>PASS</x:v>
      </x:c>
      <x:c r="I247" s="9" t="str">
        <x:v>Annual Support!9</x:v>
      </x:c>
    </x:row>
    <x:row r="248">
      <x:c r="B248" s="9" t="str">
        <x:v>AU-242</x:v>
      </x:c>
      <x:c r="C248" s="9" t="str">
        <x:v>annual</x:v>
      </x:c>
      <x:c r="D248" s="9" t="str">
        <x:v>line 4</x:v>
      </x:c>
      <x:c r="E248" s="21" t="n">
        <x:f>'Annual Support'!C10</x:f>
        <x:v>0.007</x:v>
      </x:c>
      <x:c r="F248" s="21" t="n">
        <x:v>0</x:v>
      </x:c>
      <x:c r="G248" s="21" t="n">
        <x:f>E248-F248</x:f>
        <x:v>0.007</x:v>
      </x:c>
      <x:c r="H248" s="9" t="str">
        <x:f>IF(E248&gt;F248,"PASS","FAIL")</x:f>
        <x:v>PASS</x:v>
      </x:c>
      <x:c r="I248" s="9" t="str">
        <x:v>Annual Support!10</x:v>
      </x:c>
    </x:row>
    <x:row r="249">
      <x:c r="B249" s="9" t="str">
        <x:v>AU-243</x:v>
      </x:c>
      <x:c r="C249" s="9" t="str">
        <x:v>annual</x:v>
      </x:c>
      <x:c r="D249" s="9" t="str">
        <x:v>line 5</x:v>
      </x:c>
      <x:c r="E249" s="21" t="n">
        <x:f>'Annual Support'!C11</x:f>
        <x:v>0.004</x:v>
      </x:c>
      <x:c r="F249" s="21" t="n">
        <x:v>0</x:v>
      </x:c>
      <x:c r="G249" s="21" t="n">
        <x:f>E249-F249</x:f>
        <x:v>0.004</x:v>
      </x:c>
      <x:c r="H249" s="9" t="str">
        <x:f>IF(E249&gt;F249,"PASS","FAIL")</x:f>
        <x:v>PASS</x:v>
      </x:c>
      <x:c r="I249" s="9" t="str">
        <x:v>Annual Support!11</x:v>
      </x:c>
    </x:row>
    <x:row r="250">
      <x:c r="B250" s="9" t="str">
        <x:v>AU-244</x:v>
      </x:c>
      <x:c r="C250" s="9" t="str">
        <x:v>annual</x:v>
      </x:c>
      <x:c r="D250" s="9" t="str">
        <x:v>line 6</x:v>
      </x:c>
      <x:c r="E250" s="21" t="n">
        <x:f>'Annual Support'!C12</x:f>
        <x:v>0.004</x:v>
      </x:c>
      <x:c r="F250" s="21" t="n">
        <x:v>0</x:v>
      </x:c>
      <x:c r="G250" s="21" t="n">
        <x:f>E250-F250</x:f>
        <x:v>0.004</x:v>
      </x:c>
      <x:c r="H250" s="9" t="str">
        <x:f>IF(E250&gt;F250,"PASS","FAIL")</x:f>
        <x:v>PASS</x:v>
      </x:c>
      <x:c r="I250" s="9" t="str">
        <x:v>Annual Support!12</x:v>
      </x:c>
    </x:row>
    <x:row r="251">
      <x:c r="B251" s="9" t="str">
        <x:v>AU-245</x:v>
      </x:c>
      <x:c r="C251" s="9" t="str">
        <x:v>annual</x:v>
      </x:c>
      <x:c r="D251" s="9" t="str">
        <x:v>line 7</x:v>
      </x:c>
      <x:c r="E251" s="21" t="n">
        <x:f>'Annual Support'!C13</x:f>
        <x:v>0.003</x:v>
      </x:c>
      <x:c r="F251" s="21" t="n">
        <x:v>0</x:v>
      </x:c>
      <x:c r="G251" s="21" t="n">
        <x:f>E251-F251</x:f>
        <x:v>0.003</x:v>
      </x:c>
      <x:c r="H251" s="9" t="str">
        <x:f>IF(E251&gt;F251,"PASS","FAIL")</x:f>
        <x:v>PASS</x:v>
      </x:c>
      <x:c r="I251" s="9" t="str">
        <x:v>Annual Support!13</x:v>
      </x:c>
    </x:row>
    <x:row r="252">
      <x:c r="B252" s="10" t="str">
        <x:v>AU-246</x:v>
      </x:c>
      <x:c r="C252" s="10" t="str">
        <x:v>annual</x:v>
      </x:c>
      <x:c r="D252" s="10" t="str">
        <x:v>line 8</x:v>
      </x:c>
      <x:c r="E252" s="22" t="n">
        <x:f>'Annual Support'!C14</x:f>
        <x:v>0.002</x:v>
      </x:c>
      <x:c r="F252" s="22" t="n">
        <x:v>0</x:v>
      </x:c>
      <x:c r="G252" s="22" t="n">
        <x:f>E252-F252</x:f>
        <x:v>0.002</x:v>
      </x:c>
      <x:c r="H252" s="10" t="str">
        <x:f>IF(E252&gt;F252,"PASS","FAIL")</x:f>
        <x:v>PASS</x:v>
      </x:c>
      <x:c r="I252" s="10" t="str">
        <x:v>Annual Support!14</x:v>
      </x:c>
    </x:row>
  </x:sheetData>
  <x:mergeCells>
    <x:mergeCell ref="B2:I2"/>
    <x:mergeCell ref="B3:I3"/>
  </x:mergeCells>
  <x:conditionalFormatting sqref="H7:H252">
    <x:cfRule type="containsText" dxfId="351" priority="1" operator="containsText" text="PASS"/>
    <x:cfRule type="containsText" dxfId="352" priority="2" operator="containsText" text="AUTHORIZED"/>
    <x:cfRule type="containsText" dxfId="353" priority="3" operator="containsText" text="DEFINED"/>
    <x:cfRule type="containsText" dxfId="354" priority="4" operator="containsText" text="READY"/>
    <x:cfRule type="containsText" dxfId="355" priority="5" operator="containsText" text="HOLD"/>
    <x:cfRule type="containsText" dxfId="356" priority="6" operator="containsText" text="OPEN"/>
    <x:cfRule type="containsText" dxfId="357" priority="7" operator="containsText" text="BLOCKED"/>
    <x:cfRule type="containsText" dxfId="358" priority="8" operator="containsText" text="PLANNING"/>
    <x:cfRule type="containsText" dxfId="359" priority="9" operator="containsText" text="QUARANTINE"/>
    <x:cfRule type="containsText" dxfId="360" priority="10" operator="containsText" text="FAIL"/>
    <x:cfRule type="containsText" dxfId="361" priority="11" operator="containsText" text="REJECT"/>
    <x:cfRule type="containsText" dxfId="362" priority="12" operator="containsText" text="INCOMPLETE"/>
    <x:cfRule type="containsText" dxfId="363" priority="13" operator="containsText" text="STOP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2" max="2" width="24" hidden="0" customWidth="1"/>
    <x:col min="3" max="3" width="105" hidden="0" customWidth="1"/>
  </x:cols>
  <x:sheetData>
    <x:row r="2">
      <x:c r="B2" s="32" t="str">
        <x:v>How to use SDEC-1</x:v>
      </x:c>
      <x:c r="C2" s="9"/>
      <x:c r="D2" s="9"/>
      <x:c r="E2" s="9"/>
      <x:c r="F2" s="9"/>
      <x:c r="G2" s="9"/>
      <x:c r="H2" s="9"/>
      <x:c r="I2" s="9"/>
      <x:c r="J2" s="9"/>
    </x:row>
    <x:row r="3">
      <x:c r="B3" s="33" t="str">
        <x:v>This workbook is an execution constitution and sensitivity surface, not physical evidence or spending authority.</x:v>
      </x:c>
      <x:c r="C3" s="9"/>
      <x:c r="D3" s="9"/>
      <x:c r="E3" s="9"/>
      <x:c r="F3" s="9"/>
      <x:c r="G3" s="9"/>
      <x:c r="H3" s="9"/>
      <x:c r="I3" s="9"/>
      <x:c r="J3" s="9"/>
    </x:row>
    <x:row r="4">
      <x:c r="B4" s="34"/>
      <x:c r="C4" s="34"/>
      <x:c r="D4" s="34"/>
      <x:c r="E4" s="34"/>
      <x:c r="F4" s="34"/>
      <x:c r="G4" s="34"/>
      <x:c r="H4" s="34"/>
      <x:c r="I4" s="34"/>
      <x:c r="J4" s="34"/>
    </x:row>
    <x:row r="5">
      <x:c r="B5" s="9"/>
      <x:c r="C5" s="9"/>
      <x:c r="D5" s="9"/>
      <x:c r="E5" s="9"/>
      <x:c r="F5" s="9"/>
      <x:c r="G5" s="9"/>
      <x:c r="H5" s="9"/>
      <x:c r="I5" s="9"/>
      <x:c r="J5" s="9"/>
    </x:row>
    <x:row r="6">
      <x:c r="B6" s="7" t="str">
        <x:v>Topic</x:v>
      </x:c>
      <x:c r="C6" s="7" t="str">
        <x:v>Guidance</x:v>
      </x:c>
      <x:c r="D6" s="9"/>
      <x:c r="E6" s="9"/>
      <x:c r="F6" s="9"/>
      <x:c r="G6" s="9"/>
      <x:c r="H6" s="9"/>
      <x:c r="I6" s="9"/>
      <x:c r="J6" s="9"/>
    </x:row>
    <x:row r="7">
      <x:c r="B7" s="9" t="str">
        <x:v>Decision</x:v>
      </x:c>
      <x:c r="C7" s="28" t="str">
        <x:v>Defines the physical population, histories, instruments, safe states and inference rules needed before complete-article construction.</x:v>
      </x:c>
      <x:c r="D7" s="9"/>
      <x:c r="E7" s="9"/>
      <x:c r="F7" s="9"/>
      <x:c r="G7" s="9"/>
      <x:c r="H7" s="9"/>
      <x:c r="I7" s="9"/>
      <x:c r="J7" s="9"/>
    </x:row>
    <x:row r="8">
      <x:c r="B8" s="9" t="str">
        <x:v>Audience</x:v>
      </x:c>
      <x:c r="C8" s="28" t="str">
        <x:v>Public test, safety, metrology, statistics, root engineering, forensics and baseline authorities.</x:v>
      </x:c>
      <x:c r="D8" s="9"/>
      <x:c r="E8" s="9"/>
      <x:c r="F8" s="9"/>
      <x:c r="G8" s="9"/>
      <x:c r="H8" s="9"/>
      <x:c r="I8" s="9"/>
      <x:c r="J8" s="9"/>
    </x:row>
    <x:row r="9">
      <x:c r="B9" s="9" t="str">
        <x:v>Inputs</x:v>
      </x:c>
      <x:c r="C9" s="28" t="str">
        <x:v>Blue numeric cells are inherited boundaries or declared planning hypotheses.</x:v>
      </x:c>
      <x:c r="D9" s="9"/>
      <x:c r="E9" s="9"/>
      <x:c r="F9" s="9"/>
      <x:c r="G9" s="9"/>
      <x:c r="H9" s="9"/>
      <x:c r="I9" s="9"/>
      <x:c r="J9" s="9"/>
    </x:row>
    <x:row r="10">
      <x:c r="B10" s="9" t="str">
        <x:v>Source state</x:v>
      </x:c>
      <x:c r="C10" s="28" t="str">
        <x:v>Money authorization, ranges, specimens, truth objects and observations remain zero. OPEN/BLOCKED is intentional.</x:v>
      </x:c>
      <x:c r="D10" s="9"/>
      <x:c r="E10" s="9"/>
      <x:c r="F10" s="9"/>
      <x:c r="G10" s="9"/>
      <x:c r="H10" s="9"/>
      <x:c r="I10" s="9"/>
      <x:c r="J10" s="9"/>
    </x:row>
    <x:row r="11">
      <x:c r="B11" s="9" t="str">
        <x:v>Formula flow</x:v>
      </x:c>
      <x:c r="C11" s="28" t="str">
        <x:v>Controls feed population, events, statistics, data, finance and gates. Audit is terminal.</x:v>
      </x:c>
      <x:c r="D11" s="9"/>
      <x:c r="E11" s="9"/>
      <x:c r="F11" s="9"/>
      <x:c r="G11" s="9"/>
      <x:c r="H11" s="9"/>
      <x:c r="I11" s="9"/>
      <x:c r="J11" s="9"/>
    </x:row>
    <x:row r="12">
      <x:c r="B12" s="9" t="str">
        <x:v>Population</x:v>
      </x:c>
      <x:c r="C12" s="28" t="str">
        <x:v>Twelve designs are realized as 64 serials. Repeated exposure on one serial is not independent population evidence.</x:v>
      </x:c>
      <x:c r="D12" s="9"/>
      <x:c r="E12" s="9"/>
      <x:c r="F12" s="9"/>
      <x:c r="G12" s="9"/>
      <x:c r="H12" s="9"/>
      <x:c r="I12" s="9"/>
      <x:c r="J12" s="9"/>
    </x:row>
    <x:row r="13">
      <x:c r="B13" s="9" t="str">
        <x:v>Defects</x:v>
      </x:c>
      <x:c r="C13" s="28" t="str">
        <x:v>Twenty-four cells each use 116 unique primary objects. Repeat acquisitions do not enlarge primary n.</x:v>
      </x:c>
      <x:c r="D13" s="9"/>
      <x:c r="E13" s="9"/>
      <x:c r="F13" s="9"/>
      <x:c r="G13" s="9"/>
      <x:c r="H13" s="9"/>
      <x:c r="I13" s="9"/>
      <x:c r="J13" s="9"/>
    </x:row>
    <x:row r="14">
      <x:c r="B14" s="9" t="str">
        <x:v>Statistics</x:v>
      </x:c>
      <x:c r="C14" s="28" t="str">
        <x:v>Zero misses in 29 yields a 90.19% one-sided lower detection bound. Zero false rejects in 58 negatives yields a 5.04% upper bound.</x:v>
      </x:c>
      <x:c r="D14" s="9"/>
      <x:c r="E14" s="9"/>
      <x:c r="F14" s="9"/>
      <x:c r="G14" s="9"/>
      <x:c r="H14" s="9"/>
      <x:c r="I14" s="9"/>
      <x:c r="J14" s="9"/>
    </x:row>
    <x:row r="15">
      <x:c r="B15" s="9" t="str">
        <x:v>Finance</x:v>
      </x:c>
      <x:c r="C15" s="28" t="str">
        <x:v>USD billions, real 2026 basis. The new increment triggers BRD baseline reopening and must not be added twice.</x:v>
      </x:c>
      <x:c r="D15" s="9"/>
      <x:c r="E15" s="9"/>
      <x:c r="F15" s="9"/>
      <x:c r="G15" s="9"/>
      <x:c r="H15" s="9"/>
      <x:c r="I15" s="9"/>
      <x:c r="J15" s="9"/>
    </x:row>
    <x:row r="16">
      <x:c r="B16" s="9" t="str">
        <x:v>Data</x:v>
      </x:c>
      <x:c r="C16" s="28" t="str">
        <x:v>Approximately 137 TB supports two originals under declared channel, NDE, derived and package assumptions.</x:v>
      </x:c>
      <x:c r="D16" s="9"/>
      <x:c r="E16" s="9"/>
      <x:c r="F16" s="9"/>
      <x:c r="G16" s="9"/>
      <x:c r="H16" s="9"/>
      <x:c r="I16" s="9"/>
      <x:c r="J16" s="9"/>
    </x:row>
    <x:row r="17">
      <x:c r="B17" s="9" t="str">
        <x:v>Rendering</x:v>
      </x:c>
      <x:c r="C17" s="28" t="str">
        <x:v>No exterior design. Workbook previews are inspection images only.</x:v>
      </x:c>
      <x:c r="D17" s="9"/>
      <x:c r="E17" s="9"/>
      <x:c r="F17" s="9"/>
      <x:c r="G17" s="9"/>
      <x:c r="H17" s="9"/>
      <x:c r="I17" s="9"/>
      <x:c r="J17" s="9"/>
    </x:row>
    <x:row r="18">
      <x:c r="B18" s="9" t="str">
        <x:v>Sensitivity</x:v>
      </x:c>
      <x:c r="C18" s="28" t="str">
        <x:v>Disposable tests change drivers, recalculate, confirm dependent effects and restore baseline.</x:v>
      </x:c>
      <x:c r="D18" s="9"/>
      <x:c r="E18" s="9"/>
      <x:c r="F18" s="9"/>
      <x:c r="G18" s="9"/>
      <x:c r="H18" s="9"/>
      <x:c r="I18" s="9"/>
      <x:c r="J18" s="9"/>
    </x:row>
    <x:row r="19">
      <x:c r="B19" s="9" t="str">
        <x:v>Authority</x:v>
      </x:c>
      <x:c r="C19" s="28" t="str">
        <x:v>64 planning gates pass; 32 source gates remain open; 4 downstream gates remain blocked.</x:v>
      </x:c>
      <x:c r="D19" s="9"/>
      <x:c r="E19" s="9"/>
      <x:c r="F19" s="9"/>
      <x:c r="G19" s="9"/>
      <x:c r="H19" s="9"/>
      <x:c r="I19" s="9"/>
      <x:c r="J19" s="9"/>
    </x:row>
    <x:row r="20">
      <x:c r="B20" s="10" t="str">
        <x:v>Version</x:v>
      </x:c>
      <x:c r="C20" s="29" t="str">
        <x:v>Pass 114 / SDEC-1 / 2026-09-09</x:v>
      </x:c>
      <x:c r="D20" s="9"/>
      <x:c r="E20" s="9"/>
      <x:c r="F20" s="9"/>
      <x:c r="G20" s="9"/>
      <x:c r="H20" s="9"/>
      <x:c r="I20" s="9"/>
      <x:c r="J20" s="9"/>
    </x:row>
  </x:sheetData>
  <x:mergeCells>
    <x:mergeCell ref="B2:J2"/>
    <x:mergeCell ref="B3:J3"/>
  </x:mergeCells>
  <x:pageMargins left="0.7" right="0.7" top="0.75" bottom="0.75" header="0.3" footer="0.3"/>
</x:worksheet>
</file>