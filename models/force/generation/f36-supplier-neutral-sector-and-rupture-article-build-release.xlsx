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5af74be2a042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4e9f6b29624a0d"/>
    <x:sheet xmlns:r="http://schemas.openxmlformats.org/officeDocument/2006/relationships" name="Control Inputs" sheetId="2" r:id="Rbe119bab475b472a"/>
    <x:sheet xmlns:r="http://schemas.openxmlformats.org/officeDocument/2006/relationships" name="Common Envelope" sheetId="3" r:id="R54d34e13e89d43c4"/>
    <x:sheet xmlns:r="http://schemas.openxmlformats.org/officeDocument/2006/relationships" name="Root Lanes" sheetId="4" r:id="R4414c90f656f42e9"/>
    <x:sheet xmlns:r="http://schemas.openxmlformats.org/officeDocument/2006/relationships" name="Article Plan" sheetId="5" r:id="R3b0ae9a1032c48b6"/>
    <x:sheet xmlns:r="http://schemas.openxmlformats.org/officeDocument/2006/relationships" name="Material Envelope" sheetId="6" r:id="R42509f6110034f6f"/>
    <x:sheet xmlns:r="http://schemas.openxmlformats.org/officeDocument/2006/relationships" name="Closure Envelope" sheetId="7" r:id="R12a65ea447dc43f8"/>
    <x:sheet xmlns:r="http://schemas.openxmlformats.org/officeDocument/2006/relationships" name="Sector Articles" sheetId="8" r:id="R69052d3836ae4598"/>
    <x:sheet xmlns:r="http://schemas.openxmlformats.org/officeDocument/2006/relationships" name="Damage &amp; Repair" sheetId="9" r:id="R20c958cdb5624c0e"/>
    <x:sheet xmlns:r="http://schemas.openxmlformats.org/officeDocument/2006/relationships" name="Instrument Plan" sheetId="10" r:id="Rf51c954ad62d41e0"/>
    <x:sheet xmlns:r="http://schemas.openxmlformats.org/officeDocument/2006/relationships" name="Evidence Objects" sheetId="11" r:id="Radcc215bb6084ff9"/>
    <x:sheet xmlns:r="http://schemas.openxmlformats.org/officeDocument/2006/relationships" name="Custody" sheetId="12" r:id="Rc1c869e936484be4"/>
    <x:sheet xmlns:r="http://schemas.openxmlformats.org/officeDocument/2006/relationships" name="CTDP Rights" sheetId="13" r:id="R59ca997a82084329"/>
    <x:sheet xmlns:r="http://schemas.openxmlformats.org/officeDocument/2006/relationships" name="Authority Matrix" sheetId="14" r:id="Rcf8a5db1915f4d12"/>
    <x:sheet xmlns:r="http://schemas.openxmlformats.org/officeDocument/2006/relationships" name="Schedule" sheetId="15" r:id="Rdd3a707077a54505"/>
    <x:sheet xmlns:r="http://schemas.openxmlformats.org/officeDocument/2006/relationships" name="Capital Control" sheetId="16" r:id="Rd7c0f8dc3d814e04"/>
    <x:sheet xmlns:r="http://schemas.openxmlformats.org/officeDocument/2006/relationships" name="Annual Readiness" sheetId="17" r:id="R93d045d6f2bf4400"/>
    <x:sheet xmlns:r="http://schemas.openxmlformats.org/officeDocument/2006/relationships" name="Release Gates" sheetId="18" r:id="Rd24badfee4094cfc"/>
    <x:sheet xmlns:r="http://schemas.openxmlformats.org/officeDocument/2006/relationships" name="Audit" sheetId="19" r:id="Rdca1f61ddc144e0a"/>
    <x:sheet xmlns:r="http://schemas.openxmlformats.org/officeDocument/2006/relationships" name="ReadMe" sheetId="20" r:id="Rd554018ec06a4f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0"/>
    <x:numFmt numFmtId="201" formatCode="0.0%"/>
    <x:numFmt numFmtId="202" formatCode="0.00"/>
    <x:numFmt numFmtId="203" formatCode="0.000"/>
    <x:numFmt numFmtId="204" formatCode="#,##0.00"/>
    <x:numFmt numFmtId="205" formatCode="0.0000"/>
  </x:numFmts>
  <x:fonts count="8">
    <x:font>
      <x:sz val="11"/>
      <x:name val="Carlito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sz val="11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4"/>
      </x:patternFill>
    </x:fill>
  </x:fills>
  <x:borders count="16">
    <x:border/>
    <x:border>
      <x:bottom style="thin">
        <x:color rgb="FF17324D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left style="thin">
        <x:color rgb="FFFFFFFF"/>
      </x:lef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top style="thin">
        <x:color rgb="FFD8E0E5"/>
      </x:top>
      <x:bottom style="thin">
        <x:color rgb="FFD8E0E5"/>
      </x:bottom>
    </x:border>
  </x:borders>
  <x:cellStyleXfs count="1">
    <x:xf numFmtId="0" fontId="0" fillId="0" borderId="0"/>
  </x:cellStyleXfs>
  <x:cellXfs count="16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4" fillId="0" borderId="7" xfId="0" applyNumberFormat="1" applyFont="1" applyFill="1" applyBorder="1"/>
    <x:xf numFmtId="0" fontId="4" fillId="0" borderId="9" xfId="0" applyNumberFormat="1" applyFont="1" applyFill="1" applyBorder="1"/>
    <x:xf numFmtId="200" fontId="4" fillId="0" borderId="7" xfId="0" applyNumberFormat="1" applyFont="1" applyFill="1" applyBorder="1"/>
    <x:xf numFmtId="200" fontId="4" fillId="0" borderId="9" xfId="0" applyNumberFormat="1" applyFont="1" applyFill="1" applyBorder="1"/>
    <x:xf numFmtId="201" fontId="4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200" fontId="4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1" fontId="4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4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202" fontId="0" fillId="0" borderId="0" xfId="0" applyNumberFormat="1" applyFont="1" applyFill="1" applyBorder="1"/>
    <x:xf numFmtId="203" fontId="0" fillId="0" borderId="7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7" xfId="0" applyNumberFormat="1" applyFont="1" applyFill="1" applyBorder="1"/>
    <x:xf numFmtId="203" fontId="0" fillId="0" borderId="9" xfId="0" applyNumberFormat="1" applyFont="1" applyFill="1" applyBorder="1"/>
    <x:xf numFmtId="204" fontId="0" fillId="0" borderId="0" xfId="0" applyNumberFormat="1" applyFont="1" applyFill="1" applyBorder="1"/>
    <x:xf numFmtId="204" fontId="0" fillId="0" borderId="7" xfId="0" applyNumberFormat="1" applyFont="1" applyFill="1" applyBorder="1"/>
    <x:xf numFmtId="204" fontId="0" fillId="0" borderId="9" xfId="0" applyNumberFormat="1" applyFont="1" applyFill="1" applyBorder="1"/>
    <x:xf numFmtId="203" fontId="5" fillId="3" borderId="12" xfId="0" applyNumberFormat="1" applyFont="1" applyFill="1" applyBorder="1"/>
    <x:xf numFmtId="203" fontId="3" fillId="2" borderId="3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3" fillId="2" borderId="1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201" fontId="0" fillId="0" borderId="7" xfId="0" applyNumberFormat="1" applyFont="1" applyFill="1" applyBorder="1"/>
    <x:xf numFmtId="0" fontId="5" fillId="3" borderId="7" xfId="0" applyNumberFormat="1" applyFont="1" applyFill="1" applyBorder="1"/>
    <x:xf numFmtId="203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203" fontId="3" fillId="2" borderId="15" xfId="0" applyNumberFormat="1" applyFont="1" applyFill="1" applyBorder="1" applyAlignment="1">
      <x:alignment horizontal="center" vertical="center" wrapText="1"/>
    </x:xf>
    <x:xf numFmtId="201" fontId="0" fillId="0" borderId="7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203" fontId="5" fillId="3" borderId="7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201" fontId="0" fillId="0" borderId="9" xfId="0" applyNumberFormat="1" applyFont="1" applyFill="1" applyBorder="1"/>
    <x:xf numFmtId="205" fontId="0" fillId="0" borderId="0" xfId="0" applyNumberFormat="1" applyFont="1" applyFill="1" applyBorder="1"/>
    <x:xf numFmtId="205" fontId="0" fillId="0" borderId="7" xfId="0" applyNumberFormat="1" applyFont="1" applyFill="1" applyBorder="1"/>
    <x:xf numFmtId="205" fontId="0" fillId="0" borderId="9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3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3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5" fillId="3" borderId="11" xfId="0" applyNumberFormat="1" applyFont="1" applyFill="1" applyBorder="1" applyAlignment="1">
      <x:alignment vertical="center"/>
    </x:xf>
    <x:xf numFmtId="0" fontId="5" fillId="3" borderId="12" xfId="0" applyNumberFormat="1" applyFont="1" applyFill="1" applyBorder="1" applyAlignment="1">
      <x:alignment vertical="center"/>
    </x:xf>
    <x:xf numFmtId="0" fontId="5" fillId="3" borderId="13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/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7" fillId="0" borderId="7" xfId="0" applyNumberFormat="1" applyFont="1" applyFill="1" applyBorder="1"/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/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 wrapText="1"/>
    </x:xf>
    <x:xf numFmtId="200" fontId="4" fillId="0" borderId="7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vertical="center" wrapText="1"/>
    </x:xf>
    <x:xf numFmtId="201" fontId="4" fillId="0" borderId="7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vertical="center" wrapText="1"/>
    </x:xf>
    <x:xf numFmtId="200" fontId="4" fillId="0" borderId="9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/>
    <x:xf numFmtId="202" fontId="7" fillId="0" borderId="0" xfId="0" applyNumberFormat="1" applyFont="1" applyFill="1" applyBorder="1"/>
    <x:xf numFmtId="202" fontId="7" fillId="0" borderId="0" xfId="0" applyNumberFormat="1" applyFont="1" applyFill="1" applyBorder="1" applyAlignment="1">
      <x:alignment vertical="center"/>
    </x:xf>
    <x:xf numFmtId="203" fontId="6" fillId="0" borderId="7" xfId="0" applyNumberFormat="1" applyFont="1" applyFill="1" applyBorder="1" applyAlignment="1">
      <x:alignment wrapText="1"/>
    </x:xf>
    <x:xf numFmtId="203" fontId="6" fillId="0" borderId="9" xfId="0" applyNumberFormat="1" applyFont="1" applyFill="1" applyBorder="1" applyAlignment="1">
      <x:alignment wrapText="1"/>
    </x:xf>
    <x:xf numFmtId="203" fontId="7" fillId="0" borderId="7" xfId="0" applyNumberFormat="1" applyFont="1" applyFill="1" applyBorder="1" applyAlignment="1">
      <x:alignment wrapText="1"/>
    </x:xf>
    <x:xf numFmtId="203" fontId="7" fillId="0" borderId="9" xfId="0" applyNumberFormat="1" applyFont="1" applyFill="1" applyBorder="1" applyAlignment="1">
      <x:alignment wrapText="1"/>
    </x:xf>
    <x:xf numFmtId="203" fontId="7" fillId="0" borderId="7" xfId="0" applyNumberFormat="1" applyFont="1" applyFill="1" applyBorder="1" applyAlignment="1">
      <x:alignment vertical="center" wrapText="1"/>
    </x:xf>
    <x:xf numFmtId="203" fontId="7" fillId="0" borderId="9" xfId="0" applyNumberFormat="1" applyFont="1" applyFill="1" applyBorder="1" applyAlignment="1">
      <x:alignment vertical="center" wrapText="1"/>
    </x:xf>
    <x:xf numFmtId="203" fontId="6" fillId="0" borderId="9" xfId="0" applyNumberFormat="1" applyFont="1" applyFill="1" applyBorder="1"/>
    <x:xf numFmtId="0" fontId="6" fillId="0" borderId="10" xfId="0" applyNumberFormat="1" applyFont="1" applyFill="1" applyBorder="1"/>
    <x:xf numFmtId="203" fontId="7" fillId="0" borderId="9" xfId="0" applyNumberFormat="1" applyFont="1" applyFill="1" applyBorder="1"/>
    <x:xf numFmtId="0" fontId="7" fillId="0" borderId="10" xfId="0" applyNumberFormat="1" applyFont="1" applyFill="1" applyBorder="1"/>
    <x:xf numFmtId="203" fontId="7" fillId="0" borderId="9" xfId="0" applyNumberFormat="1" applyFont="1" applyFill="1" applyBorder="1" applyAlignment="1">
      <x:alignment vertical="center"/>
    </x:xf>
    <x:xf numFmtId="0" fontId="7" fillId="0" borderId="10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/>
    <x:xf numFmtId="0" fontId="7" fillId="0" borderId="8" xfId="0" applyNumberFormat="1" applyFont="1" applyFill="1" applyBorder="1"/>
    <x:xf numFmtId="0" fontId="7" fillId="0" borderId="8" xfId="0" applyNumberFormat="1" applyFont="1" applyFill="1" applyBorder="1" applyAlignment="1">
      <x:alignment vertical="center"/>
    </x:xf>
    <x:xf numFmtId="204" fontId="6" fillId="0" borderId="7" xfId="0" applyNumberFormat="1" applyFont="1" applyFill="1" applyBorder="1"/>
    <x:xf numFmtId="204" fontId="6" fillId="0" borderId="9" xfId="0" applyNumberFormat="1" applyFont="1" applyFill="1" applyBorder="1"/>
    <x:xf numFmtId="204" fontId="7" fillId="0" borderId="7" xfId="0" applyNumberFormat="1" applyFont="1" applyFill="1" applyBorder="1"/>
    <x:xf numFmtId="204" fontId="7" fillId="0" borderId="9" xfId="0" applyNumberFormat="1" applyFont="1" applyFill="1" applyBorder="1"/>
    <x:xf numFmtId="204" fontId="7" fillId="0" borderId="7" xfId="0" applyNumberFormat="1" applyFont="1" applyFill="1" applyBorder="1" applyAlignment="1">
      <x:alignment vertical="center"/>
    </x:xf>
    <x:xf numFmtId="204" fontId="7" fillId="0" borderId="9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/>
    <x:xf numFmtId="201" fontId="6" fillId="0" borderId="7" xfId="0" applyNumberFormat="1" applyFont="1" applyFill="1" applyBorder="1" applyAlignment="1">
      <x:alignment wrapText="1"/>
    </x:xf>
    <x:xf numFmtId="0" fontId="7" fillId="0" borderId="5" xfId="0" applyNumberFormat="1" applyFont="1" applyFill="1" applyBorder="1"/>
    <x:xf numFmtId="201" fontId="7" fillId="0" borderId="7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center"/>
    </x:xf>
    <x:xf numFmtId="201" fontId="7" fillId="0" borderId="7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 wrapText="1"/>
    </x:xf>
    <x:xf numFmtId="203" fontId="5" fillId="3" borderId="7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vertical="center" wrapText="1"/>
    </x:xf>
    <x:xf numFmtId="201" fontId="6" fillId="0" borderId="7" xfId="0" applyNumberFormat="1" applyFont="1" applyFill="1" applyBorder="1"/>
    <x:xf numFmtId="201" fontId="6" fillId="0" borderId="9" xfId="0" applyNumberFormat="1" applyFont="1" applyFill="1" applyBorder="1"/>
    <x:xf numFmtId="201" fontId="7" fillId="0" borderId="7" xfId="0" applyNumberFormat="1" applyFont="1" applyFill="1" applyBorder="1"/>
    <x:xf numFmtId="201" fontId="7" fillId="0" borderId="9" xfId="0" applyNumberFormat="1" applyFont="1" applyFill="1" applyBorder="1"/>
    <x:xf numFmtId="201" fontId="7" fillId="0" borderId="7" xfId="0" applyNumberFormat="1" applyFont="1" applyFill="1" applyBorder="1" applyAlignment="1">
      <x:alignment vertical="center"/>
    </x:xf>
    <x:xf numFmtId="201" fontId="7" fillId="0" borderId="9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205" fontId="6" fillId="0" borderId="7" xfId="0" applyNumberFormat="1" applyFont="1" applyFill="1" applyBorder="1"/>
    <x:xf numFmtId="205" fontId="6" fillId="0" borderId="9" xfId="0" applyNumberFormat="1" applyFont="1" applyFill="1" applyBorder="1"/>
    <x:xf numFmtId="205" fontId="7" fillId="0" borderId="7" xfId="0" applyNumberFormat="1" applyFont="1" applyFill="1" applyBorder="1"/>
    <x:xf numFmtId="205" fontId="7" fillId="0" borderId="9" xfId="0" applyNumberFormat="1" applyFont="1" applyFill="1" applyBorder="1"/>
    <x:xf numFmtId="205" fontId="7" fillId="0" borderId="7" xfId="0" applyNumberFormat="1" applyFont="1" applyFill="1" applyBorder="1" applyAlignment="1">
      <x:alignment vertical="center"/>
    </x:xf>
    <x:xf numFmtId="205" fontId="7" fillId="0" borderId="9" xfId="0" applyNumberFormat="1" applyFont="1" applyFill="1" applyBorder="1" applyAlignment="1">
      <x:alignment vertical="center"/>
    </x:xf>
  </x:cellXfs>
  <x:cellStyles count="1">
    <x:cellStyle name="Normal" xfId="0"/>
  </x:cellStyles>
  <x:dxfs count="231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5e8290ca14732" /><Relationship Type="http://schemas.openxmlformats.org/officeDocument/2006/relationships/theme" Target="/xl/theme/theme1.xml" Id="R3713b85efed54262" /><Relationship Type="http://schemas.openxmlformats.org/officeDocument/2006/relationships/sharedStrings" Target="/xl/sharedStrings.xml" Id="R9943e7cb79024843" /><Relationship Type="http://schemas.openxmlformats.org/officeDocument/2006/relationships/worksheet" Target="/xl/worksheets/sheet1.xml" Id="R034e9f6b29624a0d" /><Relationship Type="http://schemas.openxmlformats.org/officeDocument/2006/relationships/worksheet" Target="/xl/worksheets/sheet2.xml" Id="Rbe119bab475b472a" /><Relationship Type="http://schemas.openxmlformats.org/officeDocument/2006/relationships/worksheet" Target="/xl/worksheets/sheet3.xml" Id="R54d34e13e89d43c4" /><Relationship Type="http://schemas.openxmlformats.org/officeDocument/2006/relationships/worksheet" Target="/xl/worksheets/sheet4.xml" Id="R4414c90f656f42e9" /><Relationship Type="http://schemas.openxmlformats.org/officeDocument/2006/relationships/worksheet" Target="/xl/worksheets/sheet5.xml" Id="R3b0ae9a1032c48b6" /><Relationship Type="http://schemas.openxmlformats.org/officeDocument/2006/relationships/worksheet" Target="/xl/worksheets/sheet6.xml" Id="R42509f6110034f6f" /><Relationship Type="http://schemas.openxmlformats.org/officeDocument/2006/relationships/worksheet" Target="/xl/worksheets/sheet7.xml" Id="R12a65ea447dc43f8" /><Relationship Type="http://schemas.openxmlformats.org/officeDocument/2006/relationships/worksheet" Target="/xl/worksheets/sheet8.xml" Id="R69052d3836ae4598" /><Relationship Type="http://schemas.openxmlformats.org/officeDocument/2006/relationships/worksheet" Target="/xl/worksheets/sheet9.xml" Id="R20c958cdb5624c0e" /><Relationship Type="http://schemas.openxmlformats.org/officeDocument/2006/relationships/worksheet" Target="/xl/worksheets/sheet10.xml" Id="Rf51c954ad62d41e0" /><Relationship Type="http://schemas.openxmlformats.org/officeDocument/2006/relationships/worksheet" Target="/xl/worksheets/sheet11.xml" Id="Radcc215bb6084ff9" /><Relationship Type="http://schemas.openxmlformats.org/officeDocument/2006/relationships/worksheet" Target="/xl/worksheets/sheet12.xml" Id="Rc1c869e936484be4" /><Relationship Type="http://schemas.openxmlformats.org/officeDocument/2006/relationships/worksheet" Target="/xl/worksheets/sheet13.xml" Id="R59ca997a82084329" /><Relationship Type="http://schemas.openxmlformats.org/officeDocument/2006/relationships/worksheet" Target="/xl/worksheets/sheet14.xml" Id="Rcf8a5db1915f4d12" /><Relationship Type="http://schemas.openxmlformats.org/officeDocument/2006/relationships/worksheet" Target="/xl/worksheets/sheet15.xml" Id="Rdd3a707077a54505" /><Relationship Type="http://schemas.openxmlformats.org/officeDocument/2006/relationships/worksheet" Target="/xl/worksheets/sheet16.xml" Id="Rd7c0f8dc3d814e04" /><Relationship Type="http://schemas.openxmlformats.org/officeDocument/2006/relationships/worksheet" Target="/xl/worksheets/sheet17.xml" Id="R93d045d6f2bf4400" /><Relationship Type="http://schemas.openxmlformats.org/officeDocument/2006/relationships/worksheet" Target="/xl/worksheets/sheet18.xml" Id="Rd24badfee4094cfc" /><Relationship Type="http://schemas.openxmlformats.org/officeDocument/2006/relationships/worksheet" Target="/xl/worksheets/sheet19.xml" Id="Rdca1f61ddc144e0a" /><Relationship Type="http://schemas.openxmlformats.org/officeDocument/2006/relationships/worksheet" Target="/xl/worksheets/sheet20.xml" Id="Rd554018ec06a4f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24" hidden="0" customWidth="1"/>
    <x:col min="3" max="3" width="31" hidden="0" customWidth="1"/>
    <x:col min="4" max="4" width="18" hidden="0" customWidth="1"/>
    <x:col min="5" max="5" width="18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2">
      <x:c r="B2" s="92" t="str">
        <x:v>F36 sector and rupture-article build release</x:v>
      </x:c>
      <x:c r="C2" s="83"/>
      <x:c r="D2" s="83"/>
      <x:c r="E2" s="83"/>
      <x:c r="F2" s="83"/>
      <x:c r="G2" s="83"/>
      <x:c r="H2" s="83"/>
      <x:c r="I2" s="83"/>
    </x:row>
    <x:row r="3">
      <x:c r="B3" s="84" t="str">
        <x:v>A complete supplier-neutral package exists at planning level. Construction, physical evidence, production and rendering remain held.</x:v>
      </x:c>
      <x:c r="C3" s="83"/>
      <x:c r="D3" s="83"/>
      <x:c r="E3" s="83"/>
      <x:c r="F3" s="83"/>
      <x:c r="G3" s="83"/>
      <x:c r="H3" s="83"/>
      <x:c r="I3" s="83"/>
    </x:row>
    <x:row r="4">
      <x:c r="B4" s="85"/>
      <x:c r="C4" s="85"/>
      <x:c r="D4" s="85"/>
      <x:c r="E4" s="85"/>
      <x:c r="F4" s="85"/>
      <x:c r="G4" s="85"/>
      <x:c r="H4" s="85"/>
      <x:c r="I4" s="85"/>
    </x:row>
    <x:row r="5">
      <x:c r="B5" s="83"/>
      <x:c r="C5" s="83"/>
      <x:c r="D5" s="83"/>
      <x:c r="E5" s="83"/>
      <x:c r="F5" s="83"/>
      <x:c r="G5" s="83"/>
      <x:c r="H5" s="83"/>
      <x:c r="I5" s="83"/>
    </x:row>
    <x:row r="6">
      <x:c r="B6" s="86" t="str">
        <x:v>Decision state</x:v>
      </x:c>
      <x:c r="C6" s="87" t="str">
        <x:v>Decision state</x:v>
      </x:c>
      <x:c r="D6" s="87" t="str">
        <x:v>Decision state</x:v>
      </x:c>
      <x:c r="E6" s="87" t="str">
        <x:v>Decision state</x:v>
      </x:c>
      <x:c r="F6" s="87" t="str">
        <x:v>Decision state</x:v>
      </x:c>
      <x:c r="G6" s="87" t="str">
        <x:v>Decision state</x:v>
      </x:c>
      <x:c r="H6" s="87" t="str">
        <x:v>Decision state</x:v>
      </x:c>
      <x:c r="I6" s="88" t="str">
        <x:v>Decision state</x:v>
      </x:c>
    </x:row>
    <x:row r="7">
      <x:c r="B7" s="83" t="str">
        <x:v>Package drafting</x:v>
      </x:c>
      <x:c r="C7" s="83" t="str">
        <x:v>research content</x:v>
      </x:c>
      <x:c r="D7" s="83" t="str">
        <x:f>'Release Gates'!D25</x:f>
        <x:v>AUTHORIZED</x:v>
      </x:c>
      <x:c r="E7" s="83"/>
      <x:c r="F7" s="83"/>
      <x:c r="G7" s="83"/>
      <x:c r="H7" s="83"/>
      <x:c r="I7" s="83"/>
    </x:row>
    <x:row r="8">
      <x:c r="B8" s="83" t="str">
        <x:v>Construction release</x:v>
      </x:c>
      <x:c r="C8" s="83" t="str">
        <x:v>authority approval</x:v>
      </x:c>
      <x:c r="D8" s="83" t="str">
        <x:f>'Release Gates'!D26</x:f>
        <x:v>HOLD</x:v>
      </x:c>
      <x:c r="E8" s="83"/>
      <x:c r="F8" s="83"/>
      <x:c r="G8" s="83"/>
      <x:c r="H8" s="83"/>
      <x:c r="I8" s="83"/>
    </x:row>
    <x:row r="9">
      <x:c r="B9" s="83" t="str">
        <x:v>Article acceptance</x:v>
      </x:c>
      <x:c r="C9" s="83" t="str">
        <x:v>serial hardware</x:v>
      </x:c>
      <x:c r="D9" s="83" t="str">
        <x:f>'Release Gates'!D27</x:f>
        <x:v>OPEN</x:v>
      </x:c>
      <x:c r="E9" s="83"/>
      <x:c r="F9" s="83"/>
      <x:c r="G9" s="83"/>
      <x:c r="H9" s="83"/>
      <x:c r="I9" s="83"/>
    </x:row>
    <x:row r="10">
      <x:c r="B10" s="83" t="str">
        <x:v>Campaign claims</x:v>
      </x:c>
      <x:c r="C10" s="83" t="str">
        <x:v>representative events</x:v>
      </x:c>
      <x:c r="D10" s="83" t="str">
        <x:f>'Release Gates'!D28</x:f>
        <x:v>OPEN</x:v>
      </x:c>
      <x:c r="E10" s="83"/>
      <x:c r="F10" s="83"/>
      <x:c r="G10" s="83"/>
      <x:c r="H10" s="83"/>
      <x:c r="I10" s="83"/>
    </x:row>
    <x:row r="11">
      <x:c r="B11" s="83" t="str">
        <x:v>Production release</x:v>
      </x:c>
      <x:c r="C11" s="83" t="str">
        <x:v>independent mission</x:v>
      </x:c>
      <x:c r="D11" s="83" t="str">
        <x:f>'Release Gates'!D29</x:f>
        <x:v>HOLD</x:v>
      </x:c>
      <x:c r="E11" s="83"/>
      <x:c r="F11" s="83"/>
      <x:c r="G11" s="83"/>
      <x:c r="H11" s="83"/>
      <x:c r="I11" s="83"/>
    </x:row>
    <x:row r="12">
      <x:c r="B12" s="83" t="str">
        <x:v>Exterior rendering</x:v>
      </x:c>
      <x:c r="C12" s="83" t="str">
        <x:v>measured form</x:v>
      </x:c>
      <x:c r="D12" s="83" t="str">
        <x:f>'Release Gates'!D30</x:f>
        <x:v>BLOCKED</x:v>
      </x:c>
      <x:c r="E12" s="83"/>
      <x:c r="F12" s="83"/>
      <x:c r="G12" s="83"/>
      <x:c r="H12" s="83"/>
      <x:c r="I12" s="83"/>
    </x:row>
    <x:row r="13">
      <x:c r="B13" s="83"/>
      <x:c r="C13" s="83"/>
      <x:c r="D13" s="83"/>
      <x:c r="E13" s="83"/>
      <x:c r="F13" s="83"/>
      <x:c r="G13" s="83"/>
      <x:c r="H13" s="83"/>
      <x:c r="I13" s="83"/>
    </x:row>
    <x:row r="14">
      <x:c r="B14" s="83"/>
      <x:c r="C14" s="83"/>
      <x:c r="D14" s="83"/>
      <x:c r="E14" s="83"/>
      <x:c r="F14" s="83"/>
      <x:c r="G14" s="83"/>
      <x:c r="H14" s="83"/>
      <x:c r="I14" s="83"/>
    </x:row>
    <x:row r="15">
      <x:c r="B15" s="86" t="str">
        <x:v>Article bank and physical program</x:v>
      </x:c>
      <x:c r="C15" s="87" t="str">
        <x:v>Article bank and physical program</x:v>
      </x:c>
      <x:c r="D15" s="87" t="str">
        <x:v>Article bank and physical program</x:v>
      </x:c>
      <x:c r="E15" s="87" t="str">
        <x:v>Article bank and physical program</x:v>
      </x:c>
      <x:c r="F15" s="87" t="str">
        <x:v>Article bank and physical program</x:v>
      </x:c>
      <x:c r="G15" s="87" t="str">
        <x:v>Article bank and physical program</x:v>
      </x:c>
      <x:c r="H15" s="87" t="str">
        <x:v>Article bank and physical program</x:v>
      </x:c>
      <x:c r="I15" s="88" t="str">
        <x:v>Article bank and physical program</x:v>
      </x:c>
    </x:row>
    <x:row r="16">
      <x:c r="B16" s="83" t="str">
        <x:v>Technical roots</x:v>
      </x:c>
      <x:c r="C16" s="83" t="str">
        <x:v>two build, one challenge</x:v>
      </x:c>
      <x:c r="D16" s="83" t="n">
        <x:f>COUNTA('Root Lanes'!B7:B9)</x:f>
        <x:v>3</x:v>
      </x:c>
      <x:c r="E16" s="83" t="str">
        <x:v>roots</x:v>
      </x:c>
      <x:c r="F16" s="83"/>
      <x:c r="G16" s="83"/>
      <x:c r="H16" s="83"/>
      <x:c r="I16" s="83"/>
    </x:row>
    <x:row r="17">
      <x:c r="B17" s="83" t="str">
        <x:v>Controlled lots</x:v>
      </x:c>
      <x:c r="C17" s="83" t="str">
        <x:v>separately released</x:v>
      </x:c>
      <x:c r="D17" s="83" t="n">
        <x:f>'Article Plan'!F28</x:f>
        <x:v>66</x:v>
      </x:c>
      <x:c r="E17" s="83" t="str">
        <x:v>lots</x:v>
      </x:c>
      <x:c r="F17" s="83"/>
      <x:c r="G17" s="83"/>
      <x:c r="H17" s="83"/>
      <x:c r="I17" s="83"/>
    </x:row>
    <x:row r="18">
      <x:c r="B18" s="83" t="str">
        <x:v>Serial article units</x:v>
      </x:c>
      <x:c r="C18" s="83" t="str">
        <x:v>across seven classes</x:v>
      </x:c>
      <x:c r="D18" s="83" t="n">
        <x:f>'Article Plan'!G28</x:f>
        <x:v>196</x:v>
      </x:c>
      <x:c r="E18" s="83" t="str">
        <x:v>units</x:v>
      </x:c>
      <x:c r="F18" s="83"/>
      <x:c r="G18" s="83"/>
      <x:c r="H18" s="83"/>
      <x:c r="I18" s="83"/>
    </x:row>
    <x:row r="19">
      <x:c r="B19" s="83" t="str">
        <x:v>Paired reach classes</x:v>
      </x:c>
      <x:c r="C19" s="83" t="str">
        <x:v>SA-1 and SA-2</x:v>
      </x:c>
      <x:c r="D19" s="83" t="n">
        <x:f>'Control Inputs'!D30</x:f>
        <x:v>2</x:v>
      </x:c>
      <x:c r="E19" s="83" t="str">
        <x:v>reach classes</x:v>
      </x:c>
      <x:c r="F19" s="83"/>
      <x:c r="G19" s="83"/>
      <x:c r="H19" s="83"/>
      <x:c r="I19" s="83"/>
    </x:row>
    <x:row r="20">
      <x:c r="B20" s="83" t="str">
        <x:v>Designed integrated length</x:v>
      </x:c>
      <x:c r="C20" s="83" t="str">
        <x:v>two routes × two reaches</x:v>
      </x:c>
      <x:c r="D20" s="83" t="n">
        <x:f>'Sector Articles'!E25/1000</x:f>
        <x:v>4</x:v>
      </x:c>
      <x:c r="E20" s="83" t="str">
        <x:v>route-km</x:v>
      </x:c>
      <x:c r="F20" s="83"/>
      <x:c r="G20" s="83"/>
      <x:c r="H20" s="83"/>
      <x:c r="I20" s="83"/>
    </x:row>
    <x:row r="21">
      <x:c r="B21" s="83" t="str">
        <x:v>Destructive runs</x:v>
      </x:c>
      <x:c r="C21" s="83" t="str">
        <x:v>disclosed and sealed</x:v>
      </x:c>
      <x:c r="D21" s="83" t="n">
        <x:f>'Damage &amp; Repair'!I32</x:f>
        <x:v>26</x:v>
      </x:c>
      <x:c r="E21" s="83" t="str">
        <x:v>runs</x:v>
      </x:c>
      <x:c r="F21" s="83"/>
      <x:c r="G21" s="83"/>
      <x:c r="H21" s="83"/>
      <x:c r="I21" s="83"/>
    </x:row>
    <x:row r="22">
      <x:c r="B22" s="83" t="str">
        <x:v>Independent channels</x:v>
      </x:c>
      <x:c r="C22" s="83" t="str">
        <x:v>two paired reaches</x:v>
      </x:c>
      <x:c r="D22" s="83" t="n">
        <x:f>'Instrument Plan'!K20</x:f>
        <x:v>536</x:v>
      </x:c>
      <x:c r="E22" s="83" t="str">
        <x:v>channels</x:v>
      </x:c>
      <x:c r="F22" s="83"/>
      <x:c r="G22" s="83"/>
      <x:c r="H22" s="83"/>
      <x:c r="I22" s="83"/>
    </x:row>
    <x:row r="23">
      <x:c r="B23" s="83" t="str">
        <x:v>Program duration</x:v>
      </x:c>
      <x:c r="C23" s="83" t="str">
        <x:v>first-article phase</x:v>
      </x:c>
      <x:c r="D23" s="83" t="n">
        <x:f>'Control Inputs'!D33</x:f>
        <x:v>42</x:v>
      </x:c>
      <x:c r="E23" s="83" t="str">
        <x:v>months</x:v>
      </x:c>
      <x:c r="F23" s="83"/>
      <x:c r="G23" s="83"/>
      <x:c r="H23" s="83"/>
      <x:c r="I23" s="83"/>
    </x:row>
    <x:row r="24">
      <x:c r="B24" s="83"/>
      <x:c r="C24" s="83"/>
      <x:c r="D24" s="83"/>
      <x:c r="E24" s="83"/>
      <x:c r="F24" s="83"/>
      <x:c r="G24" s="83"/>
      <x:c r="H24" s="83"/>
      <x:c r="I24" s="83"/>
    </x:row>
    <x:row r="25">
      <x:c r="B25" s="83"/>
      <x:c r="C25" s="83"/>
      <x:c r="D25" s="83"/>
      <x:c r="E25" s="83"/>
      <x:c r="F25" s="83"/>
      <x:c r="G25" s="83"/>
      <x:c r="H25" s="83"/>
      <x:c r="I25" s="83"/>
    </x:row>
    <x:row r="26">
      <x:c r="B26" s="86" t="str">
        <x:v>Financial boundary</x:v>
      </x:c>
      <x:c r="C26" s="87" t="str">
        <x:v>Financial boundary</x:v>
      </x:c>
      <x:c r="D26" s="87" t="str">
        <x:v>Financial boundary</x:v>
      </x:c>
      <x:c r="E26" s="87" t="str">
        <x:v>Financial boundary</x:v>
      </x:c>
      <x:c r="F26" s="87" t="str">
        <x:v>Financial boundary</x:v>
      </x:c>
      <x:c r="G26" s="87" t="str">
        <x:v>Financial boundary</x:v>
      </x:c>
      <x:c r="H26" s="87" t="str">
        <x:v>Financial boundary</x:v>
      </x:c>
      <x:c r="I26" s="88" t="str">
        <x:v>Financial boundary</x:v>
      </x:c>
    </x:row>
    <x:row r="27">
      <x:c r="B27" s="83" t="str">
        <x:v>First-article capital</x:v>
      </x:c>
      <x:c r="C27" s="83" t="str">
        <x:v>nested tranche</x:v>
      </x:c>
      <x:c r="D27" s="89" t="n">
        <x:f>'Capital Control'!D19</x:f>
        <x:v>8.12</x:v>
      </x:c>
      <x:c r="E27" s="83" t="str">
        <x:v>USD B</x:v>
      </x:c>
      <x:c r="F27" s="83"/>
      <x:c r="G27" s="83"/>
      <x:c r="H27" s="83"/>
      <x:c r="I27" s="83"/>
    </x:row>
    <x:row r="28">
      <x:c r="B28" s="83" t="str">
        <x:v>F36 capital authority</x:v>
      </x:c>
      <x:c r="C28" s="83" t="str">
        <x:v>Pass 100</x:v>
      </x:c>
      <x:c r="D28" s="89" t="n">
        <x:f>'Control Inputs'!D34</x:f>
        <x:v>38.684</x:v>
      </x:c>
      <x:c r="E28" s="83" t="str">
        <x:v>USD B</x:v>
      </x:c>
      <x:c r="F28" s="83"/>
      <x:c r="G28" s="83"/>
      <x:c r="H28" s="83"/>
      <x:c r="I28" s="83"/>
    </x:row>
    <x:row r="29">
      <x:c r="B29" s="83" t="str">
        <x:v>Capital share</x:v>
      </x:c>
      <x:c r="C29" s="83" t="str">
        <x:v>tranche ÷ family</x:v>
      </x:c>
      <x:c r="D29" s="90" t="n">
        <x:f>D27/D28</x:f>
        <x:v>0.20990590424981903</x:v>
      </x:c>
      <x:c r="E29" s="83" t="str">
        <x:v>share</x:v>
      </x:c>
      <x:c r="F29" s="83"/>
      <x:c r="G29" s="83"/>
      <x:c r="H29" s="83"/>
      <x:c r="I29" s="83"/>
    </x:row>
    <x:row r="30">
      <x:c r="B30" s="83" t="str">
        <x:v>Annual article support</x:v>
      </x:c>
      <x:c r="C30" s="83" t="str">
        <x:v>nested support</x:v>
      </x:c>
      <x:c r="D30" s="89" t="n">
        <x:f>'Annual Readiness'!D14</x:f>
        <x:v>0.44599999999999995</x:v>
      </x:c>
      <x:c r="E30" s="83" t="str">
        <x:v>USD B/year</x:v>
      </x:c>
      <x:c r="F30" s="83"/>
      <x:c r="G30" s="83"/>
      <x:c r="H30" s="83"/>
      <x:c r="I30" s="83"/>
    </x:row>
    <x:row r="31">
      <x:c r="B31" s="83" t="str">
        <x:v>F36 annual readiness</x:v>
      </x:c>
      <x:c r="C31" s="83" t="str">
        <x:v>Pass 100</x:v>
      </x:c>
      <x:c r="D31" s="89" t="n">
        <x:f>'Control Inputs'!D36</x:f>
        <x:v>2.321</x:v>
      </x:c>
      <x:c r="E31" s="83" t="str">
        <x:v>USD B/year</x:v>
      </x:c>
      <x:c r="F31" s="83"/>
      <x:c r="G31" s="83"/>
      <x:c r="H31" s="83"/>
      <x:c r="I31" s="83"/>
    </x:row>
    <x:row r="32">
      <x:c r="B32" s="83"/>
      <x:c r="C32" s="83"/>
      <x:c r="D32" s="83"/>
      <x:c r="E32" s="83"/>
      <x:c r="F32" s="83"/>
      <x:c r="G32" s="83"/>
      <x:c r="H32" s="83"/>
      <x:c r="I32" s="83"/>
    </x:row>
    <x:row r="33">
      <x:c r="B33" s="83"/>
      <x:c r="C33" s="83"/>
      <x:c r="D33" s="83"/>
      <x:c r="E33" s="83"/>
      <x:c r="F33" s="83"/>
      <x:c r="G33" s="83"/>
      <x:c r="H33" s="83"/>
      <x:c r="I33" s="83"/>
    </x:row>
    <x:row r="34">
      <x:c r="B34" s="86" t="str">
        <x:v>Executive controls</x:v>
      </x:c>
      <x:c r="C34" s="87" t="str">
        <x:v>Executive controls</x:v>
      </x:c>
      <x:c r="D34" s="87" t="str">
        <x:v>Executive controls</x:v>
      </x:c>
      <x:c r="E34" s="87" t="str">
        <x:v>Executive controls</x:v>
      </x:c>
      <x:c r="F34" s="87" t="str">
        <x:v>Executive controls</x:v>
      </x:c>
      <x:c r="G34" s="87" t="str">
        <x:v>Executive controls</x:v>
      </x:c>
      <x:c r="H34" s="87" t="str">
        <x:v>Executive controls</x:v>
      </x:c>
      <x:c r="I34" s="88" t="str">
        <x:v>Executive controls</x:v>
      </x:c>
    </x:row>
    <x:row r="35" ht="38" customHeight="1">
      <x:c r="B35" s="91" t="str">
        <x:v>Neutrality</x:v>
      </x:c>
      <x:c r="C35" s="91" t="str">
        <x:v>common effect, hazards, evidence and rights; root-specific material and mechanisms</x:v>
      </x:c>
      <x:c r="D35" s="91" t="str"/>
      <x:c r="E35" s="91" t="str"/>
      <x:c r="F35" s="91" t="str"/>
      <x:c r="G35" s="91" t="str"/>
      <x:c r="H35" s="91" t="str"/>
      <x:c r="I35" s="91" t="str"/>
    </x:row>
    <x:row r="36" ht="38" customHeight="1">
      <x:c r="B36" s="91" t="str">
        <x:v>Representative hardware</x:v>
      </x:c>
      <x:c r="C36" s="91" t="str">
        <x:v>two paired one-kilometre reaches plus 120 m full-bore damage cells</x:v>
      </x:c>
      <x:c r="D36" s="91" t="str"/>
      <x:c r="E36" s="91" t="str"/>
      <x:c r="F36" s="91" t="str"/>
      <x:c r="G36" s="91" t="str"/>
      <x:c r="H36" s="91" t="str"/>
      <x:c r="I36" s="91" t="str"/>
    </x:row>
    <x:row r="37" ht="38" customHeight="1">
      <x:c r="B37" s="91" t="str">
        <x:v>No-crutch rule</x:v>
      </x:c>
      <x:c r="C37" s="91" t="str">
        <x:v>range supplies terrain, hazards, safety and independent measurement only</x:v>
      </x:c>
      <x:c r="D37" s="91" t="str"/>
      <x:c r="E37" s="91" t="str"/>
      <x:c r="F37" s="91" t="str"/>
      <x:c r="G37" s="91" t="str"/>
      <x:c r="H37" s="91" t="str"/>
      <x:c r="I37" s="91" t="str"/>
    </x:row>
    <x:row r="38" ht="38" customHeight="1">
      <x:c r="B38" s="91" t="str">
        <x:v>Next experiment</x:v>
      </x:c>
      <x:c r="C38" s="91" t="str">
        <x:v>closure-kernel and damage-cell protocols at executable test-step resolution</x:v>
      </x:c>
      <x:c r="D38" s="91" t="str"/>
      <x:c r="E38" s="91" t="str"/>
      <x:c r="F38" s="91" t="str"/>
      <x:c r="G38" s="91" t="str"/>
      <x:c r="H38" s="91" t="str"/>
      <x:c r="I38" s="91" t="str"/>
    </x:row>
    <x:row r="39" ht="38" customHeight="1">
      <x:c r="B39" s="91" t="str">
        <x:v>Rendering boundary</x:v>
      </x:c>
      <x:c r="C39" s="91" t="str">
        <x:v>internal requirements sections wait for measured articles; exterior form remains blocked</x:v>
      </x:c>
      <x:c r="D39" s="91" t="str"/>
      <x:c r="E39" s="91" t="str"/>
      <x:c r="F39" s="91" t="str"/>
      <x:c r="G39" s="91" t="str"/>
      <x:c r="H39" s="91" t="str"/>
      <x:c r="I39" s="91" t="str"/>
    </x:row>
  </x:sheetData>
  <x:mergeCells>
    <x:mergeCell ref="B3:I3"/>
    <x:mergeCell ref="B6:I6"/>
    <x:mergeCell ref="B15:I15"/>
    <x:mergeCell ref="B26:I26"/>
    <x:mergeCell ref="B34:I34"/>
    <x:mergeCell ref="C35:I35"/>
    <x:mergeCell ref="C36:I36"/>
    <x:mergeCell ref="C37:I37"/>
    <x:mergeCell ref="C38:I38"/>
    <x:mergeCell ref="C39:I39"/>
  </x:mergeCells>
  <x:conditionalFormatting sqref="D7:D12">
    <x:cfRule type="containsText" dxfId="209" priority="1" operator="containsText" text="FAIL"/>
    <x:cfRule type="containsText" dxfId="210" priority="2" operator="containsText" text="BLOCKED"/>
    <x:cfRule type="containsText" dxfId="211" priority="3" operator="containsText" text="HOLD"/>
    <x:cfRule type="containsText" dxfId="212" priority="4" operator="containsText" text="OPEN"/>
    <x:cfRule type="containsText" dxfId="213" priority="5" operator="containsText" text="NOT ADMITTED"/>
    <x:cfRule type="containsText" dxfId="214" priority="6" operator="containsText" text="PASS"/>
    <x:cfRule type="containsText" dxfId="215" priority="7" operator="containsText" text="CLOSED"/>
    <x:cfRule type="containsText" dxfId="216" priority="8" operator="containsText" text="READY"/>
    <x:cfRule type="containsText" dxfId="217" priority="9" operator="containsText" text="AUTHORIZED"/>
    <x:cfRule type="containsText" dxfId="218" priority="10" operator="containsText" text="PLANNING PASS"/>
    <x:cfRule type="containsText" dxfId="219" priority="11" operator="containsText" text="COMPLE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D5F8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1" hidden="0" customWidth="1"/>
    <x:col min="4" max="4" width="20" hidden="0" customWidth="1"/>
    <x:col min="5" max="5" width="25" hidden="0" customWidth="1"/>
    <x:col min="6" max="6" width="15" hidden="0" customWidth="1"/>
    <x:col min="7" max="7" width="40" hidden="0" customWidth="1"/>
  </x:cols>
  <x:sheetData>
    <x:row r="2">
      <x:c r="B2" s="92" t="str">
        <x:v>F36 build-release controls</x:v>
      </x:c>
      <x:c r="C2" s="83"/>
      <x:c r="D2" s="83"/>
      <x:c r="E2" s="83"/>
      <x:c r="F2" s="83"/>
      <x:c r="G2" s="83"/>
    </x:row>
    <x:row r="3">
      <x:c r="B3" s="84" t="str">
        <x:v>Blue-font values are inherited boundaries or prospective research targets. They are not observed performance, standards or vendor data.</x:v>
      </x:c>
      <x:c r="C3" s="83"/>
      <x:c r="D3" s="83"/>
      <x:c r="E3" s="83"/>
      <x:c r="F3" s="83"/>
      <x:c r="G3" s="83"/>
    </x:row>
    <x:row r="4">
      <x:c r="B4" s="85"/>
      <x:c r="C4" s="85"/>
      <x:c r="D4" s="85"/>
      <x:c r="E4" s="85"/>
      <x:c r="F4" s="85"/>
      <x:c r="G4" s="85"/>
    </x:row>
    <x:row r="5">
      <x:c r="B5" s="83"/>
      <x:c r="C5" s="83"/>
      <x:c r="D5" s="83"/>
      <x:c r="E5" s="83"/>
      <x:c r="F5" s="83"/>
      <x:c r="G5" s="83"/>
    </x:row>
    <x:row r="6">
      <x:c r="B6" s="18" t="str">
        <x:v>ID</x:v>
      </x:c>
      <x:c r="C6" s="19" t="str">
        <x:v>Control</x:v>
      </x:c>
      <x:c r="D6" s="19" t="str">
        <x:v>Value</x:v>
      </x:c>
      <x:c r="E6" s="19" t="str">
        <x:v>Unit</x:v>
      </x:c>
      <x:c r="F6" s="19" t="str">
        <x:v>State</x:v>
      </x:c>
      <x:c r="G6" s="19" t="str">
        <x:v>Authority</x:v>
      </x:c>
    </x:row>
    <x:row r="7" ht="27" customHeight="1">
      <x:c r="B7" s="105" t="str">
        <x:v>I01</x:v>
      </x:c>
      <x:c r="C7" s="106" t="str">
        <x:v>Service corridor reach</x:v>
      </x:c>
      <x:c r="D7" s="107" t="n">
        <x:v>10</x:v>
      </x:c>
      <x:c r="E7" s="106" t="str">
        <x:v>km</x:v>
      </x:c>
      <x:c r="F7" s="106" t="str">
        <x:v>FROZEN</x:v>
      </x:c>
      <x:c r="G7" s="108" t="str">
        <x:v>Pass 100</x:v>
      </x:c>
    </x:row>
    <x:row r="8" ht="27" customHeight="1">
      <x:c r="B8" s="105" t="str">
        <x:v>I02</x:v>
      </x:c>
      <x:c r="C8" s="106" t="str">
        <x:v>Full public service</x:v>
      </x:c>
      <x:c r="D8" s="107" t="n">
        <x:v>10000</x:v>
      </x:c>
      <x:c r="E8" s="106" t="str">
        <x:v>m³/day</x:v>
      </x:c>
      <x:c r="F8" s="106" t="str">
        <x:v>FROZEN</x:v>
      </x:c>
      <x:c r="G8" s="108" t="str">
        <x:v>Pass 100</x:v>
      </x:c>
    </x:row>
    <x:row r="9" ht="27" customHeight="1">
      <x:c r="B9" s="105" t="str">
        <x:v>I03</x:v>
      </x:c>
      <x:c r="C9" s="106" t="str">
        <x:v>Route count</x:v>
      </x:c>
      <x:c r="D9" s="107" t="n">
        <x:v>2</x:v>
      </x:c>
      <x:c r="E9" s="106" t="str">
        <x:v>routes</x:v>
      </x:c>
      <x:c r="F9" s="106" t="str">
        <x:v>FROZEN</x:v>
      </x:c>
      <x:c r="G9" s="108" t="str">
        <x:v>Pass 100</x:v>
      </x:c>
    </x:row>
    <x:row r="10" ht="27" customHeight="1">
      <x:c r="B10" s="105" t="str">
        <x:v>I04</x:v>
      </x:c>
      <x:c r="C10" s="106" t="str">
        <x:v>Flow area per route</x:v>
      </x:c>
      <x:c r="D10" s="107" t="n">
        <x:v>0.0962</x:v>
      </x:c>
      <x:c r="E10" s="106" t="str">
        <x:v>m²</x:v>
      </x:c>
      <x:c r="F10" s="106" t="str">
        <x:v>FROZEN</x:v>
      </x:c>
      <x:c r="G10" s="108" t="str">
        <x:v>F36-350 class</x:v>
      </x:c>
    </x:row>
    <x:row r="11" ht="27" customHeight="1">
      <x:c r="B11" s="105" t="str">
        <x:v>I05</x:v>
      </x:c>
      <x:c r="C11" s="106" t="str">
        <x:v>Equivalent internal diameter</x:v>
      </x:c>
      <x:c r="D11" s="107" t="n">
        <x:v>0.35</x:v>
      </x:c>
      <x:c r="E11" s="106" t="str">
        <x:v>m</x:v>
      </x:c>
      <x:c r="F11" s="106" t="str">
        <x:v>FROZEN</x:v>
      </x:c>
      <x:c r="G11" s="108" t="str">
        <x:v>Pass 100</x:v>
      </x:c>
    </x:row>
    <x:row r="12" ht="27" customHeight="1">
      <x:c r="B12" s="105" t="str">
        <x:v>I06</x:v>
      </x:c>
      <x:c r="C12" s="106" t="str">
        <x:v>Maximum allowable working pressure</x:v>
      </x:c>
      <x:c r="D12" s="107" t="n">
        <x:v>0.7</x:v>
      </x:c>
      <x:c r="E12" s="106" t="str">
        <x:v>MPa</x:v>
      </x:c>
      <x:c r="F12" s="106" t="str">
        <x:v>DESIGN</x:v>
      </x:c>
      <x:c r="G12" s="108" t="str">
        <x:v>F36-350 class</x:v>
      </x:c>
    </x:row>
    <x:row r="13" ht="27" customHeight="1">
      <x:c r="B13" s="105" t="str">
        <x:v>I07</x:v>
      </x:c>
      <x:c r="C13" s="106" t="str">
        <x:v>Registered surge pressure</x:v>
      </x:c>
      <x:c r="D13" s="107" t="n">
        <x:v>0.85</x:v>
      </x:c>
      <x:c r="E13" s="106" t="str">
        <x:v>MPa</x:v>
      </x:c>
      <x:c r="F13" s="106" t="str">
        <x:v>DESIGN</x:v>
      </x:c>
      <x:c r="G13" s="108" t="str">
        <x:v>F36-350 class</x:v>
      </x:c>
    </x:row>
    <x:row r="14" ht="27" customHeight="1">
      <x:c r="B14" s="105" t="str">
        <x:v>I08</x:v>
      </x:c>
      <x:c r="C14" s="106" t="str">
        <x:v>Hydrostatic proof pressure</x:v>
      </x:c>
      <x:c r="D14" s="107" t="n">
        <x:v>1.05</x:v>
      </x:c>
      <x:c r="E14" s="106" t="str">
        <x:v>MPa</x:v>
      </x:c>
      <x:c r="F14" s="106" t="str">
        <x:v>DESIGN</x:v>
      </x:c>
      <x:c r="G14" s="108" t="str">
        <x:v>1.5 × MAWP</x:v>
      </x:c>
    </x:row>
    <x:row r="15" ht="27" customHeight="1">
      <x:c r="B15" s="105" t="str">
        <x:v>I09</x:v>
      </x:c>
      <x:c r="C15" s="106" t="str">
        <x:v>Negative pressure challenge</x:v>
      </x:c>
      <x:c r="D15" s="107" t="n">
        <x:v>-0.085</x:v>
      </x:c>
      <x:c r="E15" s="106" t="str">
        <x:v>MPa</x:v>
      </x:c>
      <x:c r="F15" s="106" t="str">
        <x:v>DESIGN</x:v>
      </x:c>
      <x:c r="G15" s="108" t="str">
        <x:v>F36-350 class</x:v>
      </x:c>
    </x:row>
    <x:row r="16" ht="27" customHeight="1">
      <x:c r="B16" s="105" t="str">
        <x:v>I10</x:v>
      </x:c>
      <x:c r="C16" s="106" t="str">
        <x:v>Proof hold</x:v>
      </x:c>
      <x:c r="D16" s="107" t="n">
        <x:v>60</x:v>
      </x:c>
      <x:c r="E16" s="106" t="str">
        <x:v>minutes</x:v>
      </x:c>
      <x:c r="F16" s="106" t="str">
        <x:v>DESIGN</x:v>
      </x:c>
      <x:c r="G16" s="108" t="str">
        <x:v>full-bore protocol</x:v>
      </x:c>
    </x:row>
    <x:row r="17" ht="27" customHeight="1">
      <x:c r="B17" s="105" t="str">
        <x:v>I11</x:v>
      </x:c>
      <x:c r="C17" s="106" t="str">
        <x:v>Pressure cycles</x:v>
      </x:c>
      <x:c r="D17" s="107" t="n">
        <x:v>50000</x:v>
      </x:c>
      <x:c r="E17" s="106" t="str">
        <x:v>cycles</x:v>
      </x:c>
      <x:c r="F17" s="106" t="str">
        <x:v>DESIGN</x:v>
      </x:c>
      <x:c r="G17" s="108" t="str">
        <x:v>full-bore protocol</x:v>
      </x:c>
    </x:row>
    <x:row r="18" ht="27" customHeight="1">
      <x:c r="B18" s="105" t="str">
        <x:v>I12</x:v>
      </x:c>
      <x:c r="C18" s="106" t="str">
        <x:v>Axial system restraint</x:v>
      </x:c>
      <x:c r="D18" s="107" t="n">
        <x:v>200</x:v>
      </x:c>
      <x:c r="E18" s="106" t="str">
        <x:v>kN</x:v>
      </x:c>
      <x:c r="F18" s="106" t="str">
        <x:v>DESIGN</x:v>
      </x:c>
      <x:c r="G18" s="108" t="str">
        <x:v>pressure end load plus allowance</x:v>
      </x:c>
    </x:row>
    <x:row r="19" ht="27" customHeight="1">
      <x:c r="B19" s="105" t="str">
        <x:v>I13</x:v>
      </x:c>
      <x:c r="C19" s="106" t="str">
        <x:v>Differential settlement</x:v>
      </x:c>
      <x:c r="D19" s="107" t="n">
        <x:v>300</x:v>
      </x:c>
      <x:c r="E19" s="106" t="str">
        <x:v>mm over 10 m</x:v>
      </x:c>
      <x:c r="F19" s="106" t="str">
        <x:v>DESIGN</x:v>
      </x:c>
      <x:c r="G19" s="108" t="str">
        <x:v>route world</x:v>
      </x:c>
    </x:row>
    <x:row r="20" ht="27" customHeight="1">
      <x:c r="B20" s="105" t="str">
        <x:v>I14</x:v>
      </x:c>
      <x:c r="C20" s="106" t="str">
        <x:v>Unsupported void</x:v>
      </x:c>
      <x:c r="D20" s="107" t="n">
        <x:v>2</x:v>
      </x:c>
      <x:c r="E20" s="106" t="str">
        <x:v>m</x:v>
      </x:c>
      <x:c r="F20" s="106" t="str">
        <x:v>DESIGN</x:v>
      </x:c>
      <x:c r="G20" s="108" t="str">
        <x:v>route world</x:v>
      </x:c>
    </x:row>
    <x:row r="21" ht="27" customHeight="1">
      <x:c r="B21" s="105" t="str">
        <x:v>I15</x:v>
      </x:c>
      <x:c r="C21" s="106" t="str">
        <x:v>Puncture load</x:v>
      </x:c>
      <x:c r="D21" s="107" t="n">
        <x:v>20</x:v>
      </x:c>
      <x:c r="E21" s="106" t="str">
        <x:v>kN</x:v>
      </x:c>
      <x:c r="F21" s="106" t="str">
        <x:v>DESIGN</x:v>
      </x:c>
      <x:c r="G21" s="108" t="str">
        <x:v>damage world</x:v>
      </x:c>
    </x:row>
    <x:row r="22" ht="27" customHeight="1">
      <x:c r="B22" s="105" t="str">
        <x:v>I16</x:v>
      </x:c>
      <x:c r="C22" s="106" t="str">
        <x:v>Debris impact energy</x:v>
      </x:c>
      <x:c r="D22" s="107" t="n">
        <x:v>5</x:v>
      </x:c>
      <x:c r="E22" s="106" t="str">
        <x:v>kJ</x:v>
      </x:c>
      <x:c r="F22" s="106" t="str">
        <x:v>DESIGN</x:v>
      </x:c>
      <x:c r="G22" s="108" t="str">
        <x:v>damage world</x:v>
      </x:c>
    </x:row>
    <x:row r="23" ht="27" customHeight="1">
      <x:c r="B23" s="105" t="str">
        <x:v>I17</x:v>
      </x:c>
      <x:c r="C23" s="106" t="str">
        <x:v>Local flow-area floor</x:v>
      </x:c>
      <x:c r="D23" s="109" t="n">
        <x:v>0.95</x:v>
      </x:c>
      <x:c r="E23" s="106" t="str">
        <x:v>share of reference</x:v>
      </x:c>
      <x:c r="F23" s="106" t="str">
        <x:v>DESIGN</x:v>
      </x:c>
      <x:c r="G23" s="108" t="str">
        <x:v>collapse control</x:v>
      </x:c>
    </x:row>
    <x:row r="24" ht="27" customHeight="1">
      <x:c r="B24" s="105" t="str">
        <x:v>I18</x:v>
      </x:c>
      <x:c r="C24" s="106" t="str">
        <x:v>Full-bore repair target</x:v>
      </x:c>
      <x:c r="D24" s="107" t="n">
        <x:v>6</x:v>
      </x:c>
      <x:c r="E24" s="106" t="str">
        <x:v>hours detect-to-release</x:v>
      </x:c>
      <x:c r="F24" s="106" t="str">
        <x:v>FROZEN</x:v>
      </x:c>
      <x:c r="G24" s="108" t="str">
        <x:v>Pass 100</x:v>
      </x:c>
    </x:row>
    <x:row r="25" ht="27" customHeight="1">
      <x:c r="B25" s="105" t="str">
        <x:v>I19</x:v>
      </x:c>
      <x:c r="C25" s="106" t="str">
        <x:v>Full-service receiver buffer</x:v>
      </x:c>
      <x:c r="D25" s="107" t="n">
        <x:v>24</x:v>
      </x:c>
      <x:c r="E25" s="106" t="str">
        <x:v>hours</x:v>
      </x:c>
      <x:c r="F25" s="106" t="str">
        <x:v>FROZEN</x:v>
      </x:c>
      <x:c r="G25" s="108" t="str">
        <x:v>Pass 100</x:v>
      </x:c>
    </x:row>
    <x:row r="26" ht="27" customHeight="1">
      <x:c r="B26" s="105" t="str">
        <x:v>I20</x:v>
      </x:c>
      <x:c r="C26" s="106" t="str">
        <x:v>Extended one-route service</x:v>
      </x:c>
      <x:c r="D26" s="109" t="n">
        <x:v>0.5</x:v>
      </x:c>
      <x:c r="E26" s="106" t="str">
        <x:v>share of full service</x:v>
      </x:c>
      <x:c r="F26" s="106" t="str">
        <x:v>FROZEN</x:v>
      </x:c>
      <x:c r="G26" s="108" t="str">
        <x:v>Pass 100</x:v>
      </x:c>
    </x:row>
    <x:row r="27" ht="27" customHeight="1">
      <x:c r="B27" s="105" t="str">
        <x:v>I21</x:v>
      </x:c>
      <x:c r="C27" s="106" t="str">
        <x:v>Continuous service trial</x:v>
      </x:c>
      <x:c r="D27" s="107" t="n">
        <x:v>168</x:v>
      </x:c>
      <x:c r="E27" s="106" t="str">
        <x:v>hours</x:v>
      </x:c>
      <x:c r="F27" s="106" t="str">
        <x:v>FROZEN</x:v>
      </x:c>
      <x:c r="G27" s="108" t="str">
        <x:v>Pass 100</x:v>
      </x:c>
    </x:row>
    <x:row r="28" ht="27" customHeight="1">
      <x:c r="B28" s="105" t="str">
        <x:v>I22</x:v>
      </x:c>
      <x:c r="C28" s="106" t="str">
        <x:v>Route separation floor</x:v>
      </x:c>
      <x:c r="D28" s="107" t="n">
        <x:v>50</x:v>
      </x:c>
      <x:c r="E28" s="106" t="str">
        <x:v>m or independent domain</x:v>
      </x:c>
      <x:c r="F28" s="106" t="str">
        <x:v>FROZEN</x:v>
      </x:c>
      <x:c r="G28" s="108" t="str">
        <x:v>Pass 100</x:v>
      </x:c>
    </x:row>
    <x:row r="29" ht="27" customHeight="1">
      <x:c r="B29" s="105" t="str">
        <x:v>I23</x:v>
      </x:c>
      <x:c r="C29" s="106" t="str">
        <x:v>Integrated reach length</x:v>
      </x:c>
      <x:c r="D29" s="107" t="n">
        <x:v>1</x:v>
      </x:c>
      <x:c r="E29" s="106" t="str">
        <x:v>km per route</x:v>
      </x:c>
      <x:c r="F29" s="106" t="str">
        <x:v>DESIGN</x:v>
      </x:c>
      <x:c r="G29" s="108" t="str">
        <x:v>article standard</x:v>
      </x:c>
    </x:row>
    <x:row r="30" ht="27" customHeight="1">
      <x:c r="B30" s="105" t="str">
        <x:v>I24</x:v>
      </x:c>
      <x:c r="C30" s="106" t="str">
        <x:v>Integrated reach classes</x:v>
      </x:c>
      <x:c r="D30" s="107" t="n">
        <x:v>2</x:v>
      </x:c>
      <x:c r="E30" s="106" t="str">
        <x:v>reach classes</x:v>
      </x:c>
      <x:c r="F30" s="106" t="str">
        <x:v>DESIGN</x:v>
      </x:c>
      <x:c r="G30" s="108" t="str">
        <x:v>SA-1 and SA-2</x:v>
      </x:c>
    </x:row>
    <x:row r="31" ht="27" customHeight="1">
      <x:c r="B31" s="105" t="str">
        <x:v>I25</x:v>
      </x:c>
      <x:c r="C31" s="106" t="str">
        <x:v>Destructive cell length</x:v>
      </x:c>
      <x:c r="D31" s="107" t="n">
        <x:v>120</x:v>
      </x:c>
      <x:c r="E31" s="106" t="str">
        <x:v>m</x:v>
      </x:c>
      <x:c r="F31" s="106" t="str">
        <x:v>DESIGN</x:v>
      </x:c>
      <x:c r="G31" s="108" t="str">
        <x:v>DR class</x:v>
      </x:c>
    </x:row>
    <x:row r="32" ht="27" customHeight="1">
      <x:c r="B32" s="105" t="str">
        <x:v>I26</x:v>
      </x:c>
      <x:c r="C32" s="106" t="str">
        <x:v>Independent channel retention</x:v>
      </x:c>
      <x:c r="D32" s="107" t="n">
        <x:v>2</x:v>
      </x:c>
      <x:c r="E32" s="106" t="str">
        <x:v>complete original copies</x:v>
      </x:c>
      <x:c r="F32" s="106" t="str">
        <x:v>DESIGN</x:v>
      </x:c>
      <x:c r="G32" s="108" t="str">
        <x:v>evidence custody</x:v>
      </x:c>
    </x:row>
    <x:row r="33" ht="27" customHeight="1">
      <x:c r="B33" s="105" t="str">
        <x:v>I27</x:v>
      </x:c>
      <x:c r="C33" s="106" t="str">
        <x:v>Program months</x:v>
      </x:c>
      <x:c r="D33" s="107" t="n">
        <x:v>42</x:v>
      </x:c>
      <x:c r="E33" s="106" t="str">
        <x:v>months</x:v>
      </x:c>
      <x:c r="F33" s="106" t="str">
        <x:v>DESIGN</x:v>
      </x:c>
      <x:c r="G33" s="108" t="str">
        <x:v>first-article phase</x:v>
      </x:c>
    </x:row>
    <x:row r="34" ht="27" customHeight="1">
      <x:c r="B34" s="105" t="str">
        <x:v>I28</x:v>
      </x:c>
      <x:c r="C34" s="106" t="str">
        <x:v>F36 capital authority</x:v>
      </x:c>
      <x:c r="D34" s="107" t="n">
        <x:v>38.684</x:v>
      </x:c>
      <x:c r="E34" s="106" t="str">
        <x:v>USD B</x:v>
      </x:c>
      <x:c r="F34" s="106" t="str">
        <x:v>FROZEN</x:v>
      </x:c>
      <x:c r="G34" s="108" t="str">
        <x:v>Pass 100</x:v>
      </x:c>
    </x:row>
    <x:row r="35" ht="27" customHeight="1">
      <x:c r="B35" s="105" t="str">
        <x:v>I29</x:v>
      </x:c>
      <x:c r="C35" s="106" t="str">
        <x:v>First-article capital tranche</x:v>
      </x:c>
      <x:c r="D35" s="107" t="n">
        <x:v>8.12</x:v>
      </x:c>
      <x:c r="E35" s="106" t="str">
        <x:v>USD B</x:v>
      </x:c>
      <x:c r="F35" s="106" t="str">
        <x:v>DESIGN</x:v>
      </x:c>
      <x:c r="G35" s="108" t="str">
        <x:v>nested cross-classification</x:v>
      </x:c>
    </x:row>
    <x:row r="36" ht="27" customHeight="1">
      <x:c r="B36" s="105" t="str">
        <x:v>I30</x:v>
      </x:c>
      <x:c r="C36" s="106" t="str">
        <x:v>F36 annual readiness authority</x:v>
      </x:c>
      <x:c r="D36" s="107" t="n">
        <x:v>2.321</x:v>
      </x:c>
      <x:c r="E36" s="106" t="str">
        <x:v>USD B/year</x:v>
      </x:c>
      <x:c r="F36" s="106" t="str">
        <x:v>FROZEN</x:v>
      </x:c>
      <x:c r="G36" s="108" t="str">
        <x:v>Pass 100</x:v>
      </x:c>
    </x:row>
    <x:row r="37" ht="27" customHeight="1">
      <x:c r="B37" s="105" t="str">
        <x:v>I31</x:v>
      </x:c>
      <x:c r="C37" s="106" t="str">
        <x:v>Article annual support</x:v>
      </x:c>
      <x:c r="D37" s="107" t="n">
        <x:v>0.446</x:v>
      </x:c>
      <x:c r="E37" s="106" t="str">
        <x:v>USD B/year</x:v>
      </x:c>
      <x:c r="F37" s="106" t="str">
        <x:v>DESIGN</x:v>
      </x:c>
      <x:c r="G37" s="108" t="str">
        <x:v>nested support</x:v>
      </x:c>
    </x:row>
    <x:row r="38" ht="27" customHeight="1">
      <x:c r="B38" s="105" t="str">
        <x:v>I32</x:v>
      </x:c>
      <x:c r="C38" s="106" t="str">
        <x:v>Package content complete</x:v>
      </x:c>
      <x:c r="D38" s="107" t="n">
        <x:v>1</x:v>
      </x:c>
      <x:c r="E38" s="106" t="str">
        <x:v>binary</x:v>
      </x:c>
      <x:c r="F38" s="106" t="str">
        <x:v>PLANNING</x:v>
      </x:c>
      <x:c r="G38" s="108" t="str">
        <x:v>this standard</x:v>
      </x:c>
    </x:row>
    <x:row r="39" ht="27" customHeight="1">
      <x:c r="B39" s="105" t="str">
        <x:v>I33</x:v>
      </x:c>
      <x:c r="C39" s="106" t="str">
        <x:v>Constituted authority approvals</x:v>
      </x:c>
      <x:c r="D39" s="107" t="n">
        <x:v>0</x:v>
      </x:c>
      <x:c r="E39" s="106" t="str">
        <x:v>binary</x:v>
      </x:c>
      <x:c r="F39" s="106" t="str">
        <x:v>OPEN</x:v>
      </x:c>
      <x:c r="G39" s="108" t="str">
        <x:v>no external approval</x:v>
      </x:c>
    </x:row>
    <x:row r="40" ht="27" customHeight="1">
      <x:c r="B40" s="105" t="str">
        <x:v>I34</x:v>
      </x:c>
      <x:c r="C40" s="106" t="str">
        <x:v>Accepted serial articles</x:v>
      </x:c>
      <x:c r="D40" s="107" t="n">
        <x:v>0</x:v>
      </x:c>
      <x:c r="E40" s="106" t="str">
        <x:v>count</x:v>
      </x:c>
      <x:c r="F40" s="106" t="str">
        <x:v>OPEN</x:v>
      </x:c>
      <x:c r="G40" s="108" t="str">
        <x:v>no hardware</x:v>
      </x:c>
    </x:row>
    <x:row r="41" ht="27" customHeight="1">
      <x:c r="B41" s="105" t="str">
        <x:v>I35</x:v>
      </x:c>
      <x:c r="C41" s="106" t="str">
        <x:v>Admitted campaign claims</x:v>
      </x:c>
      <x:c r="D41" s="107" t="n">
        <x:v>0</x:v>
      </x:c>
      <x:c r="E41" s="106" t="str">
        <x:v>count</x:v>
      </x:c>
      <x:c r="F41" s="106" t="str">
        <x:v>OPEN</x:v>
      </x:c>
      <x:c r="G41" s="108" t="str">
        <x:v>no physical event</x:v>
      </x:c>
    </x:row>
    <x:row r="42" ht="27" customHeight="1">
      <x:c r="B42" s="105" t="str">
        <x:v>I36</x:v>
      </x:c>
      <x:c r="C42" s="106" t="str">
        <x:v>Independent reproduced decisions</x:v>
      </x:c>
      <x:c r="D42" s="107" t="n">
        <x:v>0</x:v>
      </x:c>
      <x:c r="E42" s="106" t="str">
        <x:v>count</x:v>
      </x:c>
      <x:c r="F42" s="106" t="str">
        <x:v>OPEN</x:v>
      </x:c>
      <x:c r="G42" s="108" t="str">
        <x:v>no second-team lot</x:v>
      </x:c>
    </x:row>
    <x:row r="43" ht="27" customHeight="1">
      <x:c r="B43" s="105" t="str">
        <x:v>I37</x:v>
      </x:c>
      <x:c r="C43" s="106" t="str">
        <x:v>Production authority</x:v>
      </x:c>
      <x:c r="D43" s="107" t="n">
        <x:v>0</x:v>
      </x:c>
      <x:c r="E43" s="106" t="str">
        <x:v>binary</x:v>
      </x:c>
      <x:c r="F43" s="106" t="str">
        <x:v>HOLD</x:v>
      </x:c>
      <x:c r="G43" s="108" t="str">
        <x:v>full mission required</x:v>
      </x:c>
    </x:row>
    <x:row r="44" ht="27" customHeight="1">
      <x:c r="B44" s="110" t="str">
        <x:v>I38</x:v>
      </x:c>
      <x:c r="C44" s="111" t="str">
        <x:v>Rendering authority</x:v>
      </x:c>
      <x:c r="D44" s="112" t="n">
        <x:v>0</x:v>
      </x:c>
      <x:c r="E44" s="111" t="str">
        <x:v>binary</x:v>
      </x:c>
      <x:c r="F44" s="111" t="str">
        <x:v>BLOCKED</x:v>
      </x:c>
      <x:c r="G44" s="113" t="str">
        <x:v>measured internal form required</x:v>
      </x:c>
    </x:row>
  </x:sheetData>
  <x:mergeCells>
    <x:mergeCell ref="B3:G3"/>
  </x:mergeCells>
  <x:conditionalFormatting sqref="F7:F44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HOLD"/>
    <x:cfRule type="containsText" dxfId="3" priority="4" operator="containsText" text="OPEN"/>
    <x:cfRule type="containsText" dxfId="4" priority="5" operator="containsText" text="NOT ADMITTED"/>
    <x:cfRule type="containsText" dxfId="5" priority="6" operator="containsText" text="PASS"/>
    <x:cfRule type="containsText" dxfId="6" priority="7" operator="containsText" text="CLOSED"/>
    <x:cfRule type="containsText" dxfId="7" priority="8" operator="containsText" text="READY"/>
    <x:cfRule type="containsText" dxfId="8" priority="9" operator="containsText" text="AUTHORIZED"/>
    <x:cfRule type="containsText" dxfId="9" priority="10" operator="containsText" text="PLANNING PASS"/>
    <x:cfRule type="containsText" dxfId="10" priority="11" operator="containsText" text="COMPLET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15" hidden="0" customWidth="1"/>
    <x:col min="4" max="4" width="34" hidden="0" customWidth="1"/>
    <x:col min="5" max="5" width="10" hidden="0" customWidth="1"/>
    <x:col min="6" max="6" width="14" hidden="0" customWidth="1"/>
    <x:col min="7" max="7" width="22" hidden="0" customWidth="1"/>
    <x:col min="8" max="8" width="34" hidden="0" customWidth="1"/>
    <x:col min="9" max="9" width="34" hidden="0" customWidth="1"/>
    <x:col min="10" max="10" width="18" hidden="0" customWidth="1"/>
  </x:cols>
  <x:sheetData>
    <x:row r="2">
      <x:c r="B2" s="92" t="str">
        <x:v>Supplier-neutral F36-350 envelope</x:v>
      </x:c>
      <x:c r="C2" s="83"/>
      <x:c r="D2" s="83"/>
      <x:c r="E2" s="83"/>
      <x:c r="F2" s="83"/>
      <x:c r="G2" s="83"/>
      <x:c r="H2" s="83"/>
      <x:c r="I2" s="83"/>
      <x:c r="J2" s="83"/>
    </x:row>
    <x:row r="3">
      <x:c r="B3" s="84" t="str">
        <x:v>Common effect, hazards, interfaces and evidence. Materials, forming, closure and deployment mechanics remain root-specific.</x:v>
      </x:c>
      <x:c r="C3" s="83"/>
      <x:c r="D3" s="83"/>
      <x:c r="E3" s="83"/>
      <x:c r="F3" s="83"/>
      <x:c r="G3" s="83"/>
      <x:c r="H3" s="83"/>
      <x:c r="I3" s="83"/>
      <x:c r="J3" s="83"/>
    </x:row>
    <x:row r="4">
      <x:c r="B4" s="85"/>
      <x:c r="C4" s="85"/>
      <x:c r="D4" s="85"/>
      <x:c r="E4" s="85"/>
      <x:c r="F4" s="85"/>
      <x:c r="G4" s="85"/>
      <x:c r="H4" s="85"/>
      <x:c r="I4" s="85"/>
      <x:c r="J4" s="85"/>
    </x:row>
    <x:row r="5">
      <x:c r="B5" s="83"/>
      <x:c r="C5" s="83"/>
      <x:c r="D5" s="83"/>
      <x:c r="E5" s="83"/>
      <x:c r="F5" s="83"/>
      <x:c r="G5" s="83"/>
      <x:c r="H5" s="83"/>
      <x:c r="I5" s="83"/>
      <x:c r="J5" s="83"/>
    </x:row>
    <x:row r="6">
      <x:c r="B6" s="18" t="str">
        <x:v>ID</x:v>
      </x:c>
      <x:c r="C6" s="19" t="str">
        <x:v>Domain</x:v>
      </x:c>
      <x:c r="D6" s="19" t="str">
        <x:v>Controlled proposition</x:v>
      </x:c>
      <x:c r="E6" s="19" t="str">
        <x:v>Operator</x:v>
      </x:c>
      <x:c r="F6" s="19" t="str">
        <x:v>Threshold</x:v>
      </x:c>
      <x:c r="G6" s="19" t="str">
        <x:v>Unit</x:v>
      </x:c>
      <x:c r="H6" s="19" t="str">
        <x:v>Evidence object</x:v>
      </x:c>
      <x:c r="I6" s="19" t="str">
        <x:v>Neutrality rule</x:v>
      </x:c>
      <x:c r="J6" s="19" t="str">
        <x:v>Package state</x:v>
      </x:c>
    </x:row>
    <x:row r="7" ht="40" customHeight="1">
      <x:c r="B7" s="105" t="str">
        <x:v>E01</x:v>
      </x:c>
      <x:c r="C7" s="106" t="str">
        <x:v>Hydraulic</x:v>
      </x:c>
      <x:c r="D7" s="106" t="str">
        <x:v>Flow area at service pressure</x:v>
      </x:c>
      <x:c r="E7" s="106" t="str">
        <x:v>≥</x:v>
      </x:c>
      <x:c r="F7" s="106" t="n">
        <x:v>0.0962</x:v>
      </x:c>
      <x:c r="G7" s="106" t="str">
        <x:v>m²</x:v>
      </x:c>
      <x:c r="H7" s="106" t="str">
        <x:v>independent scan and pressure-flow loop</x:v>
      </x:c>
      <x:c r="I7" s="106" t="str">
        <x:v>same public flow class</x:v>
      </x:c>
      <x:c r="J7" s="108" t="str">
        <x:v>COMPLETE</x:v>
      </x:c>
    </x:row>
    <x:row r="8" ht="40" customHeight="1">
      <x:c r="B8" s="105" t="str">
        <x:v>E02</x:v>
      </x:c>
      <x:c r="C8" s="106" t="str">
        <x:v>Hydraulic</x:v>
      </x:c>
      <x:c r="D8" s="106" t="str">
        <x:v>Local area under support world</x:v>
      </x:c>
      <x:c r="E8" s="106" t="str">
        <x:v>≥</x:v>
      </x:c>
      <x:c r="F8" s="106" t="n">
        <x:v>0.95</x:v>
      </x:c>
      <x:c r="G8" s="106" t="str">
        <x:v>share</x:v>
      </x:c>
      <x:c r="H8" s="106" t="str">
        <x:v>geometry under pressure</x:v>
      </x:c>
      <x:c r="I8" s="106" t="str">
        <x:v>prevents hidden collapse</x:v>
      </x:c>
      <x:c r="J8" s="108" t="str">
        <x:v>COMPLETE</x:v>
      </x:c>
    </x:row>
    <x:row r="9" ht="40" customHeight="1">
      <x:c r="B9" s="105" t="str">
        <x:v>E03</x:v>
      </x:c>
      <x:c r="C9" s="106" t="str">
        <x:v>Pressure</x:v>
      </x:c>
      <x:c r="D9" s="106" t="str">
        <x:v>Maximum allowable working pressure</x:v>
      </x:c>
      <x:c r="E9" s="106" t="str">
        <x:v>≥</x:v>
      </x:c>
      <x:c r="F9" s="106" t="n">
        <x:v>0.7</x:v>
      </x:c>
      <x:c r="G9" s="106" t="str">
        <x:v>MPa</x:v>
      </x:c>
      <x:c r="H9" s="106" t="str">
        <x:v>full-bore hold</x:v>
      </x:c>
      <x:c r="I9" s="106" t="str">
        <x:v>root-specific wall permitted</x:v>
      </x:c>
      <x:c r="J9" s="108" t="str">
        <x:v>COMPLETE</x:v>
      </x:c>
    </x:row>
    <x:row r="10" ht="40" customHeight="1">
      <x:c r="B10" s="105" t="str">
        <x:v>E04</x:v>
      </x:c>
      <x:c r="C10" s="106" t="str">
        <x:v>Pressure</x:v>
      </x:c>
      <x:c r="D10" s="106" t="str">
        <x:v>Registered surge</x:v>
      </x:c>
      <x:c r="E10" s="106" t="str">
        <x:v>≥</x:v>
      </x:c>
      <x:c r="F10" s="106" t="n">
        <x:v>0.85</x:v>
      </x:c>
      <x:c r="G10" s="106" t="str">
        <x:v>MPa</x:v>
      </x:c>
      <x:c r="H10" s="106" t="str">
        <x:v>transient waveform</x:v>
      </x:c>
      <x:c r="I10" s="106" t="str">
        <x:v>same transient world</x:v>
      </x:c>
      <x:c r="J10" s="108" t="str">
        <x:v>COMPLETE</x:v>
      </x:c>
    </x:row>
    <x:row r="11" ht="40" customHeight="1">
      <x:c r="B11" s="105" t="str">
        <x:v>E05</x:v>
      </x:c>
      <x:c r="C11" s="106" t="str">
        <x:v>Pressure</x:v>
      </x:c>
      <x:c r="D11" s="106" t="str">
        <x:v>Hydrostatic proof</x:v>
      </x:c>
      <x:c r="E11" s="106" t="str">
        <x:v>≥</x:v>
      </x:c>
      <x:c r="F11" s="106" t="n">
        <x:v>1.05</x:v>
      </x:c>
      <x:c r="G11" s="106" t="str">
        <x:v>MPa</x:v>
      </x:c>
      <x:c r="H11" s="106" t="str">
        <x:v>60-minute full-bore proof</x:v>
      </x:c>
      <x:c r="I11" s="106" t="str">
        <x:v>same proof ratio</x:v>
      </x:c>
      <x:c r="J11" s="108" t="str">
        <x:v>COMPLETE</x:v>
      </x:c>
    </x:row>
    <x:row r="12" ht="40" customHeight="1">
      <x:c r="B12" s="105" t="str">
        <x:v>E06</x:v>
      </x:c>
      <x:c r="C12" s="106" t="str">
        <x:v>Pressure</x:v>
      </x:c>
      <x:c r="D12" s="106" t="str">
        <x:v>Negative-pressure survival</x:v>
      </x:c>
      <x:c r="E12" s="106" t="str">
        <x:v>≤</x:v>
      </x:c>
      <x:c r="F12" s="106" t="n">
        <x:v>-0.085</x:v>
      </x:c>
      <x:c r="G12" s="106" t="str">
        <x:v>MPa</x:v>
      </x:c>
      <x:c r="H12" s="106" t="str">
        <x:v>30-minute vacuum challenge</x:v>
      </x:c>
      <x:c r="I12" s="106" t="str">
        <x:v>same collapse world</x:v>
      </x:c>
      <x:c r="J12" s="108" t="str">
        <x:v>COMPLETE</x:v>
      </x:c>
    </x:row>
    <x:row r="13" ht="40" customHeight="1">
      <x:c r="B13" s="105" t="str">
        <x:v>E07</x:v>
      </x:c>
      <x:c r="C13" s="106" t="str">
        <x:v>Fatigue</x:v>
      </x:c>
      <x:c r="D13" s="106" t="str">
        <x:v>Pressure cycle count</x:v>
      </x:c>
      <x:c r="E13" s="106" t="str">
        <x:v>≥</x:v>
      </x:c>
      <x:c r="F13" s="106" t="n">
        <x:v>50000</x:v>
      </x:c>
      <x:c r="G13" s="106" t="str">
        <x:v>cycles</x:v>
      </x:c>
      <x:c r="H13" s="106" t="str">
        <x:v>0.05–0.70 MPa</x:v>
      </x:c>
      <x:c r="I13" s="106" t="str">
        <x:v>root-specific fatigue mechanism</x:v>
      </x:c>
      <x:c r="J13" s="108" t="str">
        <x:v>COMPLETE</x:v>
      </x:c>
    </x:row>
    <x:row r="14" ht="40" customHeight="1">
      <x:c r="B14" s="105" t="str">
        <x:v>E08</x:v>
      </x:c>
      <x:c r="C14" s="106" t="str">
        <x:v>Structure</x:v>
      </x:c>
      <x:c r="D14" s="106" t="str">
        <x:v>Axial system restraint</x:v>
      </x:c>
      <x:c r="E14" s="106" t="str">
        <x:v>≥</x:v>
      </x:c>
      <x:c r="F14" s="106" t="n">
        <x:v>200</x:v>
      </x:c>
      <x:c r="G14" s="106" t="str">
        <x:v>kN</x:v>
      </x:c>
      <x:c r="H14" s="106" t="str">
        <x:v>closure plus external restraint</x:v>
      </x:c>
      <x:c r="I14" s="106" t="str">
        <x:v>system boundary, not joint alone</x:v>
      </x:c>
      <x:c r="J14" s="108" t="str">
        <x:v>COMPLETE</x:v>
      </x:c>
    </x:row>
    <x:row r="15" ht="40" customHeight="1">
      <x:c r="B15" s="105" t="str">
        <x:v>E09</x:v>
      </x:c>
      <x:c r="C15" s="106" t="str">
        <x:v>Ground</x:v>
      </x:c>
      <x:c r="D15" s="106" t="str">
        <x:v>Differential settlement</x:v>
      </x:c>
      <x:c r="E15" s="106" t="str">
        <x:v>≥</x:v>
      </x:c>
      <x:c r="F15" s="106" t="n">
        <x:v>300</x:v>
      </x:c>
      <x:c r="G15" s="106" t="str">
        <x:v>mm</x:v>
      </x:c>
      <x:c r="H15" s="106" t="str">
        <x:v>imposed over 10 m</x:v>
      </x:c>
      <x:c r="I15" s="106" t="str">
        <x:v>same route world</x:v>
      </x:c>
      <x:c r="J15" s="108" t="str">
        <x:v>COMPLETE</x:v>
      </x:c>
    </x:row>
    <x:row r="16" ht="40" customHeight="1">
      <x:c r="B16" s="105" t="str">
        <x:v>E10</x:v>
      </x:c>
      <x:c r="C16" s="106" t="str">
        <x:v>Ground</x:v>
      </x:c>
      <x:c r="D16" s="106" t="str">
        <x:v>Unsupported pressurized span</x:v>
      </x:c>
      <x:c r="E16" s="106" t="str">
        <x:v>≥</x:v>
      </x:c>
      <x:c r="F16" s="106" t="n">
        <x:v>2</x:v>
      </x:c>
      <x:c r="G16" s="106" t="str">
        <x:v>m</x:v>
      </x:c>
      <x:c r="H16" s="106" t="str">
        <x:v>controlled support loss</x:v>
      </x:c>
      <x:c r="I16" s="106" t="str">
        <x:v>support system included</x:v>
      </x:c>
      <x:c r="J16" s="108" t="str">
        <x:v>COMPLETE</x:v>
      </x:c>
    </x:row>
    <x:row r="17" ht="40" customHeight="1">
      <x:c r="B17" s="105" t="str">
        <x:v>E11</x:v>
      </x:c>
      <x:c r="C17" s="106" t="str">
        <x:v>Damage</x:v>
      </x:c>
      <x:c r="D17" s="106" t="str">
        <x:v>Puncture challenge</x:v>
      </x:c>
      <x:c r="E17" s="106" t="str">
        <x:v>≥</x:v>
      </x:c>
      <x:c r="F17" s="106" t="n">
        <x:v>20</x:v>
      </x:c>
      <x:c r="G17" s="106" t="str">
        <x:v>kN</x:v>
      </x:c>
      <x:c r="H17" s="106" t="str">
        <x:v>registered indenter</x:v>
      </x:c>
      <x:c r="I17" s="106" t="str">
        <x:v>same damage energy path</x:v>
      </x:c>
      <x:c r="J17" s="108" t="str">
        <x:v>COMPLETE</x:v>
      </x:c>
    </x:row>
    <x:row r="18" ht="40" customHeight="1">
      <x:c r="B18" s="105" t="str">
        <x:v>E12</x:v>
      </x:c>
      <x:c r="C18" s="106" t="str">
        <x:v>Damage</x:v>
      </x:c>
      <x:c r="D18" s="106" t="str">
        <x:v>Debris impact</x:v>
      </x:c>
      <x:c r="E18" s="106" t="str">
        <x:v>≥</x:v>
      </x:c>
      <x:c r="F18" s="106" t="n">
        <x:v>5</x:v>
      </x:c>
      <x:c r="G18" s="106" t="str">
        <x:v>kJ</x:v>
      </x:c>
      <x:c r="H18" s="106" t="str">
        <x:v>registered striker</x:v>
      </x:c>
      <x:c r="I18" s="106" t="str">
        <x:v>protection stays in article</x:v>
      </x:c>
      <x:c r="J18" s="108" t="str">
        <x:v>COMPLETE</x:v>
      </x:c>
    </x:row>
    <x:row r="19" ht="40" customHeight="1">
      <x:c r="B19" s="105" t="str">
        <x:v>E13</x:v>
      </x:c>
      <x:c r="C19" s="106" t="str">
        <x:v>Service</x:v>
      </x:c>
      <x:c r="D19" s="106" t="str">
        <x:v>Detect-to-release repair</x:v>
      </x:c>
      <x:c r="E19" s="106" t="str">
        <x:v>≤</x:v>
      </x:c>
      <x:c r="F19" s="106" t="n">
        <x:v>6</x:v>
      </x:c>
      <x:c r="G19" s="106" t="str">
        <x:v>hours</x:v>
      </x:c>
      <x:c r="H19" s="106" t="str">
        <x:v>eight conserved clock segments</x:v>
      </x:c>
      <x:c r="I19" s="106" t="str">
        <x:v>no paused clock</x:v>
      </x:c>
      <x:c r="J19" s="108" t="str">
        <x:v>COMPLETE</x:v>
      </x:c>
    </x:row>
    <x:row r="20" ht="40" customHeight="1">
      <x:c r="B20" s="105" t="str">
        <x:v>E14</x:v>
      </x:c>
      <x:c r="C20" s="106" t="str">
        <x:v>Service</x:v>
      </x:c>
      <x:c r="D20" s="106" t="str">
        <x:v>Full buffer continuity</x:v>
      </x:c>
      <x:c r="E20" s="106" t="str">
        <x:v>≥</x:v>
      </x:c>
      <x:c r="F20" s="106" t="n">
        <x:v>24</x:v>
      </x:c>
      <x:c r="G20" s="106" t="str">
        <x:v>hours</x:v>
      </x:c>
      <x:c r="H20" s="106" t="str">
        <x:v>receiver drawdown record</x:v>
      </x:c>
      <x:c r="I20" s="106" t="str">
        <x:v>buffer not range-owned</x:v>
      </x:c>
      <x:c r="J20" s="108" t="str">
        <x:v>COMPLETE</x:v>
      </x:c>
    </x:row>
    <x:row r="21" ht="40" customHeight="1">
      <x:c r="B21" s="105" t="str">
        <x:v>E15</x:v>
      </x:c>
      <x:c r="C21" s="106" t="str">
        <x:v>Service</x:v>
      </x:c>
      <x:c r="D21" s="106" t="str">
        <x:v>One-route extended service</x:v>
      </x:c>
      <x:c r="E21" s="106" t="str">
        <x:v>≥</x:v>
      </x:c>
      <x:c r="F21" s="106" t="n">
        <x:v>0.5</x:v>
      </x:c>
      <x:c r="G21" s="106" t="str">
        <x:v>share</x:v>
      </x:c>
      <x:c r="H21" s="106" t="str">
        <x:v>surviving-route flow</x:v>
      </x:c>
      <x:c r="I21" s="106" t="str">
        <x:v>independent route required</x:v>
      </x:c>
      <x:c r="J21" s="108" t="str">
        <x:v>COMPLETE</x:v>
      </x:c>
    </x:row>
    <x:row r="22" ht="40" customHeight="1">
      <x:c r="B22" s="105" t="str">
        <x:v>E16</x:v>
      </x:c>
      <x:c r="C22" s="106" t="str">
        <x:v>Sanitary</x:v>
      </x:c>
      <x:c r="D22" s="106" t="str">
        <x:v>Blind pre/post release panel</x:v>
      </x:c>
      <x:c r="E22" s="106" t="str">
        <x:v>equals</x:v>
      </x:c>
      <x:c r="F22" s="106" t="n">
        <x:v>1</x:v>
      </x:c>
      <x:c r="G22" s="106" t="str">
        <x:v>conforming decision</x:v>
      </x:c>
      <x:c r="H22" s="106" t="str">
        <x:v>independent sample custody</x:v>
      </x:c>
      <x:c r="I22" s="106" t="str">
        <x:v>no pressure-only acceptance</x:v>
      </x:c>
      <x:c r="J22" s="108" t="str">
        <x:v>COMPLETE</x:v>
      </x:c>
    </x:row>
    <x:row r="23" ht="40" customHeight="1">
      <x:c r="B23" s="105" t="str">
        <x:v>E17</x:v>
      </x:c>
      <x:c r="C23" s="106" t="str">
        <x:v>Evidence</x:v>
      </x:c>
      <x:c r="D23" s="106" t="str">
        <x:v>Independent original retention</x:v>
      </x:c>
      <x:c r="E23" s="106" t="str">
        <x:v>≥</x:v>
      </x:c>
      <x:c r="F23" s="106" t="n">
        <x:v>2</x:v>
      </x:c>
      <x:c r="G23" s="106" t="str">
        <x:v>copies</x:v>
      </x:c>
      <x:c r="H23" s="106" t="str">
        <x:v>local through network denial</x:v>
      </x:c>
      <x:c r="I23" s="106" t="str">
        <x:v>summary is derivative</x:v>
      </x:c>
      <x:c r="J23" s="108" t="str">
        <x:v>COMPLETE</x:v>
      </x:c>
    </x:row>
    <x:row r="24" ht="40" customHeight="1">
      <x:c r="B24" s="110" t="str">
        <x:v>E18</x:v>
      </x:c>
      <x:c r="C24" s="111" t="str">
        <x:v>Reproduction</x:v>
      </x:c>
      <x:c r="D24" s="111" t="str">
        <x:v>Second-team decision</x:v>
      </x:c>
      <x:c r="E24" s="111" t="str">
        <x:v>equals</x:v>
      </x:c>
      <x:c r="F24" s="111" t="n">
        <x:v>1</x:v>
      </x:c>
      <x:c r="G24" s="111" t="str">
        <x:v>matching accepted decision</x:v>
      </x:c>
      <x:c r="H24" s="111" t="str">
        <x:v>no discretionary provider help</x:v>
      </x:c>
      <x:c r="I24" s="111" t="str">
        <x:v>physical equivalence, not appearance</x:v>
      </x:c>
      <x:c r="J24" s="113" t="str">
        <x:v>COMPLETE</x:v>
      </x:c>
    </x:row>
    <x:row r="25">
      <x:c r="B25" s="83"/>
      <x:c r="C25" s="83"/>
      <x:c r="D25" s="83"/>
      <x:c r="E25" s="83"/>
      <x:c r="F25" s="83"/>
      <x:c r="G25" s="83"/>
      <x:c r="H25" s="83"/>
      <x:c r="I25" s="83"/>
      <x:c r="J25" s="83"/>
    </x:row>
    <x:row r="26">
      <x:c r="B26" s="83"/>
      <x:c r="C26" s="83"/>
      <x:c r="D26" s="83"/>
      <x:c r="E26" s="83"/>
      <x:c r="F26" s="83"/>
      <x:c r="G26" s="83"/>
      <x:c r="H26" s="83"/>
      <x:c r="I26" s="83"/>
      <x:c r="J26" s="83"/>
    </x:row>
    <x:row r="27">
      <x:c r="B27" s="86" t="str">
        <x:v>Derived restraint screen</x:v>
      </x:c>
      <x:c r="C27" s="87" t="str">
        <x:v>Derived restraint screen</x:v>
      </x:c>
      <x:c r="D27" s="87" t="str">
        <x:v>Derived restraint screen</x:v>
      </x:c>
      <x:c r="E27" s="87" t="str">
        <x:v>Derived restraint screen</x:v>
      </x:c>
      <x:c r="F27" s="87" t="str">
        <x:v>Derived restraint screen</x:v>
      </x:c>
      <x:c r="G27" s="87" t="str">
        <x:v>Derived restraint screen</x:v>
      </x:c>
      <x:c r="H27" s="87" t="str">
        <x:v>Derived restraint screen</x:v>
      </x:c>
      <x:c r="I27" s="87" t="str">
        <x:v>Derived restraint screen</x:v>
      </x:c>
      <x:c r="J27" s="88" t="str">
        <x:v>Derived restraint screen</x:v>
      </x:c>
    </x:row>
    <x:row r="28">
      <x:c r="B28" s="83" t="str">
        <x:v>Pressure end load</x:v>
      </x:c>
      <x:c r="C28" s="83" t="str">
        <x:v>pressure × flow area</x:v>
      </x:c>
      <x:c r="D28" s="116" t="n">
        <x:f>'Control Inputs'!D12*'Control Inputs'!D10*1000</x:f>
        <x:v>67.34</x:v>
      </x:c>
      <x:c r="E28" s="83" t="str">
        <x:v>kN</x:v>
      </x:c>
      <x:c r="F28" s="83"/>
      <x:c r="G28" s="83"/>
      <x:c r="H28" s="83"/>
      <x:c r="I28" s="83"/>
      <x:c r="J28" s="83"/>
    </x:row>
    <x:row r="29">
      <x:c r="B29" s="83" t="str">
        <x:v>Restraint target</x:v>
      </x:c>
      <x:c r="C29" s="83" t="str">
        <x:v>system boundary</x:v>
      </x:c>
      <x:c r="D29" s="116" t="n">
        <x:f>'Control Inputs'!D18</x:f>
        <x:v>200</x:v>
      </x:c>
      <x:c r="E29" s="83" t="str">
        <x:v>kN</x:v>
      </x:c>
      <x:c r="F29" s="83"/>
      <x:c r="G29" s="83"/>
      <x:c r="H29" s="83"/>
      <x:c r="I29" s="83"/>
      <x:c r="J29" s="83"/>
    </x:row>
    <x:row r="30">
      <x:c r="B30" s="83" t="str">
        <x:v>Restraint margin</x:v>
      </x:c>
      <x:c r="C30" s="83" t="str">
        <x:v>target ÷ pressure load</x:v>
      </x:c>
      <x:c r="D30" s="116" t="n">
        <x:f>D29/D28</x:f>
        <x:v>2.97000297000297</x:v>
      </x:c>
      <x:c r="E30" s="83" t="str">
        <x:v>×</x:v>
      </x:c>
      <x:c r="F30" s="83"/>
      <x:c r="G30" s="83"/>
      <x:c r="H30" s="83"/>
      <x:c r="I30" s="83"/>
      <x:c r="J30" s="83"/>
    </x:row>
  </x:sheetData>
  <x:mergeCells>
    <x:mergeCell ref="B3:J3"/>
    <x:mergeCell ref="B27:J27"/>
  </x:mergeCells>
  <x:conditionalFormatting sqref="J7:J24">
    <x:cfRule type="containsText" dxfId="11" priority="1" operator="containsText" text="FAIL"/>
    <x:cfRule type="containsText" dxfId="12" priority="2" operator="containsText" text="BLOCKED"/>
    <x:cfRule type="containsText" dxfId="13" priority="3" operator="containsText" text="HOLD"/>
    <x:cfRule type="containsText" dxfId="14" priority="4" operator="containsText" text="OPEN"/>
    <x:cfRule type="containsText" dxfId="15" priority="5" operator="containsText" text="NOT ADMITTED"/>
    <x:cfRule type="containsText" dxfId="16" priority="6" operator="containsText" text="PASS"/>
    <x:cfRule type="containsText" dxfId="17" priority="7" operator="containsText" text="CLOSED"/>
    <x:cfRule type="containsText" dxfId="18" priority="8" operator="containsText" text="READY"/>
    <x:cfRule type="containsText" dxfId="19" priority="9" operator="containsText" text="AUTHORIZED"/>
    <x:cfRule type="containsText" dxfId="20" priority="10" operator="containsText" text="PLANNING PASS"/>
    <x:cfRule type="containsText" dxfId="21" priority="11" operator="containsText" text="COMPLET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13" hidden="0" customWidth="1"/>
    <x:col min="4" max="4" width="28" hidden="0" customWidth="1"/>
    <x:col min="5" max="5" width="34" hidden="0" customWidth="1"/>
    <x:col min="6" max="6" width="34" hidden="0" customWidth="1"/>
    <x:col min="7" max="7" width="38" hidden="0" customWidth="1"/>
    <x:col min="8" max="8" width="11" hidden="0" customWidth="1"/>
    <x:col min="9" max="9" width="12" hidden="0" customWidth="1"/>
    <x:col min="10" max="10" width="19" hidden="0" customWidth="1"/>
    <x:col min="11" max="11" width="19" hidden="0" customWidth="1"/>
    <x:col min="12" max="12" width="15" hidden="0" customWidth="1"/>
  </x:cols>
  <x:sheetData>
    <x:row r="2">
      <x:c r="B2" s="92" t="str">
        <x:v>Two build roots and one protected challenge root</x:v>
      </x:c>
      <x:c r="C2" s="83"/>
      <x:c r="D2" s="83"/>
      <x:c r="E2" s="83"/>
      <x:c r="F2" s="83"/>
      <x:c r="G2" s="83"/>
      <x:c r="H2" s="83"/>
      <x:c r="I2" s="83"/>
      <x:c r="J2" s="83"/>
      <x:c r="K2" s="83"/>
      <x:c r="L2" s="83"/>
    </x:row>
    <x:row r="3">
      <x:c r="B3" s="84" t="str">
        <x:v>Common interfaces do not erase root-specific failure physics. Challenge-sector authority remains conditional on material and closure acceptance.</x:v>
      </x:c>
      <x:c r="C3" s="83"/>
      <x:c r="D3" s="83"/>
      <x:c r="E3" s="83"/>
      <x:c r="F3" s="83"/>
      <x:c r="G3" s="83"/>
      <x:c r="H3" s="83"/>
      <x:c r="I3" s="83"/>
      <x:c r="J3" s="83"/>
      <x:c r="K3" s="83"/>
      <x:c r="L3" s="83"/>
    </x:row>
    <x:row r="4">
      <x:c r="B4" s="85"/>
      <x:c r="C4" s="85"/>
      <x:c r="D4" s="85"/>
      <x:c r="E4" s="85"/>
      <x:c r="F4" s="85"/>
      <x:c r="G4" s="85"/>
      <x:c r="H4" s="85"/>
      <x:c r="I4" s="85"/>
      <x:c r="J4" s="85"/>
      <x:c r="K4" s="85"/>
      <x:c r="L4" s="85"/>
    </x:row>
    <x:row r="5">
      <x:c r="B5" s="83"/>
      <x:c r="C5" s="83"/>
      <x:c r="D5" s="83"/>
      <x:c r="E5" s="83"/>
      <x:c r="F5" s="83"/>
      <x:c r="G5" s="83"/>
      <x:c r="H5" s="83"/>
      <x:c r="I5" s="83"/>
      <x:c r="J5" s="83"/>
      <x:c r="K5" s="83"/>
      <x:c r="L5" s="83"/>
    </x:row>
    <x:row r="6">
      <x:c r="B6" s="18" t="str">
        <x:v>Root</x:v>
      </x:c>
      <x:c r="C6" s="19" t="str">
        <x:v>Lane</x:v>
      </x:c>
      <x:c r="D6" s="19" t="str">
        <x:v>Architecture</x:v>
      </x:c>
      <x:c r="E6" s="19" t="str">
        <x:v>Production form</x:v>
      </x:c>
      <x:c r="F6" s="19" t="str">
        <x:v>Closure form</x:v>
      </x:c>
      <x:c r="G6" s="19" t="str">
        <x:v>Decisive unknown</x:v>
      </x:c>
      <x:c r="H6" s="19" t="str">
        <x:v>Lots</x:v>
      </x:c>
      <x:c r="I6" s="19" t="str">
        <x:v>Units</x:v>
      </x:c>
      <x:c r="J6" s="19" t="str">
        <x:v>Root capital USD B</x:v>
      </x:c>
      <x:c r="K6" s="19" t="str">
        <x:v>Fixed tooling USD B</x:v>
      </x:c>
      <x:c r="L6" s="19" t="str">
        <x:v>Evidence</x:v>
      </x:c>
    </x:row>
    <x:row r="7" ht="62" customHeight="1">
      <x:c r="B7" s="105" t="str">
        <x:v>R1</x:v>
      </x:c>
      <x:c r="C7" s="106" t="str">
        <x:v>BUILD</x:v>
      </x:c>
      <x:c r="D7" s="106" t="str">
        <x:v>Sectional public-root</x:v>
      </x:c>
      <x:c r="E7" s="106" t="str">
        <x:v>factory sections; machine closure</x:v>
      </x:c>
      <x:c r="F7" s="106" t="str">
        <x:v>thermal/mechanical closure and NDE</x:v>
      </x:c>
      <x:c r="G7" s="106" t="str">
        <x:v>section production and closure throughput</x:v>
      </x:c>
      <x:c r="H7" s="106" t="n">
        <x:v>22</x:v>
      </x:c>
      <x:c r="I7" s="106" t="n">
        <x:v>63</x:v>
      </x:c>
      <x:c r="J7" s="121" t="n">
        <x:v>1.3</x:v>
      </x:c>
      <x:c r="K7" s="121" t="n">
        <x:v>0.172</x:v>
      </x:c>
      <x:c r="L7" s="108" t="str">
        <x:v>OPEN</x:v>
      </x:c>
    </x:row>
    <x:row r="8" ht="62" customHeight="1">
      <x:c r="B8" s="105" t="str">
        <x:v>R2</x:v>
      </x:c>
      <x:c r="C8" s="106" t="str">
        <x:v>BUILD</x:v>
      </x:c>
      <x:c r="D8" s="106" t="str">
        <x:v>Mobile continuous forge</x:v>
      </x:c>
      <x:c r="E8" s="106" t="str">
        <x:v>decomposed field forming cells</x:v>
      </x:c>
      <x:c r="F8" s="106" t="str">
        <x:v>continuous forming, barrier and sparse closure</x:v>
      </x:c>
      <x:c r="G8" s="106" t="str">
        <x:v>cold-start accepted output and cell independence</x:v>
      </x:c>
      <x:c r="H8" s="106" t="n">
        <x:v>22</x:v>
      </x:c>
      <x:c r="I8" s="106" t="n">
        <x:v>63</x:v>
      </x:c>
      <x:c r="J8" s="121" t="n">
        <x:v>1.52</x:v>
      </x:c>
      <x:c r="K8" s="121" t="n">
        <x:v>0.29</x:v>
      </x:c>
      <x:c r="L8" s="108" t="str">
        <x:v>OPEN</x:v>
      </x:c>
    </x:row>
    <x:row r="9" ht="62" customHeight="1">
      <x:c r="B9" s="110" t="str">
        <x:v>R3</x:v>
      </x:c>
      <x:c r="C9" s="111" t="str">
        <x:v>CHALLENGE</x:v>
      </x:c>
      <x:c r="D9" s="111" t="str">
        <x:v>Structural-ribbon root</x:v>
      </x:c>
      <x:c r="E9" s="111" t="str">
        <x:v>fold-flat multilayer pressure body</x:v>
      </x:c>
      <x:c r="F9" s="111" t="str">
        <x:v>bonded closure, crease and embedded state</x:v>
      </x:c>
      <x:c r="G9" s="111" t="str">
        <x:v>fold fatigue, barrier and bonded repair</x:v>
      </x:c>
      <x:c r="H9" s="111" t="n">
        <x:v>22</x:v>
      </x:c>
      <x:c r="I9" s="111" t="n">
        <x:v>70</x:v>
      </x:c>
      <x:c r="J9" s="122" t="n">
        <x:v>1.36</x:v>
      </x:c>
      <x:c r="K9" s="122" t="n">
        <x:v>0.12</x:v>
      </x:c>
      <x:c r="L9" s="113" t="str">
        <x:v>OPEN</x:v>
      </x:c>
    </x:row>
  </x:sheetData>
  <x:mergeCells>
    <x:mergeCell ref="B3:L3"/>
  </x:mergeCells>
  <x:conditionalFormatting sqref="L7:L9">
    <x:cfRule type="containsText" dxfId="22" priority="1" operator="containsText" text="FAIL"/>
    <x:cfRule type="containsText" dxfId="23" priority="2" operator="containsText" text="BLOCKED"/>
    <x:cfRule type="containsText" dxfId="24" priority="3" operator="containsText" text="HOLD"/>
    <x:cfRule type="containsText" dxfId="25" priority="4" operator="containsText" text="OPEN"/>
    <x:cfRule type="containsText" dxfId="26" priority="5" operator="containsText" text="NOT ADMITTED"/>
    <x:cfRule type="containsText" dxfId="27" priority="6" operator="containsText" text="PASS"/>
    <x:cfRule type="containsText" dxfId="28" priority="7" operator="containsText" text="CLOSED"/>
    <x:cfRule type="containsText" dxfId="29" priority="8" operator="containsText" text="READY"/>
    <x:cfRule type="containsText" dxfId="30" priority="9" operator="containsText" text="AUTHORIZED"/>
    <x:cfRule type="containsText" dxfId="31" priority="10" operator="containsText" text="PLANNING PASS"/>
    <x:cfRule type="containsText" dxfId="32" priority="11" operator="containsText" text="COMPLET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9" hidden="0" customWidth="1"/>
    <x:col min="4" max="4" width="10" hidden="0" customWidth="1"/>
    <x:col min="5" max="5" width="30" hidden="0" customWidth="1"/>
    <x:col min="6" max="6" width="10" hidden="0" customWidth="1"/>
    <x:col min="7" max="7" width="10" hidden="0" customWidth="1"/>
    <x:col min="8" max="8" width="19" hidden="0" customWidth="1"/>
    <x:col min="9" max="9" width="19" hidden="0" customWidth="1"/>
    <x:col min="10" max="10" width="18" hidden="0" customWidth="1"/>
    <x:col min="11" max="11" width="19" hidden="0" customWidth="1"/>
    <x:col min="12" max="12" width="42" hidden="0" customWidth="1"/>
    <x:col min="13" max="13" width="16" hidden="0" customWidth="1"/>
    <x:col min="14" max="14" width="15" hidden="0" customWidth="1"/>
  </x:cols>
  <x:sheetData>
    <x:row r="2">
      <x:c r="B2" s="92" t="str">
        <x:v>Controlled article bank</x:v>
      </x:c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</x:row>
    <x:row r="3">
      <x:c r="B3" s="84" t="str">
        <x:v>The program controls 196 serial units in 66 separately released lots. Article count and lot count answer different industrial questions.</x:v>
      </x:c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</x:row>
    <x:row r="4">
      <x:c r="B4" s="85"/>
      <x:c r="C4" s="85"/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85"/>
    </x:row>
    <x:row r="5">
      <x:c r="B5" s="83"/>
      <x:c r="C5" s="83"/>
      <x:c r="D5" s="83"/>
      <x:c r="E5" s="83"/>
      <x:c r="F5" s="83"/>
      <x:c r="G5" s="83"/>
      <x:c r="H5" s="83"/>
      <x:c r="I5" s="83"/>
      <x:c r="J5" s="83"/>
      <x:c r="K5" s="83"/>
      <x:c r="L5" s="83"/>
      <x:c r="M5" s="83"/>
      <x:c r="N5" s="83"/>
    </x:row>
    <x:row r="6">
      <x:c r="B6" s="18" t="str">
        <x:v>Plan ID</x:v>
      </x:c>
      <x:c r="C6" s="19" t="str">
        <x:v>Root</x:v>
      </x:c>
      <x:c r="D6" s="19" t="str">
        <x:v>Class</x:v>
      </x:c>
      <x:c r="E6" s="19" t="str">
        <x:v>Article class</x:v>
      </x:c>
      <x:c r="F6" s="19" t="str">
        <x:v>Lots</x:v>
      </x:c>
      <x:c r="G6" s="19" t="str">
        <x:v>Units</x:v>
      </x:c>
      <x:c r="H6" s="19" t="str">
        <x:v>Length per unit m</x:v>
      </x:c>
      <x:c r="I6" s="19" t="str">
        <x:v>Total full-bore km</x:v>
      </x:c>
      <x:c r="J6" s="19" t="str">
        <x:v>Unit cost USD M</x:v>
      </x:c>
      <x:c r="K6" s="19" t="str">
        <x:v>Article subtotal USD B</x:v>
      </x:c>
      <x:c r="L6" s="19" t="str">
        <x:v>Acceptance objective</x:v>
      </x:c>
      <x:c r="M6" s="19" t="str">
        <x:v>Entry state</x:v>
      </x:c>
      <x:c r="N6" s="19" t="str">
        <x:v>Lot control</x:v>
      </x:c>
    </x:row>
    <x:row r="7" ht="43" customHeight="1">
      <x:c r="B7" s="105" t="str">
        <x:v>R1-MB</x:v>
      </x:c>
      <x:c r="C7" s="105" t="str">
        <x:v>R1</x:v>
      </x:c>
      <x:c r="D7" s="106" t="str">
        <x:v>MB</x:v>
      </x:c>
      <x:c r="E7" s="106" t="str">
        <x:v>Material and barrier</x:v>
      </x:c>
      <x:c r="F7" s="106" t="n">
        <x:v>4</x:v>
      </x:c>
      <x:c r="G7" s="106" t="n">
        <x:v>12</x:v>
      </x:c>
      <x:c r="H7" s="106" t="n">
        <x:v>0</x:v>
      </x:c>
      <x:c r="I7" s="121" t="n">
        <x:f>G7*H7/1000</x:f>
        <x:v>0</x:v>
      </x:c>
      <x:c r="J7" s="121" t="n">
        <x:v>2</x:v>
      </x:c>
      <x:c r="K7" s="121" t="n">
        <x:f>G7*J7/1000</x:f>
        <x:v>0.024</x:v>
      </x:c>
      <x:c r="L7" s="106" t="str">
        <x:v>coupon, layer, exposure and forensic states</x:v>
      </x:c>
      <x:c r="M7" s="106" t="str">
        <x:v>PLANNED</x:v>
      </x:c>
      <x:c r="N7" s="108" t="str">
        <x:f>IF(AND(F7&gt;0,G7&gt;0),"PASS","FAIL")</x:f>
        <x:v>PASS</x:v>
      </x:c>
    </x:row>
    <x:row r="8" ht="43" customHeight="1">
      <x:c r="B8" s="105" t="str">
        <x:v>R1-PS</x:v>
      </x:c>
      <x:c r="C8" s="105" t="str">
        <x:v>R1</x:v>
      </x:c>
      <x:c r="D8" s="106" t="str">
        <x:v>PS</x:v>
      </x:c>
      <x:c r="E8" s="106" t="str">
        <x:v>Full-thickness pressure section</x:v>
      </x:c>
      <x:c r="F8" s="106" t="n">
        <x:v>4</x:v>
      </x:c>
      <x:c r="G8" s="106" t="n">
        <x:v>8</x:v>
      </x:c>
      <x:c r="H8" s="106" t="n">
        <x:v>12</x:v>
      </x:c>
      <x:c r="I8" s="121" t="n">
        <x:f>G8*H8/1000</x:f>
        <x:v>0.096</x:v>
      </x:c>
      <x:c r="J8" s="121" t="n">
        <x:v>6</x:v>
      </x:c>
      <x:c r="K8" s="121" t="n">
        <x:f>G8*J8/1000</x:f>
        <x:v>0.048</x:v>
      </x:c>
      <x:c r="L8" s="106" t="str">
        <x:v>complete full-diameter wall system</x:v>
      </x:c>
      <x:c r="M8" s="106" t="str">
        <x:v>PLANNED</x:v>
      </x:c>
      <x:c r="N8" s="108" t="str">
        <x:f>IF(AND(F8&gt;0,G8&gt;0),"PASS","FAIL")</x:f>
        <x:v>PASS</x:v>
      </x:c>
    </x:row>
    <x:row r="9" ht="43" customHeight="1">
      <x:c r="B9" s="105" t="str">
        <x:v>R1-CW</x:v>
      </x:c>
      <x:c r="C9" s="105" t="str">
        <x:v>R1</x:v>
      </x:c>
      <x:c r="D9" s="106" t="str">
        <x:v>CW</x:v>
      </x:c>
      <x:c r="E9" s="106" t="str">
        <x:v>Closure process window</x:v>
      </x:c>
      <x:c r="F9" s="106" t="n">
        <x:v>4</x:v>
      </x:c>
      <x:c r="G9" s="106" t="n">
        <x:v>24</x:v>
      </x:c>
      <x:c r="H9" s="106" t="n">
        <x:v>6</x:v>
      </x:c>
      <x:c r="I9" s="121" t="n">
        <x:f>G9*H9/1000</x:f>
        <x:v>0.144</x:v>
      </x:c>
      <x:c r="J9" s="121" t="n">
        <x:v>2.5</x:v>
      </x:c>
      <x:c r="K9" s="121" t="n">
        <x:f>G9*J9/1000</x:f>
        <x:v>0.06</x:v>
      </x:c>
      <x:c r="L9" s="106" t="str">
        <x:v>window corners, operators and NDE</x:v>
      </x:c>
      <x:c r="M9" s="106" t="str">
        <x:v>PLANNED</x:v>
      </x:c>
      <x:c r="N9" s="108" t="str">
        <x:f>IF(AND(F9&gt;0,G9&gt;0),"PASS","FAIL")</x:f>
        <x:v>PASS</x:v>
      </x:c>
    </x:row>
    <x:row r="10" ht="43" customHeight="1">
      <x:c r="B10" s="105" t="str">
        <x:v>R1-SA</x:v>
      </x:c>
      <x:c r="C10" s="105" t="str">
        <x:v>R1</x:v>
      </x:c>
      <x:c r="D10" s="106" t="str">
        <x:v>SA</x:v>
      </x:c>
      <x:c r="E10" s="106" t="str">
        <x:v>Paired sector route unit</x:v>
      </x:c>
      <x:c r="F10" s="106" t="n">
        <x:v>2</x:v>
      </x:c>
      <x:c r="G10" s="106" t="n">
        <x:v>4</x:v>
      </x:c>
      <x:c r="H10" s="106" t="n">
        <x:v>1000</x:v>
      </x:c>
      <x:c r="I10" s="121" t="n">
        <x:f>G10*H10/1000</x:f>
        <x:v>4</x:v>
      </x:c>
      <x:c r="J10" s="121" t="n">
        <x:v>120</x:v>
      </x:c>
      <x:c r="K10" s="121" t="n">
        <x:f>G10*J10/1000</x:f>
        <x:v>0.48</x:v>
      </x:c>
      <x:c r="L10" s="106" t="str">
        <x:v>one full-diameter route-km; two units per reach</x:v>
      </x:c>
      <x:c r="M10" s="106" t="str">
        <x:v>PLANNED</x:v>
      </x:c>
      <x:c r="N10" s="108" t="str">
        <x:f>IF(AND(F10&gt;0,G10&gt;0),"PASS","FAIL")</x:f>
        <x:v>PASS</x:v>
      </x:c>
    </x:row>
    <x:row r="11" ht="43" customHeight="1">
      <x:c r="B11" s="105" t="str">
        <x:v>R1-DR</x:v>
      </x:c>
      <x:c r="C11" s="105" t="str">
        <x:v>R1</x:v>
      </x:c>
      <x:c r="D11" s="106" t="str">
        <x:v>DR</x:v>
      </x:c>
      <x:c r="E11" s="106" t="str">
        <x:v>Destructive repair cell</x:v>
      </x:c>
      <x:c r="F11" s="106" t="n">
        <x:v>4</x:v>
      </x:c>
      <x:c r="G11" s="106" t="n">
        <x:v>8</x:v>
      </x:c>
      <x:c r="H11" s="106" t="n">
        <x:v>120</x:v>
      </x:c>
      <x:c r="I11" s="121" t="n">
        <x:f>G11*H11/1000</x:f>
        <x:v>0.96</x:v>
      </x:c>
      <x:c r="J11" s="121" t="n">
        <x:v>22</x:v>
      </x:c>
      <x:c r="K11" s="121" t="n">
        <x:f>G11*J11/1000</x:f>
        <x:v>0.176</x:v>
      </x:c>
      <x:c r="L11" s="106" t="str">
        <x:v>full-bore blind damage and repair</x:v>
      </x:c>
      <x:c r="M11" s="106" t="str">
        <x:v>PLANNED</x:v>
      </x:c>
      <x:c r="N11" s="108" t="str">
        <x:f>IF(AND(F11&gt;0,G11&gt;0),"PASS","FAIL")</x:f>
        <x:v>PASS</x:v>
      </x:c>
    </x:row>
    <x:row r="12" ht="43" customHeight="1">
      <x:c r="B12" s="105" t="str">
        <x:v>R1-CR</x:v>
      </x:c>
      <x:c r="C12" s="105" t="str">
        <x:v>R1</x:v>
      </x:c>
      <x:c r="D12" s="106" t="str">
        <x:v>CR</x:v>
      </x:c>
      <x:c r="E12" s="106" t="str">
        <x:v>Cold reproduction mission lot</x:v>
      </x:c>
      <x:c r="F12" s="106" t="n">
        <x:v>2</x:v>
      </x:c>
      <x:c r="G12" s="106" t="n">
        <x:v>2</x:v>
      </x:c>
      <x:c r="H12" s="106" t="n">
        <x:v>1000</x:v>
      </x:c>
      <x:c r="I12" s="121" t="n">
        <x:f>G12*H12/1000</x:f>
        <x:v>2</x:v>
      </x:c>
      <x:c r="J12" s="121" t="n">
        <x:v>160</x:v>
      </x:c>
      <x:c r="K12" s="121" t="n">
        <x:f>G12*J12/1000</x:f>
        <x:v>0.32</x:v>
      </x:c>
      <x:c r="L12" s="106" t="str">
        <x:v>second-team pressure, closure, sector and damage decision</x:v>
      </x:c>
      <x:c r="M12" s="106" t="str">
        <x:v>PLANNED</x:v>
      </x:c>
      <x:c r="N12" s="108" t="str">
        <x:f>IF(AND(F12&gt;0,G12&gt;0),"PASS","FAIL")</x:f>
        <x:v>PASS</x:v>
      </x:c>
    </x:row>
    <x:row r="13" ht="43" customHeight="1">
      <x:c r="B13" s="105" t="str">
        <x:v>R1-RQ</x:v>
      </x:c>
      <x:c r="C13" s="105" t="str">
        <x:v>R1</x:v>
      </x:c>
      <x:c r="D13" s="106" t="str">
        <x:v>RQ</x:v>
      </x:c>
      <x:c r="E13" s="106" t="str">
        <x:v>Reference and quarantine set</x:v>
      </x:c>
      <x:c r="F13" s="106" t="n">
        <x:v>2</x:v>
      </x:c>
      <x:c r="G13" s="106" t="n">
        <x:v>5</x:v>
      </x:c>
      <x:c r="H13" s="106" t="n">
        <x:v>0</x:v>
      </x:c>
      <x:c r="I13" s="121" t="n">
        <x:f>G13*H13/1000</x:f>
        <x:v>0</x:v>
      </x:c>
      <x:c r="J13" s="121" t="n">
        <x:v>4</x:v>
      </x:c>
      <x:c r="K13" s="121" t="n">
        <x:f>G13*J13/1000</x:f>
        <x:v>0.02</x:v>
      </x:c>
      <x:c r="L13" s="106" t="str">
        <x:v>untouched, accepted, failed and ambiguous custody</x:v>
      </x:c>
      <x:c r="M13" s="106" t="str">
        <x:v>PLANNED</x:v>
      </x:c>
      <x:c r="N13" s="108" t="str">
        <x:f>IF(AND(F13&gt;0,G13&gt;0),"PASS","FAIL")</x:f>
        <x:v>PASS</x:v>
      </x:c>
    </x:row>
    <x:row r="14" ht="43" customHeight="1">
      <x:c r="B14" s="105" t="str">
        <x:v>R2-MB</x:v>
      </x:c>
      <x:c r="C14" s="105" t="str">
        <x:v>R2</x:v>
      </x:c>
      <x:c r="D14" s="106" t="str">
        <x:v>MB</x:v>
      </x:c>
      <x:c r="E14" s="106" t="str">
        <x:v>Material and barrier</x:v>
      </x:c>
      <x:c r="F14" s="106" t="n">
        <x:v>4</x:v>
      </x:c>
      <x:c r="G14" s="106" t="n">
        <x:v>12</x:v>
      </x:c>
      <x:c r="H14" s="106" t="n">
        <x:v>0</x:v>
      </x:c>
      <x:c r="I14" s="121" t="n">
        <x:f>G14*H14/1000</x:f>
        <x:v>0</x:v>
      </x:c>
      <x:c r="J14" s="121" t="n">
        <x:v>2.5</x:v>
      </x:c>
      <x:c r="K14" s="121" t="n">
        <x:f>G14*J14/1000</x:f>
        <x:v>0.03</x:v>
      </x:c>
      <x:c r="L14" s="106" t="str">
        <x:v>coupon, layer, exposure and forensic states</x:v>
      </x:c>
      <x:c r="M14" s="106" t="str">
        <x:v>PLANNED</x:v>
      </x:c>
      <x:c r="N14" s="108" t="str">
        <x:f>IF(AND(F14&gt;0,G14&gt;0),"PASS","FAIL")</x:f>
        <x:v>PASS</x:v>
      </x:c>
    </x:row>
    <x:row r="15" ht="43" customHeight="1">
      <x:c r="B15" s="105" t="str">
        <x:v>R2-PS</x:v>
      </x:c>
      <x:c r="C15" s="105" t="str">
        <x:v>R2</x:v>
      </x:c>
      <x:c r="D15" s="106" t="str">
        <x:v>PS</x:v>
      </x:c>
      <x:c r="E15" s="106" t="str">
        <x:v>Full-thickness pressure section</x:v>
      </x:c>
      <x:c r="F15" s="106" t="n">
        <x:v>4</x:v>
      </x:c>
      <x:c r="G15" s="106" t="n">
        <x:v>8</x:v>
      </x:c>
      <x:c r="H15" s="106" t="n">
        <x:v>12</x:v>
      </x:c>
      <x:c r="I15" s="121" t="n">
        <x:f>G15*H15/1000</x:f>
        <x:v>0.096</x:v>
      </x:c>
      <x:c r="J15" s="121" t="n">
        <x:v>7</x:v>
      </x:c>
      <x:c r="K15" s="121" t="n">
        <x:f>G15*J15/1000</x:f>
        <x:v>0.056</x:v>
      </x:c>
      <x:c r="L15" s="106" t="str">
        <x:v>complete full-diameter wall system</x:v>
      </x:c>
      <x:c r="M15" s="106" t="str">
        <x:v>PLANNED</x:v>
      </x:c>
      <x:c r="N15" s="108" t="str">
        <x:f>IF(AND(F15&gt;0,G15&gt;0),"PASS","FAIL")</x:f>
        <x:v>PASS</x:v>
      </x:c>
    </x:row>
    <x:row r="16" ht="43" customHeight="1">
      <x:c r="B16" s="105" t="str">
        <x:v>R2-CW</x:v>
      </x:c>
      <x:c r="C16" s="105" t="str">
        <x:v>R2</x:v>
      </x:c>
      <x:c r="D16" s="106" t="str">
        <x:v>CW</x:v>
      </x:c>
      <x:c r="E16" s="106" t="str">
        <x:v>Closure process window</x:v>
      </x:c>
      <x:c r="F16" s="106" t="n">
        <x:v>4</x:v>
      </x:c>
      <x:c r="G16" s="106" t="n">
        <x:v>24</x:v>
      </x:c>
      <x:c r="H16" s="106" t="n">
        <x:v>6</x:v>
      </x:c>
      <x:c r="I16" s="121" t="n">
        <x:f>G16*H16/1000</x:f>
        <x:v>0.144</x:v>
      </x:c>
      <x:c r="J16" s="121" t="n">
        <x:v>3</x:v>
      </x:c>
      <x:c r="K16" s="121" t="n">
        <x:f>G16*J16/1000</x:f>
        <x:v>0.072</x:v>
      </x:c>
      <x:c r="L16" s="106" t="str">
        <x:v>window corners, operators and NDE</x:v>
      </x:c>
      <x:c r="M16" s="106" t="str">
        <x:v>PLANNED</x:v>
      </x:c>
      <x:c r="N16" s="108" t="str">
        <x:f>IF(AND(F16&gt;0,G16&gt;0),"PASS","FAIL")</x:f>
        <x:v>PASS</x:v>
      </x:c>
    </x:row>
    <x:row r="17" ht="43" customHeight="1">
      <x:c r="B17" s="105" t="str">
        <x:v>R2-SA</x:v>
      </x:c>
      <x:c r="C17" s="105" t="str">
        <x:v>R2</x:v>
      </x:c>
      <x:c r="D17" s="106" t="str">
        <x:v>SA</x:v>
      </x:c>
      <x:c r="E17" s="106" t="str">
        <x:v>Paired sector route unit</x:v>
      </x:c>
      <x:c r="F17" s="106" t="n">
        <x:v>2</x:v>
      </x:c>
      <x:c r="G17" s="106" t="n">
        <x:v>4</x:v>
      </x:c>
      <x:c r="H17" s="106" t="n">
        <x:v>1000</x:v>
      </x:c>
      <x:c r="I17" s="121" t="n">
        <x:f>G17*H17/1000</x:f>
        <x:v>4</x:v>
      </x:c>
      <x:c r="J17" s="121" t="n">
        <x:v>125</x:v>
      </x:c>
      <x:c r="K17" s="121" t="n">
        <x:f>G17*J17/1000</x:f>
        <x:v>0.5</x:v>
      </x:c>
      <x:c r="L17" s="106" t="str">
        <x:v>one full-diameter route-km; two units per reach</x:v>
      </x:c>
      <x:c r="M17" s="106" t="str">
        <x:v>PLANNED</x:v>
      </x:c>
      <x:c r="N17" s="108" t="str">
        <x:f>IF(AND(F17&gt;0,G17&gt;0),"PASS","FAIL")</x:f>
        <x:v>PASS</x:v>
      </x:c>
    </x:row>
    <x:row r="18" ht="43" customHeight="1">
      <x:c r="B18" s="105" t="str">
        <x:v>R2-DR</x:v>
      </x:c>
      <x:c r="C18" s="105" t="str">
        <x:v>R2</x:v>
      </x:c>
      <x:c r="D18" s="106" t="str">
        <x:v>DR</x:v>
      </x:c>
      <x:c r="E18" s="106" t="str">
        <x:v>Destructive repair cell</x:v>
      </x:c>
      <x:c r="F18" s="106" t="n">
        <x:v>4</x:v>
      </x:c>
      <x:c r="G18" s="106" t="n">
        <x:v>8</x:v>
      </x:c>
      <x:c r="H18" s="106" t="n">
        <x:v>120</x:v>
      </x:c>
      <x:c r="I18" s="121" t="n">
        <x:f>G18*H18/1000</x:f>
        <x:v>0.96</x:v>
      </x:c>
      <x:c r="J18" s="121" t="n">
        <x:v>24</x:v>
      </x:c>
      <x:c r="K18" s="121" t="n">
        <x:f>G18*J18/1000</x:f>
        <x:v>0.192</x:v>
      </x:c>
      <x:c r="L18" s="106" t="str">
        <x:v>full-bore blind damage and repair</x:v>
      </x:c>
      <x:c r="M18" s="106" t="str">
        <x:v>PLANNED</x:v>
      </x:c>
      <x:c r="N18" s="108" t="str">
        <x:f>IF(AND(F18&gt;0,G18&gt;0),"PASS","FAIL")</x:f>
        <x:v>PASS</x:v>
      </x:c>
    </x:row>
    <x:row r="19" ht="43" customHeight="1">
      <x:c r="B19" s="105" t="str">
        <x:v>R2-CR</x:v>
      </x:c>
      <x:c r="C19" s="105" t="str">
        <x:v>R2</x:v>
      </x:c>
      <x:c r="D19" s="106" t="str">
        <x:v>CR</x:v>
      </x:c>
      <x:c r="E19" s="106" t="str">
        <x:v>Cold reproduction mission lot</x:v>
      </x:c>
      <x:c r="F19" s="106" t="n">
        <x:v>2</x:v>
      </x:c>
      <x:c r="G19" s="106" t="n">
        <x:v>2</x:v>
      </x:c>
      <x:c r="H19" s="106" t="n">
        <x:v>1000</x:v>
      </x:c>
      <x:c r="I19" s="121" t="n">
        <x:f>G19*H19/1000</x:f>
        <x:v>2</x:v>
      </x:c>
      <x:c r="J19" s="121" t="n">
        <x:v>180</x:v>
      </x:c>
      <x:c r="K19" s="121" t="n">
        <x:f>G19*J19/1000</x:f>
        <x:v>0.36</x:v>
      </x:c>
      <x:c r="L19" s="106" t="str">
        <x:v>second-team pressure, closure, sector and damage decision</x:v>
      </x:c>
      <x:c r="M19" s="106" t="str">
        <x:v>PLANNED</x:v>
      </x:c>
      <x:c r="N19" s="108" t="str">
        <x:f>IF(AND(F19&gt;0,G19&gt;0),"PASS","FAIL")</x:f>
        <x:v>PASS</x:v>
      </x:c>
    </x:row>
    <x:row r="20" ht="43" customHeight="1">
      <x:c r="B20" s="105" t="str">
        <x:v>R2-RQ</x:v>
      </x:c>
      <x:c r="C20" s="105" t="str">
        <x:v>R2</x:v>
      </x:c>
      <x:c r="D20" s="106" t="str">
        <x:v>RQ</x:v>
      </x:c>
      <x:c r="E20" s="106" t="str">
        <x:v>Reference and quarantine set</x:v>
      </x:c>
      <x:c r="F20" s="106" t="n">
        <x:v>2</x:v>
      </x:c>
      <x:c r="G20" s="106" t="n">
        <x:v>5</x:v>
      </x:c>
      <x:c r="H20" s="106" t="n">
        <x:v>0</x:v>
      </x:c>
      <x:c r="I20" s="121" t="n">
        <x:f>G20*H20/1000</x:f>
        <x:v>0</x:v>
      </x:c>
      <x:c r="J20" s="121" t="n">
        <x:v>4</x:v>
      </x:c>
      <x:c r="K20" s="121" t="n">
        <x:f>G20*J20/1000</x:f>
        <x:v>0.02</x:v>
      </x:c>
      <x:c r="L20" s="106" t="str">
        <x:v>untouched, accepted, failed and ambiguous custody</x:v>
      </x:c>
      <x:c r="M20" s="106" t="str">
        <x:v>PLANNED</x:v>
      </x:c>
      <x:c r="N20" s="108" t="str">
        <x:f>IF(AND(F20&gt;0,G20&gt;0),"PASS","FAIL")</x:f>
        <x:v>PASS</x:v>
      </x:c>
    </x:row>
    <x:row r="21" ht="43" customHeight="1">
      <x:c r="B21" s="105" t="str">
        <x:v>R3-MB</x:v>
      </x:c>
      <x:c r="C21" s="105" t="str">
        <x:v>R3</x:v>
      </x:c>
      <x:c r="D21" s="106" t="str">
        <x:v>MB</x:v>
      </x:c>
      <x:c r="E21" s="106" t="str">
        <x:v>Material and barrier</x:v>
      </x:c>
      <x:c r="F21" s="106" t="n">
        <x:v>5</x:v>
      </x:c>
      <x:c r="G21" s="106" t="n">
        <x:v>16</x:v>
      </x:c>
      <x:c r="H21" s="106" t="n">
        <x:v>0</x:v>
      </x:c>
      <x:c r="I21" s="121" t="n">
        <x:f>G21*H21/1000</x:f>
        <x:v>0</x:v>
      </x:c>
      <x:c r="J21" s="121" t="n">
        <x:v>4</x:v>
      </x:c>
      <x:c r="K21" s="121" t="n">
        <x:f>G21*J21/1000</x:f>
        <x:v>0.064</x:v>
      </x:c>
      <x:c r="L21" s="106" t="str">
        <x:v>coupon, layer, exposure and forensic states</x:v>
      </x:c>
      <x:c r="M21" s="106" t="str">
        <x:v>PLANNED</x:v>
      </x:c>
      <x:c r="N21" s="108" t="str">
        <x:f>IF(AND(F21&gt;0,G21&gt;0),"PASS","FAIL")</x:f>
        <x:v>PASS</x:v>
      </x:c>
    </x:row>
    <x:row r="22" ht="43" customHeight="1">
      <x:c r="B22" s="105" t="str">
        <x:v>R3-PS</x:v>
      </x:c>
      <x:c r="C22" s="105" t="str">
        <x:v>R3</x:v>
      </x:c>
      <x:c r="D22" s="106" t="str">
        <x:v>PS</x:v>
      </x:c>
      <x:c r="E22" s="106" t="str">
        <x:v>Full-thickness pressure section</x:v>
      </x:c>
      <x:c r="F22" s="106" t="n">
        <x:v>4</x:v>
      </x:c>
      <x:c r="G22" s="106" t="n">
        <x:v>12</x:v>
      </x:c>
      <x:c r="H22" s="106" t="n">
        <x:v>12</x:v>
      </x:c>
      <x:c r="I22" s="121" t="n">
        <x:f>G22*H22/1000</x:f>
        <x:v>0.144</x:v>
      </x:c>
      <x:c r="J22" s="121" t="n">
        <x:v>10</x:v>
      </x:c>
      <x:c r="K22" s="121" t="n">
        <x:f>G22*J22/1000</x:f>
        <x:v>0.12</x:v>
      </x:c>
      <x:c r="L22" s="106" t="str">
        <x:v>complete full-diameter wall system</x:v>
      </x:c>
      <x:c r="M22" s="106" t="str">
        <x:v>PLANNED</x:v>
      </x:c>
      <x:c r="N22" s="108" t="str">
        <x:f>IF(AND(F22&gt;0,G22&gt;0),"PASS","FAIL")</x:f>
        <x:v>PASS</x:v>
      </x:c>
    </x:row>
    <x:row r="23" ht="43" customHeight="1">
      <x:c r="B23" s="105" t="str">
        <x:v>R3-CW</x:v>
      </x:c>
      <x:c r="C23" s="105" t="str">
        <x:v>R3</x:v>
      </x:c>
      <x:c r="D23" s="106" t="str">
        <x:v>CW</x:v>
      </x:c>
      <x:c r="E23" s="106" t="str">
        <x:v>Closure process window</x:v>
      </x:c>
      <x:c r="F23" s="106" t="n">
        <x:v>4</x:v>
      </x:c>
      <x:c r="G23" s="106" t="n">
        <x:v>24</x:v>
      </x:c>
      <x:c r="H23" s="106" t="n">
        <x:v>6</x:v>
      </x:c>
      <x:c r="I23" s="121" t="n">
        <x:f>G23*H23/1000</x:f>
        <x:v>0.144</x:v>
      </x:c>
      <x:c r="J23" s="121" t="n">
        <x:v>4</x:v>
      </x:c>
      <x:c r="K23" s="121" t="n">
        <x:f>G23*J23/1000</x:f>
        <x:v>0.096</x:v>
      </x:c>
      <x:c r="L23" s="106" t="str">
        <x:v>window corners, operators and NDE</x:v>
      </x:c>
      <x:c r="M23" s="106" t="str">
        <x:v>PLANNED</x:v>
      </x:c>
      <x:c r="N23" s="108" t="str">
        <x:f>IF(AND(F23&gt;0,G23&gt;0),"PASS","FAIL")</x:f>
        <x:v>PASS</x:v>
      </x:c>
    </x:row>
    <x:row r="24" ht="43" customHeight="1">
      <x:c r="B24" s="105" t="str">
        <x:v>R3-SA</x:v>
      </x:c>
      <x:c r="C24" s="105" t="str">
        <x:v>R3</x:v>
      </x:c>
      <x:c r="D24" s="106" t="str">
        <x:v>SA</x:v>
      </x:c>
      <x:c r="E24" s="106" t="str">
        <x:v>Paired sector route unit</x:v>
      </x:c>
      <x:c r="F24" s="106" t="n">
        <x:v>2</x:v>
      </x:c>
      <x:c r="G24" s="106" t="n">
        <x:v>2</x:v>
      </x:c>
      <x:c r="H24" s="106" t="n">
        <x:v>1000</x:v>
      </x:c>
      <x:c r="I24" s="121" t="n">
        <x:f>G24*H24/1000</x:f>
        <x:v>2</x:v>
      </x:c>
      <x:c r="J24" s="121" t="n">
        <x:v>140</x:v>
      </x:c>
      <x:c r="K24" s="121" t="n">
        <x:f>G24*J24/1000</x:f>
        <x:v>0.28</x:v>
      </x:c>
      <x:c r="L24" s="106" t="str">
        <x:v>one full-diameter route-km; two units per reach</x:v>
      </x:c>
      <x:c r="M24" s="106" t="str">
        <x:v>CONDITIONAL</x:v>
      </x:c>
      <x:c r="N24" s="108" t="str">
        <x:f>IF(AND(F24&gt;0,G24&gt;0),"PASS","FAIL")</x:f>
        <x:v>PASS</x:v>
      </x:c>
    </x:row>
    <x:row r="25" ht="43" customHeight="1">
      <x:c r="B25" s="105" t="str">
        <x:v>R3-DR</x:v>
      </x:c>
      <x:c r="C25" s="105" t="str">
        <x:v>R3</x:v>
      </x:c>
      <x:c r="D25" s="106" t="str">
        <x:v>DR</x:v>
      </x:c>
      <x:c r="E25" s="106" t="str">
        <x:v>Destructive repair cell</x:v>
      </x:c>
      <x:c r="F25" s="106" t="n">
        <x:v>4</x:v>
      </x:c>
      <x:c r="G25" s="106" t="n">
        <x:v>10</x:v>
      </x:c>
      <x:c r="H25" s="106" t="n">
        <x:v>120</x:v>
      </x:c>
      <x:c r="I25" s="121" t="n">
        <x:f>G25*H25/1000</x:f>
        <x:v>1.2</x:v>
      </x:c>
      <x:c r="J25" s="121" t="n">
        <x:v>28</x:v>
      </x:c>
      <x:c r="K25" s="121" t="n">
        <x:f>G25*J25/1000</x:f>
        <x:v>0.28</x:v>
      </x:c>
      <x:c r="L25" s="106" t="str">
        <x:v>full-bore blind damage and repair</x:v>
      </x:c>
      <x:c r="M25" s="106" t="str">
        <x:v>PLANNED</x:v>
      </x:c>
      <x:c r="N25" s="108" t="str">
        <x:f>IF(AND(F25&gt;0,G25&gt;0),"PASS","FAIL")</x:f>
        <x:v>PASS</x:v>
      </x:c>
    </x:row>
    <x:row r="26" ht="43" customHeight="1">
      <x:c r="B26" s="105" t="str">
        <x:v>R3-CR</x:v>
      </x:c>
      <x:c r="C26" s="105" t="str">
        <x:v>R3</x:v>
      </x:c>
      <x:c r="D26" s="106" t="str">
        <x:v>CR</x:v>
      </x:c>
      <x:c r="E26" s="106" t="str">
        <x:v>Cold reproduction mission lot</x:v>
      </x:c>
      <x:c r="F26" s="106" t="n">
        <x:v>2</x:v>
      </x:c>
      <x:c r="G26" s="106" t="n">
        <x:v>2</x:v>
      </x:c>
      <x:c r="H26" s="106" t="n">
        <x:v>1000</x:v>
      </x:c>
      <x:c r="I26" s="121" t="n">
        <x:f>G26*H26/1000</x:f>
        <x:v>2</x:v>
      </x:c>
      <x:c r="J26" s="121" t="n">
        <x:v>190</x:v>
      </x:c>
      <x:c r="K26" s="121" t="n">
        <x:f>G26*J26/1000</x:f>
        <x:v>0.38</x:v>
      </x:c>
      <x:c r="L26" s="106" t="str">
        <x:v>second-team pressure, closure, sector and damage decision</x:v>
      </x:c>
      <x:c r="M26" s="106" t="str">
        <x:v>PLANNED</x:v>
      </x:c>
      <x:c r="N26" s="108" t="str">
        <x:f>IF(AND(F26&gt;0,G26&gt;0),"PASS","FAIL")</x:f>
        <x:v>PASS</x:v>
      </x:c>
    </x:row>
    <x:row r="27" ht="43" customHeight="1">
      <x:c r="B27" s="105" t="str">
        <x:v>R3-RQ</x:v>
      </x:c>
      <x:c r="C27" s="105" t="str">
        <x:v>R3</x:v>
      </x:c>
      <x:c r="D27" s="106" t="str">
        <x:v>RQ</x:v>
      </x:c>
      <x:c r="E27" s="106" t="str">
        <x:v>Reference and quarantine set</x:v>
      </x:c>
      <x:c r="F27" s="106" t="n">
        <x:v>1</x:v>
      </x:c>
      <x:c r="G27" s="106" t="n">
        <x:v>4</x:v>
      </x:c>
      <x:c r="H27" s="106" t="n">
        <x:v>0</x:v>
      </x:c>
      <x:c r="I27" s="121" t="n">
        <x:f>G27*H27/1000</x:f>
        <x:v>0</x:v>
      </x:c>
      <x:c r="J27" s="121" t="n">
        <x:v>5</x:v>
      </x:c>
      <x:c r="K27" s="121" t="n">
        <x:f>G27*J27/1000</x:f>
        <x:v>0.02</x:v>
      </x:c>
      <x:c r="L27" s="106" t="str">
        <x:v>untouched, accepted, failed and ambiguous custody</x:v>
      </x:c>
      <x:c r="M27" s="106" t="str">
        <x:v>PLANNED</x:v>
      </x:c>
      <x:c r="N27" s="108" t="str">
        <x:f>IF(AND(F27&gt;0,G27&gt;0),"PASS","FAIL")</x:f>
        <x:v>PASS</x:v>
      </x:c>
    </x:row>
    <x:row r="28">
      <x:c r="B28" s="110" t="str">
        <x:v>CONTROL</x:v>
      </x:c>
      <x:c r="C28" s="110" t="str">
        <x:v>TOTAL</x:v>
      </x:c>
      <x:c r="D28" s="110" t="str">
        <x:v>bank</x:v>
      </x:c>
      <x:c r="E28" s="110"/>
      <x:c r="F28" s="110" t="n">
        <x:f>SUM(F7:F27)</x:f>
        <x:v>66</x:v>
      </x:c>
      <x:c r="G28" s="110" t="n">
        <x:f>SUM(G7:G27)</x:f>
        <x:v>196</x:v>
      </x:c>
      <x:c r="H28" s="110"/>
      <x:c r="I28" s="127" t="n">
        <x:f>SUM(I7:I27)</x:f>
        <x:v>19.888</x:v>
      </x:c>
      <x:c r="J28" s="127"/>
      <x:c r="K28" s="127" t="n">
        <x:f>SUM(K7:K27)</x:f>
        <x:v>3.5980000000000003</x:v>
      </x:c>
      <x:c r="L28" s="110"/>
      <x:c r="M28" s="110"/>
      <x:c r="N28" s="128" t="str">
        <x:f>IF(AND(F28=66,G28=196),"PASS","FAIL")</x:f>
        <x:v>PASS</x:v>
      </x:c>
    </x:row>
  </x:sheetData>
  <x:mergeCells>
    <x:mergeCell ref="B3:N3"/>
  </x:mergeCells>
  <x:conditionalFormatting sqref="M7:N28">
    <x:cfRule type="containsText" dxfId="33" priority="1" operator="containsText" text="FAIL"/>
    <x:cfRule type="containsText" dxfId="34" priority="2" operator="containsText" text="BLOCKED"/>
    <x:cfRule type="containsText" dxfId="35" priority="3" operator="containsText" text="HOLD"/>
    <x:cfRule type="containsText" dxfId="36" priority="4" operator="containsText" text="OPEN"/>
    <x:cfRule type="containsText" dxfId="37" priority="5" operator="containsText" text="NOT ADMITTED"/>
    <x:cfRule type="containsText" dxfId="38" priority="6" operator="containsText" text="PASS"/>
    <x:cfRule type="containsText" dxfId="39" priority="7" operator="containsText" text="CLOSED"/>
    <x:cfRule type="containsText" dxfId="40" priority="8" operator="containsText" text="READY"/>
    <x:cfRule type="containsText" dxfId="41" priority="9" operator="containsText" text="AUTHORIZED"/>
    <x:cfRule type="containsText" dxfId="42" priority="10" operator="containsText" text="PLANNING PASS"/>
    <x:cfRule type="containsText" dxfId="43" priority="11" operator="containsText" text="COMPLETE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14" hidden="0" customWidth="1"/>
    <x:col min="4" max="4" width="35" hidden="0" customWidth="1"/>
    <x:col min="5" max="5" width="30" hidden="0" customWidth="1"/>
    <x:col min="6" max="6" width="43" hidden="0" customWidth="1"/>
    <x:col min="7" max="7" width="40" hidden="0" customWidth="1"/>
    <x:col min="8" max="8" width="15" hidden="0" customWidth="1"/>
  </x:cols>
  <x:sheetData>
    <x:row r="2">
      <x:c r="B2" s="92" t="str">
        <x:v>Material and sanitary qualification envelope</x:v>
      </x:c>
      <x:c r="C2" s="83"/>
      <x:c r="D2" s="83"/>
      <x:c r="E2" s="83"/>
      <x:c r="F2" s="83"/>
      <x:c r="G2" s="83"/>
      <x:c r="H2" s="83"/>
      <x:c r="I2" s="83"/>
      <x:c r="J2" s="83"/>
      <x:c r="K2" s="83"/>
    </x:row>
    <x:row r="3">
      <x:c r="B3" s="84" t="str">
        <x:v>Common propositions preserve comparability. Root packages own actual composition, process windows and rejection criteria.</x:v>
      </x:c>
      <x:c r="C3" s="83"/>
      <x:c r="D3" s="83"/>
      <x:c r="E3" s="83"/>
      <x:c r="F3" s="83"/>
      <x:c r="G3" s="83"/>
      <x:c r="H3" s="83"/>
      <x:c r="I3" s="83"/>
      <x:c r="J3" s="83"/>
      <x:c r="K3" s="83"/>
    </x:row>
    <x:row r="4">
      <x:c r="B4" s="85"/>
      <x:c r="C4" s="85"/>
      <x:c r="D4" s="85"/>
      <x:c r="E4" s="85"/>
      <x:c r="F4" s="85"/>
      <x:c r="G4" s="85"/>
      <x:c r="H4" s="85"/>
      <x:c r="I4" s="85"/>
      <x:c r="J4" s="85"/>
      <x:c r="K4" s="85"/>
    </x:row>
    <x:row r="5">
      <x:c r="B5" s="83"/>
      <x:c r="C5" s="83"/>
      <x:c r="D5" s="83"/>
      <x:c r="E5" s="83"/>
      <x:c r="F5" s="83"/>
      <x:c r="G5" s="83"/>
      <x:c r="H5" s="83"/>
      <x:c r="I5" s="83"/>
      <x:c r="J5" s="83"/>
      <x:c r="K5" s="83"/>
    </x:row>
    <x:row r="6">
      <x:c r="B6" s="18" t="str">
        <x:v>ID</x:v>
      </x:c>
      <x:c r="C6" s="19" t="str">
        <x:v>Domain</x:v>
      </x:c>
      <x:c r="D6" s="19" t="str">
        <x:v>Controlled property</x:v>
      </x:c>
      <x:c r="E6" s="19" t="str">
        <x:v>Sampling state</x:v>
      </x:c>
      <x:c r="F6" s="19" t="str">
        <x:v>Acceptance proposition</x:v>
      </x:c>
      <x:c r="G6" s="19" t="str">
        <x:v>Original evidence</x:v>
      </x:c>
      <x:c r="H6" s="19" t="str">
        <x:v>Physical state</x:v>
      </x:c>
      <x:c r="I6" s="83"/>
      <x:c r="J6" s="83"/>
      <x:c r="K6" s="83"/>
    </x:row>
    <x:row r="7" ht="46" customHeight="1">
      <x:c r="B7" s="105" t="str">
        <x:v>M01</x:v>
      </x:c>
      <x:c r="C7" s="106" t="str">
        <x:v>Identity</x:v>
      </x:c>
      <x:c r="D7" s="106" t="str">
        <x:v>complete composition and layer passport</x:v>
      </x:c>
      <x:c r="E7" s="106" t="str">
        <x:v>each production lot</x:v>
      </x:c>
      <x:c r="F7" s="106" t="str">
        <x:v>zero unknown constituent</x:v>
      </x:c>
      <x:c r="G7" s="106" t="str">
        <x:v>lot passport and independent assay</x:v>
      </x:c>
      <x:c r="H7" s="108" t="str">
        <x:v>OPEN</x:v>
      </x:c>
      <x:c r="I7" s="83"/>
      <x:c r="J7" s="83"/>
      <x:c r="K7" s="83"/>
    </x:row>
    <x:row r="8" ht="46" customHeight="1">
      <x:c r="B8" s="105" t="str">
        <x:v>M02</x:v>
      </x:c>
      <x:c r="C8" s="106" t="str">
        <x:v>Geometry</x:v>
      </x:c>
      <x:c r="D8" s="106" t="str">
        <x:v>wall, layer, reinforcement and local area</x:v>
      </x:c>
      <x:c r="E8" s="106" t="str">
        <x:v>beginning/middle/end</x:v>
      </x:c>
      <x:c r="F8" s="106" t="str">
        <x:v>within root package and common area floor</x:v>
      </x:c>
      <x:c r="G8" s="106" t="str">
        <x:v>scan and section map</x:v>
      </x:c>
      <x:c r="H8" s="108" t="str">
        <x:v>OPEN</x:v>
      </x:c>
      <x:c r="I8" s="83"/>
      <x:c r="J8" s="83"/>
      <x:c r="K8" s="83"/>
    </x:row>
    <x:row r="9" ht="46" customHeight="1">
      <x:c r="B9" s="105" t="str">
        <x:v>M03</x:v>
      </x:c>
      <x:c r="C9" s="106" t="str">
        <x:v>Bond</x:v>
      </x:c>
      <x:c r="D9" s="106" t="str">
        <x:v>interlayer adhesion and seam state</x:v>
      </x:c>
      <x:c r="E9" s="106" t="str">
        <x:v>new and aged</x:v>
      </x:c>
      <x:c r="F9" s="106" t="str">
        <x:v>no unregistered separation</x:v>
      </x:c>
      <x:c r="G9" s="106" t="str">
        <x:v>peel/shear plus full-section inspection</x:v>
      </x:c>
      <x:c r="H9" s="108" t="str">
        <x:v>OPEN</x:v>
      </x:c>
      <x:c r="I9" s="83"/>
      <x:c r="J9" s="83"/>
      <x:c r="K9" s="83"/>
    </x:row>
    <x:row r="10" ht="46" customHeight="1">
      <x:c r="B10" s="105" t="str">
        <x:v>M04</x:v>
      </x:c>
      <x:c r="C10" s="106" t="str">
        <x:v>Strength</x:v>
      </x:c>
      <x:c r="D10" s="106" t="str">
        <x:v>hoop, axial, tear and creep state</x:v>
      </x:c>
      <x:c r="E10" s="106" t="str">
        <x:v>three production positions</x:v>
      </x:c>
      <x:c r="F10" s="106" t="str">
        <x:v>meets frozen structural case</x:v>
      </x:c>
      <x:c r="G10" s="106" t="str">
        <x:v>coupon and full-bore correlation</x:v>
      </x:c>
      <x:c r="H10" s="108" t="str">
        <x:v>OPEN</x:v>
      </x:c>
      <x:c r="I10" s="83"/>
      <x:c r="J10" s="83"/>
      <x:c r="K10" s="83"/>
    </x:row>
    <x:row r="11" ht="46" customHeight="1">
      <x:c r="B11" s="105" t="str">
        <x:v>M05</x:v>
      </x:c>
      <x:c r="C11" s="106" t="str">
        <x:v>Permeation</x:v>
      </x:c>
      <x:c r="D11" s="106" t="str">
        <x:v>external soil/fuel surrogate ingress</x:v>
      </x:c>
      <x:c r="E11" s="106" t="str">
        <x:v>hot and cold exposure</x:v>
      </x:c>
      <x:c r="F11" s="106" t="str">
        <x:v>below registered receiver decision margin</x:v>
      </x:c>
      <x:c r="G11" s="106" t="str">
        <x:v>blind pre/post assay</x:v>
      </x:c>
      <x:c r="H11" s="108" t="str">
        <x:v>OPEN</x:v>
      </x:c>
      <x:c r="I11" s="83"/>
      <x:c r="J11" s="83"/>
      <x:c r="K11" s="83"/>
    </x:row>
    <x:row r="12" ht="46" customHeight="1">
      <x:c r="B12" s="105" t="str">
        <x:v>M06</x:v>
      </x:c>
      <x:c r="C12" s="106" t="str">
        <x:v>Migration</x:v>
      </x:c>
      <x:c r="D12" s="106" t="str">
        <x:v>internal material migrants</x:v>
      </x:c>
      <x:c r="E12" s="106" t="str">
        <x:v>new, cleaned and aged</x:v>
      </x:c>
      <x:c r="F12" s="106" t="str">
        <x:v>all registered analytes below release limit</x:v>
      </x:c>
      <x:c r="G12" s="106" t="str">
        <x:v>blind water-contact assay</x:v>
      </x:c>
      <x:c r="H12" s="108" t="str">
        <x:v>OPEN</x:v>
      </x:c>
      <x:c r="I12" s="83"/>
      <x:c r="J12" s="83"/>
      <x:c r="K12" s="83"/>
    </x:row>
    <x:row r="13" ht="46" customHeight="1">
      <x:c r="B13" s="105" t="str">
        <x:v>M07</x:v>
      </x:c>
      <x:c r="C13" s="106" t="str">
        <x:v>Cleaning</x:v>
      </x:c>
      <x:c r="D13" s="106" t="str">
        <x:v>disinfectant and flush exposure</x:v>
      </x:c>
      <x:c r="E13" s="106" t="str">
        <x:v>minimum three validated turns</x:v>
      </x:c>
      <x:c r="F13" s="106" t="str">
        <x:v>no barrier, bond or migrant failure</x:v>
      </x:c>
      <x:c r="G13" s="106" t="str">
        <x:v>chemistry, mass and microscopy</x:v>
      </x:c>
      <x:c r="H13" s="108" t="str">
        <x:v>OPEN</x:v>
      </x:c>
      <x:c r="I13" s="83"/>
      <x:c r="J13" s="83"/>
      <x:c r="K13" s="83"/>
    </x:row>
    <x:row r="14" ht="46" customHeight="1">
      <x:c r="B14" s="105" t="str">
        <x:v>M08</x:v>
      </x:c>
      <x:c r="C14" s="106" t="str">
        <x:v>Abrasion</x:v>
      </x:c>
      <x:c r="D14" s="106" t="str">
        <x:v>soil, crossing and retrieval wear</x:v>
      </x:c>
      <x:c r="E14" s="106" t="str">
        <x:v>dry/wet plus grit</x:v>
      </x:c>
      <x:c r="F14" s="106" t="str">
        <x:v>remaining wall above frozen reject floor</x:v>
      </x:c>
      <x:c r="G14" s="106" t="str">
        <x:v>mass, scan and proof</x:v>
      </x:c>
      <x:c r="H14" s="108" t="str">
        <x:v>OPEN</x:v>
      </x:c>
      <x:c r="I14" s="83"/>
      <x:c r="J14" s="83"/>
      <x:c r="K14" s="83"/>
    </x:row>
    <x:row r="15" ht="46" customHeight="1">
      <x:c r="B15" s="105" t="str">
        <x:v>M09</x:v>
      </x:c>
      <x:c r="C15" s="106" t="str">
        <x:v>Puncture</x:v>
      </x:c>
      <x:c r="D15" s="106" t="str">
        <x:v>20 kN local indenter</x:v>
      </x:c>
      <x:c r="E15" s="106" t="str">
        <x:v>supported and unsupported</x:v>
      </x:c>
      <x:c r="F15" s="106" t="str">
        <x:v>declared safe state and damage visibility</x:v>
      </x:c>
      <x:c r="G15" s="106" t="str">
        <x:v>load/displacement and leak state</x:v>
      </x:c>
      <x:c r="H15" s="108" t="str">
        <x:v>OPEN</x:v>
      </x:c>
      <x:c r="I15" s="83"/>
      <x:c r="J15" s="83"/>
      <x:c r="K15" s="83"/>
    </x:row>
    <x:row r="16" ht="46" customHeight="1">
      <x:c r="B16" s="105" t="str">
        <x:v>M10</x:v>
      </x:c>
      <x:c r="C16" s="106" t="str">
        <x:v>Impact</x:v>
      </x:c>
      <x:c r="D16" s="106" t="str">
        <x:v>5 kJ registered striker</x:v>
      </x:c>
      <x:c r="E16" s="106" t="str">
        <x:v>cold/hot states</x:v>
      </x:c>
      <x:c r="F16" s="106" t="str">
        <x:v>no silent loss of service boundary</x:v>
      </x:c>
      <x:c r="G16" s="106" t="str">
        <x:v>high-rate load and geometry</x:v>
      </x:c>
      <x:c r="H16" s="108" t="str">
        <x:v>OPEN</x:v>
      </x:c>
      <x:c r="I16" s="83"/>
      <x:c r="J16" s="83"/>
      <x:c r="K16" s="83"/>
    </x:row>
    <x:row r="17" ht="46" customHeight="1">
      <x:c r="B17" s="105" t="str">
        <x:v>M11</x:v>
      </x:c>
      <x:c r="C17" s="106" t="str">
        <x:v>Vacuum</x:v>
      </x:c>
      <x:c r="D17" s="106" t="str">
        <x:v>minus 0.085 MPa</x:v>
      </x:c>
      <x:c r="E17" s="106" t="str">
        <x:v>new and damaged</x:v>
      </x:c>
      <x:c r="F17" s="106" t="str">
        <x:v>area floor retained or safe invalid state</x:v>
      </x:c>
      <x:c r="G17" s="106" t="str">
        <x:v>geometry and pressure record</x:v>
      </x:c>
      <x:c r="H17" s="108" t="str">
        <x:v>OPEN</x:v>
      </x:c>
      <x:c r="I17" s="83"/>
      <x:c r="J17" s="83"/>
      <x:c r="K17" s="83"/>
    </x:row>
    <x:row r="18" ht="46" customHeight="1">
      <x:c r="B18" s="105" t="str">
        <x:v>M12</x:v>
      </x:c>
      <x:c r="C18" s="106" t="str">
        <x:v>Cycling</x:v>
      </x:c>
      <x:c r="D18" s="106" t="str">
        <x:v>50,000 pressure cycles</x:v>
      </x:c>
      <x:c r="E18" s="106" t="str">
        <x:v>new and repaired</x:v>
      </x:c>
      <x:c r="F18" s="106" t="str">
        <x:v>no leakage or silent drift</x:v>
      </x:c>
      <x:c r="G18" s="106" t="str">
        <x:v>pressure, strain and NDE</x:v>
      </x:c>
      <x:c r="H18" s="108" t="str">
        <x:v>OPEN</x:v>
      </x:c>
      <x:c r="I18" s="83"/>
      <x:c r="J18" s="83"/>
      <x:c r="K18" s="83"/>
    </x:row>
    <x:row r="19" ht="46" customHeight="1">
      <x:c r="B19" s="105" t="str">
        <x:v>M13</x:v>
      </x:c>
      <x:c r="C19" s="106" t="str">
        <x:v>Storage</x:v>
      </x:c>
      <x:c r="D19" s="106" t="str">
        <x:v>sealed reserve aging</x:v>
      </x:c>
      <x:c r="E19" s="106" t="str">
        <x:v>thermal and humidity envelope</x:v>
      </x:c>
      <x:c r="F19" s="106" t="str">
        <x:v>release after registered inspection</x:v>
      </x:c>
      <x:c r="G19" s="106" t="str">
        <x:v>witness coupons and packaging state</x:v>
      </x:c>
      <x:c r="H19" s="108" t="str">
        <x:v>OPEN</x:v>
      </x:c>
      <x:c r="I19" s="83"/>
      <x:c r="J19" s="83"/>
      <x:c r="K19" s="83"/>
    </x:row>
    <x:row r="20" ht="46" customHeight="1">
      <x:c r="B20" s="105" t="str">
        <x:v>M14</x:v>
      </x:c>
      <x:c r="C20" s="106" t="str">
        <x:v>Freeze/thaw</x:v>
      </x:c>
      <x:c r="D20" s="106" t="str">
        <x:v>water and drained states</x:v>
      </x:c>
      <x:c r="E20" s="106" t="str">
        <x:v>registered cycles</x:v>
      </x:c>
      <x:c r="F20" s="106" t="str">
        <x:v>no crack, bond or closure failure</x:v>
      </x:c>
      <x:c r="G20" s="106" t="str">
        <x:v>full-section proof</x:v>
      </x:c>
      <x:c r="H20" s="108" t="str">
        <x:v>OPEN</x:v>
      </x:c>
      <x:c r="I20" s="83"/>
      <x:c r="J20" s="83"/>
      <x:c r="K20" s="83"/>
    </x:row>
    <x:row r="21" ht="46" customHeight="1">
      <x:c r="B21" s="105" t="str">
        <x:v>M15</x:v>
      </x:c>
      <x:c r="C21" s="106" t="str">
        <x:v>Fire/heat</x:v>
      </x:c>
      <x:c r="D21" s="106" t="str">
        <x:v>external heat and local flame</x:v>
      </x:c>
      <x:c r="E21" s="106" t="str">
        <x:v>protected crossing state</x:v>
      </x:c>
      <x:c r="F21" s="106" t="str">
        <x:v>contained failure and identifiable damage</x:v>
      </x:c>
      <x:c r="G21" s="106" t="str">
        <x:v>thermal and material record</x:v>
      </x:c>
      <x:c r="H21" s="108" t="str">
        <x:v>OPEN</x:v>
      </x:c>
      <x:c r="I21" s="83"/>
      <x:c r="J21" s="83"/>
      <x:c r="K21" s="83"/>
    </x:row>
    <x:row r="22" ht="46" customHeight="1">
      <x:c r="B22" s="110" t="str">
        <x:v>M16</x:v>
      </x:c>
      <x:c r="C22" s="111" t="str">
        <x:v>Fold/crease</x:v>
      </x:c>
      <x:c r="D22" s="111" t="str">
        <x:v>deployment and retrieval cycles</x:v>
      </x:c>
      <x:c r="E22" s="111" t="str">
        <x:v>R3 co-governing; N/A to R1/R2</x:v>
      </x:c>
      <x:c r="F22" s="111" t="str">
        <x:v>same pressure/sanitary boundary after cycling</x:v>
      </x:c>
      <x:c r="G22" s="111" t="str">
        <x:v>crease map, proof and assay</x:v>
      </x:c>
      <x:c r="H22" s="113" t="str">
        <x:v>OPEN</x:v>
      </x:c>
      <x:c r="I22" s="83"/>
      <x:c r="J22" s="83"/>
      <x:c r="K22" s="83"/>
    </x:row>
  </x:sheetData>
  <x:mergeCells>
    <x:mergeCell ref="B3:K3"/>
  </x:mergeCells>
  <x:conditionalFormatting sqref="H7:H22">
    <x:cfRule type="containsText" dxfId="44" priority="1" operator="containsText" text="FAIL"/>
    <x:cfRule type="containsText" dxfId="45" priority="2" operator="containsText" text="BLOCKED"/>
    <x:cfRule type="containsText" dxfId="46" priority="3" operator="containsText" text="HOLD"/>
    <x:cfRule type="containsText" dxfId="47" priority="4" operator="containsText" text="OPEN"/>
    <x:cfRule type="containsText" dxfId="48" priority="5" operator="containsText" text="NOT ADMITTED"/>
    <x:cfRule type="containsText" dxfId="49" priority="6" operator="containsText" text="PASS"/>
    <x:cfRule type="containsText" dxfId="50" priority="7" operator="containsText" text="CLOSED"/>
    <x:cfRule type="containsText" dxfId="51" priority="8" operator="containsText" text="READY"/>
    <x:cfRule type="containsText" dxfId="52" priority="9" operator="containsText" text="AUTHORIZED"/>
    <x:cfRule type="containsText" dxfId="53" priority="10" operator="containsText" text="PLANNING PASS"/>
    <x:cfRule type="containsText" dxfId="54" priority="11" operator="containsText" text="COMPLETE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32" hidden="0" customWidth="1"/>
    <x:col min="4" max="4" width="15" hidden="0" customWidth="1"/>
    <x:col min="5" max="5" width="15" hidden="0" customWidth="1"/>
    <x:col min="6" max="6" width="22" hidden="0" customWidth="1"/>
    <x:col min="7" max="7" width="28" hidden="0" customWidth="1"/>
    <x:col min="8" max="8" width="34" hidden="0" customWidth="1"/>
    <x:col min="9" max="9" width="17" hidden="0" customWidth="1"/>
    <x:col min="10" max="10" width="20" hidden="0" customWidth="1"/>
    <x:col min="11" max="11" width="15" hidden="0" customWidth="1"/>
  </x:cols>
  <x:sheetData>
    <x:row r="2">
      <x:c r="B2" s="92" t="str">
        <x:v>Closure process-window constitution</x:v>
      </x:c>
      <x:c r="C2" s="83"/>
      <x:c r="D2" s="83"/>
      <x:c r="E2" s="83"/>
      <x:c r="F2" s="83"/>
      <x:c r="G2" s="83"/>
      <x:c r="H2" s="83"/>
      <x:c r="I2" s="83"/>
      <x:c r="J2" s="83"/>
      <x:c r="K2" s="83"/>
    </x:row>
    <x:row r="3">
      <x:c r="B3" s="84" t="str">
        <x:v>Twenty-four physical closure units per root provide repeats across process-window corners, preparation states, operator substitution and tool loss.</x:v>
      </x:c>
      <x:c r="C3" s="83"/>
      <x:c r="D3" s="83"/>
      <x:c r="E3" s="83"/>
      <x:c r="F3" s="83"/>
      <x:c r="G3" s="83"/>
      <x:c r="H3" s="83"/>
      <x:c r="I3" s="83"/>
      <x:c r="J3" s="83"/>
      <x:c r="K3" s="83"/>
    </x:row>
    <x:row r="4">
      <x:c r="B4" s="85"/>
      <x:c r="C4" s="85"/>
      <x:c r="D4" s="85"/>
      <x:c r="E4" s="85"/>
      <x:c r="F4" s="85"/>
      <x:c r="G4" s="85"/>
      <x:c r="H4" s="85"/>
      <x:c r="I4" s="85"/>
      <x:c r="J4" s="85"/>
      <x:c r="K4" s="85"/>
    </x:row>
    <x:row r="5">
      <x:c r="B5" s="83"/>
      <x:c r="C5" s="83"/>
      <x:c r="D5" s="83"/>
      <x:c r="E5" s="83"/>
      <x:c r="F5" s="83"/>
      <x:c r="G5" s="83"/>
      <x:c r="H5" s="83"/>
      <x:c r="I5" s="83"/>
      <x:c r="J5" s="83"/>
      <x:c r="K5" s="83"/>
    </x:row>
    <x:row r="6">
      <x:c r="B6" s="18" t="str">
        <x:v>Condition</x:v>
      </x:c>
      <x:c r="C6" s="19" t="str">
        <x:v>Process state</x:v>
      </x:c>
      <x:c r="D6" s="19" t="str">
        <x:v>Energy state</x:v>
      </x:c>
      <x:c r="E6" s="19" t="str">
        <x:v>Ambient</x:v>
      </x:c>
      <x:c r="F6" s="19" t="str">
        <x:v>Surface</x:v>
      </x:c>
      <x:c r="G6" s="19" t="str">
        <x:v>Operator / cell</x:v>
      </x:c>
      <x:c r="H6" s="19" t="str">
        <x:v>Decision evidence</x:v>
      </x:c>
      <x:c r="I6" s="19" t="str">
        <x:v>Repeats per root</x:v>
      </x:c>
      <x:c r="J6" s="19" t="str">
        <x:v>Articles across roots</x:v>
      </x:c>
      <x:c r="K6" s="19" t="str">
        <x:v>State</x:v>
      </x:c>
    </x:row>
    <x:row r="7" ht="40" customHeight="1">
      <x:c r="B7" s="105" t="str">
        <x:v>C01</x:v>
      </x:c>
      <x:c r="C7" s="106" t="str">
        <x:v>Low energy / low temperature</x:v>
      </x:c>
      <x:c r="D7" s="106" t="str">
        <x:v>low</x:v>
      </x:c>
      <x:c r="E7" s="106" t="str">
        <x:v>cold</x:v>
      </x:c>
      <x:c r="F7" s="106" t="str">
        <x:v>nominal</x:v>
      </x:c>
      <x:c r="G7" s="106" t="str">
        <x:v>original operator</x:v>
      </x:c>
      <x:c r="H7" s="106" t="str">
        <x:v>proof + NDE</x:v>
      </x:c>
      <x:c r="I7" s="105" t="n">
        <x:v>2</x:v>
      </x:c>
      <x:c r="J7" s="105" t="n">
        <x:f>I7*3</x:f>
        <x:v>6</x:v>
      </x:c>
      <x:c r="K7" s="131" t="str">
        <x:v>OPEN</x:v>
      </x:c>
    </x:row>
    <x:row r="8" ht="40" customHeight="1">
      <x:c r="B8" s="105" t="str">
        <x:v>C02</x:v>
      </x:c>
      <x:c r="C8" s="106" t="str">
        <x:v>Nominal energy / low temperature</x:v>
      </x:c>
      <x:c r="D8" s="106" t="str">
        <x:v>nominal</x:v>
      </x:c>
      <x:c r="E8" s="106" t="str">
        <x:v>cold</x:v>
      </x:c>
      <x:c r="F8" s="106" t="str">
        <x:v>nominal</x:v>
      </x:c>
      <x:c r="G8" s="106" t="str">
        <x:v>original operator</x:v>
      </x:c>
      <x:c r="H8" s="106" t="str">
        <x:v>proof + NDE</x:v>
      </x:c>
      <x:c r="I8" s="105" t="n">
        <x:v>2</x:v>
      </x:c>
      <x:c r="J8" s="105" t="n">
        <x:f>I8*3</x:f>
        <x:v>6</x:v>
      </x:c>
      <x:c r="K8" s="131" t="str">
        <x:v>OPEN</x:v>
      </x:c>
    </x:row>
    <x:row r="9" ht="40" customHeight="1">
      <x:c r="B9" s="105" t="str">
        <x:v>C03</x:v>
      </x:c>
      <x:c r="C9" s="106" t="str">
        <x:v>High energy / low temperature</x:v>
      </x:c>
      <x:c r="D9" s="106" t="str">
        <x:v>high</x:v>
      </x:c>
      <x:c r="E9" s="106" t="str">
        <x:v>cold</x:v>
      </x:c>
      <x:c r="F9" s="106" t="str">
        <x:v>nominal</x:v>
      </x:c>
      <x:c r="G9" s="106" t="str">
        <x:v>substitute operator</x:v>
      </x:c>
      <x:c r="H9" s="106" t="str">
        <x:v>proof + section</x:v>
      </x:c>
      <x:c r="I9" s="105" t="n">
        <x:v>2</x:v>
      </x:c>
      <x:c r="J9" s="105" t="n">
        <x:f>I9*3</x:f>
        <x:v>6</x:v>
      </x:c>
      <x:c r="K9" s="131" t="str">
        <x:v>OPEN</x:v>
      </x:c>
    </x:row>
    <x:row r="10" ht="40" customHeight="1">
      <x:c r="B10" s="105" t="str">
        <x:v>C04</x:v>
      </x:c>
      <x:c r="C10" s="106" t="str">
        <x:v>Low energy / nominal temperature</x:v>
      </x:c>
      <x:c r="D10" s="106" t="str">
        <x:v>low</x:v>
      </x:c>
      <x:c r="E10" s="106" t="str">
        <x:v>nominal</x:v>
      </x:c>
      <x:c r="F10" s="106" t="str">
        <x:v>nominal</x:v>
      </x:c>
      <x:c r="G10" s="106" t="str">
        <x:v>substitute operator</x:v>
      </x:c>
      <x:c r="H10" s="106" t="str">
        <x:v>proof + section</x:v>
      </x:c>
      <x:c r="I10" s="105" t="n">
        <x:v>2</x:v>
      </x:c>
      <x:c r="J10" s="105" t="n">
        <x:f>I10*3</x:f>
        <x:v>6</x:v>
      </x:c>
      <x:c r="K10" s="131" t="str">
        <x:v>OPEN</x:v>
      </x:c>
    </x:row>
    <x:row r="11" ht="40" customHeight="1">
      <x:c r="B11" s="105" t="str">
        <x:v>C05</x:v>
      </x:c>
      <x:c r="C11" s="106" t="str">
        <x:v>Nominal energy / nominal temperature</x:v>
      </x:c>
      <x:c r="D11" s="106" t="str">
        <x:v>nominal</x:v>
      </x:c>
      <x:c r="E11" s="106" t="str">
        <x:v>nominal</x:v>
      </x:c>
      <x:c r="F11" s="106" t="str">
        <x:v>clean</x:v>
      </x:c>
      <x:c r="G11" s="106" t="str">
        <x:v>original operator</x:v>
      </x:c>
      <x:c r="H11" s="106" t="str">
        <x:v>cycle + NDE</x:v>
      </x:c>
      <x:c r="I11" s="105" t="n">
        <x:v>2</x:v>
      </x:c>
      <x:c r="J11" s="105" t="n">
        <x:f>I11*3</x:f>
        <x:v>6</x:v>
      </x:c>
      <x:c r="K11" s="131" t="str">
        <x:v>OPEN</x:v>
      </x:c>
    </x:row>
    <x:row r="12" ht="40" customHeight="1">
      <x:c r="B12" s="105" t="str">
        <x:v>C06</x:v>
      </x:c>
      <x:c r="C12" s="106" t="str">
        <x:v>High energy / nominal temperature</x:v>
      </x:c>
      <x:c r="D12" s="106" t="str">
        <x:v>high</x:v>
      </x:c>
      <x:c r="E12" s="106" t="str">
        <x:v>nominal</x:v>
      </x:c>
      <x:c r="F12" s="106" t="str">
        <x:v>clean</x:v>
      </x:c>
      <x:c r="G12" s="106" t="str">
        <x:v>substitute operator</x:v>
      </x:c>
      <x:c r="H12" s="106" t="str">
        <x:v>cycle + NDE</x:v>
      </x:c>
      <x:c r="I12" s="105" t="n">
        <x:v>2</x:v>
      </x:c>
      <x:c r="J12" s="105" t="n">
        <x:f>I12*3</x:f>
        <x:v>6</x:v>
      </x:c>
      <x:c r="K12" s="131" t="str">
        <x:v>OPEN</x:v>
      </x:c>
    </x:row>
    <x:row r="13" ht="40" customHeight="1">
      <x:c r="B13" s="105" t="str">
        <x:v>C07</x:v>
      </x:c>
      <x:c r="C13" s="106" t="str">
        <x:v>Low energy / high temperature</x:v>
      </x:c>
      <x:c r="D13" s="106" t="str">
        <x:v>low</x:v>
      </x:c>
      <x:c r="E13" s="106" t="str">
        <x:v>hot</x:v>
      </x:c>
      <x:c r="F13" s="106" t="str">
        <x:v>nominal</x:v>
      </x:c>
      <x:c r="G13" s="106" t="str">
        <x:v>original operator</x:v>
      </x:c>
      <x:c r="H13" s="106" t="str">
        <x:v>proof + NDE</x:v>
      </x:c>
      <x:c r="I13" s="105" t="n">
        <x:v>2</x:v>
      </x:c>
      <x:c r="J13" s="105" t="n">
        <x:f>I13*3</x:f>
        <x:v>6</x:v>
      </x:c>
      <x:c r="K13" s="131" t="str">
        <x:v>OPEN</x:v>
      </x:c>
    </x:row>
    <x:row r="14" ht="40" customHeight="1">
      <x:c r="B14" s="105" t="str">
        <x:v>C08</x:v>
      </x:c>
      <x:c r="C14" s="106" t="str">
        <x:v>Nominal energy / high temperature</x:v>
      </x:c>
      <x:c r="D14" s="106" t="str">
        <x:v>nominal</x:v>
      </x:c>
      <x:c r="E14" s="106" t="str">
        <x:v>hot</x:v>
      </x:c>
      <x:c r="F14" s="106" t="str">
        <x:v>nominal</x:v>
      </x:c>
      <x:c r="G14" s="106" t="str">
        <x:v>substitute operator</x:v>
      </x:c>
      <x:c r="H14" s="106" t="str">
        <x:v>proof + NDE</x:v>
      </x:c>
      <x:c r="I14" s="105" t="n">
        <x:v>2</x:v>
      </x:c>
      <x:c r="J14" s="105" t="n">
        <x:f>I14*3</x:f>
        <x:v>6</x:v>
      </x:c>
      <x:c r="K14" s="131" t="str">
        <x:v>OPEN</x:v>
      </x:c>
    </x:row>
    <x:row r="15" ht="40" customHeight="1">
      <x:c r="B15" s="105" t="str">
        <x:v>C09</x:v>
      </x:c>
      <x:c r="C15" s="106" t="str">
        <x:v>High energy / high temperature</x:v>
      </x:c>
      <x:c r="D15" s="106" t="str">
        <x:v>high</x:v>
      </x:c>
      <x:c r="E15" s="106" t="str">
        <x:v>hot</x:v>
      </x:c>
      <x:c r="F15" s="106" t="str">
        <x:v>nominal</x:v>
      </x:c>
      <x:c r="G15" s="106" t="str">
        <x:v>original operator</x:v>
      </x:c>
      <x:c r="H15" s="106" t="str">
        <x:v>proof + section</x:v>
      </x:c>
      <x:c r="I15" s="105" t="n">
        <x:v>2</x:v>
      </x:c>
      <x:c r="J15" s="105" t="n">
        <x:f>I15*3</x:f>
        <x:v>6</x:v>
      </x:c>
      <x:c r="K15" s="131" t="str">
        <x:v>OPEN</x:v>
      </x:c>
    </x:row>
    <x:row r="16" ht="40" customHeight="1">
      <x:c r="B16" s="105" t="str">
        <x:v>C10</x:v>
      </x:c>
      <x:c r="C16" s="106" t="str">
        <x:v>Prepared dirty surface</x:v>
      </x:c>
      <x:c r="D16" s="106" t="str">
        <x:v>nominal</x:v>
      </x:c>
      <x:c r="E16" s="106" t="str">
        <x:v>nominal</x:v>
      </x:c>
      <x:c r="F16" s="106" t="str">
        <x:v>registered soil</x:v>
      </x:c>
      <x:c r="G16" s="106" t="str">
        <x:v>original operator</x:v>
      </x:c>
      <x:c r="H16" s="106" t="str">
        <x:v>reject or accepted clean boundary</x:v>
      </x:c>
      <x:c r="I16" s="105" t="n">
        <x:v>2</x:v>
      </x:c>
      <x:c r="J16" s="105" t="n">
        <x:f>I16*3</x:f>
        <x:v>6</x:v>
      </x:c>
      <x:c r="K16" s="131" t="str">
        <x:v>OPEN</x:v>
      </x:c>
    </x:row>
    <x:row r="17" ht="40" customHeight="1">
      <x:c r="B17" s="105" t="str">
        <x:v>C11</x:v>
      </x:c>
      <x:c r="C17" s="106" t="str">
        <x:v>Wet preparation</x:v>
      </x:c>
      <x:c r="D17" s="106" t="str">
        <x:v>nominal</x:v>
      </x:c>
      <x:c r="E17" s="106" t="str">
        <x:v>nominal</x:v>
      </x:c>
      <x:c r="F17" s="106" t="str">
        <x:v>registered water film</x:v>
      </x:c>
      <x:c r="G17" s="106" t="str">
        <x:v>substitute operator</x:v>
      </x:c>
      <x:c r="H17" s="106" t="str">
        <x:v>reject or accepted dry boundary</x:v>
      </x:c>
      <x:c r="I17" s="105" t="n">
        <x:v>2</x:v>
      </x:c>
      <x:c r="J17" s="105" t="n">
        <x:f>I17*3</x:f>
        <x:v>6</x:v>
      </x:c>
      <x:c r="K17" s="131" t="str">
        <x:v>OPEN</x:v>
      </x:c>
    </x:row>
    <x:row r="18" ht="40" customHeight="1">
      <x:c r="B18" s="105" t="str">
        <x:v>C12</x:v>
      </x:c>
      <x:c r="C18" s="106" t="str">
        <x:v>Tool loss / backup cell</x:v>
      </x:c>
      <x:c r="D18" s="106" t="str">
        <x:v>nominal</x:v>
      </x:c>
      <x:c r="E18" s="106" t="str">
        <x:v>nominal</x:v>
      </x:c>
      <x:c r="F18" s="106" t="str">
        <x:v>clean</x:v>
      </x:c>
      <x:c r="G18" s="106" t="str">
        <x:v>substitute cell and operator</x:v>
      </x:c>
      <x:c r="H18" s="106" t="str">
        <x:v>proof + configuration</x:v>
      </x:c>
      <x:c r="I18" s="105" t="n">
        <x:v>2</x:v>
      </x:c>
      <x:c r="J18" s="105" t="n">
        <x:f>I18*3</x:f>
        <x:v>6</x:v>
      </x:c>
      <x:c r="K18" s="131" t="str">
        <x:v>OPEN</x:v>
      </x:c>
    </x:row>
    <x:row r="19">
      <x:c r="B19" s="105"/>
      <x:c r="C19" s="105"/>
      <x:c r="D19" s="105"/>
      <x:c r="E19" s="105"/>
      <x:c r="F19" s="105"/>
      <x:c r="G19" s="105"/>
      <x:c r="H19" s="105"/>
      <x:c r="I19" s="105"/>
      <x:c r="J19" s="105"/>
      <x:c r="K19" s="131"/>
    </x:row>
    <x:row r="20">
      <x:c r="B20" s="110" t="str">
        <x:v>CONTROL</x:v>
      </x:c>
      <x:c r="C20" s="110" t="str">
        <x:v>Total closure units per root</x:v>
      </x:c>
      <x:c r="D20" s="110" t="str"/>
      <x:c r="E20" s="110" t="str"/>
      <x:c r="F20" s="110" t="str"/>
      <x:c r="G20" s="110" t="str"/>
      <x:c r="H20" s="110" t="str"/>
      <x:c r="I20" s="110" t="n">
        <x:f>SUM(I7:I18)</x:f>
        <x:v>24</x:v>
      </x:c>
      <x:c r="J20" s="110" t="n">
        <x:f>SUM(J7:J18)</x:f>
        <x:v>72</x:v>
      </x:c>
      <x:c r="K20" s="128" t="str">
        <x:f>IF(AND(I20=24,J20=72),"PASS","FAIL")</x:f>
        <x:v>PASS</x:v>
      </x:c>
    </x:row>
  </x:sheetData>
  <x:mergeCells>
    <x:mergeCell ref="B3:K3"/>
  </x:mergeCells>
  <x:conditionalFormatting sqref="K7:K20">
    <x:cfRule type="containsText" dxfId="55" priority="1" operator="containsText" text="FAIL"/>
    <x:cfRule type="containsText" dxfId="56" priority="2" operator="containsText" text="BLOCKED"/>
    <x:cfRule type="containsText" dxfId="57" priority="3" operator="containsText" text="HOLD"/>
    <x:cfRule type="containsText" dxfId="58" priority="4" operator="containsText" text="OPEN"/>
    <x:cfRule type="containsText" dxfId="59" priority="5" operator="containsText" text="NOT ADMITTED"/>
    <x:cfRule type="containsText" dxfId="60" priority="6" operator="containsText" text="PASS"/>
    <x:cfRule type="containsText" dxfId="61" priority="7" operator="containsText" text="CLOSED"/>
    <x:cfRule type="containsText" dxfId="62" priority="8" operator="containsText" text="READY"/>
    <x:cfRule type="containsText" dxfId="63" priority="9" operator="containsText" text="AUTHORIZED"/>
    <x:cfRule type="containsText" dxfId="64" priority="10" operator="containsText" text="PLANNING PASS"/>
    <x:cfRule type="containsText" dxfId="65" priority="11" operator="containsText" text="COMPLET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10" hidden="0" customWidth="1"/>
    <x:col min="4" max="4" width="10" hidden="0" customWidth="1"/>
    <x:col min="5" max="5" width="30" hidden="0" customWidth="1"/>
    <x:col min="6" max="6" width="13" hidden="0" customWidth="1"/>
    <x:col min="7" max="7" width="38" hidden="0" customWidth="1"/>
    <x:col min="8" max="8" width="34" hidden="0" customWidth="1"/>
    <x:col min="9" max="9" width="34" hidden="0" customWidth="1"/>
    <x:col min="10" max="10" width="13" hidden="0" customWidth="1"/>
    <x:col min="11" max="11" width="18" hidden="0" customWidth="1"/>
    <x:col min="12" max="12" width="15" hidden="0" customWidth="1"/>
    <x:col min="13" max="13" width="31" hidden="0" customWidth="1"/>
  </x:cols>
  <x:sheetData>
    <x:row r="2">
      <x:c r="B2" s="92" t="str">
        <x:v>Two paired one-kilometre reach articles</x:v>
      </x:c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</x:row>
    <x:row r="3">
      <x:c r="B3" s="84" t="str">
        <x:v>SA-1 concentrates ground-state and rate mechanisms. SA-2 concentrates crossings, exclusion work and the receiver boundary.</x:v>
      </x:c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</x:row>
    <x:row r="4">
      <x:c r="B4" s="85"/>
      <x:c r="C4" s="85"/>
      <x:c r="D4" s="85"/>
      <x:c r="E4" s="85"/>
      <x:c r="F4" s="85"/>
      <x:c r="G4" s="85"/>
      <x:c r="H4" s="85"/>
      <x:c r="I4" s="85"/>
      <x:c r="J4" s="85"/>
      <x:c r="K4" s="85"/>
      <x:c r="L4" s="85"/>
      <x:c r="M4" s="85"/>
    </x:row>
    <x:row r="5">
      <x:c r="B5" s="83"/>
      <x:c r="C5" s="83"/>
      <x:c r="D5" s="83"/>
      <x:c r="E5" s="83"/>
      <x:c r="F5" s="83"/>
      <x:c r="G5" s="83"/>
      <x:c r="H5" s="83"/>
      <x:c r="I5" s="83"/>
      <x:c r="J5" s="83"/>
      <x:c r="K5" s="83"/>
      <x:c r="L5" s="83"/>
      <x:c r="M5" s="83"/>
    </x:row>
    <x:row r="6">
      <x:c r="B6" s="18" t="str">
        <x:v>Reach</x:v>
      </x:c>
      <x:c r="C6" s="19" t="str">
        <x:v>Route</x:v>
      </x:c>
      <x:c r="D6" s="19" t="str">
        <x:v>Zone</x:v>
      </x:c>
      <x:c r="E6" s="19" t="str">
        <x:v>Condition</x:v>
      </x:c>
      <x:c r="F6" s="19" t="str">
        <x:v>Length m</x:v>
      </x:c>
      <x:c r="G6" s="19" t="str">
        <x:v>Governing mechanism</x:v>
      </x:c>
      <x:c r="H6" s="19" t="str">
        <x:v>Route-independence rule</x:v>
      </x:c>
      <x:c r="I6" s="19" t="str">
        <x:v>Independent evidence</x:v>
      </x:c>
      <x:c r="J6" s="19" t="str">
        <x:v>Root count</x:v>
      </x:c>
      <x:c r="K6" s="19" t="str">
        <x:v>Physical instances</x:v>
      </x:c>
      <x:c r="L6" s="19" t="str">
        <x:v>Entry state</x:v>
      </x:c>
      <x:c r="M6" s="19" t="str">
        <x:v>Range-owned input</x:v>
      </x:c>
    </x:row>
    <x:row r="7" ht="44" customHeight="1">
      <x:c r="B7" s="105" t="str">
        <x:v>SA-1</x:v>
      </x:c>
      <x:c r="C7" s="105" t="str">
        <x:v>A</x:v>
      </x:c>
      <x:c r="D7" s="105" t="str">
        <x:v>Z1</x:v>
      </x:c>
      <x:c r="E7" s="106" t="str">
        <x:v>Saturated weak soil</x:v>
      </x:c>
      <x:c r="F7" s="106" t="n">
        <x:v>300</x:v>
      </x:c>
      <x:c r="G7" s="106" t="str">
        <x:v>bearing, flotation and groundwater</x:v>
      </x:c>
      <x:c r="H7" s="106" t="str">
        <x:v>separate soil cell</x:v>
      </x:c>
      <x:c r="I7" s="106" t="str">
        <x:v>soil pressure, displacement, geometry</x:v>
      </x:c>
      <x:c r="J7" s="106" t="n">
        <x:v>3</x:v>
      </x:c>
      <x:c r="K7" s="106" t="n">
        <x:f>J7</x:f>
        <x:v>3</x:v>
      </x:c>
      <x:c r="L7" s="106" t="str">
        <x:v>HOLD</x:v>
      </x:c>
      <x:c r="M7" s="108" t="str">
        <x:v>terrain and blind inject only</x:v>
      </x:c>
    </x:row>
    <x:row r="8" ht="44" customHeight="1">
      <x:c r="B8" s="105" t="str">
        <x:v>SA-1</x:v>
      </x:c>
      <x:c r="C8" s="105" t="str">
        <x:v>A</x:v>
      </x:c>
      <x:c r="D8" s="105" t="str">
        <x:v>Z2</x:v>
      </x:c>
      <x:c r="E8" s="106" t="str">
        <x:v>Imposed settlement</x:v>
      </x:c>
      <x:c r="F8" s="106" t="n">
        <x:v>200</x:v>
      </x:c>
      <x:c r="G8" s="106" t="str">
        <x:v>300 mm over 10 m; 2 m void</x:v>
      </x:c>
      <x:c r="H8" s="106" t="str">
        <x:v>different event time</x:v>
      </x:c>
      <x:c r="I8" s="106" t="str">
        <x:v>strain, geometry, pressure</x:v>
      </x:c>
      <x:c r="J8" s="106" t="n">
        <x:v>3</x:v>
      </x:c>
      <x:c r="K8" s="106" t="n">
        <x:f>J8</x:f>
        <x:v>3</x:v>
      </x:c>
      <x:c r="L8" s="106" t="str">
        <x:v>HOLD</x:v>
      </x:c>
      <x:c r="M8" s="108" t="str">
        <x:v>terrain and blind inject only</x:v>
      </x:c>
    </x:row>
    <x:row r="9" ht="44" customHeight="1">
      <x:c r="B9" s="105" t="str">
        <x:v>SA-1</x:v>
      </x:c>
      <x:c r="C9" s="105" t="str">
        <x:v>A</x:v>
      </x:c>
      <x:c r="D9" s="105" t="str">
        <x:v>Z3</x:v>
      </x:c>
      <x:c r="E9" s="106" t="str">
        <x:v>Sustained 3% grade</x:v>
      </x:c>
      <x:c r="F9" s="106" t="n">
        <x:v>200</x:v>
      </x:c>
      <x:c r="G9" s="106" t="str">
        <x:v>anchors, air and drain state</x:v>
      </x:c>
      <x:c r="H9" s="106" t="str">
        <x:v>opposite shoulders</x:v>
      </x:c>
      <x:c r="I9" s="106" t="str">
        <x:v>pressure transient and restraint</x:v>
      </x:c>
      <x:c r="J9" s="106" t="n">
        <x:v>3</x:v>
      </x:c>
      <x:c r="K9" s="106" t="n">
        <x:f>J9</x:f>
        <x:v>3</x:v>
      </x:c>
      <x:c r="L9" s="106" t="str">
        <x:v>HOLD</x:v>
      </x:c>
      <x:c r="M9" s="108" t="str">
        <x:v>terrain and blind inject only</x:v>
      </x:c>
    </x:row>
    <x:row r="10" ht="44" customHeight="1">
      <x:c r="B10" s="105" t="str">
        <x:v>SA-1</x:v>
      </x:c>
      <x:c r="C10" s="105" t="str">
        <x:v>A</x:v>
      </x:c>
      <x:c r="D10" s="105" t="str">
        <x:v>Z4</x:v>
      </x:c>
      <x:c r="E10" s="106" t="str">
        <x:v>Open rate lane</x:v>
      </x:c>
      <x:c r="F10" s="106" t="n">
        <x:v>300</x:v>
      </x:c>
      <x:c r="G10" s="106" t="str">
        <x:v>placement and retrieval rate</x:v>
      </x:c>
      <x:c r="H10" s="106" t="str">
        <x:v>separate access lane</x:v>
      </x:c>
      <x:c r="I10" s="106" t="str">
        <x:v>chronology, labor and machine state</x:v>
      </x:c>
      <x:c r="J10" s="106" t="n">
        <x:v>3</x:v>
      </x:c>
      <x:c r="K10" s="106" t="n">
        <x:f>J10</x:f>
        <x:v>3</x:v>
      </x:c>
      <x:c r="L10" s="106" t="str">
        <x:v>HOLD</x:v>
      </x:c>
      <x:c r="M10" s="108" t="str">
        <x:v>terrain and blind inject only</x:v>
      </x:c>
    </x:row>
    <x:row r="11" ht="44" customHeight="1">
      <x:c r="B11" s="105" t="str">
        <x:v>SA-1</x:v>
      </x:c>
      <x:c r="C11" s="105" t="str">
        <x:v>B</x:v>
      </x:c>
      <x:c r="D11" s="105" t="str">
        <x:v>Z1</x:v>
      </x:c>
      <x:c r="E11" s="106" t="str">
        <x:v>Saturated weak soil</x:v>
      </x:c>
      <x:c r="F11" s="106" t="n">
        <x:v>300</x:v>
      </x:c>
      <x:c r="G11" s="106" t="str">
        <x:v>bearing, flotation and groundwater</x:v>
      </x:c>
      <x:c r="H11" s="106" t="str">
        <x:v>separate soil cell</x:v>
      </x:c>
      <x:c r="I11" s="106" t="str">
        <x:v>soil pressure, displacement, geometry</x:v>
      </x:c>
      <x:c r="J11" s="106" t="n">
        <x:v>3</x:v>
      </x:c>
      <x:c r="K11" s="106" t="n">
        <x:f>J11</x:f>
        <x:v>3</x:v>
      </x:c>
      <x:c r="L11" s="106" t="str">
        <x:v>HOLD</x:v>
      </x:c>
      <x:c r="M11" s="108" t="str">
        <x:v>terrain and blind inject only</x:v>
      </x:c>
    </x:row>
    <x:row r="12" ht="44" customHeight="1">
      <x:c r="B12" s="105" t="str">
        <x:v>SA-1</x:v>
      </x:c>
      <x:c r="C12" s="105" t="str">
        <x:v>B</x:v>
      </x:c>
      <x:c r="D12" s="105" t="str">
        <x:v>Z2</x:v>
      </x:c>
      <x:c r="E12" s="106" t="str">
        <x:v>Imposed settlement</x:v>
      </x:c>
      <x:c r="F12" s="106" t="n">
        <x:v>200</x:v>
      </x:c>
      <x:c r="G12" s="106" t="str">
        <x:v>300 mm over 10 m; 2 m void</x:v>
      </x:c>
      <x:c r="H12" s="106" t="str">
        <x:v>different event time</x:v>
      </x:c>
      <x:c r="I12" s="106" t="str">
        <x:v>strain, geometry, pressure</x:v>
      </x:c>
      <x:c r="J12" s="106" t="n">
        <x:v>3</x:v>
      </x:c>
      <x:c r="K12" s="106" t="n">
        <x:f>J12</x:f>
        <x:v>3</x:v>
      </x:c>
      <x:c r="L12" s="106" t="str">
        <x:v>HOLD</x:v>
      </x:c>
      <x:c r="M12" s="108" t="str">
        <x:v>terrain and blind inject only</x:v>
      </x:c>
    </x:row>
    <x:row r="13" ht="44" customHeight="1">
      <x:c r="B13" s="105" t="str">
        <x:v>SA-1</x:v>
      </x:c>
      <x:c r="C13" s="105" t="str">
        <x:v>B</x:v>
      </x:c>
      <x:c r="D13" s="105" t="str">
        <x:v>Z3</x:v>
      </x:c>
      <x:c r="E13" s="106" t="str">
        <x:v>Sustained 3% grade</x:v>
      </x:c>
      <x:c r="F13" s="106" t="n">
        <x:v>200</x:v>
      </x:c>
      <x:c r="G13" s="106" t="str">
        <x:v>anchors, air and drain state</x:v>
      </x:c>
      <x:c r="H13" s="106" t="str">
        <x:v>opposite shoulders</x:v>
      </x:c>
      <x:c r="I13" s="106" t="str">
        <x:v>pressure transient and restraint</x:v>
      </x:c>
      <x:c r="J13" s="106" t="n">
        <x:v>3</x:v>
      </x:c>
      <x:c r="K13" s="106" t="n">
        <x:f>J13</x:f>
        <x:v>3</x:v>
      </x:c>
      <x:c r="L13" s="106" t="str">
        <x:v>HOLD</x:v>
      </x:c>
      <x:c r="M13" s="108" t="str">
        <x:v>terrain and blind inject only</x:v>
      </x:c>
    </x:row>
    <x:row r="14" ht="44" customHeight="1">
      <x:c r="B14" s="105" t="str">
        <x:v>SA-1</x:v>
      </x:c>
      <x:c r="C14" s="105" t="str">
        <x:v>B</x:v>
      </x:c>
      <x:c r="D14" s="105" t="str">
        <x:v>Z4</x:v>
      </x:c>
      <x:c r="E14" s="106" t="str">
        <x:v>Open rate lane</x:v>
      </x:c>
      <x:c r="F14" s="106" t="n">
        <x:v>300</x:v>
      </x:c>
      <x:c r="G14" s="106" t="str">
        <x:v>placement and retrieval rate</x:v>
      </x:c>
      <x:c r="H14" s="106" t="str">
        <x:v>separate access lane</x:v>
      </x:c>
      <x:c r="I14" s="106" t="str">
        <x:v>chronology, labor and machine state</x:v>
      </x:c>
      <x:c r="J14" s="106" t="n">
        <x:v>3</x:v>
      </x:c>
      <x:c r="K14" s="106" t="n">
        <x:f>J14</x:f>
        <x:v>3</x:v>
      </x:c>
      <x:c r="L14" s="106" t="str">
        <x:v>HOLD</x:v>
      </x:c>
      <x:c r="M14" s="108" t="str">
        <x:v>terrain and blind inject only</x:v>
      </x:c>
    </x:row>
    <x:row r="15" ht="44" customHeight="1">
      <x:c r="B15" s="105" t="str">
        <x:v>SA-2</x:v>
      </x:c>
      <x:c r="C15" s="105" t="str">
        <x:v>A</x:v>
      </x:c>
      <x:c r="D15" s="105" t="str">
        <x:v>Z1</x:v>
      </x:c>
      <x:c r="E15" s="106" t="str">
        <x:v>Protected road crossing</x:v>
      </x:c>
      <x:c r="F15" s="106" t="n">
        <x:v>250</x:v>
      </x:c>
      <x:c r="G15" s="106" t="str">
        <x:v>traffic load and replaceable protection</x:v>
      </x:c>
      <x:c r="H15" s="106" t="str">
        <x:v>unlike sleeve/support</x:v>
      </x:c>
      <x:c r="I15" s="106" t="str">
        <x:v>load, pose, access</x:v>
      </x:c>
      <x:c r="J15" s="106" t="n">
        <x:v>3</x:v>
      </x:c>
      <x:c r="K15" s="106" t="n">
        <x:f>J15</x:f>
        <x:v>3</x:v>
      </x:c>
      <x:c r="L15" s="106" t="str">
        <x:v>HOLD</x:v>
      </x:c>
      <x:c r="M15" s="108" t="str">
        <x:v>terrain and blind inject only</x:v>
      </x:c>
    </x:row>
    <x:row r="16" ht="44" customHeight="1">
      <x:c r="B16" s="105" t="str">
        <x:v>SA-2</x:v>
      </x:c>
      <x:c r="C16" s="105" t="str">
        <x:v>A</x:v>
      </x:c>
      <x:c r="D16" s="105" t="str">
        <x:v>Z2</x:v>
      </x:c>
      <x:c r="E16" s="106" t="str">
        <x:v>Rail crossing</x:v>
      </x:c>
      <x:c r="F16" s="106" t="n">
        <x:v>250</x:v>
      </x:c>
      <x:c r="G16" s="106" t="str">
        <x:v>clearance, vibration and isolation</x:v>
      </x:c>
      <x:c r="H16" s="106" t="str">
        <x:v>separate structural path</x:v>
      </x:c>
      <x:c r="I16" s="106" t="str">
        <x:v>load, geometry, vibration</x:v>
      </x:c>
      <x:c r="J16" s="106" t="n">
        <x:v>3</x:v>
      </x:c>
      <x:c r="K16" s="106" t="n">
        <x:f>J16</x:f>
        <x:v>3</x:v>
      </x:c>
      <x:c r="L16" s="106" t="str">
        <x:v>HOLD</x:v>
      </x:c>
      <x:c r="M16" s="108" t="str">
        <x:v>terrain and blind inject only</x:v>
      </x:c>
    </x:row>
    <x:row r="17" ht="44" customHeight="1">
      <x:c r="B17" s="105" t="str">
        <x:v>SA-2</x:v>
      </x:c>
      <x:c r="C17" s="105" t="str">
        <x:v>A</x:v>
      </x:c>
      <x:c r="D17" s="105" t="str">
        <x:v>Z3</x:v>
      </x:c>
      <x:c r="E17" s="106" t="str">
        <x:v>Water/debris crossing</x:v>
      </x:c>
      <x:c r="F17" s="106" t="n">
        <x:v>250</x:v>
      </x:c>
      <x:c r="G17" s="106" t="str">
        <x:v>impact, restraint and retrieval</x:v>
      </x:c>
      <x:c r="H17" s="106" t="str">
        <x:v>separate bridge/bed path</x:v>
      </x:c>
      <x:c r="I17" s="106" t="str">
        <x:v>impact, strain, pose</x:v>
      </x:c>
      <x:c r="J17" s="106" t="n">
        <x:v>3</x:v>
      </x:c>
      <x:c r="K17" s="106" t="n">
        <x:f>J17</x:f>
        <x:v>3</x:v>
      </x:c>
      <x:c r="L17" s="106" t="str">
        <x:v>HOLD</x:v>
      </x:c>
      <x:c r="M17" s="108" t="str">
        <x:v>terrain and blind inject only</x:v>
      </x:c>
    </x:row>
    <x:row r="18" ht="44" customHeight="1">
      <x:c r="B18" s="105" t="str">
        <x:v>SA-2</x:v>
      </x:c>
      <x:c r="C18" s="105" t="str">
        <x:v>A</x:v>
      </x:c>
      <x:c r="D18" s="105" t="str">
        <x:v>Z4</x:v>
      </x:c>
      <x:c r="E18" s="106" t="str">
        <x:v>Exclusion and receiver</x:v>
      </x:c>
      <x:c r="F18" s="106" t="n">
        <x:v>250</x:v>
      </x:c>
      <x:c r="G18" s="106" t="str">
        <x:v>remote work, sanitary transfer and outlet</x:v>
      </x:c>
      <x:c r="H18" s="106" t="str">
        <x:v>separate completion kit</x:v>
      </x:c>
      <x:c r="I18" s="106" t="str">
        <x:v>assay, pressure and custody</x:v>
      </x:c>
      <x:c r="J18" s="106" t="n">
        <x:v>3</x:v>
      </x:c>
      <x:c r="K18" s="106" t="n">
        <x:f>J18</x:f>
        <x:v>3</x:v>
      </x:c>
      <x:c r="L18" s="106" t="str">
        <x:v>HOLD</x:v>
      </x:c>
      <x:c r="M18" s="108" t="str">
        <x:v>terrain and blind inject only</x:v>
      </x:c>
    </x:row>
    <x:row r="19" ht="44" customHeight="1">
      <x:c r="B19" s="105" t="str">
        <x:v>SA-2</x:v>
      </x:c>
      <x:c r="C19" s="105" t="str">
        <x:v>B</x:v>
      </x:c>
      <x:c r="D19" s="105" t="str">
        <x:v>Z1</x:v>
      </x:c>
      <x:c r="E19" s="106" t="str">
        <x:v>Protected road crossing</x:v>
      </x:c>
      <x:c r="F19" s="106" t="n">
        <x:v>250</x:v>
      </x:c>
      <x:c r="G19" s="106" t="str">
        <x:v>traffic load and replaceable protection</x:v>
      </x:c>
      <x:c r="H19" s="106" t="str">
        <x:v>unlike sleeve/support</x:v>
      </x:c>
      <x:c r="I19" s="106" t="str">
        <x:v>load, pose, access</x:v>
      </x:c>
      <x:c r="J19" s="106" t="n">
        <x:v>3</x:v>
      </x:c>
      <x:c r="K19" s="106" t="n">
        <x:f>J19</x:f>
        <x:v>3</x:v>
      </x:c>
      <x:c r="L19" s="106" t="str">
        <x:v>HOLD</x:v>
      </x:c>
      <x:c r="M19" s="108" t="str">
        <x:v>terrain and blind inject only</x:v>
      </x:c>
    </x:row>
    <x:row r="20" ht="44" customHeight="1">
      <x:c r="B20" s="105" t="str">
        <x:v>SA-2</x:v>
      </x:c>
      <x:c r="C20" s="105" t="str">
        <x:v>B</x:v>
      </x:c>
      <x:c r="D20" s="105" t="str">
        <x:v>Z2</x:v>
      </x:c>
      <x:c r="E20" s="106" t="str">
        <x:v>Rail crossing</x:v>
      </x:c>
      <x:c r="F20" s="106" t="n">
        <x:v>250</x:v>
      </x:c>
      <x:c r="G20" s="106" t="str">
        <x:v>clearance, vibration and isolation</x:v>
      </x:c>
      <x:c r="H20" s="106" t="str">
        <x:v>separate structural path</x:v>
      </x:c>
      <x:c r="I20" s="106" t="str">
        <x:v>load, geometry, vibration</x:v>
      </x:c>
      <x:c r="J20" s="106" t="n">
        <x:v>3</x:v>
      </x:c>
      <x:c r="K20" s="106" t="n">
        <x:f>J20</x:f>
        <x:v>3</x:v>
      </x:c>
      <x:c r="L20" s="106" t="str">
        <x:v>HOLD</x:v>
      </x:c>
      <x:c r="M20" s="108" t="str">
        <x:v>terrain and blind inject only</x:v>
      </x:c>
    </x:row>
    <x:row r="21" ht="44" customHeight="1">
      <x:c r="B21" s="105" t="str">
        <x:v>SA-2</x:v>
      </x:c>
      <x:c r="C21" s="105" t="str">
        <x:v>B</x:v>
      </x:c>
      <x:c r="D21" s="105" t="str">
        <x:v>Z3</x:v>
      </x:c>
      <x:c r="E21" s="106" t="str">
        <x:v>Water/debris crossing</x:v>
      </x:c>
      <x:c r="F21" s="106" t="n">
        <x:v>250</x:v>
      </x:c>
      <x:c r="G21" s="106" t="str">
        <x:v>impact, restraint and retrieval</x:v>
      </x:c>
      <x:c r="H21" s="106" t="str">
        <x:v>separate bridge/bed path</x:v>
      </x:c>
      <x:c r="I21" s="106" t="str">
        <x:v>impact, strain, pose</x:v>
      </x:c>
      <x:c r="J21" s="106" t="n">
        <x:v>3</x:v>
      </x:c>
      <x:c r="K21" s="106" t="n">
        <x:f>J21</x:f>
        <x:v>3</x:v>
      </x:c>
      <x:c r="L21" s="106" t="str">
        <x:v>HOLD</x:v>
      </x:c>
      <x:c r="M21" s="108" t="str">
        <x:v>terrain and blind inject only</x:v>
      </x:c>
    </x:row>
    <x:row r="22" ht="44" customHeight="1">
      <x:c r="B22" s="105" t="str">
        <x:v>SA-2</x:v>
      </x:c>
      <x:c r="C22" s="105" t="str">
        <x:v>B</x:v>
      </x:c>
      <x:c r="D22" s="105" t="str">
        <x:v>Z4</x:v>
      </x:c>
      <x:c r="E22" s="106" t="str">
        <x:v>Exclusion and receiver</x:v>
      </x:c>
      <x:c r="F22" s="106" t="n">
        <x:v>250</x:v>
      </x:c>
      <x:c r="G22" s="106" t="str">
        <x:v>remote work, sanitary transfer and outlet</x:v>
      </x:c>
      <x:c r="H22" s="106" t="str">
        <x:v>separate completion kit</x:v>
      </x:c>
      <x:c r="I22" s="106" t="str">
        <x:v>assay, pressure and custody</x:v>
      </x:c>
      <x:c r="J22" s="106" t="n">
        <x:v>3</x:v>
      </x:c>
      <x:c r="K22" s="106" t="n">
        <x:f>J22</x:f>
        <x:v>3</x:v>
      </x:c>
      <x:c r="L22" s="106" t="str">
        <x:v>HOLD</x:v>
      </x:c>
      <x:c r="M22" s="108" t="str">
        <x:v>terrain and blind inject only</x:v>
      </x:c>
    </x:row>
    <x:row r="23">
      <x:c r="B23" s="105"/>
      <x:c r="C23" s="105"/>
      <x:c r="D23" s="105"/>
      <x:c r="E23" s="105"/>
      <x:c r="F23" s="105"/>
      <x:c r="G23" s="105"/>
      <x:c r="H23" s="105"/>
      <x:c r="I23" s="105"/>
      <x:c r="J23" s="105"/>
      <x:c r="K23" s="105"/>
      <x:c r="L23" s="105"/>
      <x:c r="M23" s="131"/>
    </x:row>
    <x:row r="24">
      <x:c r="B24" s="105" t="str">
        <x:v>CONTROL</x:v>
      </x:c>
      <x:c r="C24" s="105" t="str">
        <x:v>Route length per reach-route</x:v>
      </x:c>
      <x:c r="D24" s="105" t="str">
        <x:v>m</x:v>
      </x:c>
      <x:c r="E24" s="105" t="n">
        <x:f>SUMIFS(F7:F22,B7:B22,"SA-1",C7:C22,"A")</x:f>
        <x:v>1000</x:v>
      </x:c>
      <x:c r="F24" s="105"/>
      <x:c r="G24" s="105"/>
      <x:c r="H24" s="105"/>
      <x:c r="I24" s="105"/>
      <x:c r="J24" s="105"/>
      <x:c r="K24" s="105"/>
      <x:c r="L24" s="105" t="str">
        <x:f>IF(E24='Control Inputs'!D29*1000,"PASS","FAIL")</x:f>
        <x:v>PASS</x:v>
      </x:c>
      <x:c r="M24" s="131"/>
    </x:row>
    <x:row r="25">
      <x:c r="B25" s="110" t="str">
        <x:v>CONTROL</x:v>
      </x:c>
      <x:c r="C25" s="110" t="str">
        <x:v>Total designed zone length</x:v>
      </x:c>
      <x:c r="D25" s="110" t="str">
        <x:v>m</x:v>
      </x:c>
      <x:c r="E25" s="110" t="n">
        <x:f>SUM(F7:F22)</x:f>
        <x:v>4000</x:v>
      </x:c>
      <x:c r="F25" s="110"/>
      <x:c r="G25" s="110"/>
      <x:c r="H25" s="110"/>
      <x:c r="I25" s="110"/>
      <x:c r="J25" s="110"/>
      <x:c r="K25" s="110"/>
      <x:c r="L25" s="110" t="str">
        <x:f>IF(E25=4000,"PASS","FAIL")</x:f>
        <x:v>PASS</x:v>
      </x:c>
      <x:c r="M25" s="128"/>
    </x:row>
  </x:sheetData>
  <x:mergeCells>
    <x:mergeCell ref="B3:M3"/>
  </x:mergeCells>
  <x:conditionalFormatting sqref="L7:L25">
    <x:cfRule type="containsText" dxfId="66" priority="1" operator="containsText" text="FAIL"/>
    <x:cfRule type="containsText" dxfId="67" priority="2" operator="containsText" text="BLOCKED"/>
    <x:cfRule type="containsText" dxfId="68" priority="3" operator="containsText" text="HOLD"/>
    <x:cfRule type="containsText" dxfId="69" priority="4" operator="containsText" text="OPEN"/>
    <x:cfRule type="containsText" dxfId="70" priority="5" operator="containsText" text="NOT ADMITTED"/>
    <x:cfRule type="containsText" dxfId="71" priority="6" operator="containsText" text="PASS"/>
    <x:cfRule type="containsText" dxfId="72" priority="7" operator="containsText" text="CLOSED"/>
    <x:cfRule type="containsText" dxfId="73" priority="8" operator="containsText" text="READY"/>
    <x:cfRule type="containsText" dxfId="74" priority="9" operator="containsText" text="AUTHORIZED"/>
    <x:cfRule type="containsText" dxfId="75" priority="10" operator="containsText" text="PLANNING PASS"/>
    <x:cfRule type="containsText" dxfId="76" priority="11" operator="containsText" text="COMPLETE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25" hidden="0" customWidth="1"/>
    <x:col min="4" max="4" width="35" hidden="0" customWidth="1"/>
    <x:col min="5" max="5" width="44" hidden="0" customWidth="1"/>
    <x:col min="6" max="6" width="11" hidden="0" customWidth="1"/>
    <x:col min="7" max="7" width="12" hidden="0" customWidth="1"/>
    <x:col min="8" max="8" width="10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  <x:col min="13" max="13" width="15" hidden="0" customWidth="1"/>
    <x:col min="14" max="14" width="34" hidden="0" customWidth="1"/>
  </x:cols>
  <x:sheetData>
    <x:row r="2">
      <x:c r="B2" s="92" t="str">
        <x:v>Full-bore destructive repair bank</x:v>
      </x:c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</x:row>
    <x:row r="3">
      <x:c r="B3" s="84" t="str">
        <x:v>The six-hour clock starts at independent detection and ends only after structural, sanitary, configuration and receiver release.</x:v>
      </x:c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</x:row>
    <x:row r="4">
      <x:c r="B4" s="85"/>
      <x:c r="C4" s="85"/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85"/>
    </x:row>
    <x:row r="5">
      <x:c r="B5" s="83"/>
      <x:c r="C5" s="83"/>
      <x:c r="D5" s="83"/>
      <x:c r="E5" s="83"/>
      <x:c r="F5" s="83"/>
      <x:c r="G5" s="83"/>
      <x:c r="H5" s="83"/>
      <x:c r="I5" s="83"/>
      <x:c r="J5" s="83"/>
      <x:c r="K5" s="83"/>
      <x:c r="L5" s="83"/>
      <x:c r="M5" s="83"/>
      <x:c r="N5" s="83"/>
    </x:row>
    <x:row r="6">
      <x:c r="B6" s="18" t="str">
        <x:v>Damage</x:v>
      </x:c>
      <x:c r="C6" s="19" t="str">
        <x:v>Damage state</x:v>
      </x:c>
      <x:c r="D6" s="19" t="str">
        <x:v>Physical insertion</x:v>
      </x:c>
      <x:c r="E6" s="19" t="str">
        <x:v>Required sequence</x:v>
      </x:c>
      <x:c r="F6" s="19" t="str">
        <x:v>Target h</x:v>
      </x:c>
      <x:c r="G6" s="19" t="str">
        <x:v>Disclosure</x:v>
      </x:c>
      <x:c r="H6" s="19" t="str">
        <x:v>Root</x:v>
      </x:c>
      <x:c r="I6" s="19" t="str">
        <x:v>Planned repeats</x:v>
      </x:c>
      <x:c r="J6" s="19" t="str">
        <x:v>Accepted repeats</x:v>
      </x:c>
      <x:c r="K6" s="19" t="str">
        <x:v>Observed repair h</x:v>
      </x:c>
      <x:c r="L6" s="19" t="str">
        <x:v>Time gate</x:v>
      </x:c>
      <x:c r="M6" s="19" t="str">
        <x:v>Evidence gate</x:v>
      </x:c>
      <x:c r="N6" s="19" t="str">
        <x:v>Disposition</x:v>
      </x:c>
    </x:row>
    <x:row r="7" ht="46" customHeight="1">
      <x:c r="B7" s="105" t="str">
        <x:v>D01</x:v>
      </x:c>
      <x:c r="C7" s="106" t="str">
        <x:v>Clean transection</x:v>
      </x:c>
      <x:c r="D7" s="106" t="str">
        <x:v>complete guillotine separation</x:v>
      </x:c>
      <x:c r="E7" s="106" t="str">
        <x:v>detect; isolate; prepare; replace; proof; flush; release</x:v>
      </x:c>
      <x:c r="F7" s="106" t="n">
        <x:v>6</x:v>
      </x:c>
      <x:c r="G7" s="106" t="str">
        <x:v>disclosed</x:v>
      </x:c>
      <x:c r="H7" s="106" t="str">
        <x:v>R1</x:v>
      </x:c>
      <x:c r="I7" s="105" t="n">
        <x:v>1</x:v>
      </x:c>
      <x:c r="J7" s="105" t="n">
        <x:v>0</x:v>
      </x:c>
      <x:c r="K7" s="105"/>
      <x:c r="L7" s="105" t="str">
        <x:f>IF(K7="","OPEN",IF(K7&lt;=F7,"PASS","FAIL"))</x:f>
        <x:v>OPEN</x:v>
      </x:c>
      <x:c r="M7" s="105" t="str">
        <x:f>IF(J7&gt;=I7,"PASS","OPEN")</x:f>
        <x:v>OPEN</x:v>
      </x:c>
      <x:c r="N7" s="131" t="str">
        <x:v>protected destructive / forensic</x:v>
      </x:c>
    </x:row>
    <x:row r="8" ht="46" customHeight="1">
      <x:c r="B8" s="105" t="str">
        <x:v>D01</x:v>
      </x:c>
      <x:c r="C8" s="106" t="str">
        <x:v>Clean transection</x:v>
      </x:c>
      <x:c r="D8" s="106" t="str">
        <x:v>complete guillotine separation</x:v>
      </x:c>
      <x:c r="E8" s="106" t="str">
        <x:v>detect; isolate; prepare; replace; proof; flush; release</x:v>
      </x:c>
      <x:c r="F8" s="106" t="n">
        <x:v>6</x:v>
      </x:c>
      <x:c r="G8" s="106" t="str">
        <x:v>disclosed</x:v>
      </x:c>
      <x:c r="H8" s="106" t="str">
        <x:v>R2</x:v>
      </x:c>
      <x:c r="I8" s="105" t="n">
        <x:v>1</x:v>
      </x:c>
      <x:c r="J8" s="105" t="n">
        <x:v>0</x:v>
      </x:c>
      <x:c r="K8" s="105"/>
      <x:c r="L8" s="105" t="str">
        <x:f>IF(K8="","OPEN",IF(K8&lt;=F8,"PASS","FAIL"))</x:f>
        <x:v>OPEN</x:v>
      </x:c>
      <x:c r="M8" s="105" t="str">
        <x:f>IF(J8&gt;=I8,"PASS","OPEN")</x:f>
        <x:v>OPEN</x:v>
      </x:c>
      <x:c r="N8" s="131" t="str">
        <x:v>protected destructive / forensic</x:v>
      </x:c>
    </x:row>
    <x:row r="9" ht="46" customHeight="1">
      <x:c r="B9" s="105" t="str">
        <x:v>D01</x:v>
      </x:c>
      <x:c r="C9" s="106" t="str">
        <x:v>Clean transection</x:v>
      </x:c>
      <x:c r="D9" s="106" t="str">
        <x:v>complete guillotine separation</x:v>
      </x:c>
      <x:c r="E9" s="106" t="str">
        <x:v>detect; isolate; prepare; replace; proof; flush; release</x:v>
      </x:c>
      <x:c r="F9" s="106" t="n">
        <x:v>6</x:v>
      </x:c>
      <x:c r="G9" s="106" t="str">
        <x:v>disclosed</x:v>
      </x:c>
      <x:c r="H9" s="106" t="str">
        <x:v>R3</x:v>
      </x:c>
      <x:c r="I9" s="105" t="n">
        <x:v>1</x:v>
      </x:c>
      <x:c r="J9" s="105" t="n">
        <x:v>0</x:v>
      </x:c>
      <x:c r="K9" s="105"/>
      <x:c r="L9" s="105" t="str">
        <x:f>IF(K9="","OPEN",IF(K9&lt;=F9,"PASS","FAIL"))</x:f>
        <x:v>OPEN</x:v>
      </x:c>
      <x:c r="M9" s="105" t="str">
        <x:f>IF(J9&gt;=I9,"PASS","OPEN")</x:f>
        <x:v>OPEN</x:v>
      </x:c>
      <x:c r="N9" s="131" t="str">
        <x:v>protected destructive / forensic</x:v>
      </x:c>
    </x:row>
    <x:row r="10" ht="46" customHeight="1">
      <x:c r="B10" s="105" t="str">
        <x:v>D02</x:v>
      </x:c>
      <x:c r="C10" s="106" t="str">
        <x:v>Jagged crush</x:v>
      </x:c>
      <x:c r="D10" s="106" t="str">
        <x:v>ovality and embedded debris</x:v>
      </x:c>
      <x:c r="E10" s="106" t="str">
        <x:v>locate limits; remove; restore geometry and restraint</x:v>
      </x:c>
      <x:c r="F10" s="106" t="n">
        <x:v>6</x:v>
      </x:c>
      <x:c r="G10" s="106" t="str">
        <x:v>disclosed</x:v>
      </x:c>
      <x:c r="H10" s="106" t="str">
        <x:v>R1</x:v>
      </x:c>
      <x:c r="I10" s="105" t="n">
        <x:v>1</x:v>
      </x:c>
      <x:c r="J10" s="105" t="n">
        <x:v>0</x:v>
      </x:c>
      <x:c r="K10" s="105"/>
      <x:c r="L10" s="105" t="str">
        <x:f>IF(K10="","OPEN",IF(K10&lt;=F10,"PASS","FAIL"))</x:f>
        <x:v>OPEN</x:v>
      </x:c>
      <x:c r="M10" s="105" t="str">
        <x:f>IF(J10&gt;=I10,"PASS","OPEN")</x:f>
        <x:v>OPEN</x:v>
      </x:c>
      <x:c r="N10" s="131" t="str">
        <x:v>protected destructive / forensic</x:v>
      </x:c>
    </x:row>
    <x:row r="11" ht="46" customHeight="1">
      <x:c r="B11" s="105" t="str">
        <x:v>D02</x:v>
      </x:c>
      <x:c r="C11" s="106" t="str">
        <x:v>Jagged crush</x:v>
      </x:c>
      <x:c r="D11" s="106" t="str">
        <x:v>ovality and embedded debris</x:v>
      </x:c>
      <x:c r="E11" s="106" t="str">
        <x:v>locate limits; remove; restore geometry and restraint</x:v>
      </x:c>
      <x:c r="F11" s="106" t="n">
        <x:v>6</x:v>
      </x:c>
      <x:c r="G11" s="106" t="str">
        <x:v>disclosed</x:v>
      </x:c>
      <x:c r="H11" s="106" t="str">
        <x:v>R2</x:v>
      </x:c>
      <x:c r="I11" s="105" t="n">
        <x:v>1</x:v>
      </x:c>
      <x:c r="J11" s="105" t="n">
        <x:v>0</x:v>
      </x:c>
      <x:c r="K11" s="105"/>
      <x:c r="L11" s="105" t="str">
        <x:f>IF(K11="","OPEN",IF(K11&lt;=F11,"PASS","FAIL"))</x:f>
        <x:v>OPEN</x:v>
      </x:c>
      <x:c r="M11" s="105" t="str">
        <x:f>IF(J11&gt;=I11,"PASS","OPEN")</x:f>
        <x:v>OPEN</x:v>
      </x:c>
      <x:c r="N11" s="131" t="str">
        <x:v>protected destructive / forensic</x:v>
      </x:c>
    </x:row>
    <x:row r="12" ht="46" customHeight="1">
      <x:c r="B12" s="105" t="str">
        <x:v>D02</x:v>
      </x:c>
      <x:c r="C12" s="106" t="str">
        <x:v>Jagged crush</x:v>
      </x:c>
      <x:c r="D12" s="106" t="str">
        <x:v>ovality and embedded debris</x:v>
      </x:c>
      <x:c r="E12" s="106" t="str">
        <x:v>locate limits; remove; restore geometry and restraint</x:v>
      </x:c>
      <x:c r="F12" s="106" t="n">
        <x:v>6</x:v>
      </x:c>
      <x:c r="G12" s="106" t="str">
        <x:v>disclosed</x:v>
      </x:c>
      <x:c r="H12" s="106" t="str">
        <x:v>R3</x:v>
      </x:c>
      <x:c r="I12" s="105" t="n">
        <x:v>1</x:v>
      </x:c>
      <x:c r="J12" s="105" t="n">
        <x:v>0</x:v>
      </x:c>
      <x:c r="K12" s="105"/>
      <x:c r="L12" s="105" t="str">
        <x:f>IF(K12="","OPEN",IF(K12&lt;=F12,"PASS","FAIL"))</x:f>
        <x:v>OPEN</x:v>
      </x:c>
      <x:c r="M12" s="105" t="str">
        <x:f>IF(J12&gt;=I12,"PASS","OPEN")</x:f>
        <x:v>OPEN</x:v>
      </x:c>
      <x:c r="N12" s="131" t="str">
        <x:v>protected destructive / forensic</x:v>
      </x:c>
    </x:row>
    <x:row r="13" ht="46" customHeight="1">
      <x:c r="B13" s="105" t="str">
        <x:v>D03</x:v>
      </x:c>
      <x:c r="C13" s="106" t="str">
        <x:v>Puncture and axial tear</x:v>
      </x:c>
      <x:c r="D13" s="106" t="str">
        <x:v>20 kN puncture with propagation</x:v>
      </x:c>
      <x:c r="E13" s="106" t="str">
        <x:v>localize; arrest; remove; close; prove</x:v>
      </x:c>
      <x:c r="F13" s="106" t="n">
        <x:v>6</x:v>
      </x:c>
      <x:c r="G13" s="106" t="str">
        <x:v>disclosed</x:v>
      </x:c>
      <x:c r="H13" s="106" t="str">
        <x:v>R1</x:v>
      </x:c>
      <x:c r="I13" s="105" t="n">
        <x:v>1</x:v>
      </x:c>
      <x:c r="J13" s="105" t="n">
        <x:v>0</x:v>
      </x:c>
      <x:c r="K13" s="105"/>
      <x:c r="L13" s="105" t="str">
        <x:f>IF(K13="","OPEN",IF(K13&lt;=F13,"PASS","FAIL"))</x:f>
        <x:v>OPEN</x:v>
      </x:c>
      <x:c r="M13" s="105" t="str">
        <x:f>IF(J13&gt;=I13,"PASS","OPEN")</x:f>
        <x:v>OPEN</x:v>
      </x:c>
      <x:c r="N13" s="131" t="str">
        <x:v>protected destructive / forensic</x:v>
      </x:c>
    </x:row>
    <x:row r="14" ht="46" customHeight="1">
      <x:c r="B14" s="105" t="str">
        <x:v>D03</x:v>
      </x:c>
      <x:c r="C14" s="106" t="str">
        <x:v>Puncture and axial tear</x:v>
      </x:c>
      <x:c r="D14" s="106" t="str">
        <x:v>20 kN puncture with propagation</x:v>
      </x:c>
      <x:c r="E14" s="106" t="str">
        <x:v>localize; arrest; remove; close; prove</x:v>
      </x:c>
      <x:c r="F14" s="106" t="n">
        <x:v>6</x:v>
      </x:c>
      <x:c r="G14" s="106" t="str">
        <x:v>disclosed</x:v>
      </x:c>
      <x:c r="H14" s="106" t="str">
        <x:v>R2</x:v>
      </x:c>
      <x:c r="I14" s="105" t="n">
        <x:v>1</x:v>
      </x:c>
      <x:c r="J14" s="105" t="n">
        <x:v>0</x:v>
      </x:c>
      <x:c r="K14" s="105"/>
      <x:c r="L14" s="105" t="str">
        <x:f>IF(K14="","OPEN",IF(K14&lt;=F14,"PASS","FAIL"))</x:f>
        <x:v>OPEN</x:v>
      </x:c>
      <x:c r="M14" s="105" t="str">
        <x:f>IF(J14&gt;=I14,"PASS","OPEN")</x:f>
        <x:v>OPEN</x:v>
      </x:c>
      <x:c r="N14" s="131" t="str">
        <x:v>protected destructive / forensic</x:v>
      </x:c>
    </x:row>
    <x:row r="15" ht="46" customHeight="1">
      <x:c r="B15" s="105" t="str">
        <x:v>D03</x:v>
      </x:c>
      <x:c r="C15" s="106" t="str">
        <x:v>Puncture and axial tear</x:v>
      </x:c>
      <x:c r="D15" s="106" t="str">
        <x:v>20 kN puncture with propagation</x:v>
      </x:c>
      <x:c r="E15" s="106" t="str">
        <x:v>localize; arrest; remove; close; prove</x:v>
      </x:c>
      <x:c r="F15" s="106" t="n">
        <x:v>6</x:v>
      </x:c>
      <x:c r="G15" s="106" t="str">
        <x:v>disclosed</x:v>
      </x:c>
      <x:c r="H15" s="106" t="str">
        <x:v>R3</x:v>
      </x:c>
      <x:c r="I15" s="105" t="n">
        <x:v>1</x:v>
      </x:c>
      <x:c r="J15" s="105" t="n">
        <x:v>0</x:v>
      </x:c>
      <x:c r="K15" s="105"/>
      <x:c r="L15" s="105" t="str">
        <x:f>IF(K15="","OPEN",IF(K15&lt;=F15,"PASS","FAIL"))</x:f>
        <x:v>OPEN</x:v>
      </x:c>
      <x:c r="M15" s="105" t="str">
        <x:f>IF(J15&gt;=I15,"PASS","OPEN")</x:f>
        <x:v>OPEN</x:v>
      </x:c>
      <x:c r="N15" s="131" t="str">
        <x:v>protected destructive / forensic</x:v>
      </x:c>
    </x:row>
    <x:row r="16" ht="46" customHeight="1">
      <x:c r="B16" s="105" t="str">
        <x:v>D04</x:v>
      </x:c>
      <x:c r="C16" s="106" t="str">
        <x:v>Closure pullout</x:v>
      </x:c>
      <x:c r="D16" s="106" t="str">
        <x:v>200 kN system load through closure</x:v>
      </x:c>
      <x:c r="E16" s="106" t="str">
        <x:v>recognize restraint loss; preserve cause; rebuild</x:v>
      </x:c>
      <x:c r="F16" s="106" t="n">
        <x:v>6</x:v>
      </x:c>
      <x:c r="G16" s="106" t="str">
        <x:v>disclosed</x:v>
      </x:c>
      <x:c r="H16" s="106" t="str">
        <x:v>R1</x:v>
      </x:c>
      <x:c r="I16" s="105" t="n">
        <x:v>1</x:v>
      </x:c>
      <x:c r="J16" s="105" t="n">
        <x:v>0</x:v>
      </x:c>
      <x:c r="K16" s="105"/>
      <x:c r="L16" s="105" t="str">
        <x:f>IF(K16="","OPEN",IF(K16&lt;=F16,"PASS","FAIL"))</x:f>
        <x:v>OPEN</x:v>
      </x:c>
      <x:c r="M16" s="105" t="str">
        <x:f>IF(J16&gt;=I16,"PASS","OPEN")</x:f>
        <x:v>OPEN</x:v>
      </x:c>
      <x:c r="N16" s="131" t="str">
        <x:v>protected destructive / forensic</x:v>
      </x:c>
    </x:row>
    <x:row r="17" ht="46" customHeight="1">
      <x:c r="B17" s="105" t="str">
        <x:v>D04</x:v>
      </x:c>
      <x:c r="C17" s="106" t="str">
        <x:v>Closure pullout</x:v>
      </x:c>
      <x:c r="D17" s="106" t="str">
        <x:v>200 kN system load through closure</x:v>
      </x:c>
      <x:c r="E17" s="106" t="str">
        <x:v>recognize restraint loss; preserve cause; rebuild</x:v>
      </x:c>
      <x:c r="F17" s="106" t="n">
        <x:v>6</x:v>
      </x:c>
      <x:c r="G17" s="106" t="str">
        <x:v>disclosed</x:v>
      </x:c>
      <x:c r="H17" s="106" t="str">
        <x:v>R2</x:v>
      </x:c>
      <x:c r="I17" s="105" t="n">
        <x:v>1</x:v>
      </x:c>
      <x:c r="J17" s="105" t="n">
        <x:v>0</x:v>
      </x:c>
      <x:c r="K17" s="105"/>
      <x:c r="L17" s="105" t="str">
        <x:f>IF(K17="","OPEN",IF(K17&lt;=F17,"PASS","FAIL"))</x:f>
        <x:v>OPEN</x:v>
      </x:c>
      <x:c r="M17" s="105" t="str">
        <x:f>IF(J17&gt;=I17,"PASS","OPEN")</x:f>
        <x:v>OPEN</x:v>
      </x:c>
      <x:c r="N17" s="131" t="str">
        <x:v>protected destructive / forensic</x:v>
      </x:c>
    </x:row>
    <x:row r="18" ht="46" customHeight="1">
      <x:c r="B18" s="105" t="str">
        <x:v>D04</x:v>
      </x:c>
      <x:c r="C18" s="106" t="str">
        <x:v>Closure pullout</x:v>
      </x:c>
      <x:c r="D18" s="106" t="str">
        <x:v>200 kN system load through closure</x:v>
      </x:c>
      <x:c r="E18" s="106" t="str">
        <x:v>recognize restraint loss; preserve cause; rebuild</x:v>
      </x:c>
      <x:c r="F18" s="106" t="n">
        <x:v>6</x:v>
      </x:c>
      <x:c r="G18" s="106" t="str">
        <x:v>disclosed</x:v>
      </x:c>
      <x:c r="H18" s="106" t="str">
        <x:v>R3</x:v>
      </x:c>
      <x:c r="I18" s="105" t="n">
        <x:v>1</x:v>
      </x:c>
      <x:c r="J18" s="105" t="n">
        <x:v>0</x:v>
      </x:c>
      <x:c r="K18" s="105"/>
      <x:c r="L18" s="105" t="str">
        <x:f>IF(K18="","OPEN",IF(K18&lt;=F18,"PASS","FAIL"))</x:f>
        <x:v>OPEN</x:v>
      </x:c>
      <x:c r="M18" s="105" t="str">
        <x:f>IF(J18&gt;=I18,"PASS","OPEN")</x:f>
        <x:v>OPEN</x:v>
      </x:c>
      <x:c r="N18" s="131" t="str">
        <x:v>protected destructive / forensic</x:v>
      </x:c>
    </x:row>
    <x:row r="19" ht="46" customHeight="1">
      <x:c r="B19" s="105" t="str">
        <x:v>D05</x:v>
      </x:c>
      <x:c r="C19" s="106" t="str">
        <x:v>Contaminated breach</x:v>
      </x:c>
      <x:c r="D19" s="106" t="str">
        <x:v>registered chemical and particulate surrogates</x:v>
      </x:c>
      <x:c r="E19" s="106" t="str">
        <x:v>exclude; decontaminate; flush; blind assay; release</x:v>
      </x:c>
      <x:c r="F19" s="106" t="n">
        <x:v>6</x:v>
      </x:c>
      <x:c r="G19" s="106" t="str">
        <x:v>disclosed</x:v>
      </x:c>
      <x:c r="H19" s="106" t="str">
        <x:v>R1</x:v>
      </x:c>
      <x:c r="I19" s="105" t="n">
        <x:v>1</x:v>
      </x:c>
      <x:c r="J19" s="105" t="n">
        <x:v>0</x:v>
      </x:c>
      <x:c r="K19" s="105"/>
      <x:c r="L19" s="105" t="str">
        <x:f>IF(K19="","OPEN",IF(K19&lt;=F19,"PASS","FAIL"))</x:f>
        <x:v>OPEN</x:v>
      </x:c>
      <x:c r="M19" s="105" t="str">
        <x:f>IF(J19&gt;=I19,"PASS","OPEN")</x:f>
        <x:v>OPEN</x:v>
      </x:c>
      <x:c r="N19" s="131" t="str">
        <x:v>protected destructive / forensic</x:v>
      </x:c>
    </x:row>
    <x:row r="20" ht="46" customHeight="1">
      <x:c r="B20" s="105" t="str">
        <x:v>D05</x:v>
      </x:c>
      <x:c r="C20" s="106" t="str">
        <x:v>Contaminated breach</x:v>
      </x:c>
      <x:c r="D20" s="106" t="str">
        <x:v>registered chemical and particulate surrogates</x:v>
      </x:c>
      <x:c r="E20" s="106" t="str">
        <x:v>exclude; decontaminate; flush; blind assay; release</x:v>
      </x:c>
      <x:c r="F20" s="106" t="n">
        <x:v>6</x:v>
      </x:c>
      <x:c r="G20" s="106" t="str">
        <x:v>disclosed</x:v>
      </x:c>
      <x:c r="H20" s="106" t="str">
        <x:v>R2</x:v>
      </x:c>
      <x:c r="I20" s="105" t="n">
        <x:v>1</x:v>
      </x:c>
      <x:c r="J20" s="105" t="n">
        <x:v>0</x:v>
      </x:c>
      <x:c r="K20" s="105"/>
      <x:c r="L20" s="105" t="str">
        <x:f>IF(K20="","OPEN",IF(K20&lt;=F20,"PASS","FAIL"))</x:f>
        <x:v>OPEN</x:v>
      </x:c>
      <x:c r="M20" s="105" t="str">
        <x:f>IF(J20&gt;=I20,"PASS","OPEN")</x:f>
        <x:v>OPEN</x:v>
      </x:c>
      <x:c r="N20" s="131" t="str">
        <x:v>protected destructive / forensic</x:v>
      </x:c>
    </x:row>
    <x:row r="21" ht="46" customHeight="1">
      <x:c r="B21" s="105" t="str">
        <x:v>D05</x:v>
      </x:c>
      <x:c r="C21" s="106" t="str">
        <x:v>Contaminated breach</x:v>
      </x:c>
      <x:c r="D21" s="106" t="str">
        <x:v>registered chemical and particulate surrogates</x:v>
      </x:c>
      <x:c r="E21" s="106" t="str">
        <x:v>exclude; decontaminate; flush; blind assay; release</x:v>
      </x:c>
      <x:c r="F21" s="106" t="n">
        <x:v>6</x:v>
      </x:c>
      <x:c r="G21" s="106" t="str">
        <x:v>disclosed</x:v>
      </x:c>
      <x:c r="H21" s="106" t="str">
        <x:v>R3</x:v>
      </x:c>
      <x:c r="I21" s="105" t="n">
        <x:v>1</x:v>
      </x:c>
      <x:c r="J21" s="105" t="n">
        <x:v>0</x:v>
      </x:c>
      <x:c r="K21" s="105"/>
      <x:c r="L21" s="105" t="str">
        <x:f>IF(K21="","OPEN",IF(K21&lt;=F21,"PASS","FAIL"))</x:f>
        <x:v>OPEN</x:v>
      </x:c>
      <x:c r="M21" s="105" t="str">
        <x:f>IF(J21&gt;=I21,"PASS","OPEN")</x:f>
        <x:v>OPEN</x:v>
      </x:c>
      <x:c r="N21" s="131" t="str">
        <x:v>protected destructive / forensic</x:v>
      </x:c>
    </x:row>
    <x:row r="22" ht="46" customHeight="1">
      <x:c r="B22" s="105" t="str">
        <x:v>D06</x:v>
      </x:c>
      <x:c r="C22" s="106" t="str">
        <x:v>Settlement under pressure</x:v>
      </x:c>
      <x:c r="D22" s="106" t="str">
        <x:v>300 mm displacement plus support loss</x:v>
      </x:c>
      <x:c r="E22" s="106" t="str">
        <x:v>detect; isolate; restore support; requalify</x:v>
      </x:c>
      <x:c r="F22" s="106" t="n">
        <x:v>6</x:v>
      </x:c>
      <x:c r="G22" s="106" t="str">
        <x:v>disclosed</x:v>
      </x:c>
      <x:c r="H22" s="106" t="str">
        <x:v>R1</x:v>
      </x:c>
      <x:c r="I22" s="105" t="n">
        <x:v>1</x:v>
      </x:c>
      <x:c r="J22" s="105" t="n">
        <x:v>0</x:v>
      </x:c>
      <x:c r="K22" s="105"/>
      <x:c r="L22" s="105" t="str">
        <x:f>IF(K22="","OPEN",IF(K22&lt;=F22,"PASS","FAIL"))</x:f>
        <x:v>OPEN</x:v>
      </x:c>
      <x:c r="M22" s="105" t="str">
        <x:f>IF(J22&gt;=I22,"PASS","OPEN")</x:f>
        <x:v>OPEN</x:v>
      </x:c>
      <x:c r="N22" s="131" t="str">
        <x:v>protected destructive / forensic</x:v>
      </x:c>
    </x:row>
    <x:row r="23" ht="46" customHeight="1">
      <x:c r="B23" s="105" t="str">
        <x:v>D06</x:v>
      </x:c>
      <x:c r="C23" s="106" t="str">
        <x:v>Settlement under pressure</x:v>
      </x:c>
      <x:c r="D23" s="106" t="str">
        <x:v>300 mm displacement plus support loss</x:v>
      </x:c>
      <x:c r="E23" s="106" t="str">
        <x:v>detect; isolate; restore support; requalify</x:v>
      </x:c>
      <x:c r="F23" s="106" t="n">
        <x:v>6</x:v>
      </x:c>
      <x:c r="G23" s="106" t="str">
        <x:v>disclosed</x:v>
      </x:c>
      <x:c r="H23" s="106" t="str">
        <x:v>R2</x:v>
      </x:c>
      <x:c r="I23" s="105" t="n">
        <x:v>1</x:v>
      </x:c>
      <x:c r="J23" s="105" t="n">
        <x:v>0</x:v>
      </x:c>
      <x:c r="K23" s="105"/>
      <x:c r="L23" s="105" t="str">
        <x:f>IF(K23="","OPEN",IF(K23&lt;=F23,"PASS","FAIL"))</x:f>
        <x:v>OPEN</x:v>
      </x:c>
      <x:c r="M23" s="105" t="str">
        <x:f>IF(J23&gt;=I23,"PASS","OPEN")</x:f>
        <x:v>OPEN</x:v>
      </x:c>
      <x:c r="N23" s="131" t="str">
        <x:v>protected destructive / forensic</x:v>
      </x:c>
    </x:row>
    <x:row r="24" ht="46" customHeight="1">
      <x:c r="B24" s="105" t="str">
        <x:v>D06</x:v>
      </x:c>
      <x:c r="C24" s="106" t="str">
        <x:v>Settlement under pressure</x:v>
      </x:c>
      <x:c r="D24" s="106" t="str">
        <x:v>300 mm displacement plus support loss</x:v>
      </x:c>
      <x:c r="E24" s="106" t="str">
        <x:v>detect; isolate; restore support; requalify</x:v>
      </x:c>
      <x:c r="F24" s="106" t="n">
        <x:v>6</x:v>
      </x:c>
      <x:c r="G24" s="106" t="str">
        <x:v>disclosed</x:v>
      </x:c>
      <x:c r="H24" s="106" t="str">
        <x:v>R3</x:v>
      </x:c>
      <x:c r="I24" s="105" t="n">
        <x:v>1</x:v>
      </x:c>
      <x:c r="J24" s="105" t="n">
        <x:v>0</x:v>
      </x:c>
      <x:c r="K24" s="105"/>
      <x:c r="L24" s="105" t="str">
        <x:f>IF(K24="","OPEN",IF(K24&lt;=F24,"PASS","FAIL"))</x:f>
        <x:v>OPEN</x:v>
      </x:c>
      <x:c r="M24" s="105" t="str">
        <x:f>IF(J24&gt;=I24,"PASS","OPEN")</x:f>
        <x:v>OPEN</x:v>
      </x:c>
      <x:c r="N24" s="131" t="str">
        <x:v>protected destructive / forensic</x:v>
      </x:c>
    </x:row>
    <x:row r="25" ht="46" customHeight="1">
      <x:c r="B25" s="105" t="str">
        <x:v>D07</x:v>
      </x:c>
      <x:c r="C25" s="106" t="str">
        <x:v>Sealed combination one</x:v>
      </x:c>
      <x:c r="D25" s="106" t="str">
        <x:v>two coupled states after custody transfer</x:v>
      </x:c>
      <x:c r="E25" s="106" t="str">
        <x:v>same conserved clock and evidence</x:v>
      </x:c>
      <x:c r="F25" s="106" t="n">
        <x:v>6</x:v>
      </x:c>
      <x:c r="G25" s="106" t="str">
        <x:v>sealed</x:v>
      </x:c>
      <x:c r="H25" s="106" t="str">
        <x:v>R1</x:v>
      </x:c>
      <x:c r="I25" s="105" t="n">
        <x:v>1</x:v>
      </x:c>
      <x:c r="J25" s="105" t="n">
        <x:v>0</x:v>
      </x:c>
      <x:c r="K25" s="105"/>
      <x:c r="L25" s="105" t="str">
        <x:f>IF(K25="","OPEN",IF(K25&lt;=F25,"PASS","FAIL"))</x:f>
        <x:v>OPEN</x:v>
      </x:c>
      <x:c r="M25" s="105" t="str">
        <x:f>IF(J25&gt;=I25,"PASS","OPEN")</x:f>
        <x:v>OPEN</x:v>
      </x:c>
      <x:c r="N25" s="131" t="str">
        <x:v>protected destructive / forensic</x:v>
      </x:c>
    </x:row>
    <x:row r="26" ht="46" customHeight="1">
      <x:c r="B26" s="105" t="str">
        <x:v>D07</x:v>
      </x:c>
      <x:c r="C26" s="106" t="str">
        <x:v>Sealed combination one</x:v>
      </x:c>
      <x:c r="D26" s="106" t="str">
        <x:v>two coupled states after custody transfer</x:v>
      </x:c>
      <x:c r="E26" s="106" t="str">
        <x:v>same conserved clock and evidence</x:v>
      </x:c>
      <x:c r="F26" s="106" t="n">
        <x:v>6</x:v>
      </x:c>
      <x:c r="G26" s="106" t="str">
        <x:v>sealed</x:v>
      </x:c>
      <x:c r="H26" s="106" t="str">
        <x:v>R2</x:v>
      </x:c>
      <x:c r="I26" s="105" t="n">
        <x:v>1</x:v>
      </x:c>
      <x:c r="J26" s="105" t="n">
        <x:v>0</x:v>
      </x:c>
      <x:c r="K26" s="105"/>
      <x:c r="L26" s="105" t="str">
        <x:f>IF(K26="","OPEN",IF(K26&lt;=F26,"PASS","FAIL"))</x:f>
        <x:v>OPEN</x:v>
      </x:c>
      <x:c r="M26" s="105" t="str">
        <x:f>IF(J26&gt;=I26,"PASS","OPEN")</x:f>
        <x:v>OPEN</x:v>
      </x:c>
      <x:c r="N26" s="131" t="str">
        <x:v>protected destructive / forensic</x:v>
      </x:c>
    </x:row>
    <x:row r="27" ht="46" customHeight="1">
      <x:c r="B27" s="105" t="str">
        <x:v>D07</x:v>
      </x:c>
      <x:c r="C27" s="106" t="str">
        <x:v>Sealed combination one</x:v>
      </x:c>
      <x:c r="D27" s="106" t="str">
        <x:v>two coupled states after custody transfer</x:v>
      </x:c>
      <x:c r="E27" s="106" t="str">
        <x:v>same conserved clock and evidence</x:v>
      </x:c>
      <x:c r="F27" s="106" t="n">
        <x:v>6</x:v>
      </x:c>
      <x:c r="G27" s="106" t="str">
        <x:v>sealed</x:v>
      </x:c>
      <x:c r="H27" s="106" t="str">
        <x:v>R3</x:v>
      </x:c>
      <x:c r="I27" s="105" t="n">
        <x:v>2</x:v>
      </x:c>
      <x:c r="J27" s="105" t="n">
        <x:v>0</x:v>
      </x:c>
      <x:c r="K27" s="105"/>
      <x:c r="L27" s="105" t="str">
        <x:f>IF(K27="","OPEN",IF(K27&lt;=F27,"PASS","FAIL"))</x:f>
        <x:v>OPEN</x:v>
      </x:c>
      <x:c r="M27" s="105" t="str">
        <x:f>IF(J27&gt;=I27,"PASS","OPEN")</x:f>
        <x:v>OPEN</x:v>
      </x:c>
      <x:c r="N27" s="131" t="str">
        <x:v>protected destructive / forensic</x:v>
      </x:c>
    </x:row>
    <x:row r="28" ht="46" customHeight="1">
      <x:c r="B28" s="105" t="str">
        <x:v>D08</x:v>
      </x:c>
      <x:c r="C28" s="106" t="str">
        <x:v>Sealed combination two</x:v>
      </x:c>
      <x:c r="D28" s="106" t="str">
        <x:v>two coupled states after custody transfer</x:v>
      </x:c>
      <x:c r="E28" s="106" t="str">
        <x:v>same conserved clock and evidence</x:v>
      </x:c>
      <x:c r="F28" s="106" t="n">
        <x:v>6</x:v>
      </x:c>
      <x:c r="G28" s="106" t="str">
        <x:v>sealed</x:v>
      </x:c>
      <x:c r="H28" s="106" t="str">
        <x:v>R1</x:v>
      </x:c>
      <x:c r="I28" s="105" t="n">
        <x:v>1</x:v>
      </x:c>
      <x:c r="J28" s="105" t="n">
        <x:v>0</x:v>
      </x:c>
      <x:c r="K28" s="105"/>
      <x:c r="L28" s="105" t="str">
        <x:f>IF(K28="","OPEN",IF(K28&lt;=F28,"PASS","FAIL"))</x:f>
        <x:v>OPEN</x:v>
      </x:c>
      <x:c r="M28" s="105" t="str">
        <x:f>IF(J28&gt;=I28,"PASS","OPEN")</x:f>
        <x:v>OPEN</x:v>
      </x:c>
      <x:c r="N28" s="131" t="str">
        <x:v>protected destructive / forensic</x:v>
      </x:c>
    </x:row>
    <x:row r="29" ht="46" customHeight="1">
      <x:c r="B29" s="105" t="str">
        <x:v>D08</x:v>
      </x:c>
      <x:c r="C29" s="106" t="str">
        <x:v>Sealed combination two</x:v>
      </x:c>
      <x:c r="D29" s="106" t="str">
        <x:v>two coupled states after custody transfer</x:v>
      </x:c>
      <x:c r="E29" s="106" t="str">
        <x:v>same conserved clock and evidence</x:v>
      </x:c>
      <x:c r="F29" s="106" t="n">
        <x:v>6</x:v>
      </x:c>
      <x:c r="G29" s="106" t="str">
        <x:v>sealed</x:v>
      </x:c>
      <x:c r="H29" s="106" t="str">
        <x:v>R2</x:v>
      </x:c>
      <x:c r="I29" s="105" t="n">
        <x:v>1</x:v>
      </x:c>
      <x:c r="J29" s="105" t="n">
        <x:v>0</x:v>
      </x:c>
      <x:c r="K29" s="105"/>
      <x:c r="L29" s="105" t="str">
        <x:f>IF(K29="","OPEN",IF(K29&lt;=F29,"PASS","FAIL"))</x:f>
        <x:v>OPEN</x:v>
      </x:c>
      <x:c r="M29" s="105" t="str">
        <x:f>IF(J29&gt;=I29,"PASS","OPEN")</x:f>
        <x:v>OPEN</x:v>
      </x:c>
      <x:c r="N29" s="131" t="str">
        <x:v>protected destructive / forensic</x:v>
      </x:c>
    </x:row>
    <x:row r="30" ht="46" customHeight="1">
      <x:c r="B30" s="105" t="str">
        <x:v>D08</x:v>
      </x:c>
      <x:c r="C30" s="106" t="str">
        <x:v>Sealed combination two</x:v>
      </x:c>
      <x:c r="D30" s="106" t="str">
        <x:v>two coupled states after custody transfer</x:v>
      </x:c>
      <x:c r="E30" s="106" t="str">
        <x:v>same conserved clock and evidence</x:v>
      </x:c>
      <x:c r="F30" s="106" t="n">
        <x:v>6</x:v>
      </x:c>
      <x:c r="G30" s="106" t="str">
        <x:v>sealed</x:v>
      </x:c>
      <x:c r="H30" s="106" t="str">
        <x:v>R3</x:v>
      </x:c>
      <x:c r="I30" s="105" t="n">
        <x:v>2</x:v>
      </x:c>
      <x:c r="J30" s="105" t="n">
        <x:v>0</x:v>
      </x:c>
      <x:c r="K30" s="105"/>
      <x:c r="L30" s="105" t="str">
        <x:f>IF(K30="","OPEN",IF(K30&lt;=F30,"PASS","FAIL"))</x:f>
        <x:v>OPEN</x:v>
      </x:c>
      <x:c r="M30" s="105" t="str">
        <x:f>IF(J30&gt;=I30,"PASS","OPEN")</x:f>
        <x:v>OPEN</x:v>
      </x:c>
      <x:c r="N30" s="131" t="str">
        <x:v>protected destructive / forensic</x:v>
      </x:c>
    </x:row>
    <x:row r="31">
      <x:c r="B31" s="105"/>
      <x:c r="C31" s="105"/>
      <x:c r="D31" s="105"/>
      <x:c r="E31" s="105"/>
      <x:c r="F31" s="105"/>
      <x:c r="G31" s="105"/>
      <x:c r="H31" s="105"/>
      <x:c r="I31" s="105"/>
      <x:c r="J31" s="105"/>
      <x:c r="K31" s="105"/>
      <x:c r="L31" s="105"/>
      <x:c r="M31" s="105"/>
      <x:c r="N31" s="131"/>
    </x:row>
    <x:row r="32">
      <x:c r="B32" s="110" t="str">
        <x:v>CONTROL</x:v>
      </x:c>
      <x:c r="C32" s="110" t="str">
        <x:v>Planned destructive runs</x:v>
      </x:c>
      <x:c r="D32" s="110" t="str"/>
      <x:c r="E32" s="110" t="str"/>
      <x:c r="F32" s="110" t="str"/>
      <x:c r="G32" s="110" t="str"/>
      <x:c r="H32" s="110" t="str"/>
      <x:c r="I32" s="110" t="n">
        <x:f>SUM(I7:I30)</x:f>
        <x:v>26</x:v>
      </x:c>
      <x:c r="J32" s="110" t="n">
        <x:f>SUM(J7:J30)</x:f>
        <x:v>0</x:v>
      </x:c>
      <x:c r="K32" s="110"/>
      <x:c r="L32" s="110" t="str">
        <x:f>IF(I32=26,"PASS","FAIL")</x:f>
        <x:v>PASS</x:v>
      </x:c>
      <x:c r="M32" s="110" t="str">
        <x:f>IF(J32=0,"OPEN","FAIL")</x:f>
        <x:v>OPEN</x:v>
      </x:c>
      <x:c r="N32" s="128"/>
    </x:row>
  </x:sheetData>
  <x:mergeCells>
    <x:mergeCell ref="B3:N3"/>
  </x:mergeCells>
  <x:conditionalFormatting sqref="L7:M32">
    <x:cfRule type="containsText" dxfId="77" priority="1" operator="containsText" text="FAIL"/>
    <x:cfRule type="containsText" dxfId="78" priority="2" operator="containsText" text="BLOCKED"/>
    <x:cfRule type="containsText" dxfId="79" priority="3" operator="containsText" text="HOLD"/>
    <x:cfRule type="containsText" dxfId="80" priority="4" operator="containsText" text="OPEN"/>
    <x:cfRule type="containsText" dxfId="81" priority="5" operator="containsText" text="NOT ADMITTED"/>
    <x:cfRule type="containsText" dxfId="82" priority="6" operator="containsText" text="PASS"/>
    <x:cfRule type="containsText" dxfId="83" priority="7" operator="containsText" text="CLOSED"/>
    <x:cfRule type="containsText" dxfId="84" priority="8" operator="containsText" text="READY"/>
    <x:cfRule type="containsText" dxfId="85" priority="9" operator="containsText" text="AUTHORIZED"/>
    <x:cfRule type="containsText" dxfId="86" priority="10" operator="containsText" text="PLANNING PASS"/>
    <x:cfRule type="containsText" dxfId="87" priority="11" operator="containsText" text="COMPLETE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27" hidden="0" customWidth="1"/>
    <x:col min="4" max="4" width="19" hidden="0" customWidth="1"/>
    <x:col min="5" max="5" width="14" hidden="0" customWidth="1"/>
    <x:col min="6" max="6" width="16" hidden="0" customWidth="1"/>
    <x:col min="7" max="7" width="13" hidden="0" customWidth="1"/>
    <x:col min="8" max="8" width="17" hidden="0" customWidth="1"/>
    <x:col min="9" max="9" width="18" hidden="0" customWidth="1"/>
    <x:col min="10" max="10" width="32" hidden="0" customWidth="1"/>
    <x:col min="11" max="11" width="20" hidden="0" customWidth="1"/>
    <x:col min="12" max="12" width="19" hidden="0" customWidth="1"/>
    <x:col min="13" max="13" width="17" hidden="0" customWidth="1"/>
    <x:col min="14" max="14" width="15" hidden="0" customWidth="1"/>
  </x:cols>
  <x:sheetData>
    <x:row r="2">
      <x:c r="B2" s="92" t="str">
        <x:v>Independent instrument and original-data plan</x:v>
      </x:c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</x:row>
    <x:row r="3">
      <x:c r="B3" s="84" t="str">
        <x:v>Embedded root sensors may operate the system. Only this separate plane can admit the common claims.</x:v>
      </x:c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</x:row>
    <x:row r="4">
      <x:c r="B4" s="85"/>
      <x:c r="C4" s="85"/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85"/>
    </x:row>
    <x:row r="5">
      <x:c r="B5" s="83"/>
      <x:c r="C5" s="83"/>
      <x:c r="D5" s="83"/>
      <x:c r="E5" s="83"/>
      <x:c r="F5" s="83"/>
      <x:c r="G5" s="83"/>
      <x:c r="H5" s="83"/>
      <x:c r="I5" s="83"/>
      <x:c r="J5" s="83"/>
      <x:c r="K5" s="83"/>
      <x:c r="L5" s="83"/>
      <x:c r="M5" s="83"/>
      <x:c r="N5" s="83"/>
    </x:row>
    <x:row r="6">
      <x:c r="B6" s="18" t="str">
        <x:v>ID</x:v>
      </x:c>
      <x:c r="C6" s="19" t="str">
        <x:v>Channel family</x:v>
      </x:c>
      <x:c r="D6" s="19" t="str">
        <x:v>Channels per paired reach</x:v>
      </x:c>
      <x:c r="E6" s="19" t="str">
        <x:v>Sample Hz</x:v>
      </x:c>
      <x:c r="F6" s="19" t="str">
        <x:v>Bytes/sample</x:v>
      </x:c>
      <x:c r="G6" s="19" t="str">
        <x:v>Duty share</x:v>
      </x:c>
      <x:c r="H6" s="19" t="str">
        <x:v>U95 / resolution</x:v>
      </x:c>
      <x:c r="I6" s="19" t="str">
        <x:v>Unit</x:v>
      </x:c>
      <x:c r="J6" s="19" t="str">
        <x:v>Decision</x:v>
      </x:c>
      <x:c r="K6" s="19" t="str">
        <x:v>Channels for two reaches</x:v>
      </x:c>
      <x:c r="L6" s="19" t="str">
        <x:v>Data GB per reach</x:v>
      </x:c>
      <x:c r="M6" s="19" t="str">
        <x:v>Retained GB</x:v>
      </x:c>
      <x:c r="N6" s="19" t="str">
        <x:v>Physical state</x:v>
      </x:c>
    </x:row>
    <x:row r="7" ht="42" customHeight="1">
      <x:c r="B7" s="105" t="str">
        <x:v>IN01</x:v>
      </x:c>
      <x:c r="C7" s="106" t="str">
        <x:v>Pressure and transient</x:v>
      </x:c>
      <x:c r="D7" s="106" t="n">
        <x:v>24</x:v>
      </x:c>
      <x:c r="E7" s="121" t="n">
        <x:v>200</x:v>
      </x:c>
      <x:c r="F7" s="121" t="n">
        <x:v>4</x:v>
      </x:c>
      <x:c r="G7" s="121" t="n">
        <x:v>1</x:v>
      </x:c>
      <x:c r="H7" s="106" t="n">
        <x:v>0.01</x:v>
      </x:c>
      <x:c r="I7" s="106" t="str">
        <x:v>MPa U95</x:v>
      </x:c>
      <x:c r="J7" s="106" t="str">
        <x:v>pressure waveform and excursion</x:v>
      </x:c>
      <x:c r="K7" s="105" t="n">
        <x:f>D7*'Control Inputs'!D30</x:f>
        <x:v>48</x:v>
      </x:c>
      <x:c r="L7" s="136" t="n">
        <x:f>D7*E7*F7*G7*3600*'Control Inputs'!D27/1000000000</x:f>
        <x:v>11.61216</x:v>
      </x:c>
      <x:c r="M7" s="136" t="n">
        <x:f>L7*'Control Inputs'!D32</x:f>
        <x:v>23.22432</x:v>
      </x:c>
      <x:c r="N7" s="131" t="str">
        <x:v>OPEN</x:v>
      </x:c>
    </x:row>
    <x:row r="8" ht="42" customHeight="1">
      <x:c r="B8" s="105" t="str">
        <x:v>IN02</x:v>
      </x:c>
      <x:c r="C8" s="106" t="str">
        <x:v>Route flow and volume</x:v>
      </x:c>
      <x:c r="D8" s="106" t="n">
        <x:v>8</x:v>
      </x:c>
      <x:c r="E8" s="121" t="n">
        <x:v>10</x:v>
      </x:c>
      <x:c r="F8" s="121" t="n">
        <x:v>8</x:v>
      </x:c>
      <x:c r="G8" s="121" t="n">
        <x:v>1</x:v>
      </x:c>
      <x:c r="H8" s="106" t="n">
        <x:v>0.025</x:v>
      </x:c>
      <x:c r="I8" s="106" t="str">
        <x:v>share U95</x:v>
      </x:c>
      <x:c r="J8" s="106" t="str">
        <x:v>flow and service continuity</x:v>
      </x:c>
      <x:c r="K8" s="105" t="n">
        <x:f>D8*'Control Inputs'!D30</x:f>
        <x:v>16</x:v>
      </x:c>
      <x:c r="L8" s="136" t="n">
        <x:f>D8*E8*F8*G8*3600*'Control Inputs'!D27/1000000000</x:f>
        <x:v>0.387072</x:v>
      </x:c>
      <x:c r="M8" s="136" t="n">
        <x:f>L8*'Control Inputs'!D32</x:f>
        <x:v>0.774144</x:v>
      </x:c>
      <x:c r="N8" s="131" t="str">
        <x:v>OPEN</x:v>
      </x:c>
    </x:row>
    <x:row r="9" ht="42" customHeight="1">
      <x:c r="B9" s="105" t="str">
        <x:v>IN03</x:v>
      </x:c>
      <x:c r="C9" s="106" t="str">
        <x:v>Conduit geometry</x:v>
      </x:c>
      <x:c r="D9" s="106" t="n">
        <x:v>32</x:v>
      </x:c>
      <x:c r="E9" s="121" t="n">
        <x:v>1</x:v>
      </x:c>
      <x:c r="F9" s="121" t="n">
        <x:v>8</x:v>
      </x:c>
      <x:c r="G9" s="121" t="n">
        <x:v>1</x:v>
      </x:c>
      <x:c r="H9" s="106" t="n">
        <x:v>2</x:v>
      </x:c>
      <x:c r="I9" s="106" t="str">
        <x:v>mm U95</x:v>
      </x:c>
      <x:c r="J9" s="106" t="str">
        <x:v>area, ovality and settlement</x:v>
      </x:c>
      <x:c r="K9" s="105" t="n">
        <x:f>D9*'Control Inputs'!D30</x:f>
        <x:v>64</x:v>
      </x:c>
      <x:c r="L9" s="136" t="n">
        <x:f>D9*E9*F9*G9*3600*'Control Inputs'!D27/1000000000</x:f>
        <x:v>0.1548288</x:v>
      </x:c>
      <x:c r="M9" s="136" t="n">
        <x:f>L9*'Control Inputs'!D32</x:f>
        <x:v>0.3096576</x:v>
      </x:c>
      <x:c r="N9" s="131" t="str">
        <x:v>OPEN</x:v>
      </x:c>
    </x:row>
    <x:row r="10" ht="42" customHeight="1">
      <x:c r="B10" s="105" t="str">
        <x:v>IN04</x:v>
      </x:c>
      <x:c r="C10" s="106" t="str">
        <x:v>Axial/circumferential strain</x:v>
      </x:c>
      <x:c r="D10" s="106" t="n">
        <x:v>32</x:v>
      </x:c>
      <x:c r="E10" s="121" t="n">
        <x:v>100</x:v>
      </x:c>
      <x:c r="F10" s="121" t="n">
        <x:v>4</x:v>
      </x:c>
      <x:c r="G10" s="121" t="n">
        <x:v>0.25</x:v>
      </x:c>
      <x:c r="H10" s="106" t="n">
        <x:v>50</x:v>
      </x:c>
      <x:c r="I10" s="106" t="str">
        <x:v>microstrain U95</x:v>
      </x:c>
      <x:c r="J10" s="106" t="str">
        <x:v>load and fatigue</x:v>
      </x:c>
      <x:c r="K10" s="105" t="n">
        <x:f>D10*'Control Inputs'!D30</x:f>
        <x:v>64</x:v>
      </x:c>
      <x:c r="L10" s="136" t="n">
        <x:f>D10*E10*F10*G10*3600*'Control Inputs'!D27/1000000000</x:f>
        <x:v>1.93536</x:v>
      </x:c>
      <x:c r="M10" s="136" t="n">
        <x:f>L10*'Control Inputs'!D32</x:f>
        <x:v>3.87072</x:v>
      </x:c>
      <x:c r="N10" s="131" t="str">
        <x:v>OPEN</x:v>
      </x:c>
    </x:row>
    <x:row r="11" ht="42" customHeight="1">
      <x:c r="B11" s="105" t="str">
        <x:v>IN05</x:v>
      </x:c>
      <x:c r="C11" s="106" t="str">
        <x:v>Soil load and displacement</x:v>
      </x:c>
      <x:c r="D11" s="106" t="n">
        <x:v>40</x:v>
      </x:c>
      <x:c r="E11" s="121" t="n">
        <x:v>10</x:v>
      </x:c>
      <x:c r="F11" s="121" t="n">
        <x:v>8</x:v>
      </x:c>
      <x:c r="G11" s="121" t="n">
        <x:v>0.5</x:v>
      </x:c>
      <x:c r="H11" s="106" t="n">
        <x:v>5</x:v>
      </x:c>
      <x:c r="I11" s="106" t="str">
        <x:v>mm displacement</x:v>
      </x:c>
      <x:c r="J11" s="106" t="str">
        <x:v>ground interaction</x:v>
      </x:c>
      <x:c r="K11" s="105" t="n">
        <x:f>D11*'Control Inputs'!D30</x:f>
        <x:v>80</x:v>
      </x:c>
      <x:c r="L11" s="136" t="n">
        <x:f>D11*E11*F11*G11*3600*'Control Inputs'!D27/1000000000</x:f>
        <x:v>0.96768</x:v>
      </x:c>
      <x:c r="M11" s="136" t="n">
        <x:f>L11*'Control Inputs'!D32</x:f>
        <x:v>1.93536</x:v>
      </x:c>
      <x:c r="N11" s="131" t="str">
        <x:v>OPEN</x:v>
      </x:c>
    </x:row>
    <x:row r="12" ht="42" customHeight="1">
      <x:c r="B12" s="105" t="str">
        <x:v>IN06</x:v>
      </x:c>
      <x:c r="C12" s="106" t="str">
        <x:v>Crossing load and pose</x:v>
      </x:c>
      <x:c r="D12" s="106" t="n">
        <x:v>24</x:v>
      </x:c>
      <x:c r="E12" s="121" t="n">
        <x:v>100</x:v>
      </x:c>
      <x:c r="F12" s="121" t="n">
        <x:v>8</x:v>
      </x:c>
      <x:c r="G12" s="121" t="n">
        <x:v>0.25</x:v>
      </x:c>
      <x:c r="H12" s="106" t="n">
        <x:v>0.1</x:v>
      </x:c>
      <x:c r="I12" s="106" t="str">
        <x:v>degree pose</x:v>
      </x:c>
      <x:c r="J12" s="106" t="str">
        <x:v>crossing structure</x:v>
      </x:c>
      <x:c r="K12" s="105" t="n">
        <x:f>D12*'Control Inputs'!D30</x:f>
        <x:v>48</x:v>
      </x:c>
      <x:c r="L12" s="136" t="n">
        <x:f>D12*E12*F12*G12*3600*'Control Inputs'!D27/1000000000</x:f>
        <x:v>2.90304</x:v>
      </x:c>
      <x:c r="M12" s="136" t="n">
        <x:f>L12*'Control Inputs'!D32</x:f>
        <x:v>5.80608</x:v>
      </x:c>
      <x:c r="N12" s="131" t="str">
        <x:v>OPEN</x:v>
      </x:c>
    </x:row>
    <x:row r="13" ht="42" customHeight="1">
      <x:c r="B13" s="105" t="str">
        <x:v>IN07</x:v>
      </x:c>
      <x:c r="C13" s="106" t="str">
        <x:v>Leak and acoustic event</x:v>
      </x:c>
      <x:c r="D13" s="106" t="n">
        <x:v>24</x:v>
      </x:c>
      <x:c r="E13" s="121" t="n">
        <x:v>2000</x:v>
      </x:c>
      <x:c r="F13" s="121" t="n">
        <x:v>4</x:v>
      </x:c>
      <x:c r="G13" s="121" t="n">
        <x:v>0.1</x:v>
      </x:c>
      <x:c r="H13" s="106" t="n">
        <x:v>5</x:v>
      </x:c>
      <x:c r="I13" s="106" t="str">
        <x:v>m location</x:v>
      </x:c>
      <x:c r="J13" s="106" t="str">
        <x:v>detection and localization</x:v>
      </x:c>
      <x:c r="K13" s="105" t="n">
        <x:f>D13*'Control Inputs'!D30</x:f>
        <x:v>48</x:v>
      </x:c>
      <x:c r="L13" s="136" t="n">
        <x:f>D13*E13*F13*G13*3600*'Control Inputs'!D27/1000000000</x:f>
        <x:v>11.61216</x:v>
      </x:c>
      <x:c r="M13" s="136" t="n">
        <x:f>L13*'Control Inputs'!D32</x:f>
        <x:v>23.22432</x:v>
      </x:c>
      <x:c r="N13" s="131" t="str">
        <x:v>OPEN</x:v>
      </x:c>
    </x:row>
    <x:row r="14" ht="42" customHeight="1">
      <x:c r="B14" s="105" t="str">
        <x:v>IN08</x:v>
      </x:c>
      <x:c r="C14" s="106" t="str">
        <x:v>Water quality and samples</x:v>
      </x:c>
      <x:c r="D14" s="106" t="n">
        <x:v>20</x:v>
      </x:c>
      <x:c r="E14" s="121" t="n">
        <x:v>0.0167</x:v>
      </x:c>
      <x:c r="F14" s="121" t="n">
        <x:v>16</x:v>
      </x:c>
      <x:c r="G14" s="121" t="n">
        <x:v>1</x:v>
      </x:c>
      <x:c r="H14" s="106" t="n">
        <x:v>0.5</x:v>
      </x:c>
      <x:c r="I14" s="106" t="str">
        <x:v>share decision margin</x:v>
      </x:c>
      <x:c r="J14" s="106" t="str">
        <x:v>sanitary release</x:v>
      </x:c>
      <x:c r="K14" s="105" t="n">
        <x:f>D14*'Control Inputs'!D30</x:f>
        <x:v>40</x:v>
      </x:c>
      <x:c r="L14" s="136" t="n">
        <x:f>D14*E14*F14*G14*3600*'Control Inputs'!D27/1000000000</x:f>
        <x:v>0.0032320511999999997</x:v>
      </x:c>
      <x:c r="M14" s="136" t="n">
        <x:f>L14*'Control Inputs'!D32</x:f>
        <x:v>0.0064641023999999995</x:v>
      </x:c>
      <x:c r="N14" s="131" t="str">
        <x:v>OPEN</x:v>
      </x:c>
    </x:row>
    <x:row r="15" ht="42" customHeight="1">
      <x:c r="B15" s="105" t="str">
        <x:v>IN09</x:v>
      </x:c>
      <x:c r="C15" s="106" t="str">
        <x:v>Process and closure state</x:v>
      </x:c>
      <x:c r="D15" s="106" t="n">
        <x:v>24</x:v>
      </x:c>
      <x:c r="E15" s="121" t="n">
        <x:v>10</x:v>
      </x:c>
      <x:c r="F15" s="121" t="n">
        <x:v>8</x:v>
      </x:c>
      <x:c r="G15" s="121" t="n">
        <x:v>0.25</x:v>
      </x:c>
      <x:c r="H15" s="106" t="n">
        <x:v>1</x:v>
      </x:c>
      <x:c r="I15" s="106" t="str">
        <x:v>registered resolution</x:v>
      </x:c>
      <x:c r="J15" s="106" t="str">
        <x:v>process validity</x:v>
      </x:c>
      <x:c r="K15" s="105" t="n">
        <x:f>D15*'Control Inputs'!D30</x:f>
        <x:v>48</x:v>
      </x:c>
      <x:c r="L15" s="136" t="n">
        <x:f>D15*E15*F15*G15*3600*'Control Inputs'!D27/1000000000</x:f>
        <x:v>0.290304</x:v>
      </x:c>
      <x:c r="M15" s="136" t="n">
        <x:f>L15*'Control Inputs'!D32</x:f>
        <x:v>0.580608</x:v>
      </x:c>
      <x:c r="N15" s="131" t="str">
        <x:v>OPEN</x:v>
      </x:c>
    </x:row>
    <x:row r="16" ht="42" customHeight="1">
      <x:c r="B16" s="105" t="str">
        <x:v>IN10</x:v>
      </x:c>
      <x:c r="C16" s="106" t="str">
        <x:v>Electrical energy and power</x:v>
      </x:c>
      <x:c r="D16" s="106" t="n">
        <x:v>16</x:v>
      </x:c>
      <x:c r="E16" s="121" t="n">
        <x:v>10</x:v>
      </x:c>
      <x:c r="F16" s="121" t="n">
        <x:v>8</x:v>
      </x:c>
      <x:c r="G16" s="121" t="n">
        <x:v>1</x:v>
      </x:c>
      <x:c r="H16" s="106" t="n">
        <x:v>0.02</x:v>
      </x:c>
      <x:c r="I16" s="106" t="str">
        <x:v>share U95</x:v>
      </x:c>
      <x:c r="J16" s="106" t="str">
        <x:v>article independence</x:v>
      </x:c>
      <x:c r="K16" s="105" t="n">
        <x:f>D16*'Control Inputs'!D30</x:f>
        <x:v>32</x:v>
      </x:c>
      <x:c r="L16" s="136" t="n">
        <x:f>D16*E16*F16*G16*3600*'Control Inputs'!D27/1000000000</x:f>
        <x:v>0.774144</x:v>
      </x:c>
      <x:c r="M16" s="136" t="n">
        <x:f>L16*'Control Inputs'!D32</x:f>
        <x:v>1.548288</x:v>
      </x:c>
      <x:c r="N16" s="131" t="str">
        <x:v>OPEN</x:v>
      </x:c>
    </x:row>
    <x:row r="17" ht="42" customHeight="1">
      <x:c r="B17" s="105" t="str">
        <x:v>IN11</x:v>
      </x:c>
      <x:c r="C17" s="106" t="str">
        <x:v>Denied time and event order</x:v>
      </x:c>
      <x:c r="D17" s="106" t="n">
        <x:v>8</x:v>
      </x:c>
      <x:c r="E17" s="121" t="n">
        <x:v>10</x:v>
      </x:c>
      <x:c r="F17" s="121" t="n">
        <x:v>8</x:v>
      </x:c>
      <x:c r="G17" s="121" t="n">
        <x:v>1</x:v>
      </x:c>
      <x:c r="H17" s="106" t="n">
        <x:v>1</x:v>
      </x:c>
      <x:c r="I17" s="106" t="str">
        <x:v>s relative</x:v>
      </x:c>
      <x:c r="J17" s="106" t="str">
        <x:v>conserved clock</x:v>
      </x:c>
      <x:c r="K17" s="105" t="n">
        <x:f>D17*'Control Inputs'!D30</x:f>
        <x:v>16</x:v>
      </x:c>
      <x:c r="L17" s="136" t="n">
        <x:f>D17*E17*F17*G17*3600*'Control Inputs'!D27/1000000000</x:f>
        <x:v>0.387072</x:v>
      </x:c>
      <x:c r="M17" s="136" t="n">
        <x:f>L17*'Control Inputs'!D32</x:f>
        <x:v>0.774144</x:v>
      </x:c>
      <x:c r="N17" s="131" t="str">
        <x:v>OPEN</x:v>
      </x:c>
    </x:row>
    <x:row r="18" ht="42" customHeight="1">
      <x:c r="B18" s="105" t="str">
        <x:v>IN12</x:v>
      </x:c>
      <x:c r="C18" s="106" t="str">
        <x:v>Configuration and custody</x:v>
      </x:c>
      <x:c r="D18" s="106" t="n">
        <x:v>16</x:v>
      </x:c>
      <x:c r="E18" s="121" t="n">
        <x:v>0.0167</x:v>
      </x:c>
      <x:c r="F18" s="121" t="n">
        <x:v>32</x:v>
      </x:c>
      <x:c r="G18" s="121" t="n">
        <x:v>1</x:v>
      </x:c>
      <x:c r="H18" s="106" t="n">
        <x:v>0</x:v>
      </x:c>
      <x:c r="I18" s="106" t="str">
        <x:v>unknown transitions</x:v>
      </x:c>
      <x:c r="J18" s="106" t="str">
        <x:v>serial state</x:v>
      </x:c>
      <x:c r="K18" s="105" t="n">
        <x:f>D18*'Control Inputs'!D30</x:f>
        <x:v>32</x:v>
      </x:c>
      <x:c r="L18" s="136" t="n">
        <x:f>D18*E18*F18*G18*3600*'Control Inputs'!D27/1000000000</x:f>
        <x:v>0.00517128192</x:v>
      </x:c>
      <x:c r="M18" s="136" t="n">
        <x:f>L18*'Control Inputs'!D32</x:f>
        <x:v>0.01034256384</x:v>
      </x:c>
      <x:c r="N18" s="131" t="str">
        <x:v>OPEN</x:v>
      </x:c>
    </x:row>
    <x:row r="19">
      <x:c r="B19" s="105"/>
      <x:c r="C19" s="105"/>
      <x:c r="D19" s="105"/>
      <x:c r="E19" s="105"/>
      <x:c r="F19" s="105"/>
      <x:c r="G19" s="105"/>
      <x:c r="H19" s="105"/>
      <x:c r="I19" s="105"/>
      <x:c r="J19" s="105"/>
      <x:c r="K19" s="105"/>
      <x:c r="L19" s="136"/>
      <x:c r="M19" s="136"/>
      <x:c r="N19" s="131"/>
    </x:row>
    <x:row r="20">
      <x:c r="B20" s="110" t="str">
        <x:v>CONTROL</x:v>
      </x:c>
      <x:c r="C20" s="110" t="str">
        <x:v>Totals</x:v>
      </x:c>
      <x:c r="D20" s="110" t="n">
        <x:f>SUM(D7:D18)</x:f>
        <x:v>268</x:v>
      </x:c>
      <x:c r="E20" s="110"/>
      <x:c r="F20" s="110"/>
      <x:c r="G20" s="110"/>
      <x:c r="H20" s="110"/>
      <x:c r="I20" s="110"/>
      <x:c r="J20" s="110"/>
      <x:c r="K20" s="110" t="n">
        <x:f>SUM(K7:K18)</x:f>
        <x:v>536</x:v>
      </x:c>
      <x:c r="L20" s="137" t="n">
        <x:f>SUM(L7:L18)</x:f>
        <x:v>31.032224133119996</x:v>
      </x:c>
      <x:c r="M20" s="137" t="n">
        <x:f>SUM(M7:M18)</x:f>
        <x:v>62.06444826623999</x:v>
      </x:c>
      <x:c r="N20" s="128" t="str">
        <x:f>IF(AND(D20=268,K20=536,M20&gt;0),"PASS","FAIL")</x:f>
        <x:v>PASS</x:v>
      </x:c>
    </x:row>
  </x:sheetData>
  <x:mergeCells>
    <x:mergeCell ref="B3:N3"/>
  </x:mergeCells>
  <x:conditionalFormatting sqref="N7:N20">
    <x:cfRule type="containsText" dxfId="88" priority="1" operator="containsText" text="FAIL"/>
    <x:cfRule type="containsText" dxfId="89" priority="2" operator="containsText" text="BLOCKED"/>
    <x:cfRule type="containsText" dxfId="90" priority="3" operator="containsText" text="HOLD"/>
    <x:cfRule type="containsText" dxfId="91" priority="4" operator="containsText" text="OPEN"/>
    <x:cfRule type="containsText" dxfId="92" priority="5" operator="containsText" text="NOT ADMITTED"/>
    <x:cfRule type="containsText" dxfId="93" priority="6" operator="containsText" text="PASS"/>
    <x:cfRule type="containsText" dxfId="94" priority="7" operator="containsText" text="CLOSED"/>
    <x:cfRule type="containsText" dxfId="95" priority="8" operator="containsText" text="READY"/>
    <x:cfRule type="containsText" dxfId="96" priority="9" operator="containsText" text="AUTHORIZED"/>
    <x:cfRule type="containsText" dxfId="97" priority="10" operator="containsText" text="PLANNING PASS"/>
    <x:cfRule type="containsText" dxfId="98" priority="11" operator="containsText" text="COMPLETE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24" hidden="0" customWidth="1"/>
    <x:col min="4" max="4" width="44" hidden="0" customWidth="1"/>
    <x:col min="5" max="5" width="29" hidden="0" customWidth="1"/>
    <x:col min="6" max="6" width="27" hidden="0" customWidth="1"/>
    <x:col min="7" max="7" width="34" hidden="0" customWidth="1"/>
    <x:col min="8" max="8" width="18" hidden="0" customWidth="1"/>
  </x:cols>
  <x:sheetData>
    <x:row r="2">
      <x:c r="B2" s="92" t="str">
        <x:v>Required evidence objects</x:v>
      </x:c>
      <x:c r="C2" s="83"/>
      <x:c r="D2" s="83"/>
      <x:c r="E2" s="83"/>
      <x:c r="F2" s="83"/>
      <x:c r="G2" s="83"/>
      <x:c r="H2" s="83"/>
      <x:c r="I2" s="83"/>
      <x:c r="J2" s="83"/>
      <x:c r="K2" s="83"/>
    </x:row>
    <x:row r="3">
      <x:c r="B3" s="84" t="str">
        <x:v>Claims attach to one serial configuration and one representative event. Best results from different articles may not be composited.</x:v>
      </x:c>
      <x:c r="C3" s="83"/>
      <x:c r="D3" s="83"/>
      <x:c r="E3" s="83"/>
      <x:c r="F3" s="83"/>
      <x:c r="G3" s="83"/>
      <x:c r="H3" s="83"/>
      <x:c r="I3" s="83"/>
      <x:c r="J3" s="83"/>
      <x:c r="K3" s="83"/>
    </x:row>
    <x:row r="4">
      <x:c r="B4" s="85"/>
      <x:c r="C4" s="85"/>
      <x:c r="D4" s="85"/>
      <x:c r="E4" s="85"/>
      <x:c r="F4" s="85"/>
      <x:c r="G4" s="85"/>
      <x:c r="H4" s="85"/>
      <x:c r="I4" s="85"/>
      <x:c r="J4" s="85"/>
      <x:c r="K4" s="85"/>
    </x:row>
    <x:row r="5">
      <x:c r="B5" s="83"/>
      <x:c r="C5" s="83"/>
      <x:c r="D5" s="83"/>
      <x:c r="E5" s="83"/>
      <x:c r="F5" s="83"/>
      <x:c r="G5" s="83"/>
      <x:c r="H5" s="83"/>
      <x:c r="I5" s="83"/>
      <x:c r="J5" s="83"/>
      <x:c r="K5" s="83"/>
    </x:row>
    <x:row r="6">
      <x:c r="B6" s="18" t="str">
        <x:v>ID</x:v>
      </x:c>
      <x:c r="C6" s="19" t="str">
        <x:v>Object</x:v>
      </x:c>
      <x:c r="D6" s="19" t="str">
        <x:v>Minimum contents</x:v>
      </x:c>
      <x:c r="E6" s="19" t="str">
        <x:v>Custodian</x:v>
      </x:c>
      <x:c r="F6" s="19" t="str">
        <x:v>Creation point</x:v>
      </x:c>
      <x:c r="G6" s="19" t="str">
        <x:v>Admission rule</x:v>
      </x:c>
      <x:c r="H6" s="19" t="str">
        <x:v>Physical records</x:v>
      </x:c>
      <x:c r="I6" s="83"/>
      <x:c r="J6" s="83"/>
      <x:c r="K6" s="83"/>
    </x:row>
    <x:row r="7" ht="48" customHeight="1">
      <x:c r="B7" s="105" t="str">
        <x:v>O01</x:v>
      </x:c>
      <x:c r="C7" s="106" t="str">
        <x:v>Serial configuration</x:v>
      </x:c>
      <x:c r="D7" s="106" t="str">
        <x:v>article, lot, root and configuration hash</x:v>
      </x:c>
      <x:c r="E7" s="106" t="str">
        <x:v>configuration authority</x:v>
      </x:c>
      <x:c r="F7" s="106" t="str">
        <x:v>every accepted event</x:v>
      </x:c>
      <x:c r="G7" s="106" t="str">
        <x:v>zero unidentified transition</x:v>
      </x:c>
      <x:c r="H7" s="131" t="n">
        <x:v>0</x:v>
      </x:c>
      <x:c r="I7" s="83"/>
      <x:c r="J7" s="83"/>
      <x:c r="K7" s="83"/>
    </x:row>
    <x:row r="8" ht="48" customHeight="1">
      <x:c r="B8" s="105" t="str">
        <x:v>O02</x:v>
      </x:c>
      <x:c r="C8" s="106" t="str">
        <x:v>Material passport</x:v>
      </x:c>
      <x:c r="D8" s="106" t="str">
        <x:v>composition, layers, feedstock and production position</x:v>
      </x:c>
      <x:c r="E8" s="106" t="str">
        <x:v>materials authority</x:v>
      </x:c>
      <x:c r="F8" s="106" t="str">
        <x:v>each lot and repair stock</x:v>
      </x:c>
      <x:c r="G8" s="106" t="str">
        <x:v>complete identity</x:v>
      </x:c>
      <x:c r="H8" s="131" t="n">
        <x:v>0</x:v>
      </x:c>
      <x:c r="I8" s="83"/>
      <x:c r="J8" s="83"/>
      <x:c r="K8" s="83"/>
    </x:row>
    <x:row r="9" ht="48" customHeight="1">
      <x:c r="B9" s="105" t="str">
        <x:v>O03</x:v>
      </x:c>
      <x:c r="C9" s="106" t="str">
        <x:v>Process original</x:v>
      </x:c>
      <x:c r="D9" s="106" t="str">
        <x:v>tool, energy, recipe, operator, time and reject stream</x:v>
      </x:c>
      <x:c r="E9" s="106" t="str">
        <x:v>configuration authority</x:v>
      </x:c>
      <x:c r="F9" s="106" t="str">
        <x:v>every formed length and closure</x:v>
      </x:c>
      <x:c r="G9" s="106" t="str">
        <x:v>complete local original</x:v>
      </x:c>
      <x:c r="H9" s="131" t="n">
        <x:v>0</x:v>
      </x:c>
      <x:c r="I9" s="83"/>
      <x:c r="J9" s="83"/>
      <x:c r="K9" s="83"/>
    </x:row>
    <x:row r="10" ht="48" customHeight="1">
      <x:c r="B10" s="105" t="str">
        <x:v>O04</x:v>
      </x:c>
      <x:c r="C10" s="106" t="str">
        <x:v>As-built geometry</x:v>
      </x:c>
      <x:c r="D10" s="106" t="str">
        <x:v>wall, layer, flow area, closure and reference pose</x:v>
      </x:c>
      <x:c r="E10" s="106" t="str">
        <x:v>metrology authority</x:v>
      </x:c>
      <x:c r="F10" s="106" t="str">
        <x:v>pre-event and post-repair</x:v>
      </x:c>
      <x:c r="G10" s="106" t="str">
        <x:v>registered uncertainty</x:v>
      </x:c>
      <x:c r="H10" s="131" t="n">
        <x:v>0</x:v>
      </x:c>
      <x:c r="I10" s="83"/>
      <x:c r="J10" s="83"/>
      <x:c r="K10" s="83"/>
    </x:row>
    <x:row r="11" ht="48" customHeight="1">
      <x:c r="B11" s="105" t="str">
        <x:v>O05</x:v>
      </x:c>
      <x:c r="C11" s="106" t="str">
        <x:v>Calibration chain</x:v>
      </x:c>
      <x:c r="D11" s="106" t="str">
        <x:v>standard, genealogy, uncertainty and pre/post checks</x:v>
      </x:c>
      <x:c r="E11" s="106" t="str">
        <x:v>metrology authority</x:v>
      </x:c>
      <x:c r="F11" s="106" t="str">
        <x:v>every channel family</x:v>
      </x:c>
      <x:c r="G11" s="106" t="str">
        <x:v>no unexplained drift</x:v>
      </x:c>
      <x:c r="H11" s="131" t="n">
        <x:v>0</x:v>
      </x:c>
      <x:c r="I11" s="83"/>
      <x:c r="J11" s="83"/>
      <x:c r="K11" s="83"/>
    </x:row>
    <x:row r="12" ht="48" customHeight="1">
      <x:c r="B12" s="105" t="str">
        <x:v>O06</x:v>
      </x:c>
      <x:c r="C12" s="106" t="str">
        <x:v>Pressure-flow original</x:v>
      </x:c>
      <x:c r="D12" s="106" t="str">
        <x:v>waveforms, volume, isolation and buffer state</x:v>
      </x:c>
      <x:c r="E12" s="106" t="str">
        <x:v>evidence board</x:v>
      </x:c>
      <x:c r="F12" s="106" t="str">
        <x:v>continuous credited interval</x:v>
      </x:c>
      <x:c r="G12" s="106" t="str">
        <x:v>complete with invalid intervals</x:v>
      </x:c>
      <x:c r="H12" s="131" t="n">
        <x:v>0</x:v>
      </x:c>
      <x:c r="I12" s="83"/>
      <x:c r="J12" s="83"/>
      <x:c r="K12" s="83"/>
    </x:row>
    <x:row r="13" ht="48" customHeight="1">
      <x:c r="B13" s="105" t="str">
        <x:v>O07</x:v>
      </x:c>
      <x:c r="C13" s="106" t="str">
        <x:v>Sanitary custody</x:v>
      </x:c>
      <x:c r="D13" s="106" t="str">
        <x:v>blind samples, handling, assays and release decision</x:v>
      </x:c>
      <x:c r="E13" s="106" t="str">
        <x:v>water-release authority</x:v>
      </x:c>
      <x:c r="F13" s="106" t="str">
        <x:v>before service and after repair</x:v>
      </x:c>
      <x:c r="G13" s="106" t="str">
        <x:v>receiver limit satisfied</x:v>
      </x:c>
      <x:c r="H13" s="131" t="n">
        <x:v>0</x:v>
      </x:c>
      <x:c r="I13" s="83"/>
      <x:c r="J13" s="83"/>
      <x:c r="K13" s="83"/>
    </x:row>
    <x:row r="14" ht="48" customHeight="1">
      <x:c r="B14" s="105" t="str">
        <x:v>O08</x:v>
      </x:c>
      <x:c r="C14" s="106" t="str">
        <x:v>Damage insertion</x:v>
      </x:c>
      <x:c r="D14" s="106" t="str">
        <x:v>sealed order, team, time, tool and physical state</x:v>
      </x:c>
      <x:c r="E14" s="106" t="str">
        <x:v>blind damage team</x:v>
      </x:c>
      <x:c r="F14" s="106" t="str">
        <x:v>each DR event</x:v>
      </x:c>
      <x:c r="G14" s="106" t="str">
        <x:v>no builder foreknowledge</x:v>
      </x:c>
      <x:c r="H14" s="131" t="n">
        <x:v>0</x:v>
      </x:c>
      <x:c r="I14" s="83"/>
      <x:c r="J14" s="83"/>
      <x:c r="K14" s="83"/>
    </x:row>
    <x:row r="15" ht="48" customHeight="1">
      <x:c r="B15" s="105" t="str">
        <x:v>O09</x:v>
      </x:c>
      <x:c r="C15" s="106" t="str">
        <x:v>Repair chronology</x:v>
      </x:c>
      <x:c r="D15" s="106" t="str">
        <x:v>eight conserved segments and resource state</x:v>
      </x:c>
      <x:c r="E15" s="106" t="str">
        <x:v>evidence board</x:v>
      </x:c>
      <x:c r="F15" s="106" t="str">
        <x:v>each DR event</x:v>
      </x:c>
      <x:c r="G15" s="106" t="str">
        <x:v>detect-to-release ≤ 6 h</x:v>
      </x:c>
      <x:c r="H15" s="131" t="n">
        <x:v>0</x:v>
      </x:c>
      <x:c r="I15" s="83"/>
      <x:c r="J15" s="83"/>
      <x:c r="K15" s="83"/>
    </x:row>
    <x:row r="16" ht="48" customHeight="1">
      <x:c r="B16" s="105" t="str">
        <x:v>O10</x:v>
      </x:c>
      <x:c r="C16" s="106" t="str">
        <x:v>Forensic disposition</x:v>
      </x:c>
      <x:c r="D16" s="106" t="str">
        <x:v>section maps, teardown, cause and retained remains</x:v>
      </x:c>
      <x:c r="E16" s="106" t="str">
        <x:v>forensic authority</x:v>
      </x:c>
      <x:c r="F16" s="106" t="str">
        <x:v>each destructive/ambiguous article</x:v>
      </x:c>
      <x:c r="G16" s="106" t="str">
        <x:v>custody preserved</x:v>
      </x:c>
      <x:c r="H16" s="131" t="n">
        <x:v>0</x:v>
      </x:c>
      <x:c r="I16" s="83"/>
      <x:c r="J16" s="83"/>
      <x:c r="K16" s="83"/>
    </x:row>
    <x:row r="17" ht="48" customHeight="1">
      <x:c r="B17" s="105" t="str">
        <x:v>O11</x:v>
      </x:c>
      <x:c r="C17" s="106" t="str">
        <x:v>Second-team record</x:v>
      </x:c>
      <x:c r="D17" s="106" t="str">
        <x:v>package receipt, independent build and decision reproduction</x:v>
      </x:c>
      <x:c r="E17" s="106" t="str">
        <x:v>reproduction authority</x:v>
      </x:c>
      <x:c r="F17" s="106" t="str">
        <x:v>each CR lot</x:v>
      </x:c>
      <x:c r="G17" s="106" t="str">
        <x:v>no discretionary original-team help</x:v>
      </x:c>
      <x:c r="H17" s="131" t="n">
        <x:v>0</x:v>
      </x:c>
      <x:c r="I17" s="83"/>
      <x:c r="J17" s="83"/>
      <x:c r="K17" s="83"/>
    </x:row>
    <x:row r="18" ht="48" customHeight="1">
      <x:c r="B18" s="110" t="str">
        <x:v>O12</x:v>
      </x:c>
      <x:c r="C18" s="111" t="str">
        <x:v>Receiver release</x:v>
      </x:c>
      <x:c r="D18" s="111" t="str">
        <x:v>consent, pressure, accessibility and public boundary</x:v>
      </x:c>
      <x:c r="E18" s="111" t="str">
        <x:v>receiver authority</x:v>
      </x:c>
      <x:c r="F18" s="111" t="str">
        <x:v>each service start/restart</x:v>
      </x:c>
      <x:c r="G18" s="111" t="str">
        <x:v>affirmative local release</x:v>
      </x:c>
      <x:c r="H18" s="128" t="n">
        <x:v>0</x:v>
      </x:c>
      <x:c r="I18" s="83"/>
      <x:c r="J18" s="83"/>
      <x:c r="K18" s="83"/>
    </x:row>
  </x:sheetData>
  <x:mergeCells>
    <x:mergeCell ref="B3:K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24" hidden="0" customWidth="1"/>
    <x:col min="4" max="4" width="22" hidden="0" customWidth="1"/>
    <x:col min="5" max="5" width="25" hidden="0" customWidth="1"/>
    <x:col min="6" max="6" width="38" hidden="0" customWidth="1"/>
    <x:col min="7" max="7" width="33" hidden="0" customWidth="1"/>
    <x:col min="8" max="8" width="13" hidden="0" customWidth="1"/>
    <x:col min="9" max="9" width="13" hidden="0" customWidth="1"/>
    <x:col min="10" max="10" width="13" hidden="0" customWidth="1"/>
    <x:col min="11" max="11" width="18" hidden="0" customWidth="1"/>
    <x:col min="12" max="12" width="15" hidden="0" customWidth="1"/>
  </x:cols>
  <x:sheetData>
    <x:row r="2">
      <x:c r="B2" s="92" t="str">
        <x:v>Configuration custody and destructive disposition</x:v>
      </x:c>
      <x:c r="C2" s="83"/>
      <x:c r="D2" s="83"/>
      <x:c r="E2" s="83"/>
      <x:c r="F2" s="83"/>
      <x:c r="G2" s="83"/>
      <x:c r="H2" s="83"/>
      <x:c r="I2" s="83"/>
      <x:c r="J2" s="83"/>
      <x:c r="K2" s="83"/>
      <x:c r="L2" s="83"/>
    </x:row>
    <x:row r="3">
      <x:c r="B3" s="84" t="str">
        <x:v>Every transfer preserves serial identity, original data and physical state. Unrecorded cleaning, repair or substitution creates a new configuration.</x:v>
      </x:c>
      <x:c r="C3" s="83"/>
      <x:c r="D3" s="83"/>
      <x:c r="E3" s="83"/>
      <x:c r="F3" s="83"/>
      <x:c r="G3" s="83"/>
      <x:c r="H3" s="83"/>
      <x:c r="I3" s="83"/>
      <x:c r="J3" s="83"/>
      <x:c r="K3" s="83"/>
      <x:c r="L3" s="83"/>
    </x:row>
    <x:row r="4">
      <x:c r="B4" s="85"/>
      <x:c r="C4" s="85"/>
      <x:c r="D4" s="85"/>
      <x:c r="E4" s="85"/>
      <x:c r="F4" s="85"/>
      <x:c r="G4" s="85"/>
      <x:c r="H4" s="85"/>
      <x:c r="I4" s="85"/>
      <x:c r="J4" s="85"/>
      <x:c r="K4" s="85"/>
      <x:c r="L4" s="85"/>
    </x:row>
    <x:row r="5">
      <x:c r="B5" s="83"/>
      <x:c r="C5" s="83"/>
      <x:c r="D5" s="83"/>
      <x:c r="E5" s="83"/>
      <x:c r="F5" s="83"/>
      <x:c r="G5" s="83"/>
      <x:c r="H5" s="83"/>
      <x:c r="I5" s="83"/>
      <x:c r="J5" s="83"/>
      <x:c r="K5" s="83"/>
      <x:c r="L5" s="83"/>
    </x:row>
    <x:row r="6">
      <x:c r="B6" s="18" t="str">
        <x:v>Step</x:v>
      </x:c>
      <x:c r="C6" s="19" t="str">
        <x:v>Transition</x:v>
      </x:c>
      <x:c r="D6" s="19" t="str">
        <x:v>From</x:v>
      </x:c>
      <x:c r="E6" s="19" t="str">
        <x:v>To</x:v>
      </x:c>
      <x:c r="F6" s="19" t="str">
        <x:v>Required package</x:v>
      </x:c>
      <x:c r="G6" s="19" t="str">
        <x:v>Control</x:v>
      </x:c>
      <x:c r="H6" s="19" t="str">
        <x:v>R1 records</x:v>
      </x:c>
      <x:c r="I6" s="19" t="str">
        <x:v>R2 records</x:v>
      </x:c>
      <x:c r="J6" s="19" t="str">
        <x:v>R3 records</x:v>
      </x:c>
      <x:c r="K6" s="19" t="str">
        <x:v>Accepted records</x:v>
      </x:c>
      <x:c r="L6" s="19" t="str">
        <x:v>State</x:v>
      </x:c>
    </x:row>
    <x:row r="7" ht="45" customHeight="1">
      <x:c r="B7" s="105" t="str">
        <x:v>T01</x:v>
      </x:c>
      <x:c r="C7" s="106" t="str">
        <x:v>Package release</x:v>
      </x:c>
      <x:c r="D7" s="106" t="str">
        <x:v>program office</x:v>
      </x:c>
      <x:c r="E7" s="106" t="str">
        <x:v>builder</x:v>
      </x:c>
      <x:c r="F7" s="106" t="str">
        <x:v>frozen package and authorized deviations</x:v>
      </x:c>
      <x:c r="G7" s="106" t="str">
        <x:v>two-party configuration hash</x:v>
      </x:c>
      <x:c r="H7" s="105" t="n">
        <x:v>1</x:v>
      </x:c>
      <x:c r="I7" s="105" t="n">
        <x:v>1</x:v>
      </x:c>
      <x:c r="J7" s="105" t="n">
        <x:v>1</x:v>
      </x:c>
      <x:c r="K7" s="105" t="n">
        <x:v>0</x:v>
      </x:c>
      <x:c r="L7" s="131" t="str">
        <x:f>IF(K7=SUM(H7:J7),"PASS","OPEN")</x:f>
        <x:v>OPEN</x:v>
      </x:c>
    </x:row>
    <x:row r="8" ht="45" customHeight="1">
      <x:c r="B8" s="105" t="str">
        <x:v>T02</x:v>
      </x:c>
      <x:c r="C8" s="106" t="str">
        <x:v>Lot formation</x:v>
      </x:c>
      <x:c r="D8" s="106" t="str">
        <x:v>builder</x:v>
      </x:c>
      <x:c r="E8" s="106" t="str">
        <x:v>configuration authority</x:v>
      </x:c>
      <x:c r="F8" s="106" t="str">
        <x:v>material, process, tools and rejects</x:v>
      </x:c>
      <x:c r="G8" s="106" t="str">
        <x:v>serial and witness reconciliation</x:v>
      </x:c>
      <x:c r="H8" s="105" t="n">
        <x:v>1</x:v>
      </x:c>
      <x:c r="I8" s="105" t="n">
        <x:v>1</x:v>
      </x:c>
      <x:c r="J8" s="105" t="n">
        <x:v>1</x:v>
      </x:c>
      <x:c r="K8" s="105" t="n">
        <x:v>0</x:v>
      </x:c>
      <x:c r="L8" s="131" t="str">
        <x:f>IF(K8=SUM(H8:J8),"PASS","OPEN")</x:f>
        <x:v>OPEN</x:v>
      </x:c>
    </x:row>
    <x:row r="9" ht="45" customHeight="1">
      <x:c r="B9" s="105" t="str">
        <x:v>T03</x:v>
      </x:c>
      <x:c r="C9" s="106" t="str">
        <x:v>Independent acceptance intake</x:v>
      </x:c>
      <x:c r="D9" s="106" t="str">
        <x:v>builder</x:v>
      </x:c>
      <x:c r="E9" s="106" t="str">
        <x:v>acceptance authority</x:v>
      </x:c>
      <x:c r="F9" s="106" t="str">
        <x:v>complete article and originals</x:v>
      </x:c>
      <x:c r="G9" s="106" t="str">
        <x:v>sealed opening and count</x:v>
      </x:c>
      <x:c r="H9" s="105" t="n">
        <x:v>1</x:v>
      </x:c>
      <x:c r="I9" s="105" t="n">
        <x:v>1</x:v>
      </x:c>
      <x:c r="J9" s="105" t="n">
        <x:v>1</x:v>
      </x:c>
      <x:c r="K9" s="105" t="n">
        <x:v>0</x:v>
      </x:c>
      <x:c r="L9" s="131" t="str">
        <x:f>IF(K9=SUM(H9:J9),"PASS","OPEN")</x:f>
        <x:v>OPEN</x:v>
      </x:c>
    </x:row>
    <x:row r="10" ht="45" customHeight="1">
      <x:c r="B10" s="105" t="str">
        <x:v>T04</x:v>
      </x:c>
      <x:c r="C10" s="106" t="str">
        <x:v>Transport</x:v>
      </x:c>
      <x:c r="D10" s="106" t="str">
        <x:v>custody depot</x:v>
      </x:c>
      <x:c r="E10" s="106" t="str">
        <x:v>range custody</x:v>
      </x:c>
      <x:c r="F10" s="106" t="str">
        <x:v>shock, temperature, seal and route</x:v>
      </x:c>
      <x:c r="G10" s="106" t="str">
        <x:v>arrival hash and witness</x:v>
      </x:c>
      <x:c r="H10" s="105" t="n">
        <x:v>1</x:v>
      </x:c>
      <x:c r="I10" s="105" t="n">
        <x:v>1</x:v>
      </x:c>
      <x:c r="J10" s="105" t="n">
        <x:v>1</x:v>
      </x:c>
      <x:c r="K10" s="105" t="n">
        <x:v>0</x:v>
      </x:c>
      <x:c r="L10" s="131" t="str">
        <x:f>IF(K10=SUM(H10:J10),"PASS","OPEN")</x:f>
        <x:v>OPEN</x:v>
      </x:c>
    </x:row>
    <x:row r="11" ht="45" customHeight="1">
      <x:c r="B11" s="105" t="str">
        <x:v>T05</x:v>
      </x:c>
      <x:c r="C11" s="106" t="str">
        <x:v>Range receipt</x:v>
      </x:c>
      <x:c r="D11" s="106" t="str">
        <x:v>range custody</x:v>
      </x:c>
      <x:c r="E11" s="106" t="str">
        <x:v>test authority</x:v>
      </x:c>
      <x:c r="F11" s="106" t="str">
        <x:v>configuration and calibration state</x:v>
      </x:c>
      <x:c r="G11" s="106" t="str">
        <x:v>pre-event reconciliation</x:v>
      </x:c>
      <x:c r="H11" s="105" t="n">
        <x:v>1</x:v>
      </x:c>
      <x:c r="I11" s="105" t="n">
        <x:v>1</x:v>
      </x:c>
      <x:c r="J11" s="105" t="n">
        <x:v>1</x:v>
      </x:c>
      <x:c r="K11" s="105" t="n">
        <x:v>0</x:v>
      </x:c>
      <x:c r="L11" s="131" t="str">
        <x:f>IF(K11=SUM(H11:J11),"PASS","OPEN")</x:f>
        <x:v>OPEN</x:v>
      </x:c>
    </x:row>
    <x:row r="12" ht="45" customHeight="1">
      <x:c r="B12" s="105" t="str">
        <x:v>T06</x:v>
      </x:c>
      <x:c r="C12" s="106" t="str">
        <x:v>Blind damage</x:v>
      </x:c>
      <x:c r="D12" s="106" t="str">
        <x:v>test authority</x:v>
      </x:c>
      <x:c r="E12" s="106" t="str">
        <x:v>blind damage team</x:v>
      </x:c>
      <x:c r="F12" s="106" t="str">
        <x:v>sealed state and tool</x:v>
      </x:c>
      <x:c r="G12" s="106" t="str">
        <x:v>builder excluded</x:v>
      </x:c>
      <x:c r="H12" s="105" t="n">
        <x:v>1</x:v>
      </x:c>
      <x:c r="I12" s="105" t="n">
        <x:v>1</x:v>
      </x:c>
      <x:c r="J12" s="105" t="n">
        <x:v>1</x:v>
      </x:c>
      <x:c r="K12" s="105" t="n">
        <x:v>0</x:v>
      </x:c>
      <x:c r="L12" s="131" t="str">
        <x:f>IF(K12=SUM(H12:J12),"PASS","OPEN")</x:f>
        <x:v>OPEN</x:v>
      </x:c>
    </x:row>
    <x:row r="13" ht="45" customHeight="1">
      <x:c r="B13" s="105" t="str">
        <x:v>T07</x:v>
      </x:c>
      <x:c r="C13" s="106" t="str">
        <x:v>Repair release</x:v>
      </x:c>
      <x:c r="D13" s="106" t="str">
        <x:v>operator</x:v>
      </x:c>
      <x:c r="E13" s="106" t="str">
        <x:v>water/receiver/configuration authorities</x:v>
      </x:c>
      <x:c r="F13" s="106" t="str">
        <x:v>repair, proof, flush and assay</x:v>
      </x:c>
      <x:c r="G13" s="106" t="str">
        <x:v>joint release record</x:v>
      </x:c>
      <x:c r="H13" s="105" t="n">
        <x:v>1</x:v>
      </x:c>
      <x:c r="I13" s="105" t="n">
        <x:v>1</x:v>
      </x:c>
      <x:c r="J13" s="105" t="n">
        <x:v>1</x:v>
      </x:c>
      <x:c r="K13" s="105" t="n">
        <x:v>0</x:v>
      </x:c>
      <x:c r="L13" s="131" t="str">
        <x:f>IF(K13=SUM(H13:J13),"PASS","OPEN")</x:f>
        <x:v>OPEN</x:v>
      </x:c>
    </x:row>
    <x:row r="14" ht="45" customHeight="1">
      <x:c r="B14" s="105" t="str">
        <x:v>T08</x:v>
      </x:c>
      <x:c r="C14" s="106" t="str">
        <x:v>Forensic opening</x:v>
      </x:c>
      <x:c r="D14" s="106" t="str">
        <x:v>range custody</x:v>
      </x:c>
      <x:c r="E14" s="106" t="str">
        <x:v>forensic authority</x:v>
      </x:c>
      <x:c r="F14" s="106" t="str">
        <x:v>original remains and data media</x:v>
      </x:c>
      <x:c r="G14" s="106" t="str">
        <x:v>destructive witness</x:v>
      </x:c>
      <x:c r="H14" s="105" t="n">
        <x:v>1</x:v>
      </x:c>
      <x:c r="I14" s="105" t="n">
        <x:v>1</x:v>
      </x:c>
      <x:c r="J14" s="105" t="n">
        <x:v>1</x:v>
      </x:c>
      <x:c r="K14" s="105" t="n">
        <x:v>0</x:v>
      </x:c>
      <x:c r="L14" s="131" t="str">
        <x:f>IF(K14=SUM(H14:J14),"PASS","OPEN")</x:f>
        <x:v>OPEN</x:v>
      </x:c>
    </x:row>
    <x:row r="15" ht="45" customHeight="1">
      <x:c r="B15" s="105" t="str">
        <x:v>T09</x:v>
      </x:c>
      <x:c r="C15" s="106" t="str">
        <x:v>Quarantine</x:v>
      </x:c>
      <x:c r="D15" s="106" t="str">
        <x:v>forensic authority</x:v>
      </x:c>
      <x:c r="E15" s="106" t="str">
        <x:v>quarantine depot</x:v>
      </x:c>
      <x:c r="F15" s="106" t="str">
        <x:v>exposure and unresolved state</x:v>
      </x:c>
      <x:c r="G15" s="106" t="str">
        <x:v>no return to accepted bank</x:v>
      </x:c>
      <x:c r="H15" s="105" t="n">
        <x:v>1</x:v>
      </x:c>
      <x:c r="I15" s="105" t="n">
        <x:v>1</x:v>
      </x:c>
      <x:c r="J15" s="105" t="n">
        <x:v>1</x:v>
      </x:c>
      <x:c r="K15" s="105" t="n">
        <x:v>0</x:v>
      </x:c>
      <x:c r="L15" s="131" t="str">
        <x:f>IF(K15=SUM(H15:J15),"PASS","OPEN")</x:f>
        <x:v>OPEN</x:v>
      </x:c>
    </x:row>
    <x:row r="16" ht="45" customHeight="1">
      <x:c r="B16" s="105" t="str">
        <x:v>T10</x:v>
      </x:c>
      <x:c r="C16" s="106" t="str">
        <x:v>Reference preservation</x:v>
      </x:c>
      <x:c r="D16" s="106" t="str">
        <x:v>acceptance authority</x:v>
      </x:c>
      <x:c r="E16" s="106" t="str">
        <x:v>reference depot</x:v>
      </x:c>
      <x:c r="F16" s="106" t="str">
        <x:v>untouched witness and calibration state</x:v>
      </x:c>
      <x:c r="G16" s="106" t="str">
        <x:v>independent access only</x:v>
      </x:c>
      <x:c r="H16" s="105" t="n">
        <x:v>1</x:v>
      </x:c>
      <x:c r="I16" s="105" t="n">
        <x:v>1</x:v>
      </x:c>
      <x:c r="J16" s="105" t="n">
        <x:v>1</x:v>
      </x:c>
      <x:c r="K16" s="105" t="n">
        <x:v>0</x:v>
      </x:c>
      <x:c r="L16" s="131" t="str">
        <x:f>IF(K16=SUM(H16:J16),"PASS","OPEN")</x:f>
        <x:v>OPEN</x:v>
      </x:c>
    </x:row>
    <x:row r="17" ht="45" customHeight="1">
      <x:c r="B17" s="110" t="str">
        <x:v>T11</x:v>
      </x:c>
      <x:c r="C17" s="111" t="str">
        <x:v>Final disposition</x:v>
      </x:c>
      <x:c r="D17" s="111" t="str">
        <x:v>forensic authority</x:v>
      </x:c>
      <x:c r="E17" s="111" t="str">
        <x:v>reuse/remanufacture/disposal authority</x:v>
      </x:c>
      <x:c r="F17" s="111" t="str">
        <x:v>cause, hazards and rights complete</x:v>
      </x:c>
      <x:c r="G17" s="111" t="str">
        <x:v>closed disposition record</x:v>
      </x:c>
      <x:c r="H17" s="110" t="n">
        <x:v>1</x:v>
      </x:c>
      <x:c r="I17" s="110" t="n">
        <x:v>1</x:v>
      </x:c>
      <x:c r="J17" s="110" t="n">
        <x:v>1</x:v>
      </x:c>
      <x:c r="K17" s="110" t="n">
        <x:v>0</x:v>
      </x:c>
      <x:c r="L17" s="128" t="str">
        <x:f>IF(K17=SUM(H17:J17),"PASS","OPEN")</x:f>
        <x:v>OPEN</x:v>
      </x:c>
    </x:row>
  </x:sheetData>
  <x:mergeCells>
    <x:mergeCell ref="B3:L3"/>
  </x:mergeCells>
  <x:conditionalFormatting sqref="L7:L17">
    <x:cfRule type="containsText" dxfId="99" priority="1" operator="containsText" text="FAIL"/>
    <x:cfRule type="containsText" dxfId="100" priority="2" operator="containsText" text="BLOCKED"/>
    <x:cfRule type="containsText" dxfId="101" priority="3" operator="containsText" text="HOLD"/>
    <x:cfRule type="containsText" dxfId="102" priority="4" operator="containsText" text="OPEN"/>
    <x:cfRule type="containsText" dxfId="103" priority="5" operator="containsText" text="NOT ADMITTED"/>
    <x:cfRule type="containsText" dxfId="104" priority="6" operator="containsText" text="PASS"/>
    <x:cfRule type="containsText" dxfId="105" priority="7" operator="containsText" text="CLOSED"/>
    <x:cfRule type="containsText" dxfId="106" priority="8" operator="containsText" text="READY"/>
    <x:cfRule type="containsText" dxfId="107" priority="9" operator="containsText" text="AUTHORIZED"/>
    <x:cfRule type="containsText" dxfId="108" priority="10" operator="containsText" text="PLANNING PASS"/>
    <x:cfRule type="containsText" dxfId="109" priority="11" operator="containsText" text="COMPLETE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36" hidden="0" customWidth="1"/>
    <x:col min="4" max="4" width="40" hidden="0" customWidth="1"/>
    <x:col min="5" max="5" width="34" hidden="0" customWidth="1"/>
    <x:col min="6" max="6" width="13" hidden="0" customWidth="1"/>
    <x:col min="7" max="7" width="13" hidden="0" customWidth="1"/>
    <x:col min="8" max="8" width="13" hidden="0" customWidth="1"/>
    <x:col min="9" max="9" width="17" hidden="0" customWidth="1"/>
    <x:col min="10" max="10" width="15" hidden="0" customWidth="1"/>
    <x:col min="11" max="11" width="18" hidden="0" customWidth="1"/>
  </x:cols>
  <x:sheetData>
    <x:row r="2">
      <x:c r="B2" s="92" t="str">
        <x:v>Complete technical-data and reproduction rights</x:v>
      </x:c>
      <x:c r="C2" s="83"/>
      <x:c r="D2" s="83"/>
      <x:c r="E2" s="83"/>
      <x:c r="F2" s="83"/>
      <x:c r="G2" s="83"/>
      <x:c r="H2" s="83"/>
      <x:c r="I2" s="83"/>
      <x:c r="J2" s="83"/>
      <x:c r="K2" s="83"/>
    </x:row>
    <x:row r="3">
      <x:c r="B3" s="84" t="str">
        <x:v>Root-specific know-how may be controlled, but it may not remain discretionary at a public safety, service or reproduction boundary.</x:v>
      </x:c>
      <x:c r="C3" s="83"/>
      <x:c r="D3" s="83"/>
      <x:c r="E3" s="83"/>
      <x:c r="F3" s="83"/>
      <x:c r="G3" s="83"/>
      <x:c r="H3" s="83"/>
      <x:c r="I3" s="83"/>
      <x:c r="J3" s="83"/>
      <x:c r="K3" s="83"/>
    </x:row>
    <x:row r="4">
      <x:c r="B4" s="85"/>
      <x:c r="C4" s="85"/>
      <x:c r="D4" s="85"/>
      <x:c r="E4" s="85"/>
      <x:c r="F4" s="85"/>
      <x:c r="G4" s="85"/>
      <x:c r="H4" s="85"/>
      <x:c r="I4" s="85"/>
      <x:c r="J4" s="85"/>
      <x:c r="K4" s="85"/>
    </x:row>
    <x:row r="5">
      <x:c r="B5" s="83"/>
      <x:c r="C5" s="83"/>
      <x:c r="D5" s="83"/>
      <x:c r="E5" s="83"/>
      <x:c r="F5" s="83"/>
      <x:c r="G5" s="83"/>
      <x:c r="H5" s="83"/>
      <x:c r="I5" s="83"/>
      <x:c r="J5" s="83"/>
      <x:c r="K5" s="83"/>
    </x:row>
    <x:row r="6">
      <x:c r="B6" s="18" t="str">
        <x:v>Class</x:v>
      </x:c>
      <x:c r="C6" s="19" t="str">
        <x:v>Controlled data</x:v>
      </x:c>
      <x:c r="D6" s="19" t="str">
        <x:v>Minimum government right</x:v>
      </x:c>
      <x:c r="E6" s="19" t="str">
        <x:v>Boundary</x:v>
      </x:c>
      <x:c r="F6" s="19" t="str">
        <x:v>R1 package</x:v>
      </x:c>
      <x:c r="G6" s="19" t="str">
        <x:v>R2 package</x:v>
      </x:c>
      <x:c r="H6" s="19" t="str">
        <x:v>R3 package</x:v>
      </x:c>
      <x:c r="I6" s="19" t="str">
        <x:v>Rights accepted</x:v>
      </x:c>
      <x:c r="J6" s="19" t="str">
        <x:v>Gate</x:v>
      </x:c>
      <x:c r="K6" s="19"/>
    </x:row>
    <x:row r="7" ht="42" customHeight="1">
      <x:c r="B7" s="105" t="str">
        <x:v>D01</x:v>
      </x:c>
      <x:c r="C7" s="106" t="str">
        <x:v>Public service and interface specification</x:v>
      </x:c>
      <x:c r="D7" s="106" t="str">
        <x:v>perpetual public-service use</x:v>
      </x:c>
      <x:c r="E7" s="106" t="str">
        <x:v>common standard remains public</x:v>
      </x:c>
      <x:c r="F7" s="105" t="n">
        <x:v>1</x:v>
      </x:c>
      <x:c r="G7" s="105" t="n">
        <x:v>1</x:v>
      </x:c>
      <x:c r="H7" s="105" t="n">
        <x:v>1</x:v>
      </x:c>
      <x:c r="I7" s="105" t="n">
        <x:v>0</x:v>
      </x:c>
      <x:c r="J7" s="105" t="str">
        <x:f>IF(I7=SUM(F7:H7),"PASS","OPEN")</x:f>
        <x:v>OPEN</x:v>
      </x:c>
      <x:c r="K7" s="131" t="str">
        <x:f>IF(SUM(F7:H7)=3,"PLANNING PASS","FAIL")</x:f>
        <x:v>PLANNING PASS</x:v>
      </x:c>
    </x:row>
    <x:row r="8" ht="42" customHeight="1">
      <x:c r="B8" s="105" t="str">
        <x:v>D02</x:v>
      </x:c>
      <x:c r="C8" s="106" t="str">
        <x:v>Bill of materials and material passports</x:v>
      </x:c>
      <x:c r="D8" s="106" t="str">
        <x:v>inspect, analyze and second-source</x:v>
      </x:c>
      <x:c r="E8" s="106" t="str">
        <x:v>sub-tier identity disclosed</x:v>
      </x:c>
      <x:c r="F8" s="105" t="n">
        <x:v>1</x:v>
      </x:c>
      <x:c r="G8" s="105" t="n">
        <x:v>1</x:v>
      </x:c>
      <x:c r="H8" s="105" t="n">
        <x:v>1</x:v>
      </x:c>
      <x:c r="I8" s="105" t="n">
        <x:v>0</x:v>
      </x:c>
      <x:c r="J8" s="105" t="str">
        <x:f>IF(I8=SUM(F8:H8),"PASS","OPEN")</x:f>
        <x:v>OPEN</x:v>
      </x:c>
      <x:c r="K8" s="131" t="str">
        <x:f>IF(SUM(F8:H8)=3,"PLANNING PASS","FAIL")</x:f>
        <x:v>PLANNING PASS</x:v>
      </x:c>
    </x:row>
    <x:row r="9" ht="42" customHeight="1">
      <x:c r="B9" s="105" t="str">
        <x:v>D03</x:v>
      </x:c>
      <x:c r="C9" s="106" t="str">
        <x:v>Bill of process, tools and facilities</x:v>
      </x:c>
      <x:c r="D9" s="106" t="str">
        <x:v>execute and qualify another facility</x:v>
      </x:c>
      <x:c r="E9" s="106" t="str">
        <x:v>tacit setup captured</x:v>
      </x:c>
      <x:c r="F9" s="105" t="n">
        <x:v>1</x:v>
      </x:c>
      <x:c r="G9" s="105" t="n">
        <x:v>1</x:v>
      </x:c>
      <x:c r="H9" s="105" t="n">
        <x:v>1</x:v>
      </x:c>
      <x:c r="I9" s="105" t="n">
        <x:v>0</x:v>
      </x:c>
      <x:c r="J9" s="105" t="str">
        <x:f>IF(I9=SUM(F9:H9),"PASS","OPEN")</x:f>
        <x:v>OPEN</x:v>
      </x:c>
      <x:c r="K9" s="131" t="str">
        <x:f>IF(SUM(F9:H9)=3,"PLANNING PASS","FAIL")</x:f>
        <x:v>PLANNING PASS</x:v>
      </x:c>
    </x:row>
    <x:row r="10" ht="42" customHeight="1">
      <x:c r="B10" s="105" t="str">
        <x:v>D04</x:v>
      </x:c>
      <x:c r="C10" s="106" t="str">
        <x:v>Closure recipe and process window</x:v>
      </x:c>
      <x:c r="D10" s="106" t="str">
        <x:v>repair and reproduce</x:v>
      </x:c>
      <x:c r="E10" s="106" t="str">
        <x:v>bounded root-specific control</x:v>
      </x:c>
      <x:c r="F10" s="105" t="n">
        <x:v>1</x:v>
      </x:c>
      <x:c r="G10" s="105" t="n">
        <x:v>1</x:v>
      </x:c>
      <x:c r="H10" s="105" t="n">
        <x:v>1</x:v>
      </x:c>
      <x:c r="I10" s="105" t="n">
        <x:v>0</x:v>
      </x:c>
      <x:c r="J10" s="105" t="str">
        <x:f>IF(I10=SUM(F10:H10),"PASS","OPEN")</x:f>
        <x:v>OPEN</x:v>
      </x:c>
      <x:c r="K10" s="131" t="str">
        <x:f>IF(SUM(F10:H10)=3,"PLANNING PASS","FAIL")</x:f>
        <x:v>PLANNING PASS</x:v>
      </x:c>
    </x:row>
    <x:row r="11" ht="42" customHeight="1">
      <x:c r="B11" s="105" t="str">
        <x:v>D05</x:v>
      </x:c>
      <x:c r="C11" s="106" t="str">
        <x:v>Source, receiver and repair interfaces</x:v>
      </x:c>
      <x:c r="D11" s="106" t="str">
        <x:v>perpetual implement and compete</x:v>
      </x:c>
      <x:c r="E11" s="106" t="str">
        <x:v>no proprietary public chokepoint</x:v>
      </x:c>
      <x:c r="F11" s="105" t="n">
        <x:v>1</x:v>
      </x:c>
      <x:c r="G11" s="105" t="n">
        <x:v>1</x:v>
      </x:c>
      <x:c r="H11" s="105" t="n">
        <x:v>1</x:v>
      </x:c>
      <x:c r="I11" s="105" t="n">
        <x:v>0</x:v>
      </x:c>
      <x:c r="J11" s="105" t="str">
        <x:f>IF(I11=SUM(F11:H11),"PASS","OPEN")</x:f>
        <x:v>OPEN</x:v>
      </x:c>
      <x:c r="K11" s="131" t="str">
        <x:f>IF(SUM(F11:H11)=3,"PLANNING PASS","FAIL")</x:f>
        <x:v>PLANNING PASS</x:v>
      </x:c>
    </x:row>
    <x:row r="12" ht="42" customHeight="1">
      <x:c r="B12" s="105" t="str">
        <x:v>D06</x:v>
      </x:c>
      <x:c r="C12" s="106" t="str">
        <x:v>Designed and as-built geometry</x:v>
      </x:c>
      <x:c r="D12" s="106" t="str">
        <x:v>inspect, adapt and reproduce</x:v>
      </x:c>
      <x:c r="E12" s="106" t="str">
        <x:v>serial configuration</x:v>
      </x:c>
      <x:c r="F12" s="105" t="n">
        <x:v>1</x:v>
      </x:c>
      <x:c r="G12" s="105" t="n">
        <x:v>1</x:v>
      </x:c>
      <x:c r="H12" s="105" t="n">
        <x:v>1</x:v>
      </x:c>
      <x:c r="I12" s="105" t="n">
        <x:v>0</x:v>
      </x:c>
      <x:c r="J12" s="105" t="str">
        <x:f>IF(I12=SUM(F12:H12),"PASS","OPEN")</x:f>
        <x:v>OPEN</x:v>
      </x:c>
      <x:c r="K12" s="131" t="str">
        <x:f>IF(SUM(F12:H12)=3,"PLANNING PASS","FAIL")</x:f>
        <x:v>PLANNING PASS</x:v>
      </x:c>
    </x:row>
    <x:row r="13" ht="42" customHeight="1">
      <x:c r="B13" s="105" t="str">
        <x:v>D07</x:v>
      </x:c>
      <x:c r="C13" s="106" t="str">
        <x:v>Structural and hydraulic cases</x:v>
      </x:c>
      <x:c r="D13" s="106" t="str">
        <x:v>review, alter and retest</x:v>
      </x:c>
      <x:c r="E13" s="106" t="str">
        <x:v>including invalid states</x:v>
      </x:c>
      <x:c r="F13" s="105" t="n">
        <x:v>1</x:v>
      </x:c>
      <x:c r="G13" s="105" t="n">
        <x:v>1</x:v>
      </x:c>
      <x:c r="H13" s="105" t="n">
        <x:v>1</x:v>
      </x:c>
      <x:c r="I13" s="105" t="n">
        <x:v>0</x:v>
      </x:c>
      <x:c r="J13" s="105" t="str">
        <x:f>IF(I13=SUM(F13:H13),"PASS","OPEN")</x:f>
        <x:v>OPEN</x:v>
      </x:c>
      <x:c r="K13" s="131" t="str">
        <x:f>IF(SUM(F13:H13)=3,"PLANNING PASS","FAIL")</x:f>
        <x:v>PLANNING PASS</x:v>
      </x:c>
    </x:row>
    <x:row r="14" ht="42" customHeight="1">
      <x:c r="B14" s="105" t="str">
        <x:v>D08</x:v>
      </x:c>
      <x:c r="C14" s="106" t="str">
        <x:v>Sanitary hazard and release plan</x:v>
      </x:c>
      <x:c r="D14" s="106" t="str">
        <x:v>inspect, operate and reproduce</x:v>
      </x:c>
      <x:c r="E14" s="106" t="str">
        <x:v>analytes and cleaning disclosed</x:v>
      </x:c>
      <x:c r="F14" s="105" t="n">
        <x:v>1</x:v>
      </x:c>
      <x:c r="G14" s="105" t="n">
        <x:v>1</x:v>
      </x:c>
      <x:c r="H14" s="105" t="n">
        <x:v>1</x:v>
      </x:c>
      <x:c r="I14" s="105" t="n">
        <x:v>0</x:v>
      </x:c>
      <x:c r="J14" s="105" t="str">
        <x:f>IF(I14=SUM(F14:H14),"PASS","OPEN")</x:f>
        <x:v>OPEN</x:v>
      </x:c>
      <x:c r="K14" s="131" t="str">
        <x:f>IF(SUM(F14:H14)=3,"PLANNING PASS","FAIL")</x:f>
        <x:v>PLANNING PASS</x:v>
      </x:c>
    </x:row>
    <x:row r="15" ht="42" customHeight="1">
      <x:c r="B15" s="105" t="str">
        <x:v>D09</x:v>
      </x:c>
      <x:c r="C15" s="106" t="str">
        <x:v>Instrument and calibration plan</x:v>
      </x:c>
      <x:c r="D15" s="106" t="str">
        <x:v>independent decision reproduction</x:v>
      </x:c>
      <x:c r="E15" s="106" t="str">
        <x:v>genealogy preserved</x:v>
      </x:c>
      <x:c r="F15" s="105" t="n">
        <x:v>1</x:v>
      </x:c>
      <x:c r="G15" s="105" t="n">
        <x:v>1</x:v>
      </x:c>
      <x:c r="H15" s="105" t="n">
        <x:v>1</x:v>
      </x:c>
      <x:c r="I15" s="105" t="n">
        <x:v>0</x:v>
      </x:c>
      <x:c r="J15" s="105" t="str">
        <x:f>IF(I15=SUM(F15:H15),"PASS","OPEN")</x:f>
        <x:v>OPEN</x:v>
      </x:c>
      <x:c r="K15" s="131" t="str">
        <x:f>IF(SUM(F15:H15)=3,"PLANNING PASS","FAIL")</x:f>
        <x:v>PLANNING PASS</x:v>
      </x:c>
    </x:row>
    <x:row r="16" ht="42" customHeight="1">
      <x:c r="B16" s="105" t="str">
        <x:v>D10</x:v>
      </x:c>
      <x:c r="C16" s="106" t="str">
        <x:v>Software, firmware and build environment</x:v>
      </x:c>
      <x:c r="D16" s="106" t="str">
        <x:v>archive, execute, inspect and modify</x:v>
      </x:c>
      <x:c r="E16" s="106" t="str">
        <x:v>complete SBOM and source</x:v>
      </x:c>
      <x:c r="F16" s="105" t="n">
        <x:v>1</x:v>
      </x:c>
      <x:c r="G16" s="105" t="n">
        <x:v>1</x:v>
      </x:c>
      <x:c r="H16" s="105" t="n">
        <x:v>1</x:v>
      </x:c>
      <x:c r="I16" s="105" t="n">
        <x:v>0</x:v>
      </x:c>
      <x:c r="J16" s="105" t="str">
        <x:f>IF(I16=SUM(F16:H16),"PASS","OPEN")</x:f>
        <x:v>OPEN</x:v>
      </x:c>
      <x:c r="K16" s="131" t="str">
        <x:f>IF(SUM(F16:H16)=3,"PLANNING PASS","FAIL")</x:f>
        <x:v>PLANNING PASS</x:v>
      </x:c>
    </x:row>
    <x:row r="17" ht="42" customHeight="1">
      <x:c r="B17" s="105" t="str">
        <x:v>D11</x:v>
      </x:c>
      <x:c r="C17" s="106" t="str">
        <x:v>Operating, stop, repair and retrieval procedures</x:v>
      </x:c>
      <x:c r="D17" s="106" t="str">
        <x:v>train and operate without provider</x:v>
      </x:c>
      <x:c r="E17" s="106" t="str">
        <x:v>task-level detail</x:v>
      </x:c>
      <x:c r="F17" s="105" t="n">
        <x:v>1</x:v>
      </x:c>
      <x:c r="G17" s="105" t="n">
        <x:v>1</x:v>
      </x:c>
      <x:c r="H17" s="105" t="n">
        <x:v>1</x:v>
      </x:c>
      <x:c r="I17" s="105" t="n">
        <x:v>0</x:v>
      </x:c>
      <x:c r="J17" s="105" t="str">
        <x:f>IF(I17=SUM(F17:H17),"PASS","OPEN")</x:f>
        <x:v>OPEN</x:v>
      </x:c>
      <x:c r="K17" s="131" t="str">
        <x:f>IF(SUM(F17:H17)=3,"PLANNING PASS","FAIL")</x:f>
        <x:v>PLANNING PASS</x:v>
      </x:c>
    </x:row>
    <x:row r="18" ht="42" customHeight="1">
      <x:c r="B18" s="105" t="str">
        <x:v>D12</x:v>
      </x:c>
      <x:c r="C18" s="106" t="str">
        <x:v>Inspection, NDE and reject grammar</x:v>
      </x:c>
      <x:c r="D18" s="106" t="str">
        <x:v>independent accept/reject</x:v>
      </x:c>
      <x:c r="E18" s="106" t="str">
        <x:v>no private classifier</x:v>
      </x:c>
      <x:c r="F18" s="105" t="n">
        <x:v>1</x:v>
      </x:c>
      <x:c r="G18" s="105" t="n">
        <x:v>1</x:v>
      </x:c>
      <x:c r="H18" s="105" t="n">
        <x:v>1</x:v>
      </x:c>
      <x:c r="I18" s="105" t="n">
        <x:v>0</x:v>
      </x:c>
      <x:c r="J18" s="105" t="str">
        <x:f>IF(I18=SUM(F18:H18),"PASS","OPEN")</x:f>
        <x:v>OPEN</x:v>
      </x:c>
      <x:c r="K18" s="131" t="str">
        <x:f>IF(SUM(F18:H18)=3,"PLANNING PASS","FAIL")</x:f>
        <x:v>PLANNING PASS</x:v>
      </x:c>
    </x:row>
    <x:row r="19" ht="42" customHeight="1">
      <x:c r="B19" s="105" t="str">
        <x:v>D13</x:v>
      </x:c>
      <x:c r="C19" s="106" t="str">
        <x:v>Configuration and deviation ledger</x:v>
      </x:c>
      <x:c r="D19" s="106" t="str">
        <x:v>perpetual custody and audit</x:v>
      </x:c>
      <x:c r="E19" s="106" t="str">
        <x:v>serial change history</x:v>
      </x:c>
      <x:c r="F19" s="105" t="n">
        <x:v>1</x:v>
      </x:c>
      <x:c r="G19" s="105" t="n">
        <x:v>1</x:v>
      </x:c>
      <x:c r="H19" s="105" t="n">
        <x:v>1</x:v>
      </x:c>
      <x:c r="I19" s="105" t="n">
        <x:v>0</x:v>
      </x:c>
      <x:c r="J19" s="105" t="str">
        <x:f>IF(I19=SUM(F19:H19),"PASS","OPEN")</x:f>
        <x:v>OPEN</x:v>
      </x:c>
      <x:c r="K19" s="131" t="str">
        <x:f>IF(SUM(F19:H19)=3,"PLANNING PASS","FAIL")</x:f>
        <x:v>PLANNING PASS</x:v>
      </x:c>
    </x:row>
    <x:row r="20" ht="42" customHeight="1">
      <x:c r="B20" s="105" t="str">
        <x:v>D14</x:v>
      </x:c>
      <x:c r="C20" s="106" t="str">
        <x:v>Raw evidence schema and export</x:v>
      </x:c>
      <x:c r="D20" s="106" t="str">
        <x:v>perpetual access and analysis</x:v>
      </x:c>
      <x:c r="E20" s="106" t="str">
        <x:v>original not summary only</x:v>
      </x:c>
      <x:c r="F20" s="105" t="n">
        <x:v>1</x:v>
      </x:c>
      <x:c r="G20" s="105" t="n">
        <x:v>1</x:v>
      </x:c>
      <x:c r="H20" s="105" t="n">
        <x:v>1</x:v>
      </x:c>
      <x:c r="I20" s="105" t="n">
        <x:v>0</x:v>
      </x:c>
      <x:c r="J20" s="105" t="str">
        <x:f>IF(I20=SUM(F20:H20),"PASS","OPEN")</x:f>
        <x:v>OPEN</x:v>
      </x:c>
      <x:c r="K20" s="131" t="str">
        <x:f>IF(SUM(F20:H20)=3,"PLANNING PASS","FAIL")</x:f>
        <x:v>PLANNING PASS</x:v>
      </x:c>
    </x:row>
    <x:row r="21" ht="42" customHeight="1">
      <x:c r="B21" s="105" t="str">
        <x:v>D15</x:v>
      </x:c>
      <x:c r="C21" s="106" t="str">
        <x:v>Ownership, ancestry and capacity map</x:v>
      </x:c>
      <x:c r="D21" s="106" t="str">
        <x:v>audit and requalify on change</x:v>
      </x:c>
      <x:c r="E21" s="106" t="str">
        <x:v>below-prime disclosure</x:v>
      </x:c>
      <x:c r="F21" s="105" t="n">
        <x:v>1</x:v>
      </x:c>
      <x:c r="G21" s="105" t="n">
        <x:v>1</x:v>
      </x:c>
      <x:c r="H21" s="105" t="n">
        <x:v>1</x:v>
      </x:c>
      <x:c r="I21" s="105" t="n">
        <x:v>0</x:v>
      </x:c>
      <x:c r="J21" s="105" t="str">
        <x:f>IF(I21=SUM(F21:H21),"PASS","OPEN")</x:f>
        <x:v>OPEN</x:v>
      </x:c>
      <x:c r="K21" s="131" t="str">
        <x:f>IF(SUM(F21:H21)=3,"PLANNING PASS","FAIL")</x:f>
        <x:v>PLANNING PASS</x:v>
      </x:c>
    </x:row>
    <x:row r="22" ht="42" customHeight="1">
      <x:c r="B22" s="110" t="str">
        <x:v>D16</x:v>
      </x:c>
      <x:c r="C22" s="111" t="str">
        <x:v>Teardown and reproduction license</x:v>
      </x:c>
      <x:c r="D22" s="111" t="str">
        <x:v>destructively inspect and limited-purpose make</x:v>
      </x:c>
      <x:c r="E22" s="111" t="str">
        <x:v>survives provider withdrawal</x:v>
      </x:c>
      <x:c r="F22" s="110" t="n">
        <x:v>1</x:v>
      </x:c>
      <x:c r="G22" s="110" t="n">
        <x:v>1</x:v>
      </x:c>
      <x:c r="H22" s="110" t="n">
        <x:v>1</x:v>
      </x:c>
      <x:c r="I22" s="110" t="n">
        <x:v>0</x:v>
      </x:c>
      <x:c r="J22" s="110" t="str">
        <x:f>IF(I22=SUM(F22:H22),"PASS","OPEN")</x:f>
        <x:v>OPEN</x:v>
      </x:c>
      <x:c r="K22" s="128" t="str">
        <x:f>IF(SUM(F22:H22)=3,"PLANNING PASS","FAIL")</x:f>
        <x:v>PLANNING PASS</x:v>
      </x:c>
    </x:row>
  </x:sheetData>
  <x:mergeCells>
    <x:mergeCell ref="B3:K3"/>
  </x:mergeCells>
  <x:conditionalFormatting sqref="J7:K22">
    <x:cfRule type="containsText" dxfId="110" priority="1" operator="containsText" text="FAIL"/>
    <x:cfRule type="containsText" dxfId="111" priority="2" operator="containsText" text="BLOCKED"/>
    <x:cfRule type="containsText" dxfId="112" priority="3" operator="containsText" text="HOLD"/>
    <x:cfRule type="containsText" dxfId="113" priority="4" operator="containsText" text="OPEN"/>
    <x:cfRule type="containsText" dxfId="114" priority="5" operator="containsText" text="NOT ADMITTED"/>
    <x:cfRule type="containsText" dxfId="115" priority="6" operator="containsText" text="PASS"/>
    <x:cfRule type="containsText" dxfId="116" priority="7" operator="containsText" text="CLOSED"/>
    <x:cfRule type="containsText" dxfId="117" priority="8" operator="containsText" text="READY"/>
    <x:cfRule type="containsText" dxfId="118" priority="9" operator="containsText" text="AUTHORIZED"/>
    <x:cfRule type="containsText" dxfId="119" priority="10" operator="containsText" text="PLANNING PASS"/>
    <x:cfRule type="containsText" dxfId="120" priority="11" operator="containsText" text="COMPLETE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31" hidden="0" customWidth="1"/>
    <x:col min="4" max="4" width="37" hidden="0" customWidth="1"/>
    <x:col min="5" max="5" width="22" hidden="0" customWidth="1"/>
    <x:col min="6" max="6" width="16" hidden="0" customWidth="1"/>
    <x:col min="7" max="7" width="39" hidden="0" customWidth="1"/>
    <x:col min="8" max="8" width="20" hidden="0" customWidth="1"/>
    <x:col min="9" max="9" width="13" hidden="0" customWidth="1"/>
    <x:col min="10" max="10" width="15" hidden="0" customWidth="1"/>
  </x:cols>
  <x:sheetData>
    <x:row r="2">
      <x:c r="B2" s="92" t="str">
        <x:v>Separated acceptance and stop powers</x:v>
      </x:c>
      <x:c r="C2" s="83"/>
      <x:c r="D2" s="83"/>
      <x:c r="E2" s="83"/>
      <x:c r="F2" s="83"/>
      <x:c r="G2" s="83"/>
      <x:c r="H2" s="83"/>
      <x:c r="I2" s="83"/>
      <x:c r="J2" s="83"/>
    </x:row>
    <x:row r="3">
      <x:c r="B3" s="84" t="str">
        <x:v>No authority inherits another authority's conclusion. The builder and operator cannot grade their own campaign.</x:v>
      </x:c>
      <x:c r="C3" s="83"/>
      <x:c r="D3" s="83"/>
      <x:c r="E3" s="83"/>
      <x:c r="F3" s="83"/>
      <x:c r="G3" s="83"/>
      <x:c r="H3" s="83"/>
      <x:c r="I3" s="83"/>
      <x:c r="J3" s="83"/>
    </x:row>
    <x:row r="4">
      <x:c r="B4" s="85"/>
      <x:c r="C4" s="85"/>
      <x:c r="D4" s="85"/>
      <x:c r="E4" s="85"/>
      <x:c r="F4" s="85"/>
      <x:c r="G4" s="85"/>
      <x:c r="H4" s="85"/>
      <x:c r="I4" s="85"/>
      <x:c r="J4" s="85"/>
    </x:row>
    <x:row r="5">
      <x:c r="B5" s="83"/>
      <x:c r="C5" s="83"/>
      <x:c r="D5" s="83"/>
      <x:c r="E5" s="83"/>
      <x:c r="F5" s="83"/>
      <x:c r="G5" s="83"/>
      <x:c r="H5" s="83"/>
      <x:c r="I5" s="83"/>
      <x:c r="J5" s="83"/>
    </x:row>
    <x:row r="6">
      <x:c r="B6" s="18" t="str">
        <x:v>ID</x:v>
      </x:c>
      <x:c r="C6" s="19" t="str">
        <x:v>Authority</x:v>
      </x:c>
      <x:c r="D6" s="19" t="str">
        <x:v>Sole decision</x:v>
      </x:c>
      <x:c r="E6" s="19" t="str">
        <x:v>May award</x:v>
      </x:c>
      <x:c r="F6" s="19" t="str">
        <x:v>Stop power</x:v>
      </x:c>
      <x:c r="G6" s="19" t="str">
        <x:v>Non-delegable limit</x:v>
      </x:c>
      <x:c r="H6" s="19" t="str">
        <x:v>Named office</x:v>
      </x:c>
      <x:c r="I6" s="19" t="str">
        <x:v>Approval</x:v>
      </x:c>
      <x:c r="J6" s="19" t="str">
        <x:v>State</x:v>
      </x:c>
    </x:row>
    <x:row r="7" ht="45" customHeight="1">
      <x:c r="B7" s="105" t="str">
        <x:v>A01</x:v>
      </x:c>
      <x:c r="C7" s="106" t="str">
        <x:v>F36 Program Office</x:v>
      </x:c>
      <x:c r="D7" s="106" t="str">
        <x:v>requirement and package configuration</x:v>
      </x:c>
      <x:c r="E7" s="106" t="str">
        <x:v>package only</x:v>
      </x:c>
      <x:c r="F7" s="106" t="str">
        <x:v>yes</x:v>
      </x:c>
      <x:c r="G7" s="106" t="str">
        <x:v>cannot admit physical performance</x:v>
      </x:c>
      <x:c r="H7" s="105" t="str">
        <x:v>TBD</x:v>
      </x:c>
      <x:c r="I7" s="105" t="n">
        <x:v>0</x:v>
      </x:c>
      <x:c r="J7" s="131" t="str">
        <x:f>IF(I7=1,"CLOSED","OPEN")</x:f>
        <x:v>OPEN</x:v>
      </x:c>
    </x:row>
    <x:row r="8" ht="45" customHeight="1">
      <x:c r="B8" s="105" t="str">
        <x:v>A02</x:v>
      </x:c>
      <x:c r="C8" s="106" t="str">
        <x:v>Industrial-root builder</x:v>
      </x:c>
      <x:c r="D8" s="106" t="str">
        <x:v>build and declared conformity</x:v>
      </x:c>
      <x:c r="E8" s="106" t="str">
        <x:v>none</x:v>
      </x:c>
      <x:c r="F8" s="106" t="str">
        <x:v>self-stop</x:v>
      </x:c>
      <x:c r="G8" s="106" t="str">
        <x:v>cannot accept own article</x:v>
      </x:c>
      <x:c r="H8" s="105" t="str">
        <x:v>TBD</x:v>
      </x:c>
      <x:c r="I8" s="105" t="n">
        <x:v>0</x:v>
      </x:c>
      <x:c r="J8" s="131" t="str">
        <x:f>IF(I8=1,"CLOSED","OPEN")</x:f>
        <x:v>OPEN</x:v>
      </x:c>
    </x:row>
    <x:row r="9" ht="45" customHeight="1">
      <x:c r="B9" s="105" t="str">
        <x:v>A03</x:v>
      </x:c>
      <x:c r="C9" s="106" t="str">
        <x:v>Range Safety Authority</x:v>
      </x:c>
      <x:c r="D9" s="106" t="str">
        <x:v>pressure, energy, personnel and environment</x:v>
      </x:c>
      <x:c r="E9" s="106" t="str">
        <x:v>none</x:v>
      </x:c>
      <x:c r="F9" s="106" t="str">
        <x:v>yes</x:v>
      </x:c>
      <x:c r="G9" s="106" t="str">
        <x:v>no success-award power</x:v>
      </x:c>
      <x:c r="H9" s="105" t="str">
        <x:v>TBD</x:v>
      </x:c>
      <x:c r="I9" s="105" t="n">
        <x:v>0</x:v>
      </x:c>
      <x:c r="J9" s="131" t="str">
        <x:f>IF(I9=1,"CLOSED","OPEN")</x:f>
        <x:v>OPEN</x:v>
      </x:c>
    </x:row>
    <x:row r="10" ht="45" customHeight="1">
      <x:c r="B10" s="105" t="str">
        <x:v>A04</x:v>
      </x:c>
      <x:c r="C10" s="106" t="str">
        <x:v>Materials and Structural Authority</x:v>
      </x:c>
      <x:c r="D10" s="106" t="str">
        <x:v>material, wall, closure and load</x:v>
      </x:c>
      <x:c r="E10" s="106" t="str">
        <x:v>article class</x:v>
      </x:c>
      <x:c r="F10" s="106" t="str">
        <x:v>yes</x:v>
      </x:c>
      <x:c r="G10" s="106" t="str">
        <x:v>cannot release potable service</x:v>
      </x:c>
      <x:c r="H10" s="105" t="str">
        <x:v>TBD</x:v>
      </x:c>
      <x:c r="I10" s="105" t="n">
        <x:v>0</x:v>
      </x:c>
      <x:c r="J10" s="131" t="str">
        <x:f>IF(I10=1,"CLOSED","OPEN")</x:f>
        <x:v>OPEN</x:v>
      </x:c>
    </x:row>
    <x:row r="11" ht="45" customHeight="1">
      <x:c r="B11" s="105" t="str">
        <x:v>A05</x:v>
      </x:c>
      <x:c r="C11" s="106" t="str">
        <x:v>Water Release Authority</x:v>
      </x:c>
      <x:c r="D11" s="106" t="str">
        <x:v>sanitary stop, assay and restart</x:v>
      </x:c>
      <x:c r="E11" s="106" t="str">
        <x:v>potable claim</x:v>
      </x:c>
      <x:c r="F11" s="106" t="str">
        <x:v>yes</x:v>
      </x:c>
      <x:c r="G11" s="106" t="str">
        <x:v>cannot waive structure/configuration</x:v>
      </x:c>
      <x:c r="H11" s="105" t="str">
        <x:v>TBD</x:v>
      </x:c>
      <x:c r="I11" s="105" t="n">
        <x:v>0</x:v>
      </x:c>
      <x:c r="J11" s="131" t="str">
        <x:f>IF(I11=1,"CLOSED","OPEN")</x:f>
        <x:v>OPEN</x:v>
      </x:c>
    </x:row>
    <x:row r="12" ht="45" customHeight="1">
      <x:c r="B12" s="105" t="str">
        <x:v>A06</x:v>
      </x:c>
      <x:c r="C12" s="106" t="str">
        <x:v>Independent Metrology Authority</x:v>
      </x:c>
      <x:c r="D12" s="106" t="str">
        <x:v>channels, uncertainty and invalid intervals</x:v>
      </x:c>
      <x:c r="E12" s="106" t="str">
        <x:v>measurement only</x:v>
      </x:c>
      <x:c r="F12" s="106" t="str">
        <x:v>yes</x:v>
      </x:c>
      <x:c r="G12" s="106" t="str">
        <x:v>cannot accept mission effect</x:v>
      </x:c>
      <x:c r="H12" s="105" t="str">
        <x:v>TBD</x:v>
      </x:c>
      <x:c r="I12" s="105" t="n">
        <x:v>0</x:v>
      </x:c>
      <x:c r="J12" s="131" t="str">
        <x:f>IF(I12=1,"CLOSED","OPEN")</x:f>
        <x:v>OPEN</x:v>
      </x:c>
    </x:row>
    <x:row r="13" ht="45" customHeight="1">
      <x:c r="B13" s="105" t="str">
        <x:v>A07</x:v>
      </x:c>
      <x:c r="C13" s="106" t="str">
        <x:v>Receiver Authority</x:v>
      </x:c>
      <x:c r="D13" s="106" t="str">
        <x:v>local consent and public boundary</x:v>
      </x:c>
      <x:c r="E13" s="106" t="str">
        <x:v>receiver only</x:v>
      </x:c>
      <x:c r="F13" s="106" t="str">
        <x:v>yes</x:v>
      </x:c>
      <x:c r="G13" s="106" t="str">
        <x:v>cannot certify builder</x:v>
      </x:c>
      <x:c r="H13" s="105" t="str">
        <x:v>TBD</x:v>
      </x:c>
      <x:c r="I13" s="105" t="n">
        <x:v>0</x:v>
      </x:c>
      <x:c r="J13" s="131" t="str">
        <x:f>IF(I13=1,"CLOSED","OPEN")</x:f>
        <x:v>OPEN</x:v>
      </x:c>
    </x:row>
    <x:row r="14" ht="45" customHeight="1">
      <x:c r="B14" s="105" t="str">
        <x:v>A08</x:v>
      </x:c>
      <x:c r="C14" s="106" t="str">
        <x:v>Configuration and Custody Authority</x:v>
      </x:c>
      <x:c r="D14" s="106" t="str">
        <x:v>serial identity, deviation and disposition</x:v>
      </x:c>
      <x:c r="E14" s="106" t="str">
        <x:v>configuration only</x:v>
      </x:c>
      <x:c r="F14" s="106" t="str">
        <x:v>yes</x:v>
      </x:c>
      <x:c r="G14" s="106" t="str">
        <x:v>cannot award performance</x:v>
      </x:c>
      <x:c r="H14" s="105" t="str">
        <x:v>TBD</x:v>
      </x:c>
      <x:c r="I14" s="105" t="n">
        <x:v>0</x:v>
      </x:c>
      <x:c r="J14" s="131" t="str">
        <x:f>IF(I14=1,"CLOSED","OPEN")</x:f>
        <x:v>OPEN</x:v>
      </x:c>
    </x:row>
    <x:row r="15" ht="45" customHeight="1">
      <x:c r="B15" s="105" t="str">
        <x:v>A09</x:v>
      </x:c>
      <x:c r="C15" s="106" t="str">
        <x:v>Independent Evidence Board</x:v>
      </x:c>
      <x:c r="D15" s="106" t="str">
        <x:v>campaign claim against frozen event</x:v>
      </x:c>
      <x:c r="E15" s="106" t="str">
        <x:v>campaign claim</x:v>
      </x:c>
      <x:c r="F15" s="106" t="str">
        <x:v>yes</x:v>
      </x:c>
      <x:c r="G15" s="106" t="str">
        <x:v>cannot waive receiver or safety</x:v>
      </x:c>
      <x:c r="H15" s="105" t="str">
        <x:v>TBD</x:v>
      </x:c>
      <x:c r="I15" s="105" t="n">
        <x:v>0</x:v>
      </x:c>
      <x:c r="J15" s="131" t="str">
        <x:f>IF(I15=1,"CLOSED","OPEN")</x:f>
        <x:v>OPEN</x:v>
      </x:c>
    </x:row>
    <x:row r="16" ht="45" customHeight="1">
      <x:c r="B16" s="105" t="str">
        <x:v>A10</x:v>
      </x:c>
      <x:c r="C16" s="106" t="str">
        <x:v>Cost and Rights Authority</x:v>
      </x:c>
      <x:c r="D16" s="106" t="str">
        <x:v>artifact, price and rights completion</x:v>
      </x:c>
      <x:c r="E16" s="106" t="str">
        <x:v>payment only</x:v>
      </x:c>
      <x:c r="F16" s="106" t="str">
        <x:v>yes</x:v>
      </x:c>
      <x:c r="G16" s="106" t="str">
        <x:v>calendar milestone earns nothing</x:v>
      </x:c>
      <x:c r="H16" s="105" t="str">
        <x:v>TBD</x:v>
      </x:c>
      <x:c r="I16" s="105" t="n">
        <x:v>0</x:v>
      </x:c>
      <x:c r="J16" s="131" t="str">
        <x:f>IF(I16=1,"CLOSED","OPEN")</x:f>
        <x:v>OPEN</x:v>
      </x:c>
    </x:row>
    <x:row r="17" ht="45" customHeight="1">
      <x:c r="B17" s="110" t="str">
        <x:v>A11</x:v>
      </x:c>
      <x:c r="C17" s="111" t="str">
        <x:v>Production Release Board</x:v>
      </x:c>
      <x:c r="D17" s="111" t="str">
        <x:v>serial procurement after complete mission</x:v>
      </x:c>
      <x:c r="E17" s="111" t="str">
        <x:v>production only</x:v>
      </x:c>
      <x:c r="F17" s="111" t="str">
        <x:v>yes</x:v>
      </x:c>
      <x:c r="G17" s="111" t="str">
        <x:v>no pre-mission form authority</x:v>
      </x:c>
      <x:c r="H17" s="110" t="str">
        <x:v>TBD</x:v>
      </x:c>
      <x:c r="I17" s="110" t="n">
        <x:v>0</x:v>
      </x:c>
      <x:c r="J17" s="128" t="str">
        <x:f>IF(I17=1,"CLOSED","OPEN")</x:f>
        <x:v>OPEN</x:v>
      </x:c>
    </x:row>
  </x:sheetData>
  <x:mergeCells>
    <x:mergeCell ref="B3:J3"/>
  </x:mergeCells>
  <x:conditionalFormatting sqref="J7:J17">
    <x:cfRule type="containsText" dxfId="121" priority="1" operator="containsText" text="FAIL"/>
    <x:cfRule type="containsText" dxfId="122" priority="2" operator="containsText" text="BLOCKED"/>
    <x:cfRule type="containsText" dxfId="123" priority="3" operator="containsText" text="HOLD"/>
    <x:cfRule type="containsText" dxfId="124" priority="4" operator="containsText" text="OPEN"/>
    <x:cfRule type="containsText" dxfId="125" priority="5" operator="containsText" text="NOT ADMITTED"/>
    <x:cfRule type="containsText" dxfId="126" priority="6" operator="containsText" text="PASS"/>
    <x:cfRule type="containsText" dxfId="127" priority="7" operator="containsText" text="CLOSED"/>
    <x:cfRule type="containsText" dxfId="128" priority="8" operator="containsText" text="READY"/>
    <x:cfRule type="containsText" dxfId="129" priority="9" operator="containsText" text="AUTHORIZED"/>
    <x:cfRule type="containsText" dxfId="130" priority="10" operator="containsText" text="PLANNING PASS"/>
    <x:cfRule type="containsText" dxfId="131" priority="11" operator="containsText" text="COMPLETE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30" hidden="0" customWidth="1"/>
    <x:col min="4" max="4" width="14" hidden="0" customWidth="1"/>
    <x:col min="5" max="5" width="14" hidden="0" customWidth="1"/>
    <x:col min="6" max="6" width="14" hidden="0" customWidth="1"/>
    <x:col min="7" max="7" width="40" hidden="0" customWidth="1"/>
    <x:col min="8" max="8" width="10" hidden="0" customWidth="1"/>
    <x:col min="9" max="9" width="22" hidden="0" customWidth="1"/>
    <x:col min="10" max="10" width="18" hidden="0" customWidth="1"/>
    <x:col min="11" max="11" width="20" hidden="0" customWidth="1"/>
    <x:col min="12" max="12" width="16" hidden="0" customWidth="1"/>
    <x:col min="13" max="13" width="16" hidden="0" customWidth="1"/>
  </x:cols>
  <x:sheetData>
    <x:row r="2">
      <x:c r="B2" s="92" t="str">
        <x:v>Forty-two-month first-article sequence</x:v>
      </x:c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</x:row>
    <x:row r="3">
      <x:c r="B3" s="84" t="str">
        <x:v>Stages overlap, but article entry remains predecessor-controlled. Payment attaches to accepted artifacts rather than dates.</x:v>
      </x:c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</x:row>
    <x:row r="4">
      <x:c r="B4" s="85"/>
      <x:c r="C4" s="85"/>
      <x:c r="D4" s="85"/>
      <x:c r="E4" s="85"/>
      <x:c r="F4" s="85"/>
      <x:c r="G4" s="85"/>
      <x:c r="H4" s="85"/>
      <x:c r="I4" s="85"/>
      <x:c r="J4" s="85"/>
      <x:c r="K4" s="85"/>
      <x:c r="L4" s="85"/>
      <x:c r="M4" s="85"/>
    </x:row>
    <x:row r="5">
      <x:c r="B5" s="83"/>
      <x:c r="C5" s="83"/>
      <x:c r="D5" s="83"/>
      <x:c r="E5" s="83"/>
      <x:c r="F5" s="83"/>
      <x:c r="G5" s="83"/>
      <x:c r="H5" s="83"/>
      <x:c r="I5" s="83"/>
      <x:c r="J5" s="83"/>
      <x:c r="K5" s="83"/>
      <x:c r="L5" s="83"/>
      <x:c r="M5" s="83"/>
    </x:row>
    <x:row r="6">
      <x:c r="B6" s="18" t="str">
        <x:v>Stage</x:v>
      </x:c>
      <x:c r="C6" s="19" t="str">
        <x:v>Work package</x:v>
      </x:c>
      <x:c r="D6" s="19" t="str">
        <x:v>Start month</x:v>
      </x:c>
      <x:c r="E6" s="19" t="str">
        <x:v>End month</x:v>
      </x:c>
      <x:c r="F6" s="19" t="str">
        <x:v>Duration</x:v>
      </x:c>
      <x:c r="G6" s="19" t="str">
        <x:v>Required output</x:v>
      </x:c>
      <x:c r="H6" s="19" t="str">
        <x:v>Root</x:v>
      </x:c>
      <x:c r="I6" s="19" t="str">
        <x:v>Predecessor stage</x:v>
      </x:c>
      <x:c r="J6" s="19" t="str">
        <x:v>Package ready</x:v>
      </x:c>
      <x:c r="K6" s="19" t="str">
        <x:v>Physical acceptance</x:v>
      </x:c>
      <x:c r="L6" s="19" t="str">
        <x:v>Schedule gate</x:v>
      </x:c>
      <x:c r="M6" s="19" t="str">
        <x:v>Entry state</x:v>
      </x:c>
    </x:row>
    <x:row r="7" ht="38" customHeight="1">
      <x:c r="B7" s="105" t="str">
        <x:v>BR01</x:v>
      </x:c>
      <x:c r="C7" s="106" t="str">
        <x:v>Common freeze</x:v>
      </x:c>
      <x:c r="D7" s="106" t="n">
        <x:v>1</x:v>
      </x:c>
      <x:c r="E7" s="106" t="n">
        <x:v>3</x:v>
      </x:c>
      <x:c r="F7" s="106" t="n">
        <x:f>E7-D7+1</x:f>
        <x:v>3</x:v>
      </x:c>
      <x:c r="G7" s="106" t="str">
        <x:v>requirements, authorities, interfaces and evidence schema</x:v>
      </x:c>
      <x:c r="H7" s="106" t="str">
        <x:v>R1</x:v>
      </x:c>
      <x:c r="I7" s="106" t="str">
        <x:v>NONE</x:v>
      </x:c>
      <x:c r="J7" s="106" t="n">
        <x:v>1</x:v>
      </x:c>
      <x:c r="K7" s="106" t="n">
        <x:v>0</x:v>
      </x:c>
      <x:c r="L7" s="106" t="str">
        <x:f>IF(AND(D7&gt;=1,E7&lt;='Control Inputs'!D33,F7&gt;0),"PASS","FAIL")</x:f>
        <x:v>PASS</x:v>
      </x:c>
      <x:c r="M7" s="108" t="str">
        <x:f>IF(K7=1,"RELEASED",IF(J7=1,"HOLD","OPEN"))</x:f>
        <x:v>HOLD</x:v>
      </x:c>
    </x:row>
    <x:row r="8" ht="38" customHeight="1">
      <x:c r="B8" s="105" t="str">
        <x:v>BR01</x:v>
      </x:c>
      <x:c r="C8" s="106" t="str">
        <x:v>Common freeze</x:v>
      </x:c>
      <x:c r="D8" s="106" t="n">
        <x:v>1</x:v>
      </x:c>
      <x:c r="E8" s="106" t="n">
        <x:v>3</x:v>
      </x:c>
      <x:c r="F8" s="106" t="n">
        <x:f>E8-D8+1</x:f>
        <x:v>3</x:v>
      </x:c>
      <x:c r="G8" s="106" t="str">
        <x:v>requirements, authorities, interfaces and evidence schema</x:v>
      </x:c>
      <x:c r="H8" s="106" t="str">
        <x:v>R2</x:v>
      </x:c>
      <x:c r="I8" s="106" t="str">
        <x:v>NONE</x:v>
      </x:c>
      <x:c r="J8" s="106" t="n">
        <x:v>1</x:v>
      </x:c>
      <x:c r="K8" s="106" t="n">
        <x:v>0</x:v>
      </x:c>
      <x:c r="L8" s="106" t="str">
        <x:f>IF(AND(D8&gt;=1,E8&lt;='Control Inputs'!D33,F8&gt;0),"PASS","FAIL")</x:f>
        <x:v>PASS</x:v>
      </x:c>
      <x:c r="M8" s="108" t="str">
        <x:f>IF(K8=1,"RELEASED",IF(J8=1,"HOLD","OPEN"))</x:f>
        <x:v>HOLD</x:v>
      </x:c>
    </x:row>
    <x:row r="9" ht="38" customHeight="1">
      <x:c r="B9" s="105" t="str">
        <x:v>BR01</x:v>
      </x:c>
      <x:c r="C9" s="106" t="str">
        <x:v>Common freeze</x:v>
      </x:c>
      <x:c r="D9" s="106" t="n">
        <x:v>1</x:v>
      </x:c>
      <x:c r="E9" s="106" t="n">
        <x:v>3</x:v>
      </x:c>
      <x:c r="F9" s="106" t="n">
        <x:f>E9-D9+1</x:f>
        <x:v>3</x:v>
      </x:c>
      <x:c r="G9" s="106" t="str">
        <x:v>requirements, authorities, interfaces and evidence schema</x:v>
      </x:c>
      <x:c r="H9" s="106" t="str">
        <x:v>R3</x:v>
      </x:c>
      <x:c r="I9" s="106" t="str">
        <x:v>NONE</x:v>
      </x:c>
      <x:c r="J9" s="106" t="n">
        <x:v>1</x:v>
      </x:c>
      <x:c r="K9" s="106" t="n">
        <x:v>0</x:v>
      </x:c>
      <x:c r="L9" s="106" t="str">
        <x:f>IF(AND(D9&gt;=1,E9&lt;='Control Inputs'!D33,F9&gt;0),"PASS","FAIL")</x:f>
        <x:v>PASS</x:v>
      </x:c>
      <x:c r="M9" s="108" t="str">
        <x:f>IF(K9=1,"RELEASED",IF(J9=1,"HOLD","OPEN"))</x:f>
        <x:v>HOLD</x:v>
      </x:c>
    </x:row>
    <x:row r="10" ht="38" customHeight="1">
      <x:c r="B10" s="105" t="str">
        <x:v>BR02</x:v>
      </x:c>
      <x:c r="C10" s="106" t="str">
        <x:v>Root preliminary package</x:v>
      </x:c>
      <x:c r="D10" s="106" t="n">
        <x:v>4</x:v>
      </x:c>
      <x:c r="E10" s="106" t="n">
        <x:v>9</x:v>
      </x:c>
      <x:c r="F10" s="106" t="n">
        <x:f>E10-D10+1</x:f>
        <x:v>6</x:v>
      </x:c>
      <x:c r="G10" s="106" t="str">
        <x:v>root design, process, ancestry and rights</x:v>
      </x:c>
      <x:c r="H10" s="106" t="str">
        <x:v>R1</x:v>
      </x:c>
      <x:c r="I10" s="106" t="str">
        <x:v>prior R1 stage</x:v>
      </x:c>
      <x:c r="J10" s="106" t="n">
        <x:v>1</x:v>
      </x:c>
      <x:c r="K10" s="106" t="n">
        <x:v>0</x:v>
      </x:c>
      <x:c r="L10" s="106" t="str">
        <x:f>IF(AND(D10&gt;=1,E10&lt;='Control Inputs'!D33,F10&gt;0),"PASS","FAIL")</x:f>
        <x:v>PASS</x:v>
      </x:c>
      <x:c r="M10" s="108" t="str">
        <x:f>IF(K10=1,"RELEASED",IF(J10=1,"HOLD","OPEN"))</x:f>
        <x:v>HOLD</x:v>
      </x:c>
    </x:row>
    <x:row r="11" ht="38" customHeight="1">
      <x:c r="B11" s="105" t="str">
        <x:v>BR02</x:v>
      </x:c>
      <x:c r="C11" s="106" t="str">
        <x:v>Root preliminary package</x:v>
      </x:c>
      <x:c r="D11" s="106" t="n">
        <x:v>4</x:v>
      </x:c>
      <x:c r="E11" s="106" t="n">
        <x:v>9</x:v>
      </x:c>
      <x:c r="F11" s="106" t="n">
        <x:f>E11-D11+1</x:f>
        <x:v>6</x:v>
      </x:c>
      <x:c r="G11" s="106" t="str">
        <x:v>root design, process, ancestry and rights</x:v>
      </x:c>
      <x:c r="H11" s="106" t="str">
        <x:v>R2</x:v>
      </x:c>
      <x:c r="I11" s="106" t="str">
        <x:v>prior R2 stage</x:v>
      </x:c>
      <x:c r="J11" s="106" t="n">
        <x:v>1</x:v>
      </x:c>
      <x:c r="K11" s="106" t="n">
        <x:v>0</x:v>
      </x:c>
      <x:c r="L11" s="106" t="str">
        <x:f>IF(AND(D11&gt;=1,E11&lt;='Control Inputs'!D33,F11&gt;0),"PASS","FAIL")</x:f>
        <x:v>PASS</x:v>
      </x:c>
      <x:c r="M11" s="108" t="str">
        <x:f>IF(K11=1,"RELEASED",IF(J11=1,"HOLD","OPEN"))</x:f>
        <x:v>HOLD</x:v>
      </x:c>
    </x:row>
    <x:row r="12" ht="38" customHeight="1">
      <x:c r="B12" s="105" t="str">
        <x:v>BR02</x:v>
      </x:c>
      <x:c r="C12" s="106" t="str">
        <x:v>Root preliminary package</x:v>
      </x:c>
      <x:c r="D12" s="106" t="n">
        <x:v>4</x:v>
      </x:c>
      <x:c r="E12" s="106" t="n">
        <x:v>9</x:v>
      </x:c>
      <x:c r="F12" s="106" t="n">
        <x:f>E12-D12+1</x:f>
        <x:v>6</x:v>
      </x:c>
      <x:c r="G12" s="106" t="str">
        <x:v>root design, process, ancestry and rights</x:v>
      </x:c>
      <x:c r="H12" s="106" t="str">
        <x:v>R3</x:v>
      </x:c>
      <x:c r="I12" s="106" t="str">
        <x:v>prior R3 stage</x:v>
      </x:c>
      <x:c r="J12" s="106" t="n">
        <x:v>1</x:v>
      </x:c>
      <x:c r="K12" s="106" t="n">
        <x:v>0</x:v>
      </x:c>
      <x:c r="L12" s="106" t="str">
        <x:f>IF(AND(D12&gt;=1,E12&lt;='Control Inputs'!D33,F12&gt;0),"PASS","FAIL")</x:f>
        <x:v>PASS</x:v>
      </x:c>
      <x:c r="M12" s="108" t="str">
        <x:f>IF(K12=1,"RELEASED",IF(J12=1,"HOLD","OPEN"))</x:f>
        <x:v>HOLD</x:v>
      </x:c>
    </x:row>
    <x:row r="13" ht="38" customHeight="1">
      <x:c r="B13" s="105" t="str">
        <x:v>BR03</x:v>
      </x:c>
      <x:c r="C13" s="106" t="str">
        <x:v>Material and pressure engineering lots</x:v>
      </x:c>
      <x:c r="D13" s="106" t="n">
        <x:v>7</x:v>
      </x:c>
      <x:c r="E13" s="106" t="n">
        <x:v>15</x:v>
      </x:c>
      <x:c r="F13" s="106" t="n">
        <x:f>E13-D13+1</x:f>
        <x:v>9</x:v>
      </x:c>
      <x:c r="G13" s="106" t="str">
        <x:v>MB and PS engineering evidence</x:v>
      </x:c>
      <x:c r="H13" s="106" t="str">
        <x:v>R1</x:v>
      </x:c>
      <x:c r="I13" s="106" t="str">
        <x:v>prior R1 stage</x:v>
      </x:c>
      <x:c r="J13" s="106" t="n">
        <x:v>1</x:v>
      </x:c>
      <x:c r="K13" s="106" t="n">
        <x:v>0</x:v>
      </x:c>
      <x:c r="L13" s="106" t="str">
        <x:f>IF(AND(D13&gt;=1,E13&lt;='Control Inputs'!D33,F13&gt;0),"PASS","FAIL")</x:f>
        <x:v>PASS</x:v>
      </x:c>
      <x:c r="M13" s="108" t="str">
        <x:f>IF(K13=1,"RELEASED",IF(J13=1,"HOLD","OPEN"))</x:f>
        <x:v>HOLD</x:v>
      </x:c>
    </x:row>
    <x:row r="14" ht="38" customHeight="1">
      <x:c r="B14" s="105" t="str">
        <x:v>BR03</x:v>
      </x:c>
      <x:c r="C14" s="106" t="str">
        <x:v>Material and pressure engineering lots</x:v>
      </x:c>
      <x:c r="D14" s="106" t="n">
        <x:v>7</x:v>
      </x:c>
      <x:c r="E14" s="106" t="n">
        <x:v>15</x:v>
      </x:c>
      <x:c r="F14" s="106" t="n">
        <x:f>E14-D14+1</x:f>
        <x:v>9</x:v>
      </x:c>
      <x:c r="G14" s="106" t="str">
        <x:v>MB and PS engineering evidence</x:v>
      </x:c>
      <x:c r="H14" s="106" t="str">
        <x:v>R2</x:v>
      </x:c>
      <x:c r="I14" s="106" t="str">
        <x:v>prior R2 stage</x:v>
      </x:c>
      <x:c r="J14" s="106" t="n">
        <x:v>1</x:v>
      </x:c>
      <x:c r="K14" s="106" t="n">
        <x:v>0</x:v>
      </x:c>
      <x:c r="L14" s="106" t="str">
        <x:f>IF(AND(D14&gt;=1,E14&lt;='Control Inputs'!D33,F14&gt;0),"PASS","FAIL")</x:f>
        <x:v>PASS</x:v>
      </x:c>
      <x:c r="M14" s="108" t="str">
        <x:f>IF(K14=1,"RELEASED",IF(J14=1,"HOLD","OPEN"))</x:f>
        <x:v>HOLD</x:v>
      </x:c>
    </x:row>
    <x:row r="15" ht="38" customHeight="1">
      <x:c r="B15" s="105" t="str">
        <x:v>BR03</x:v>
      </x:c>
      <x:c r="C15" s="106" t="str">
        <x:v>Material and pressure engineering lots</x:v>
      </x:c>
      <x:c r="D15" s="106" t="n">
        <x:v>7</x:v>
      </x:c>
      <x:c r="E15" s="106" t="n">
        <x:v>15</x:v>
      </x:c>
      <x:c r="F15" s="106" t="n">
        <x:f>E15-D15+1</x:f>
        <x:v>9</x:v>
      </x:c>
      <x:c r="G15" s="106" t="str">
        <x:v>MB and PS engineering evidence</x:v>
      </x:c>
      <x:c r="H15" s="106" t="str">
        <x:v>R3</x:v>
      </x:c>
      <x:c r="I15" s="106" t="str">
        <x:v>prior R3 stage</x:v>
      </x:c>
      <x:c r="J15" s="106" t="n">
        <x:v>1</x:v>
      </x:c>
      <x:c r="K15" s="106" t="n">
        <x:v>0</x:v>
      </x:c>
      <x:c r="L15" s="106" t="str">
        <x:f>IF(AND(D15&gt;=1,E15&lt;='Control Inputs'!D33,F15&gt;0),"PASS","FAIL")</x:f>
        <x:v>PASS</x:v>
      </x:c>
      <x:c r="M15" s="108" t="str">
        <x:f>IF(K15=1,"RELEASED",IF(J15=1,"HOLD","OPEN"))</x:f>
        <x:v>HOLD</x:v>
      </x:c>
    </x:row>
    <x:row r="16" ht="38" customHeight="1">
      <x:c r="B16" s="105" t="str">
        <x:v>BR04</x:v>
      </x:c>
      <x:c r="C16" s="106" t="str">
        <x:v>Closure and production-rate articles</x:v>
      </x:c>
      <x:c r="D16" s="106" t="n">
        <x:v>12</x:v>
      </x:c>
      <x:c r="E16" s="106" t="n">
        <x:v>24</x:v>
      </x:c>
      <x:c r="F16" s="106" t="n">
        <x:f>E16-D16+1</x:f>
        <x:v>13</x:v>
      </x:c>
      <x:c r="G16" s="106" t="str">
        <x:v>CW process window and throughput</x:v>
      </x:c>
      <x:c r="H16" s="106" t="str">
        <x:v>R1</x:v>
      </x:c>
      <x:c r="I16" s="106" t="str">
        <x:v>prior R1 stage</x:v>
      </x:c>
      <x:c r="J16" s="106" t="n">
        <x:v>1</x:v>
      </x:c>
      <x:c r="K16" s="106" t="n">
        <x:v>0</x:v>
      </x:c>
      <x:c r="L16" s="106" t="str">
        <x:f>IF(AND(D16&gt;=1,E16&lt;='Control Inputs'!D33,F16&gt;0),"PASS","FAIL")</x:f>
        <x:v>PASS</x:v>
      </x:c>
      <x:c r="M16" s="108" t="str">
        <x:f>IF(K16=1,"RELEASED",IF(J16=1,"HOLD","OPEN"))</x:f>
        <x:v>HOLD</x:v>
      </x:c>
    </x:row>
    <x:row r="17" ht="38" customHeight="1">
      <x:c r="B17" s="105" t="str">
        <x:v>BR04</x:v>
      </x:c>
      <x:c r="C17" s="106" t="str">
        <x:v>Closure and production-rate articles</x:v>
      </x:c>
      <x:c r="D17" s="106" t="n">
        <x:v>12</x:v>
      </x:c>
      <x:c r="E17" s="106" t="n">
        <x:v>24</x:v>
      </x:c>
      <x:c r="F17" s="106" t="n">
        <x:f>E17-D17+1</x:f>
        <x:v>13</x:v>
      </x:c>
      <x:c r="G17" s="106" t="str">
        <x:v>CW process window and throughput</x:v>
      </x:c>
      <x:c r="H17" s="106" t="str">
        <x:v>R2</x:v>
      </x:c>
      <x:c r="I17" s="106" t="str">
        <x:v>prior R2 stage</x:v>
      </x:c>
      <x:c r="J17" s="106" t="n">
        <x:v>1</x:v>
      </x:c>
      <x:c r="K17" s="106" t="n">
        <x:v>0</x:v>
      </x:c>
      <x:c r="L17" s="106" t="str">
        <x:f>IF(AND(D17&gt;=1,E17&lt;='Control Inputs'!D33,F17&gt;0),"PASS","FAIL")</x:f>
        <x:v>PASS</x:v>
      </x:c>
      <x:c r="M17" s="108" t="str">
        <x:f>IF(K17=1,"RELEASED",IF(J17=1,"HOLD","OPEN"))</x:f>
        <x:v>HOLD</x:v>
      </x:c>
    </x:row>
    <x:row r="18" ht="38" customHeight="1">
      <x:c r="B18" s="105" t="str">
        <x:v>BR04</x:v>
      </x:c>
      <x:c r="C18" s="106" t="str">
        <x:v>Closure and production-rate articles</x:v>
      </x:c>
      <x:c r="D18" s="106" t="n">
        <x:v>12</x:v>
      </x:c>
      <x:c r="E18" s="106" t="n">
        <x:v>24</x:v>
      </x:c>
      <x:c r="F18" s="106" t="n">
        <x:f>E18-D18+1</x:f>
        <x:v>13</x:v>
      </x:c>
      <x:c r="G18" s="106" t="str">
        <x:v>CW process window and throughput</x:v>
      </x:c>
      <x:c r="H18" s="106" t="str">
        <x:v>R3</x:v>
      </x:c>
      <x:c r="I18" s="106" t="str">
        <x:v>prior R3 stage</x:v>
      </x:c>
      <x:c r="J18" s="106" t="n">
        <x:v>1</x:v>
      </x:c>
      <x:c r="K18" s="106" t="n">
        <x:v>0</x:v>
      </x:c>
      <x:c r="L18" s="106" t="str">
        <x:f>IF(AND(D18&gt;=1,E18&lt;='Control Inputs'!D33,F18&gt;0),"PASS","FAIL")</x:f>
        <x:v>PASS</x:v>
      </x:c>
      <x:c r="M18" s="108" t="str">
        <x:f>IF(K18=1,"RELEASED",IF(J18=1,"HOLD","OPEN"))</x:f>
        <x:v>HOLD</x:v>
      </x:c>
    </x:row>
    <x:row r="19" ht="38" customHeight="1">
      <x:c r="B19" s="105" t="str">
        <x:v>BR05</x:v>
      </x:c>
      <x:c r="C19" s="106" t="str">
        <x:v>Qualification and range readiness</x:v>
      </x:c>
      <x:c r="D19" s="106" t="n">
        <x:v>18</x:v>
      </x:c>
      <x:c r="E19" s="106" t="n">
        <x:v>30</x:v>
      </x:c>
      <x:c r="F19" s="106" t="n">
        <x:f>E19-D19+1</x:f>
        <x:v>13</x:v>
      </x:c>
      <x:c r="G19" s="106" t="str">
        <x:v>pressure qualification, instruments and safety</x:v>
      </x:c>
      <x:c r="H19" s="106" t="str">
        <x:v>R1</x:v>
      </x:c>
      <x:c r="I19" s="106" t="str">
        <x:v>prior R1 stage</x:v>
      </x:c>
      <x:c r="J19" s="106" t="n">
        <x:v>1</x:v>
      </x:c>
      <x:c r="K19" s="106" t="n">
        <x:v>0</x:v>
      </x:c>
      <x:c r="L19" s="106" t="str">
        <x:f>IF(AND(D19&gt;=1,E19&lt;='Control Inputs'!D33,F19&gt;0),"PASS","FAIL")</x:f>
        <x:v>PASS</x:v>
      </x:c>
      <x:c r="M19" s="108" t="str">
        <x:f>IF(K19=1,"RELEASED",IF(J19=1,"HOLD","OPEN"))</x:f>
        <x:v>HOLD</x:v>
      </x:c>
    </x:row>
    <x:row r="20" ht="38" customHeight="1">
      <x:c r="B20" s="105" t="str">
        <x:v>BR05</x:v>
      </x:c>
      <x:c r="C20" s="106" t="str">
        <x:v>Qualification and range readiness</x:v>
      </x:c>
      <x:c r="D20" s="106" t="n">
        <x:v>18</x:v>
      </x:c>
      <x:c r="E20" s="106" t="n">
        <x:v>30</x:v>
      </x:c>
      <x:c r="F20" s="106" t="n">
        <x:f>E20-D20+1</x:f>
        <x:v>13</x:v>
      </x:c>
      <x:c r="G20" s="106" t="str">
        <x:v>pressure qualification, instruments and safety</x:v>
      </x:c>
      <x:c r="H20" s="106" t="str">
        <x:v>R2</x:v>
      </x:c>
      <x:c r="I20" s="106" t="str">
        <x:v>prior R2 stage</x:v>
      </x:c>
      <x:c r="J20" s="106" t="n">
        <x:v>1</x:v>
      </x:c>
      <x:c r="K20" s="106" t="n">
        <x:v>0</x:v>
      </x:c>
      <x:c r="L20" s="106" t="str">
        <x:f>IF(AND(D20&gt;=1,E20&lt;='Control Inputs'!D33,F20&gt;0),"PASS","FAIL")</x:f>
        <x:v>PASS</x:v>
      </x:c>
      <x:c r="M20" s="108" t="str">
        <x:f>IF(K20=1,"RELEASED",IF(J20=1,"HOLD","OPEN"))</x:f>
        <x:v>HOLD</x:v>
      </x:c>
    </x:row>
    <x:row r="21" ht="38" customHeight="1">
      <x:c r="B21" s="105" t="str">
        <x:v>BR05</x:v>
      </x:c>
      <x:c r="C21" s="106" t="str">
        <x:v>Qualification and range readiness</x:v>
      </x:c>
      <x:c r="D21" s="106" t="n">
        <x:v>18</x:v>
      </x:c>
      <x:c r="E21" s="106" t="n">
        <x:v>30</x:v>
      </x:c>
      <x:c r="F21" s="106" t="n">
        <x:f>E21-D21+1</x:f>
        <x:v>13</x:v>
      </x:c>
      <x:c r="G21" s="106" t="str">
        <x:v>pressure qualification, instruments and safety</x:v>
      </x:c>
      <x:c r="H21" s="106" t="str">
        <x:v>R3</x:v>
      </x:c>
      <x:c r="I21" s="106" t="str">
        <x:v>prior R3 stage</x:v>
      </x:c>
      <x:c r="J21" s="106" t="n">
        <x:v>1</x:v>
      </x:c>
      <x:c r="K21" s="106" t="n">
        <x:v>0</x:v>
      </x:c>
      <x:c r="L21" s="106" t="str">
        <x:f>IF(AND(D21&gt;=1,E21&lt;='Control Inputs'!D33,F21&gt;0),"PASS","FAIL")</x:f>
        <x:v>PASS</x:v>
      </x:c>
      <x:c r="M21" s="108" t="str">
        <x:f>IF(K21=1,"RELEASED",IF(J21=1,"HOLD","OPEN"))</x:f>
        <x:v>HOLD</x:v>
      </x:c>
    </x:row>
    <x:row r="22" ht="38" customHeight="1">
      <x:c r="B22" s="105" t="str">
        <x:v>BR06</x:v>
      </x:c>
      <x:c r="C22" s="106" t="str">
        <x:v>Sector and destructive campaign</x:v>
      </x:c>
      <x:c r="D22" s="106" t="n">
        <x:v>24</x:v>
      </x:c>
      <x:c r="E22" s="106" t="n">
        <x:v>36</x:v>
      </x:c>
      <x:c r="F22" s="106" t="n">
        <x:f>E22-D22+1</x:f>
        <x:v>13</x:v>
      </x:c>
      <x:c r="G22" s="106" t="str">
        <x:v>SA-1, SA-2 and DR events</x:v>
      </x:c>
      <x:c r="H22" s="106" t="str">
        <x:v>R1</x:v>
      </x:c>
      <x:c r="I22" s="106" t="str">
        <x:v>prior R1 stage</x:v>
      </x:c>
      <x:c r="J22" s="106" t="n">
        <x:v>1</x:v>
      </x:c>
      <x:c r="K22" s="106" t="n">
        <x:v>0</x:v>
      </x:c>
      <x:c r="L22" s="106" t="str">
        <x:f>IF(AND(D22&gt;=1,E22&lt;='Control Inputs'!D33,F22&gt;0),"PASS","FAIL")</x:f>
        <x:v>PASS</x:v>
      </x:c>
      <x:c r="M22" s="108" t="str">
        <x:f>IF(K22=1,"RELEASED",IF(J22=1,"HOLD","OPEN"))</x:f>
        <x:v>HOLD</x:v>
      </x:c>
    </x:row>
    <x:row r="23" ht="38" customHeight="1">
      <x:c r="B23" s="105" t="str">
        <x:v>BR06</x:v>
      </x:c>
      <x:c r="C23" s="106" t="str">
        <x:v>Sector and destructive campaign</x:v>
      </x:c>
      <x:c r="D23" s="106" t="n">
        <x:v>24</x:v>
      </x:c>
      <x:c r="E23" s="106" t="n">
        <x:v>36</x:v>
      </x:c>
      <x:c r="F23" s="106" t="n">
        <x:f>E23-D23+1</x:f>
        <x:v>13</x:v>
      </x:c>
      <x:c r="G23" s="106" t="str">
        <x:v>SA-1, SA-2 and DR events</x:v>
      </x:c>
      <x:c r="H23" s="106" t="str">
        <x:v>R2</x:v>
      </x:c>
      <x:c r="I23" s="106" t="str">
        <x:v>prior R2 stage</x:v>
      </x:c>
      <x:c r="J23" s="106" t="n">
        <x:v>1</x:v>
      </x:c>
      <x:c r="K23" s="106" t="n">
        <x:v>0</x:v>
      </x:c>
      <x:c r="L23" s="106" t="str">
        <x:f>IF(AND(D23&gt;=1,E23&lt;='Control Inputs'!D33,F23&gt;0),"PASS","FAIL")</x:f>
        <x:v>PASS</x:v>
      </x:c>
      <x:c r="M23" s="108" t="str">
        <x:f>IF(K23=1,"RELEASED",IF(J23=1,"HOLD","OPEN"))</x:f>
        <x:v>HOLD</x:v>
      </x:c>
    </x:row>
    <x:row r="24" ht="38" customHeight="1">
      <x:c r="B24" s="105" t="str">
        <x:v>BR06</x:v>
      </x:c>
      <x:c r="C24" s="106" t="str">
        <x:v>Sector and destructive campaign</x:v>
      </x:c>
      <x:c r="D24" s="106" t="n">
        <x:v>24</x:v>
      </x:c>
      <x:c r="E24" s="106" t="n">
        <x:v>36</x:v>
      </x:c>
      <x:c r="F24" s="106" t="n">
        <x:f>E24-D24+1</x:f>
        <x:v>13</x:v>
      </x:c>
      <x:c r="G24" s="106" t="str">
        <x:v>SA-1, SA-2 and DR events</x:v>
      </x:c>
      <x:c r="H24" s="106" t="str">
        <x:v>R3</x:v>
      </x:c>
      <x:c r="I24" s="106" t="str">
        <x:v>prior R3 stage</x:v>
      </x:c>
      <x:c r="J24" s="106" t="n">
        <x:v>1</x:v>
      </x:c>
      <x:c r="K24" s="106" t="n">
        <x:v>0</x:v>
      </x:c>
      <x:c r="L24" s="106" t="str">
        <x:f>IF(AND(D24&gt;=1,E24&lt;='Control Inputs'!D33,F24&gt;0),"PASS","FAIL")</x:f>
        <x:v>PASS</x:v>
      </x:c>
      <x:c r="M24" s="108" t="str">
        <x:f>IF(K24=1,"RELEASED",IF(J24=1,"HOLD","OPEN"))</x:f>
        <x:v>HOLD</x:v>
      </x:c>
    </x:row>
    <x:row r="25" ht="38" customHeight="1">
      <x:c r="B25" s="105" t="str">
        <x:v>BR07</x:v>
      </x:c>
      <x:c r="C25" s="106" t="str">
        <x:v>Cold reproduction and forensic close</x:v>
      </x:c>
      <x:c r="D25" s="106" t="n">
        <x:v>33</x:v>
      </x:c>
      <x:c r="E25" s="106" t="n">
        <x:v>42</x:v>
      </x:c>
      <x:c r="F25" s="106" t="n">
        <x:f>E25-D25+1</x:f>
        <x:v>10</x:v>
      </x:c>
      <x:c r="G25" s="106" t="str">
        <x:v>CR lots, teardown and claim decision</x:v>
      </x:c>
      <x:c r="H25" s="106" t="str">
        <x:v>R1</x:v>
      </x:c>
      <x:c r="I25" s="106" t="str">
        <x:v>prior R1 stage</x:v>
      </x:c>
      <x:c r="J25" s="106" t="n">
        <x:v>1</x:v>
      </x:c>
      <x:c r="K25" s="106" t="n">
        <x:v>0</x:v>
      </x:c>
      <x:c r="L25" s="106" t="str">
        <x:f>IF(AND(D25&gt;=1,E25&lt;='Control Inputs'!D33,F25&gt;0),"PASS","FAIL")</x:f>
        <x:v>PASS</x:v>
      </x:c>
      <x:c r="M25" s="108" t="str">
        <x:f>IF(K25=1,"RELEASED",IF(J25=1,"HOLD","OPEN"))</x:f>
        <x:v>HOLD</x:v>
      </x:c>
    </x:row>
    <x:row r="26" ht="38" customHeight="1">
      <x:c r="B26" s="105" t="str">
        <x:v>BR07</x:v>
      </x:c>
      <x:c r="C26" s="106" t="str">
        <x:v>Cold reproduction and forensic close</x:v>
      </x:c>
      <x:c r="D26" s="106" t="n">
        <x:v>33</x:v>
      </x:c>
      <x:c r="E26" s="106" t="n">
        <x:v>42</x:v>
      </x:c>
      <x:c r="F26" s="106" t="n">
        <x:f>E26-D26+1</x:f>
        <x:v>10</x:v>
      </x:c>
      <x:c r="G26" s="106" t="str">
        <x:v>CR lots, teardown and claim decision</x:v>
      </x:c>
      <x:c r="H26" s="106" t="str">
        <x:v>R2</x:v>
      </x:c>
      <x:c r="I26" s="106" t="str">
        <x:v>prior R2 stage</x:v>
      </x:c>
      <x:c r="J26" s="106" t="n">
        <x:v>1</x:v>
      </x:c>
      <x:c r="K26" s="106" t="n">
        <x:v>0</x:v>
      </x:c>
      <x:c r="L26" s="106" t="str">
        <x:f>IF(AND(D26&gt;=1,E26&lt;='Control Inputs'!D33,F26&gt;0),"PASS","FAIL")</x:f>
        <x:v>PASS</x:v>
      </x:c>
      <x:c r="M26" s="108" t="str">
        <x:f>IF(K26=1,"RELEASED",IF(J26=1,"HOLD","OPEN"))</x:f>
        <x:v>HOLD</x:v>
      </x:c>
    </x:row>
    <x:row r="27" ht="38" customHeight="1">
      <x:c r="B27" s="110" t="str">
        <x:v>BR07</x:v>
      </x:c>
      <x:c r="C27" s="111" t="str">
        <x:v>Cold reproduction and forensic close</x:v>
      </x:c>
      <x:c r="D27" s="111" t="n">
        <x:v>33</x:v>
      </x:c>
      <x:c r="E27" s="111" t="n">
        <x:v>42</x:v>
      </x:c>
      <x:c r="F27" s="111" t="n">
        <x:f>E27-D27+1</x:f>
        <x:v>10</x:v>
      </x:c>
      <x:c r="G27" s="111" t="str">
        <x:v>CR lots, teardown and claim decision</x:v>
      </x:c>
      <x:c r="H27" s="111" t="str">
        <x:v>R3</x:v>
      </x:c>
      <x:c r="I27" s="111" t="str">
        <x:v>prior R3 stage</x:v>
      </x:c>
      <x:c r="J27" s="111" t="n">
        <x:v>1</x:v>
      </x:c>
      <x:c r="K27" s="111" t="n">
        <x:v>0</x:v>
      </x:c>
      <x:c r="L27" s="111" t="str">
        <x:f>IF(AND(D27&gt;=1,E27&lt;='Control Inputs'!D33,F27&gt;0),"PASS","FAIL")</x:f>
        <x:v>PASS</x:v>
      </x:c>
      <x:c r="M27" s="113" t="str">
        <x:f>IF(K27=1,"RELEASED",IF(J27=1,"HOLD","OPEN"))</x:f>
        <x:v>HOLD</x:v>
      </x:c>
    </x:row>
  </x:sheetData>
  <x:mergeCells>
    <x:mergeCell ref="B3:M3"/>
  </x:mergeCells>
  <x:conditionalFormatting sqref="L7:M27">
    <x:cfRule type="containsText" dxfId="132" priority="1" operator="containsText" text="FAIL"/>
    <x:cfRule type="containsText" dxfId="133" priority="2" operator="containsText" text="BLOCKED"/>
    <x:cfRule type="containsText" dxfId="134" priority="3" operator="containsText" text="HOLD"/>
    <x:cfRule type="containsText" dxfId="135" priority="4" operator="containsText" text="OPEN"/>
    <x:cfRule type="containsText" dxfId="136" priority="5" operator="containsText" text="NOT ADMITTED"/>
    <x:cfRule type="containsText" dxfId="137" priority="6" operator="containsText" text="PASS"/>
    <x:cfRule type="containsText" dxfId="138" priority="7" operator="containsText" text="CLOSED"/>
    <x:cfRule type="containsText" dxfId="139" priority="8" operator="containsText" text="READY"/>
    <x:cfRule type="containsText" dxfId="140" priority="9" operator="containsText" text="AUTHORIZED"/>
    <x:cfRule type="containsText" dxfId="141" priority="10" operator="containsText" text="PLANNING PASS"/>
    <x:cfRule type="containsText" dxfId="142" priority="11" operator="containsText" text="COMPLETE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5" hidden="0" customWidth="1"/>
    <x:col min="4" max="4" width="22" hidden="0" customWidth="1"/>
    <x:col min="5" max="5" width="20" hidden="0" customWidth="1"/>
    <x:col min="6" max="6" width="38" hidden="0" customWidth="1"/>
    <x:col min="7" max="7" width="17" hidden="0" customWidth="1"/>
  </x:cols>
  <x:sheetData>
    <x:row r="2">
      <x:c r="B2" s="92" t="str">
        <x:v>First-article capital cross-classification</x:v>
      </x:c>
      <x:c r="C2" s="83"/>
      <x:c r="D2" s="83"/>
      <x:c r="E2" s="83"/>
      <x:c r="F2" s="83"/>
      <x:c r="G2" s="83"/>
      <x:c r="H2" s="83"/>
      <x:c r="I2" s="83"/>
      <x:c r="J2" s="83"/>
      <x:c r="K2" s="83"/>
    </x:row>
    <x:row r="3">
      <x:c r="B3" s="84" t="str">
        <x:v>USD 8.120B is nested within the Pass 100 USD 38.684B F36 family allocation. It is not additional Department capital.</x:v>
      </x:c>
      <x:c r="C3" s="83"/>
      <x:c r="D3" s="83"/>
      <x:c r="E3" s="83"/>
      <x:c r="F3" s="83"/>
      <x:c r="G3" s="83"/>
      <x:c r="H3" s="83"/>
      <x:c r="I3" s="83"/>
      <x:c r="J3" s="83"/>
      <x:c r="K3" s="83"/>
    </x:row>
    <x:row r="4">
      <x:c r="B4" s="85"/>
      <x:c r="C4" s="85"/>
      <x:c r="D4" s="85"/>
      <x:c r="E4" s="85"/>
      <x:c r="F4" s="85"/>
      <x:c r="G4" s="85"/>
      <x:c r="H4" s="85"/>
      <x:c r="I4" s="85"/>
      <x:c r="J4" s="85"/>
      <x:c r="K4" s="85"/>
    </x:row>
    <x:row r="5">
      <x:c r="B5" s="83"/>
      <x:c r="C5" s="83"/>
      <x:c r="D5" s="83"/>
      <x:c r="E5" s="83"/>
      <x:c r="F5" s="83"/>
      <x:c r="G5" s="83"/>
      <x:c r="H5" s="83"/>
      <x:c r="I5" s="83"/>
      <x:c r="J5" s="83"/>
      <x:c r="K5" s="83"/>
    </x:row>
    <x:row r="6">
      <x:c r="B6" s="18" t="str">
        <x:v>Use</x:v>
      </x:c>
      <x:c r="C6" s="19" t="str">
        <x:v>First-article purpose</x:v>
      </x:c>
      <x:c r="D6" s="19" t="str">
        <x:v>USD B</x:v>
      </x:c>
      <x:c r="E6" s="19" t="str">
        <x:v>Share of tranche</x:v>
      </x:c>
      <x:c r="F6" s="53" t="str">
        <x:v>Output</x:v>
      </x:c>
      <x:c r="G6" s="142"/>
      <x:c r="H6" s="83"/>
      <x:c r="I6" s="83"/>
      <x:c r="J6" s="83"/>
      <x:c r="K6" s="83"/>
    </x:row>
    <x:row r="7" ht="35" customHeight="1">
      <x:c r="B7" s="105" t="str">
        <x:v>C01</x:v>
      </x:c>
      <x:c r="C7" s="106" t="str">
        <x:v>Public requirements and interface standards</x:v>
      </x:c>
      <x:c r="D7" s="121" t="n">
        <x:v>0.58</x:v>
      </x:c>
      <x:c r="E7" s="143" t="n">
        <x:f>D7/'Control Inputs'!D35</x:f>
        <x:v>0.07142857142857142</x:v>
      </x:c>
      <x:c r="F7" s="106" t="str">
        <x:v>complete package and fixtures</x:v>
      </x:c>
      <x:c r="G7" s="108"/>
      <x:c r="H7" s="83"/>
      <x:c r="I7" s="83"/>
      <x:c r="J7" s="83"/>
      <x:c r="K7" s="83"/>
    </x:row>
    <x:row r="8" ht="35" customHeight="1">
      <x:c r="B8" s="105" t="str">
        <x:v>C02</x:v>
      </x:c>
      <x:c r="C8" s="106" t="str">
        <x:v>R1 article bank and process cells</x:v>
      </x:c>
      <x:c r="D8" s="121" t="n">
        <x:v>1.3</x:v>
      </x:c>
      <x:c r="E8" s="143" t="n">
        <x:f>D8/'Control Inputs'!D35</x:f>
        <x:v>0.1600985221674877</x:v>
      </x:c>
      <x:c r="F8" s="106" t="str">
        <x:v>63 units plus sectional tooling</x:v>
      </x:c>
      <x:c r="G8" s="108"/>
      <x:c r="H8" s="83"/>
      <x:c r="I8" s="83"/>
      <x:c r="J8" s="83"/>
      <x:c r="K8" s="83"/>
    </x:row>
    <x:row r="9" ht="35" customHeight="1">
      <x:c r="B9" s="105" t="str">
        <x:v>C03</x:v>
      </x:c>
      <x:c r="C9" s="106" t="str">
        <x:v>R2 article bank and process cells</x:v>
      </x:c>
      <x:c r="D9" s="121" t="n">
        <x:v>1.52</x:v>
      </x:c>
      <x:c r="E9" s="143" t="n">
        <x:f>D9/'Control Inputs'!D35</x:f>
        <x:v>0.187192118226601</x:v>
      </x:c>
      <x:c r="F9" s="106" t="str">
        <x:v>63 units plus mobile forming cells</x:v>
      </x:c>
      <x:c r="G9" s="108"/>
      <x:c r="H9" s="83"/>
      <x:c r="I9" s="83"/>
      <x:c r="J9" s="83"/>
      <x:c r="K9" s="83"/>
    </x:row>
    <x:row r="10" ht="35" customHeight="1">
      <x:c r="B10" s="105" t="str">
        <x:v>C04</x:v>
      </x:c>
      <x:c r="C10" s="106" t="str">
        <x:v>R3 protected challenge bank</x:v>
      </x:c>
      <x:c r="D10" s="121" t="n">
        <x:v>1.36</x:v>
      </x:c>
      <x:c r="E10" s="143" t="n">
        <x:f>D10/'Control Inputs'!D35</x:f>
        <x:v>0.16748768472906406</x:v>
      </x:c>
      <x:c r="F10" s="106" t="str">
        <x:v>70 units plus material/process invention</x:v>
      </x:c>
      <x:c r="G10" s="108"/>
      <x:c r="H10" s="83"/>
      <x:c r="I10" s="83"/>
      <x:c r="J10" s="83"/>
      <x:c r="K10" s="83"/>
    </x:row>
    <x:row r="11" ht="35" customHeight="1">
      <x:c r="B11" s="105" t="str">
        <x:v>C05</x:v>
      </x:c>
      <x:c r="C11" s="106" t="str">
        <x:v>Paired-sector range and civil reset</x:v>
      </x:c>
      <x:c r="D11" s="121" t="n">
        <x:v>1.2</x:v>
      </x:c>
      <x:c r="E11" s="143" t="n">
        <x:f>D11/'Control Inputs'!D35</x:f>
        <x:v>0.1477832512315271</x:v>
      </x:c>
      <x:c r="F11" s="106" t="str">
        <x:v>two dense one-kilometre reach systems</x:v>
      </x:c>
      <x:c r="G11" s="108"/>
      <x:c r="H11" s="83"/>
      <x:c r="I11" s="83"/>
      <x:c r="J11" s="83"/>
      <x:c r="K11" s="83"/>
    </x:row>
    <x:row r="12" ht="35" customHeight="1">
      <x:c r="B12" s="105" t="str">
        <x:v>C06</x:v>
      </x:c>
      <x:c r="C12" s="106" t="str">
        <x:v>Independent instruments and water release</x:v>
      </x:c>
      <x:c r="D12" s="121" t="n">
        <x:v>0.7</x:v>
      </x:c>
      <x:c r="E12" s="143" t="n">
        <x:f>D12/'Control Inputs'!D35</x:f>
        <x:v>0.08620689655172414</x:v>
      </x:c>
      <x:c r="F12" s="106" t="str">
        <x:v>metrology, calibration and assay</x:v>
      </x:c>
      <x:c r="G12" s="108"/>
      <x:c r="H12" s="83"/>
      <x:c r="I12" s="83"/>
      <x:c r="J12" s="83"/>
      <x:c r="K12" s="83"/>
    </x:row>
    <x:row r="13" ht="35" customHeight="1">
      <x:c r="B13" s="105" t="str">
        <x:v>C07</x:v>
      </x:c>
      <x:c r="C13" s="106" t="str">
        <x:v>Destructive repair and forensics</x:v>
      </x:c>
      <x:c r="D13" s="121" t="n">
        <x:v>0.52</x:v>
      </x:c>
      <x:c r="E13" s="143" t="n">
        <x:f>D13/'Control Inputs'!D35</x:f>
        <x:v>0.06403940886699508</x:v>
      </x:c>
      <x:c r="F13" s="106" t="str">
        <x:v>damage cells, blind team and teardown</x:v>
      </x:c>
      <x:c r="G13" s="108"/>
      <x:c r="H13" s="83"/>
      <x:c r="I13" s="83"/>
      <x:c r="J13" s="83"/>
      <x:c r="K13" s="83"/>
    </x:row>
    <x:row r="14" ht="35" customHeight="1">
      <x:c r="B14" s="105" t="str">
        <x:v>C08</x:v>
      </x:c>
      <x:c r="C14" s="106" t="str">
        <x:v>Cold reproduction and public pilot lines</x:v>
      </x:c>
      <x:c r="D14" s="121" t="n">
        <x:v>0.55</x:v>
      </x:c>
      <x:c r="E14" s="143" t="n">
        <x:f>D14/'Control Inputs'!D35</x:f>
        <x:v>0.06773399014778327</x:v>
      </x:c>
      <x:c r="F14" s="106" t="str">
        <x:v>second-team lots and facility access</x:v>
      </x:c>
      <x:c r="G14" s="108"/>
      <x:c r="H14" s="83"/>
      <x:c r="I14" s="83"/>
      <x:c r="J14" s="83"/>
      <x:c r="K14" s="83"/>
    </x:row>
    <x:row r="15" ht="35" customHeight="1">
      <x:c r="B15" s="105" t="str">
        <x:v>C09</x:v>
      </x:c>
      <x:c r="C15" s="106" t="str">
        <x:v>Custody, quarantine and rights repository</x:v>
      </x:c>
      <x:c r="D15" s="121" t="n">
        <x:v>0.21</x:v>
      </x:c>
      <x:c r="E15" s="143" t="n">
        <x:f>D15/'Control Inputs'!D35</x:f>
        <x:v>0.025862068965517244</x:v>
      </x:c>
      <x:c r="F15" s="106" t="str">
        <x:v>article arsenal and controlled data</x:v>
      </x:c>
      <x:c r="G15" s="108"/>
      <x:c r="H15" s="83"/>
      <x:c r="I15" s="83"/>
      <x:c r="J15" s="83"/>
      <x:c r="K15" s="83"/>
    </x:row>
    <x:row r="16" ht="35" customHeight="1">
      <x:c r="B16" s="105" t="str">
        <x:v>C10</x:v>
      </x:c>
      <x:c r="C16" s="106" t="str">
        <x:v>Authority, receiver, safety and substitution cadres</x:v>
      </x:c>
      <x:c r="D16" s="121" t="n">
        <x:v>0.1</x:v>
      </x:c>
      <x:c r="E16" s="143" t="n">
        <x:f>D16/'Control Inputs'!D35</x:f>
        <x:v>0.012315270935960593</x:v>
      </x:c>
      <x:c r="F16" s="106" t="str">
        <x:v>independent public workforce</x:v>
      </x:c>
      <x:c r="G16" s="108"/>
      <x:c r="H16" s="83"/>
      <x:c r="I16" s="83"/>
      <x:c r="J16" s="83"/>
      <x:c r="K16" s="83"/>
    </x:row>
    <x:row r="17" ht="35" customHeight="1">
      <x:c r="B17" s="105" t="str">
        <x:v>C11</x:v>
      </x:c>
      <x:c r="C17" s="106" t="str">
        <x:v>Controlled program reserve</x:v>
      </x:c>
      <x:c r="D17" s="121" t="n">
        <x:v>0.08</x:v>
      </x:c>
      <x:c r="E17" s="143" t="n">
        <x:f>D17/'Control Inputs'!D35</x:f>
        <x:v>0.009852216748768475</x:v>
      </x:c>
      <x:c r="F17" s="106" t="str">
        <x:v>only by constituted authority</x:v>
      </x:c>
      <x:c r="G17" s="108"/>
      <x:c r="H17" s="83"/>
      <x:c r="I17" s="83"/>
      <x:c r="J17" s="83"/>
      <x:c r="K17" s="83"/>
    </x:row>
    <x:row r="18" ht="35" customHeight="1">
      <x:c r="B18" s="105"/>
      <x:c r="C18" s="106"/>
      <x:c r="D18" s="121"/>
      <x:c r="E18" s="143"/>
      <x:c r="F18" s="106"/>
      <x:c r="G18" s="108"/>
      <x:c r="H18" s="83"/>
      <x:c r="I18" s="83"/>
      <x:c r="J18" s="83"/>
      <x:c r="K18" s="83"/>
    </x:row>
    <x:row r="19" ht="35" customHeight="1">
      <x:c r="B19" s="105" t="str">
        <x:v>CONTROL</x:v>
      </x:c>
      <x:c r="C19" s="106" t="str">
        <x:v>Total first-article tranche</x:v>
      </x:c>
      <x:c r="D19" s="121" t="n">
        <x:f>SUM(D7:D17)</x:f>
        <x:v>8.12</x:v>
      </x:c>
      <x:c r="E19" s="143" t="n">
        <x:f>D19/'Control Inputs'!D34</x:f>
        <x:v>0.20990590424981903</x:v>
      </x:c>
      <x:c r="F19" s="106" t="str">
        <x:f>IF(ABS(D19-'Control Inputs'!D35)&lt;0.0001,"PASS","FAIL")</x:f>
        <x:v>PASS</x:v>
      </x:c>
      <x:c r="G19" s="108"/>
      <x:c r="H19" s="83"/>
      <x:c r="I19" s="83"/>
      <x:c r="J19" s="83"/>
      <x:c r="K19" s="83"/>
    </x:row>
    <x:row r="20" ht="35" customHeight="1">
      <x:c r="B20" s="105"/>
      <x:c r="C20" s="106"/>
      <x:c r="D20" s="121"/>
      <x:c r="E20" s="121"/>
      <x:c r="F20" s="106"/>
      <x:c r="G20" s="108"/>
      <x:c r="H20" s="83"/>
      <x:c r="I20" s="83"/>
      <x:c r="J20" s="83"/>
      <x:c r="K20" s="83"/>
    </x:row>
    <x:row r="21" ht="35" customHeight="1">
      <x:c r="B21" s="105"/>
      <x:c r="C21" s="106"/>
      <x:c r="D21" s="121"/>
      <x:c r="E21" s="121"/>
      <x:c r="F21" s="106"/>
      <x:c r="G21" s="108"/>
      <x:c r="H21" s="83"/>
      <x:c r="I21" s="83"/>
      <x:c r="J21" s="83"/>
      <x:c r="K21" s="83"/>
    </x:row>
    <x:row r="22" ht="35" customHeight="1">
      <x:c r="B22" s="144" t="str">
        <x:v>Cross-classification to Pass 100 capital lines</x:v>
      </x:c>
      <x:c r="C22" s="145" t="str">
        <x:v>Cross-classification to Pass 100 capital lines</x:v>
      </x:c>
      <x:c r="D22" s="146" t="str">
        <x:v>Cross-classification to Pass 100 capital lines</x:v>
      </x:c>
      <x:c r="E22" s="146" t="str">
        <x:v>Cross-classification to Pass 100 capital lines</x:v>
      </x:c>
      <x:c r="F22" s="145" t="str">
        <x:v>Cross-classification to Pass 100 capital lines</x:v>
      </x:c>
      <x:c r="G22" s="147" t="str">
        <x:v>Cross-classification to Pass 100 capital lines</x:v>
      </x:c>
      <x:c r="H22" s="83"/>
      <x:c r="I22" s="83"/>
      <x:c r="J22" s="83"/>
      <x:c r="K22" s="83"/>
    </x:row>
    <x:row r="23" ht="35" customHeight="1">
      <x:c r="B23" s="59" t="str">
        <x:v>Source</x:v>
      </x:c>
      <x:c r="C23" s="60" t="str">
        <x:v>Pass 100 capital use</x:v>
      </x:c>
      <x:c r="D23" s="61" t="str">
        <x:v>Family allocation USD B</x:v>
      </x:c>
      <x:c r="E23" s="61" t="str">
        <x:v>First-article draw USD B</x:v>
      </x:c>
      <x:c r="F23" s="60" t="str">
        <x:v>Draw share</x:v>
      </x:c>
      <x:c r="G23" s="60" t="str">
        <x:v>Source control</x:v>
      </x:c>
      <x:c r="H23" s="83"/>
      <x:c r="I23" s="83"/>
      <x:c r="J23" s="83"/>
      <x:c r="K23" s="83"/>
    </x:row>
    <x:row r="24" ht="35" customHeight="1">
      <x:c r="B24" s="105" t="str">
        <x:v>S01</x:v>
      </x:c>
      <x:c r="C24" s="106" t="str">
        <x:v>Requirements / baseline / contracts</x:v>
      </x:c>
      <x:c r="D24" s="121" t="n">
        <x:v>2.321</x:v>
      </x:c>
      <x:c r="E24" s="121" t="n">
        <x:v>0.812</x:v>
      </x:c>
      <x:c r="F24" s="143" t="n">
        <x:f>E24/D24</x:f>
        <x:v>0.3498492029297717</x:v>
      </x:c>
      <x:c r="G24" s="108" t="str">
        <x:f>IF(E24&lt;=D24,"PASS","FAIL")</x:f>
        <x:v>PASS</x:v>
      </x:c>
      <x:c r="H24" s="83"/>
      <x:c r="I24" s="83"/>
      <x:c r="J24" s="83"/>
      <x:c r="K24" s="83"/>
    </x:row>
    <x:row r="25" ht="35" customHeight="1">
      <x:c r="B25" s="105" t="str">
        <x:v>S02</x:v>
      </x:c>
      <x:c r="C25" s="106" t="str">
        <x:v>R1 sectional root</x:v>
      </x:c>
      <x:c r="D25" s="121" t="n">
        <x:v>5.803</x:v>
      </x:c>
      <x:c r="E25" s="121" t="n">
        <x:v>1.625</x:v>
      </x:c>
      <x:c r="F25" s="143" t="n">
        <x:f>E25/D25</x:f>
        <x:v>0.2800275719455454</x:v>
      </x:c>
      <x:c r="G25" s="108" t="str">
        <x:f>IF(E25&lt;=D25,"PASS","FAIL")</x:f>
        <x:v>PASS</x:v>
      </x:c>
      <x:c r="H25" s="83"/>
      <x:c r="I25" s="83"/>
      <x:c r="J25" s="83"/>
      <x:c r="K25" s="83"/>
    </x:row>
    <x:row r="26" ht="35" customHeight="1">
      <x:c r="B26" s="105" t="str">
        <x:v>S03</x:v>
      </x:c>
      <x:c r="C26" s="106" t="str">
        <x:v>R2 continuous-forge root</x:v>
      </x:c>
      <x:c r="D26" s="121" t="n">
        <x:v>6.576</x:v>
      </x:c>
      <x:c r="E26" s="121" t="n">
        <x:v>1.973</x:v>
      </x:c>
      <x:c r="F26" s="143" t="n">
        <x:f>E26/D26</x:f>
        <x:v>0.3000304136253042</x:v>
      </x:c>
      <x:c r="G26" s="108" t="str">
        <x:f>IF(E26&lt;=D26,"PASS","FAIL")</x:f>
        <x:v>PASS</x:v>
      </x:c>
      <x:c r="H26" s="83"/>
      <x:c r="I26" s="83"/>
      <x:c r="J26" s="83"/>
      <x:c r="K26" s="83"/>
    </x:row>
    <x:row r="27" ht="35" customHeight="1">
      <x:c r="B27" s="105" t="str">
        <x:v>S04</x:v>
      </x:c>
      <x:c r="C27" s="106" t="str">
        <x:v>R3 structural-ribbon challenge</x:v>
      </x:c>
      <x:c r="D27" s="121" t="n">
        <x:v>5.803</x:v>
      </x:c>
      <x:c r="E27" s="121" t="n">
        <x:v>1.451</x:v>
      </x:c>
      <x:c r="F27" s="143" t="n">
        <x:f>E27/D27</x:f>
        <x:v>0.2500430811649147</x:v>
      </x:c>
      <x:c r="G27" s="108" t="str">
        <x:f>IF(E27&lt;=D27,"PASS","FAIL")</x:f>
        <x:v>PASS</x:v>
      </x:c>
      <x:c r="H27" s="83"/>
      <x:c r="I27" s="83"/>
      <x:c r="J27" s="83"/>
      <x:c r="K27" s="83"/>
    </x:row>
    <x:row r="28" ht="35" customHeight="1">
      <x:c r="B28" s="105" t="str">
        <x:v>S05</x:v>
      </x:c>
      <x:c r="C28" s="106" t="str">
        <x:v>Dual-route range</x:v>
      </x:c>
      <x:c r="D28" s="121" t="n">
        <x:v>3.868</x:v>
      </x:c>
      <x:c r="E28" s="121" t="n">
        <x:v>1.16</x:v>
      </x:c>
      <x:c r="F28" s="143" t="n">
        <x:f>E28/D28</x:f>
        <x:v>0.2998965873836608</x:v>
      </x:c>
      <x:c r="G28" s="108" t="str">
        <x:f>IF(E28&lt;=D28,"PASS","FAIL")</x:f>
        <x:v>PASS</x:v>
      </x:c>
      <x:c r="H28" s="83"/>
      <x:c r="I28" s="83"/>
      <x:c r="J28" s="83"/>
      <x:c r="K28" s="83"/>
    </x:row>
    <x:row r="29" ht="35" customHeight="1">
      <x:c r="B29" s="105" t="str">
        <x:v>S06</x:v>
      </x:c>
      <x:c r="C29" s="106" t="str">
        <x:v>Mission sets and reserve</x:v>
      </x:c>
      <x:c r="D29" s="121" t="n">
        <x:v>6.576</x:v>
      </x:c>
      <x:c r="E29" s="121" t="n">
        <x:v>0.329</x:v>
      </x:c>
      <x:c r="F29" s="143" t="n">
        <x:f>E29/D29</x:f>
        <x:v>0.050030413625304145</x:v>
      </x:c>
      <x:c r="G29" s="108" t="str">
        <x:f>IF(E29&lt;=D29,"PASS","FAIL")</x:f>
        <x:v>PASS</x:v>
      </x:c>
      <x:c r="H29" s="83"/>
      <x:c r="I29" s="83"/>
      <x:c r="J29" s="83"/>
      <x:c r="K29" s="83"/>
    </x:row>
    <x:row r="30" ht="35" customHeight="1">
      <x:c r="B30" s="105" t="str">
        <x:v>S07</x:v>
      </x:c>
      <x:c r="C30" s="106" t="str">
        <x:v>Independent evidence system</x:v>
      </x:c>
      <x:c r="D30" s="121" t="n">
        <x:v>2.708</x:v>
      </x:c>
      <x:c r="E30" s="121" t="n">
        <x:v>0.542</x:v>
      </x:c>
      <x:c r="F30" s="143" t="n">
        <x:f>E30/D30</x:f>
        <x:v>0.20014771048744462</x:v>
      </x:c>
      <x:c r="G30" s="108" t="str">
        <x:f>IF(E30&lt;=D30,"PASS","FAIL")</x:f>
        <x:v>PASS</x:v>
      </x:c>
      <x:c r="H30" s="83"/>
      <x:c r="I30" s="83"/>
      <x:c r="J30" s="83"/>
      <x:c r="K30" s="83"/>
    </x:row>
    <x:row r="31" ht="35" customHeight="1">
      <x:c r="B31" s="105" t="str">
        <x:v>S08</x:v>
      </x:c>
      <x:c r="C31" s="106" t="str">
        <x:v>Regeneration</x:v>
      </x:c>
      <x:c r="D31" s="121" t="n">
        <x:v>2.321</x:v>
      </x:c>
      <x:c r="E31" s="121" t="n">
        <x:v>0.116</x:v>
      </x:c>
      <x:c r="F31" s="143" t="n">
        <x:f>E31/D31</x:f>
        <x:v>0.04997845756139595</x:v>
      </x:c>
      <x:c r="G31" s="108" t="str">
        <x:f>IF(E31&lt;=D31,"PASS","FAIL")</x:f>
        <x:v>PASS</x:v>
      </x:c>
      <x:c r="H31" s="83"/>
      <x:c r="I31" s="83"/>
      <x:c r="J31" s="83"/>
      <x:c r="K31" s="83"/>
    </x:row>
    <x:row r="32" ht="35" customHeight="1">
      <x:c r="B32" s="105" t="str">
        <x:v>S09</x:v>
      </x:c>
      <x:c r="C32" s="106" t="str">
        <x:v>Workforce and receiver integration</x:v>
      </x:c>
      <x:c r="D32" s="121" t="n">
        <x:v>1.547</x:v>
      </x:c>
      <x:c r="E32" s="121" t="n">
        <x:v>0.077</x:v>
      </x:c>
      <x:c r="F32" s="143" t="n">
        <x:f>E32/D32</x:f>
        <x:v>0.0497737556561086</x:v>
      </x:c>
      <x:c r="G32" s="108" t="str">
        <x:f>IF(E32&lt;=D32,"PASS","FAIL")</x:f>
        <x:v>PASS</x:v>
      </x:c>
      <x:c r="H32" s="83"/>
      <x:c r="I32" s="83"/>
      <x:c r="J32" s="83"/>
      <x:c r="K32" s="83"/>
    </x:row>
    <x:row r="33" ht="35" customHeight="1">
      <x:c r="B33" s="105" t="str">
        <x:v>S10</x:v>
      </x:c>
      <x:c r="C33" s="106" t="str">
        <x:v>Program reserve</x:v>
      </x:c>
      <x:c r="D33" s="121" t="n">
        <x:v>1.161</x:v>
      </x:c>
      <x:c r="E33" s="121" t="n">
        <x:v>0.035</x:v>
      </x:c>
      <x:c r="F33" s="143" t="n">
        <x:f>E33/D33</x:f>
        <x:v>0.030146425495262707</x:v>
      </x:c>
      <x:c r="G33" s="108" t="str">
        <x:f>IF(E33&lt;=D33,"PASS","FAIL")</x:f>
        <x:v>PASS</x:v>
      </x:c>
      <x:c r="H33" s="83"/>
      <x:c r="I33" s="83"/>
      <x:c r="J33" s="83"/>
      <x:c r="K33" s="83"/>
    </x:row>
    <x:row r="34" ht="35" customHeight="1">
      <x:c r="B34" s="110" t="str">
        <x:v>CONTROL</x:v>
      </x:c>
      <x:c r="C34" s="111" t="str">
        <x:v>Source totals</x:v>
      </x:c>
      <x:c r="D34" s="122" t="n">
        <x:f>SUM(D24:D33)</x:f>
        <x:v>38.684</x:v>
      </x:c>
      <x:c r="E34" s="122" t="n">
        <x:f>SUM(E24:E33)</x:f>
        <x:v>8.120000000000001</x:v>
      </x:c>
      <x:c r="F34" s="111"/>
      <x:c r="G34" s="113" t="str">
        <x:f>IF(AND(ABS(D34-'Control Inputs'!D34)&lt;0.01,ABS(E34-D19)&lt;0.0001),"PASS","FAIL")</x:f>
        <x:v>PASS</x:v>
      </x:c>
      <x:c r="H34" s="83"/>
      <x:c r="I34" s="83"/>
      <x:c r="J34" s="83"/>
      <x:c r="K34" s="83"/>
    </x:row>
  </x:sheetData>
  <x:mergeCells>
    <x:mergeCell ref="B3:K3"/>
    <x:mergeCell ref="B22:G22"/>
  </x:mergeCells>
  <x:conditionalFormatting sqref="F19:F19">
    <x:cfRule type="containsText" dxfId="143" priority="1" operator="containsText" text="FAIL"/>
    <x:cfRule type="containsText" dxfId="144" priority="2" operator="containsText" text="BLOCKED"/>
    <x:cfRule type="containsText" dxfId="145" priority="3" operator="containsText" text="HOLD"/>
    <x:cfRule type="containsText" dxfId="146" priority="4" operator="containsText" text="OPEN"/>
    <x:cfRule type="containsText" dxfId="147" priority="5" operator="containsText" text="NOT ADMITTED"/>
    <x:cfRule type="containsText" dxfId="148" priority="6" operator="containsText" text="PASS"/>
    <x:cfRule type="containsText" dxfId="149" priority="7" operator="containsText" text="CLOSED"/>
    <x:cfRule type="containsText" dxfId="150" priority="8" operator="containsText" text="READY"/>
    <x:cfRule type="containsText" dxfId="151" priority="9" operator="containsText" text="AUTHORIZED"/>
    <x:cfRule type="containsText" dxfId="152" priority="10" operator="containsText" text="PLANNING PASS"/>
    <x:cfRule type="containsText" dxfId="153" priority="11" operator="containsText" text="COMPLETE"/>
  </x:conditionalFormatting>
  <x:conditionalFormatting sqref="G24:G34">
    <x:cfRule type="containsText" dxfId="154" priority="12" operator="containsText" text="FAIL"/>
    <x:cfRule type="containsText" dxfId="155" priority="13" operator="containsText" text="BLOCKED"/>
    <x:cfRule type="containsText" dxfId="156" priority="14" operator="containsText" text="HOLD"/>
    <x:cfRule type="containsText" dxfId="157" priority="15" operator="containsText" text="OPEN"/>
    <x:cfRule type="containsText" dxfId="158" priority="16" operator="containsText" text="NOT ADMITTED"/>
    <x:cfRule type="containsText" dxfId="159" priority="17" operator="containsText" text="PASS"/>
    <x:cfRule type="containsText" dxfId="160" priority="18" operator="containsText" text="CLOSED"/>
    <x:cfRule type="containsText" dxfId="161" priority="19" operator="containsText" text="READY"/>
    <x:cfRule type="containsText" dxfId="162" priority="20" operator="containsText" text="AUTHORIZED"/>
    <x:cfRule type="containsText" dxfId="163" priority="21" operator="containsText" text="PLANNING PASS"/>
    <x:cfRule type="containsText" dxfId="164" priority="22" operator="containsText" text="COMPLETE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40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  <x:col min="8" max="8" width="15" hidden="0" customWidth="1"/>
  </x:cols>
  <x:sheetData>
    <x:row r="2">
      <x:c r="B2" s="92" t="str">
        <x:v>Annual article-bank and range support</x:v>
      </x:c>
      <x:c r="C2" s="83"/>
      <x:c r="D2" s="83"/>
      <x:c r="E2" s="83"/>
      <x:c r="F2" s="83"/>
      <x:c r="G2" s="83"/>
      <x:c r="H2" s="83"/>
    </x:row>
    <x:row r="3">
      <x:c r="B3" s="84" t="str">
        <x:v>The USD 0.446B annual boundary sits inside the inherited USD 2.321B F36 readiness allocation.</x:v>
      </x:c>
      <x:c r="C3" s="83"/>
      <x:c r="D3" s="83"/>
      <x:c r="E3" s="83"/>
      <x:c r="F3" s="83"/>
      <x:c r="G3" s="83"/>
      <x:c r="H3" s="83"/>
    </x:row>
    <x:row r="4">
      <x:c r="B4" s="85"/>
      <x:c r="C4" s="85"/>
      <x:c r="D4" s="85"/>
      <x:c r="E4" s="85"/>
      <x:c r="F4" s="85"/>
      <x:c r="G4" s="85"/>
      <x:c r="H4" s="85"/>
    </x:row>
    <x:row r="5">
      <x:c r="B5" s="83"/>
      <x:c r="C5" s="83"/>
      <x:c r="D5" s="83"/>
      <x:c r="E5" s="83"/>
      <x:c r="F5" s="83"/>
      <x:c r="G5" s="83"/>
      <x:c r="H5" s="83"/>
    </x:row>
    <x:row r="6">
      <x:c r="B6" s="18" t="str">
        <x:v>Use</x:v>
      </x:c>
      <x:c r="C6" s="19" t="str">
        <x:v>Support line</x:v>
      </x:c>
      <x:c r="D6" s="19" t="str">
        <x:v>USD B/year</x:v>
      </x:c>
      <x:c r="E6" s="19" t="str">
        <x:v>Share of support</x:v>
      </x:c>
      <x:c r="F6" s="19" t="str">
        <x:v>Output</x:v>
      </x:c>
      <x:c r="G6" s="19" t="str">
        <x:v>Nested share</x:v>
      </x:c>
      <x:c r="H6" s="19" t="str">
        <x:v>Control</x:v>
      </x:c>
    </x:row>
    <x:row r="7" ht="38" customHeight="1">
      <x:c r="B7" s="105" t="str">
        <x:v>A01</x:v>
      </x:c>
      <x:c r="C7" s="106" t="str">
        <x:v>Article-bank custody and rotation</x:v>
      </x:c>
      <x:c r="D7" s="121" t="n">
        <x:v>0.07</x:v>
      </x:c>
      <x:c r="E7" s="106" t="str">
        <x:v>storage, seals, reference and quarantine</x:v>
      </x:c>
      <x:c r="F7" s="152" t="n">
        <x:f>D7/'Control Inputs'!D37</x:f>
        <x:v>0.15695067264573992</x:v>
      </x:c>
      <x:c r="G7" s="152" t="n">
        <x:f>D7/'Control Inputs'!D36</x:f>
        <x:v>0.03015941404566997</x:v>
      </x:c>
      <x:c r="H7" s="131" t="str">
        <x:f>IF(D7&gt;0,"PASS","FAIL")</x:f>
        <x:v>PASS</x:v>
      </x:c>
    </x:row>
    <x:row r="8" ht="38" customHeight="1">
      <x:c r="B8" s="105" t="str">
        <x:v>A02</x:v>
      </x:c>
      <x:c r="C8" s="106" t="str">
        <x:v>Range reset and civil works</x:v>
      </x:c>
      <x:c r="D8" s="121" t="n">
        <x:v>0.11</x:v>
      </x:c>
      <x:c r="E8" s="106" t="str">
        <x:v>soil, crossings, exclusion and receiver reset</x:v>
      </x:c>
      <x:c r="F8" s="152" t="n">
        <x:f>D8/'Control Inputs'!D37</x:f>
        <x:v>0.24663677130044842</x:v>
      </x:c>
      <x:c r="G8" s="152" t="n">
        <x:f>D8/'Control Inputs'!D36</x:f>
        <x:v>0.04739336492890995</x:v>
      </x:c>
      <x:c r="H8" s="131" t="str">
        <x:f>IF(D8&gt;0,"PASS","FAIL")</x:f>
        <x:v>PASS</x:v>
      </x:c>
    </x:row>
    <x:row r="9" ht="38" customHeight="1">
      <x:c r="B9" s="105" t="str">
        <x:v>A03</x:v>
      </x:c>
      <x:c r="C9" s="106" t="str">
        <x:v>Metrology and water-release systems</x:v>
      </x:c>
      <x:c r="D9" s="121" t="n">
        <x:v>0.08</x:v>
      </x:c>
      <x:c r="E9" s="106" t="str">
        <x:v>traveling standards, calibration and blind assays</x:v>
      </x:c>
      <x:c r="F9" s="152" t="n">
        <x:f>D9/'Control Inputs'!D37</x:f>
        <x:v>0.17937219730941703</x:v>
      </x:c>
      <x:c r="G9" s="152" t="n">
        <x:f>D9/'Control Inputs'!D36</x:f>
        <x:v>0.034467901766479965</x:v>
      </x:c>
      <x:c r="H9" s="131" t="str">
        <x:f>IF(D9&gt;0,"PASS","FAIL")</x:f>
        <x:v>PASS</x:v>
      </x:c>
    </x:row>
    <x:row r="10" ht="38" customHeight="1">
      <x:c r="B10" s="105" t="str">
        <x:v>A04</x:v>
      </x:c>
      <x:c r="C10" s="106" t="str">
        <x:v>Destructive and forensic campaigns</x:v>
      </x:c>
      <x:c r="D10" s="121" t="n">
        <x:v>0.09</x:v>
      </x:c>
      <x:c r="E10" s="106" t="str">
        <x:v>damage teams, containment and teardown</x:v>
      </x:c>
      <x:c r="F10" s="152" t="n">
        <x:f>D10/'Control Inputs'!D37</x:f>
        <x:v>0.20179372197309417</x:v>
      </x:c>
      <x:c r="G10" s="152" t="n">
        <x:f>D10/'Control Inputs'!D36</x:f>
        <x:v>0.03877638948728996</x:v>
      </x:c>
      <x:c r="H10" s="131" t="str">
        <x:f>IF(D10&gt;0,"PASS","FAIL")</x:f>
        <x:v>PASS</x:v>
      </x:c>
    </x:row>
    <x:row r="11" ht="38" customHeight="1">
      <x:c r="B11" s="105" t="str">
        <x:v>A05</x:v>
      </x:c>
      <x:c r="C11" s="106" t="str">
        <x:v>Cold reproduction and public pilot lines</x:v>
      </x:c>
      <x:c r="D11" s="121" t="n">
        <x:v>0.06</x:v>
      </x:c>
      <x:c r="E11" s="106" t="str">
        <x:v>second teams and alternate facilities</x:v>
      </x:c>
      <x:c r="F11" s="152" t="n">
        <x:f>D11/'Control Inputs'!D37</x:f>
        <x:v>0.13452914798206278</x:v>
      </x:c>
      <x:c r="G11" s="152" t="n">
        <x:f>D11/'Control Inputs'!D36</x:f>
        <x:v>0.025850926324859972</x:v>
      </x:c>
      <x:c r="H11" s="131" t="str">
        <x:f>IF(D11&gt;0,"PASS","FAIL")</x:f>
        <x:v>PASS</x:v>
      </x:c>
    </x:row>
    <x:row r="12" ht="38" customHeight="1">
      <x:c r="B12" s="105" t="str">
        <x:v>A06</x:v>
      </x:c>
      <x:c r="C12" s="106" t="str">
        <x:v>Authority, receiver and substitution cadres</x:v>
      </x:c>
      <x:c r="D12" s="121" t="n">
        <x:v>0.036</x:v>
      </x:c>
      <x:c r="E12" s="106" t="str">
        <x:v>independent public workforce</x:v>
      </x:c>
      <x:c r="F12" s="152" t="n">
        <x:f>D12/'Control Inputs'!D37</x:f>
        <x:v>0.08071748878923767</x:v>
      </x:c>
      <x:c r="G12" s="152" t="n">
        <x:f>D12/'Control Inputs'!D36</x:f>
        <x:v>0.015510555794915983</x:v>
      </x:c>
      <x:c r="H12" s="131" t="str">
        <x:f>IF(D12&gt;0,"PASS","FAIL")</x:f>
        <x:v>PASS</x:v>
      </x:c>
    </x:row>
    <x:row r="13" ht="38" customHeight="1">
      <x:c r="B13" s="105"/>
      <x:c r="C13" s="106"/>
      <x:c r="D13" s="121"/>
      <x:c r="E13" s="106"/>
      <x:c r="F13" s="152"/>
      <x:c r="G13" s="152"/>
      <x:c r="H13" s="131"/>
    </x:row>
    <x:row r="14" ht="38" customHeight="1">
      <x:c r="B14" s="110" t="str">
        <x:v>CONTROL</x:v>
      </x:c>
      <x:c r="C14" s="111" t="str">
        <x:v>Total annual support</x:v>
      </x:c>
      <x:c r="D14" s="122" t="n">
        <x:f>SUM(D7:D12)</x:f>
        <x:v>0.44599999999999995</x:v>
      </x:c>
      <x:c r="E14" s="111"/>
      <x:c r="F14" s="153" t="n">
        <x:f>D14/'Control Inputs'!D37</x:f>
        <x:v>0.9999999999999999</x:v>
      </x:c>
      <x:c r="G14" s="153" t="n">
        <x:f>D14/'Control Inputs'!D36</x:f>
        <x:v>0.19215855234812576</x:v>
      </x:c>
      <x:c r="H14" s="128" t="str">
        <x:f>IF(ABS(D14-'Control Inputs'!D37)&lt;0.0001,"PASS","FAIL")</x:f>
        <x:v>PASS</x:v>
      </x:c>
    </x:row>
  </x:sheetData>
  <x:mergeCells>
    <x:mergeCell ref="B3:H3"/>
  </x:mergeCells>
  <x:conditionalFormatting sqref="H7:H14">
    <x:cfRule type="containsText" dxfId="165" priority="1" operator="containsText" text="FAIL"/>
    <x:cfRule type="containsText" dxfId="166" priority="2" operator="containsText" text="BLOCKED"/>
    <x:cfRule type="containsText" dxfId="167" priority="3" operator="containsText" text="HOLD"/>
    <x:cfRule type="containsText" dxfId="168" priority="4" operator="containsText" text="OPEN"/>
    <x:cfRule type="containsText" dxfId="169" priority="5" operator="containsText" text="NOT ADMITTED"/>
    <x:cfRule type="containsText" dxfId="170" priority="6" operator="containsText" text="PASS"/>
    <x:cfRule type="containsText" dxfId="171" priority="7" operator="containsText" text="CLOSED"/>
    <x:cfRule type="containsText" dxfId="172" priority="8" operator="containsText" text="READY"/>
    <x:cfRule type="containsText" dxfId="173" priority="9" operator="containsText" text="AUTHORIZED"/>
    <x:cfRule type="containsText" dxfId="174" priority="10" operator="containsText" text="PLANNING PASS"/>
    <x:cfRule type="containsText" dxfId="175" priority="11" operator="containsText" text="COMPLETE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8" hidden="0" customWidth="1"/>
    <x:col min="4" max="4" width="18" hidden="0" customWidth="1"/>
    <x:col min="5" max="5" width="25" hidden="0" customWidth="1"/>
    <x:col min="6" max="6" width="18" hidden="0" customWidth="1"/>
    <x:col min="7" max="7" width="20" hidden="0" customWidth="1"/>
    <x:col min="8" max="8" width="18" hidden="0" customWidth="1"/>
    <x:col min="9" max="9" width="25" hidden="0" customWidth="1"/>
    <x:col min="10" max="10" width="18" hidden="0" customWidth="1"/>
  </x:cols>
  <x:sheetData>
    <x:row r="2">
      <x:c r="B2" s="92" t="str">
        <x:v>Release ladder and present authority</x:v>
      </x:c>
      <x:c r="C2" s="83"/>
      <x:c r="D2" s="83"/>
      <x:c r="E2" s="83"/>
      <x:c r="F2" s="83"/>
      <x:c r="G2" s="83"/>
      <x:c r="H2" s="83"/>
      <x:c r="I2" s="83"/>
      <x:c r="J2" s="83"/>
    </x:row>
    <x:row r="3">
      <x:c r="B3" s="84" t="str">
        <x:v>A complete research package cannot certify a physical article. Each later state requires its own authority and evidence.</x:v>
      </x:c>
      <x:c r="C3" s="83"/>
      <x:c r="D3" s="83"/>
      <x:c r="E3" s="83"/>
      <x:c r="F3" s="83"/>
      <x:c r="G3" s="83"/>
      <x:c r="H3" s="83"/>
      <x:c r="I3" s="83"/>
      <x:c r="J3" s="83"/>
    </x:row>
    <x:row r="4">
      <x:c r="B4" s="85"/>
      <x:c r="C4" s="85"/>
      <x:c r="D4" s="85"/>
      <x:c r="E4" s="85"/>
      <x:c r="F4" s="85"/>
      <x:c r="G4" s="85"/>
      <x:c r="H4" s="85"/>
      <x:c r="I4" s="85"/>
      <x:c r="J4" s="85"/>
    </x:row>
    <x:row r="5">
      <x:c r="B5" s="83"/>
      <x:c r="C5" s="83"/>
      <x:c r="D5" s="83"/>
      <x:c r="E5" s="83"/>
      <x:c r="F5" s="83"/>
      <x:c r="G5" s="83"/>
      <x:c r="H5" s="83"/>
      <x:c r="I5" s="83"/>
      <x:c r="J5" s="83"/>
    </x:row>
    <x:row r="6">
      <x:c r="B6" s="18" t="str">
        <x:v>Gate</x:v>
      </x:c>
      <x:c r="C6" s="19" t="str">
        <x:v>Decision</x:v>
      </x:c>
      <x:c r="D6" s="19" t="str">
        <x:v>Stage</x:v>
      </x:c>
      <x:c r="E6" s="19" t="str">
        <x:v>Control reference</x:v>
      </x:c>
      <x:c r="F6" s="19" t="str">
        <x:v>Planning required</x:v>
      </x:c>
      <x:c r="G6" s="19" t="str">
        <x:v>Observed / approved</x:v>
      </x:c>
      <x:c r="H6" s="19" t="str">
        <x:v>Gate state</x:v>
      </x:c>
      <x:c r="I6" s="19" t="str">
        <x:v>Authority consequence</x:v>
      </x:c>
      <x:c r="J6" s="19" t="str">
        <x:v>Rendering</x:v>
      </x:c>
    </x:row>
    <x:row r="7" ht="40" customHeight="1">
      <x:c r="B7" s="105" t="str">
        <x:v>G01</x:v>
      </x:c>
      <x:c r="C7" s="106" t="str">
        <x:v>Common service and full-bore envelope complete</x:v>
      </x:c>
      <x:c r="D7" s="106" t="str">
        <x:v>package</x:v>
      </x:c>
      <x:c r="E7" s="106" t="str">
        <x:v>Control Inputs!D38</x:v>
      </x:c>
      <x:c r="F7" s="106" t="n">
        <x:v>1</x:v>
      </x:c>
      <x:c r="G7" s="106" t="n">
        <x:f>IF(COUNTIF('Common Envelope'!J7:J24,"COMPLETE")=18,1,0)</x:f>
        <x:v>1</x:v>
      </x:c>
      <x:c r="H7" s="106" t="str">
        <x:f>IF(G7&gt;=F7,IF(D7="package","PLANNING PASS","PASS"),IF(D7="package","FAIL","OPEN"))</x:f>
        <x:v>PLANNING PASS</x:v>
      </x:c>
      <x:c r="I7" s="106" t="str">
        <x:v>package drafting only</x:v>
      </x:c>
      <x:c r="J7" s="108" t="str">
        <x:v>NO AUTHORITY</x:v>
      </x:c>
    </x:row>
    <x:row r="8" ht="40" customHeight="1">
      <x:c r="B8" s="105" t="str">
        <x:v>G02</x:v>
      </x:c>
      <x:c r="C8" s="106" t="str">
        <x:v>Supplier-neutral interfaces and invalid-state grammar complete</x:v>
      </x:c>
      <x:c r="D8" s="106" t="str">
        <x:v>package</x:v>
      </x:c>
      <x:c r="E8" s="106" t="str">
        <x:v>Control Inputs!D38</x:v>
      </x:c>
      <x:c r="F8" s="106" t="n">
        <x:v>1</x:v>
      </x:c>
      <x:c r="G8" s="106" t="n">
        <x:f>'Control Inputs'!D38</x:f>
        <x:v>1</x:v>
      </x:c>
      <x:c r="H8" s="106" t="str">
        <x:f>IF(G8&gt;=F8,IF(D8="package","PLANNING PASS","PASS"),IF(D8="package","FAIL","OPEN"))</x:f>
        <x:v>PLANNING PASS</x:v>
      </x:c>
      <x:c r="I8" s="106" t="str">
        <x:v>package drafting only</x:v>
      </x:c>
      <x:c r="J8" s="108" t="str">
        <x:v>NO AUTHORITY</x:v>
      </x:c>
    </x:row>
    <x:row r="9" ht="40" customHeight="1">
      <x:c r="B9" s="105" t="str">
        <x:v>G03</x:v>
      </x:c>
      <x:c r="C9" s="106" t="str">
        <x:v>Article classes, quantities and lots complete</x:v>
      </x:c>
      <x:c r="D9" s="106" t="str">
        <x:v>package</x:v>
      </x:c>
      <x:c r="E9" s="106" t="str">
        <x:v>Article Plan!N28</x:v>
      </x:c>
      <x:c r="F9" s="106" t="n">
        <x:v>1</x:v>
      </x:c>
      <x:c r="G9" s="106" t="n">
        <x:f>IF('Article Plan'!N28="PASS",1,0)</x:f>
        <x:v>1</x:v>
      </x:c>
      <x:c r="H9" s="106" t="str">
        <x:f>IF(G9&gt;=F9,IF(D9="package","PLANNING PASS","PASS"),IF(D9="package","FAIL","OPEN"))</x:f>
        <x:v>PLANNING PASS</x:v>
      </x:c>
      <x:c r="I9" s="106" t="str">
        <x:v>package drafting only</x:v>
      </x:c>
      <x:c r="J9" s="108" t="str">
        <x:v>NO AUTHORITY</x:v>
      </x:c>
    </x:row>
    <x:row r="10" ht="40" customHeight="1">
      <x:c r="B10" s="105" t="str">
        <x:v>G04</x:v>
      </x:c>
      <x:c r="C10" s="106" t="str">
        <x:v>Route and destructive worlds complete</x:v>
      </x:c>
      <x:c r="D10" s="106" t="str">
        <x:v>package</x:v>
      </x:c>
      <x:c r="E10" s="106" t="str">
        <x:v>Sector Articles!L25</x:v>
      </x:c>
      <x:c r="F10" s="106" t="n">
        <x:v>1</x:v>
      </x:c>
      <x:c r="G10" s="106" t="n">
        <x:f>IF(AND('Sector Articles'!L24="PASS",'Sector Articles'!L25="PASS"),1,0)</x:f>
        <x:v>1</x:v>
      </x:c>
      <x:c r="H10" s="106" t="str">
        <x:f>IF(G10&gt;=F10,IF(D10="package","PLANNING PASS","PASS"),IF(D10="package","FAIL","OPEN"))</x:f>
        <x:v>PLANNING PASS</x:v>
      </x:c>
      <x:c r="I10" s="106" t="str">
        <x:v>package drafting only</x:v>
      </x:c>
      <x:c r="J10" s="108" t="str">
        <x:v>NO AUTHORITY</x:v>
      </x:c>
    </x:row>
    <x:row r="11" ht="40" customHeight="1">
      <x:c r="B11" s="105" t="str">
        <x:v>G05</x:v>
      </x:c>
      <x:c r="C11" s="106" t="str">
        <x:v>Instrument and uncertainty plan complete</x:v>
      </x:c>
      <x:c r="D11" s="106" t="str">
        <x:v>package</x:v>
      </x:c>
      <x:c r="E11" s="106" t="str">
        <x:v>Instrument Plan!N20</x:v>
      </x:c>
      <x:c r="F11" s="106" t="n">
        <x:v>1</x:v>
      </x:c>
      <x:c r="G11" s="106" t="n">
        <x:f>IF('Instrument Plan'!N20="PASS",1,0)</x:f>
        <x:v>1</x:v>
      </x:c>
      <x:c r="H11" s="106" t="str">
        <x:f>IF(G11&gt;=F11,IF(D11="package","PLANNING PASS","PASS"),IF(D11="package","FAIL","OPEN"))</x:f>
        <x:v>PLANNING PASS</x:v>
      </x:c>
      <x:c r="I11" s="106" t="str">
        <x:v>package drafting only</x:v>
      </x:c>
      <x:c r="J11" s="108" t="str">
        <x:v>NO AUTHORITY</x:v>
      </x:c>
    </x:row>
    <x:row r="12" ht="40" customHeight="1">
      <x:c r="B12" s="105" t="str">
        <x:v>G06</x:v>
      </x:c>
      <x:c r="C12" s="106" t="str">
        <x:v>Configuration and custody schema complete</x:v>
      </x:c>
      <x:c r="D12" s="106" t="str">
        <x:v>package</x:v>
      </x:c>
      <x:c r="E12" s="106" t="str">
        <x:v>Control Inputs!D38</x:v>
      </x:c>
      <x:c r="F12" s="106" t="n">
        <x:v>1</x:v>
      </x:c>
      <x:c r="G12" s="106" t="n">
        <x:f>'Control Inputs'!D38</x:f>
        <x:v>1</x:v>
      </x:c>
      <x:c r="H12" s="106" t="str">
        <x:f>IF(G12&gt;=F12,IF(D12="package","PLANNING PASS","PASS"),IF(D12="package","FAIL","OPEN"))</x:f>
        <x:v>PLANNING PASS</x:v>
      </x:c>
      <x:c r="I12" s="106" t="str">
        <x:v>package drafting only</x:v>
      </x:c>
      <x:c r="J12" s="108" t="str">
        <x:v>NO AUTHORITY</x:v>
      </x:c>
    </x:row>
    <x:row r="13" ht="40" customHeight="1">
      <x:c r="B13" s="105" t="str">
        <x:v>G07</x:v>
      </x:c>
      <x:c r="C13" s="106" t="str">
        <x:v>Authority separation and stop powers complete</x:v>
      </x:c>
      <x:c r="D13" s="106" t="str">
        <x:v>package</x:v>
      </x:c>
      <x:c r="E13" s="106" t="str">
        <x:v>Control Inputs!D38</x:v>
      </x:c>
      <x:c r="F13" s="106" t="n">
        <x:v>1</x:v>
      </x:c>
      <x:c r="G13" s="106" t="n">
        <x:f>'Control Inputs'!D38</x:f>
        <x:v>1</x:v>
      </x:c>
      <x:c r="H13" s="106" t="str">
        <x:f>IF(G13&gt;=F13,IF(D13="package","PLANNING PASS","PASS"),IF(D13="package","FAIL","OPEN"))</x:f>
        <x:v>PLANNING PASS</x:v>
      </x:c>
      <x:c r="I13" s="106" t="str">
        <x:v>package drafting only</x:v>
      </x:c>
      <x:c r="J13" s="108" t="str">
        <x:v>NO AUTHORITY</x:v>
      </x:c>
    </x:row>
    <x:row r="14" ht="40" customHeight="1">
      <x:c r="B14" s="105" t="str">
        <x:v>G08</x:v>
      </x:c>
      <x:c r="C14" s="106" t="str">
        <x:v>CTDP and reproduction-rights package complete</x:v>
      </x:c>
      <x:c r="D14" s="106" t="str">
        <x:v>package</x:v>
      </x:c>
      <x:c r="E14" s="106" t="str">
        <x:v>Control Inputs!D38</x:v>
      </x:c>
      <x:c r="F14" s="106" t="n">
        <x:v>1</x:v>
      </x:c>
      <x:c r="G14" s="106" t="n">
        <x:f>IF(COUNTIF('CTDP Rights'!K7:K22,"PLANNING PASS")=16,1,0)</x:f>
        <x:v>1</x:v>
      </x:c>
      <x:c r="H14" s="106" t="str">
        <x:f>IF(G14&gt;=F14,IF(D14="package","PLANNING PASS","PASS"),IF(D14="package","FAIL","OPEN"))</x:f>
        <x:v>PLANNING PASS</x:v>
      </x:c>
      <x:c r="I14" s="106" t="str">
        <x:v>package drafting only</x:v>
      </x:c>
      <x:c r="J14" s="108" t="str">
        <x:v>NO AUTHORITY</x:v>
      </x:c>
    </x:row>
    <x:row r="15" ht="40" customHeight="1">
      <x:c r="B15" s="105" t="str">
        <x:v>G09</x:v>
      </x:c>
      <x:c r="C15" s="106" t="str">
        <x:v>Capital and annual support reconcile</x:v>
      </x:c>
      <x:c r="D15" s="106" t="str">
        <x:v>package</x:v>
      </x:c>
      <x:c r="E15" s="106" t="str">
        <x:v>Capital Control!F19</x:v>
      </x:c>
      <x:c r="F15" s="106" t="n">
        <x:v>1</x:v>
      </x:c>
      <x:c r="G15" s="106" t="n">
        <x:f>IF(AND('Capital Control'!F19="PASS",'Capital Control'!G34="PASS",'Annual Readiness'!H14="PASS"),1,0)</x:f>
        <x:v>1</x:v>
      </x:c>
      <x:c r="H15" s="106" t="str">
        <x:f>IF(G15&gt;=F15,IF(D15="package","PLANNING PASS","PASS"),IF(D15="package","FAIL","OPEN"))</x:f>
        <x:v>PLANNING PASS</x:v>
      </x:c>
      <x:c r="I15" s="106" t="str">
        <x:v>package drafting only</x:v>
      </x:c>
      <x:c r="J15" s="108" t="str">
        <x:v>NO AUTHORITY</x:v>
      </x:c>
    </x:row>
    <x:row r="16" ht="40" customHeight="1">
      <x:c r="B16" s="105" t="str">
        <x:v>G10</x:v>
      </x:c>
      <x:c r="C16" s="106" t="str">
        <x:v>Named authorities approve construction release</x:v>
      </x:c>
      <x:c r="D16" s="106" t="str">
        <x:v>build release</x:v>
      </x:c>
      <x:c r="E16" s="106" t="str">
        <x:v>Control Inputs!D39</x:v>
      </x:c>
      <x:c r="F16" s="106" t="n">
        <x:v>1</x:v>
      </x:c>
      <x:c r="G16" s="106" t="n">
        <x:f>'Control Inputs'!D39</x:f>
        <x:v>0</x:v>
      </x:c>
      <x:c r="H16" s="106" t="str">
        <x:f>IF(G16&gt;=F16,IF(D16="package","PLANNING PASS","PASS"),IF(D16="package","FAIL","OPEN"))</x:f>
        <x:v>OPEN</x:v>
      </x:c>
      <x:c r="I16" s="106" t="str">
        <x:v>construction HOLD</x:v>
      </x:c>
      <x:c r="J16" s="108" t="str">
        <x:v>NO AUTHORITY</x:v>
      </x:c>
    </x:row>
    <x:row r="17" ht="40" customHeight="1">
      <x:c r="B17" s="105" t="str">
        <x:v>G11</x:v>
      </x:c>
      <x:c r="C17" s="106" t="str">
        <x:v>Serial articles receive class acceptance</x:v>
      </x:c>
      <x:c r="D17" s="106" t="str">
        <x:v>article</x:v>
      </x:c>
      <x:c r="E17" s="106" t="str">
        <x:v>Control Inputs!D40</x:v>
      </x:c>
      <x:c r="F17" s="106" t="n">
        <x:v>1</x:v>
      </x:c>
      <x:c r="G17" s="106" t="n">
        <x:f>'Control Inputs'!D40</x:f>
        <x:v>0</x:v>
      </x:c>
      <x:c r="H17" s="106" t="str">
        <x:f>IF(G17&gt;=F17,IF(D17="package","PLANNING PASS","PASS"),IF(D17="package","FAIL","OPEN"))</x:f>
        <x:v>OPEN</x:v>
      </x:c>
      <x:c r="I17" s="106" t="str">
        <x:v>article OPEN</x:v>
      </x:c>
      <x:c r="J17" s="108" t="str">
        <x:v>NO AUTHORITY</x:v>
      </x:c>
    </x:row>
    <x:row r="18" ht="40" customHeight="1">
      <x:c r="B18" s="105" t="str">
        <x:v>G12</x:v>
      </x:c>
      <x:c r="C18" s="106" t="str">
        <x:v>Sector and rupture claims independently admitted</x:v>
      </x:c>
      <x:c r="D18" s="106" t="str">
        <x:v>campaign</x:v>
      </x:c>
      <x:c r="E18" s="106" t="str">
        <x:v>Control Inputs!D41</x:v>
      </x:c>
      <x:c r="F18" s="106" t="n">
        <x:v>1</x:v>
      </x:c>
      <x:c r="G18" s="106" t="n">
        <x:f>'Control Inputs'!D41</x:f>
        <x:v>0</x:v>
      </x:c>
      <x:c r="H18" s="106" t="str">
        <x:f>IF(G18&gt;=F18,IF(D18="package","PLANNING PASS","PASS"),IF(D18="package","FAIL","OPEN"))</x:f>
        <x:v>OPEN</x:v>
      </x:c>
      <x:c r="I18" s="106" t="str">
        <x:v>claim OPEN</x:v>
      </x:c>
      <x:c r="J18" s="108" t="str">
        <x:v>NO AUTHORITY</x:v>
      </x:c>
    </x:row>
    <x:row r="19" ht="40" customHeight="1">
      <x:c r="B19" s="105" t="str">
        <x:v>G13</x:v>
      </x:c>
      <x:c r="C19" s="106" t="str">
        <x:v>Cold second-team lot reproduces accepted decisions</x:v>
      </x:c>
      <x:c r="D19" s="106" t="str">
        <x:v>reproduction</x:v>
      </x:c>
      <x:c r="E19" s="106" t="str">
        <x:v>Control Inputs!D42</x:v>
      </x:c>
      <x:c r="F19" s="106" t="n">
        <x:v>1</x:v>
      </x:c>
      <x:c r="G19" s="106" t="n">
        <x:f>'Control Inputs'!D42</x:f>
        <x:v>0</x:v>
      </x:c>
      <x:c r="H19" s="106" t="str">
        <x:f>IF(G19&gt;=F19,IF(D19="package","PLANNING PASS","PASS"),IF(D19="package","FAIL","OPEN"))</x:f>
        <x:v>OPEN</x:v>
      </x:c>
      <x:c r="I19" s="106" t="str">
        <x:v>production HOLD</x:v>
      </x:c>
      <x:c r="J19" s="108" t="str">
        <x:v>NO AUTHORITY</x:v>
      </x:c>
    </x:row>
    <x:row r="20" ht="40" customHeight="1">
      <x:c r="B20" s="105" t="str">
        <x:v>G14</x:v>
      </x:c>
      <x:c r="C20" s="106" t="str">
        <x:v>Full F36 mission earns production and form authority</x:v>
      </x:c>
      <x:c r="D20" s="106" t="str">
        <x:v>production/form</x:v>
      </x:c>
      <x:c r="E20" s="106" t="str">
        <x:v>Control Inputs!D43</x:v>
      </x:c>
      <x:c r="F20" s="106" t="n">
        <x:v>1</x:v>
      </x:c>
      <x:c r="G20" s="106" t="n">
        <x:f>'Control Inputs'!D43</x:f>
        <x:v>0</x:v>
      </x:c>
      <x:c r="H20" s="106" t="str">
        <x:f>IF(G20&gt;=F20,IF(D20="package","PLANNING PASS","PASS"),IF(D20="package","FAIL","OPEN"))</x:f>
        <x:v>OPEN</x:v>
      </x:c>
      <x:c r="I20" s="106" t="str">
        <x:v>form BLOCKED</x:v>
      </x:c>
      <x:c r="J20" s="108" t="str">
        <x:v>BLOCKED</x:v>
      </x:c>
    </x:row>
    <x:row r="21">
      <x:c r="B21" s="105"/>
      <x:c r="C21" s="105"/>
      <x:c r="D21" s="105"/>
      <x:c r="E21" s="105"/>
      <x:c r="F21" s="105"/>
      <x:c r="G21" s="105"/>
      <x:c r="H21" s="105"/>
      <x:c r="I21" s="105"/>
      <x:c r="J21" s="131"/>
    </x:row>
    <x:row r="22">
      <x:c r="B22" s="105"/>
      <x:c r="C22" s="105"/>
      <x:c r="D22" s="105"/>
      <x:c r="E22" s="105"/>
      <x:c r="F22" s="105"/>
      <x:c r="G22" s="105"/>
      <x:c r="H22" s="105"/>
      <x:c r="I22" s="105"/>
      <x:c r="J22" s="131"/>
    </x:row>
    <x:row r="23">
      <x:c r="B23" s="105"/>
      <x:c r="C23" s="105"/>
      <x:c r="D23" s="105"/>
      <x:c r="E23" s="105"/>
      <x:c r="F23" s="105"/>
      <x:c r="G23" s="105"/>
      <x:c r="H23" s="105"/>
      <x:c r="I23" s="105"/>
      <x:c r="J23" s="131"/>
    </x:row>
    <x:row r="24">
      <x:c r="B24" s="144" t="str">
        <x:v>Derived program states</x:v>
      </x:c>
      <x:c r="C24" s="144" t="str">
        <x:v>Derived program states</x:v>
      </x:c>
      <x:c r="D24" s="144" t="str">
        <x:v>Derived program states</x:v>
      </x:c>
      <x:c r="E24" s="144" t="str">
        <x:v>Derived program states</x:v>
      </x:c>
      <x:c r="F24" s="144" t="str">
        <x:v>Derived program states</x:v>
      </x:c>
      <x:c r="G24" s="144" t="str">
        <x:v>Derived program states</x:v>
      </x:c>
      <x:c r="H24" s="144" t="str">
        <x:v>Derived program states</x:v>
      </x:c>
      <x:c r="I24" s="144" t="str">
        <x:v>Derived program states</x:v>
      </x:c>
      <x:c r="J24" s="154" t="str">
        <x:v>Derived program states</x:v>
      </x:c>
    </x:row>
    <x:row r="25">
      <x:c r="B25" s="105" t="str">
        <x:v>Package drafting</x:v>
      </x:c>
      <x:c r="C25" s="105" t="str">
        <x:v>content state</x:v>
      </x:c>
      <x:c r="D25" s="105" t="str">
        <x:f>IF(COUNTIF(H7:H15,"FAIL")=0,"AUTHORIZED","HOLD")</x:f>
        <x:v>AUTHORIZED</x:v>
      </x:c>
      <x:c r="E25" s="105"/>
      <x:c r="F25" s="105"/>
      <x:c r="G25" s="105"/>
      <x:c r="H25" s="105"/>
      <x:c r="I25" s="105"/>
      <x:c r="J25" s="131"/>
    </x:row>
    <x:row r="26">
      <x:c r="B26" s="105" t="str">
        <x:v>Construction release</x:v>
      </x:c>
      <x:c r="C26" s="105" t="str">
        <x:v>G01–G10</x:v>
      </x:c>
      <x:c r="D26" s="105" t="str">
        <x:f>IF(COUNTIF(H7:H16,"PASS")+COUNTIF(H7:H16,"PLANNING PASS")=10,"RELEASED","HOLD")</x:f>
        <x:v>HOLD</x:v>
      </x:c>
      <x:c r="E26" s="105"/>
      <x:c r="F26" s="105"/>
      <x:c r="G26" s="105"/>
      <x:c r="H26" s="105"/>
      <x:c r="I26" s="105"/>
      <x:c r="J26" s="131"/>
    </x:row>
    <x:row r="27">
      <x:c r="B27" s="105" t="str">
        <x:v>Article acceptance</x:v>
      </x:c>
      <x:c r="C27" s="105" t="str">
        <x:v>G11</x:v>
      </x:c>
      <x:c r="D27" s="105" t="str">
        <x:f>IF(H17="PASS","ACCEPTED","OPEN")</x:f>
        <x:v>OPEN</x:v>
      </x:c>
      <x:c r="E27" s="105"/>
      <x:c r="F27" s="105"/>
      <x:c r="G27" s="105"/>
      <x:c r="H27" s="105"/>
      <x:c r="I27" s="105"/>
      <x:c r="J27" s="131"/>
    </x:row>
    <x:row r="28">
      <x:c r="B28" s="105" t="str">
        <x:v>Campaign evidence</x:v>
      </x:c>
      <x:c r="C28" s="105" t="str">
        <x:v>G12</x:v>
      </x:c>
      <x:c r="D28" s="105" t="str">
        <x:f>IF(H18="PASS","ADMITTED","OPEN")</x:f>
        <x:v>OPEN</x:v>
      </x:c>
      <x:c r="E28" s="105"/>
      <x:c r="F28" s="105"/>
      <x:c r="G28" s="105"/>
      <x:c r="H28" s="105"/>
      <x:c r="I28" s="105"/>
      <x:c r="J28" s="131"/>
    </x:row>
    <x:row r="29">
      <x:c r="B29" s="105" t="str">
        <x:v>Production release</x:v>
      </x:c>
      <x:c r="C29" s="105" t="str">
        <x:v>G13–G14</x:v>
      </x:c>
      <x:c r="D29" s="105" t="str">
        <x:f>IF(AND(H19="PASS",H20="PASS"),"AUTHORIZED","HOLD")</x:f>
        <x:v>HOLD</x:v>
      </x:c>
      <x:c r="E29" s="105"/>
      <x:c r="F29" s="105"/>
      <x:c r="G29" s="105"/>
      <x:c r="H29" s="105"/>
      <x:c r="I29" s="105"/>
      <x:c r="J29" s="131"/>
    </x:row>
    <x:row r="30">
      <x:c r="B30" s="110" t="str">
        <x:v>Exterior rendering</x:v>
      </x:c>
      <x:c r="C30" s="110" t="str">
        <x:v>G14 plus measured internal form</x:v>
      </x:c>
      <x:c r="D30" s="110" t="str">
        <x:f>IF(AND(D29="AUTHORIZED",'Control Inputs'!D44=1),"AUTHORIZED","BLOCKED")</x:f>
        <x:v>BLOCKED</x:v>
      </x:c>
      <x:c r="E30" s="110"/>
      <x:c r="F30" s="110"/>
      <x:c r="G30" s="110"/>
      <x:c r="H30" s="110"/>
      <x:c r="I30" s="110"/>
      <x:c r="J30" s="128"/>
    </x:row>
  </x:sheetData>
  <x:mergeCells>
    <x:mergeCell ref="B3:J3"/>
    <x:mergeCell ref="B24:J24"/>
  </x:mergeCells>
  <x:conditionalFormatting sqref="H7:J20">
    <x:cfRule type="containsText" dxfId="176" priority="1" operator="containsText" text="FAIL"/>
    <x:cfRule type="containsText" dxfId="177" priority="2" operator="containsText" text="BLOCKED"/>
    <x:cfRule type="containsText" dxfId="178" priority="3" operator="containsText" text="HOLD"/>
    <x:cfRule type="containsText" dxfId="179" priority="4" operator="containsText" text="OPEN"/>
    <x:cfRule type="containsText" dxfId="180" priority="5" operator="containsText" text="NOT ADMITTED"/>
    <x:cfRule type="containsText" dxfId="181" priority="6" operator="containsText" text="PASS"/>
    <x:cfRule type="containsText" dxfId="182" priority="7" operator="containsText" text="CLOSED"/>
    <x:cfRule type="containsText" dxfId="183" priority="8" operator="containsText" text="READY"/>
    <x:cfRule type="containsText" dxfId="184" priority="9" operator="containsText" text="AUTHORIZED"/>
    <x:cfRule type="containsText" dxfId="185" priority="10" operator="containsText" text="PLANNING PASS"/>
    <x:cfRule type="containsText" dxfId="186" priority="11" operator="containsText" text="COMPLETE"/>
  </x:conditionalFormatting>
  <x:conditionalFormatting sqref="D25:D30">
    <x:cfRule type="containsText" dxfId="187" priority="12" operator="containsText" text="FAIL"/>
    <x:cfRule type="containsText" dxfId="188" priority="13" operator="containsText" text="BLOCKED"/>
    <x:cfRule type="containsText" dxfId="189" priority="14" operator="containsText" text="HOLD"/>
    <x:cfRule type="containsText" dxfId="190" priority="15" operator="containsText" text="OPEN"/>
    <x:cfRule type="containsText" dxfId="191" priority="16" operator="containsText" text="NOT ADMITTED"/>
    <x:cfRule type="containsText" dxfId="192" priority="17" operator="containsText" text="PASS"/>
    <x:cfRule type="containsText" dxfId="193" priority="18" operator="containsText" text="CLOSED"/>
    <x:cfRule type="containsText" dxfId="194" priority="19" operator="containsText" text="READY"/>
    <x:cfRule type="containsText" dxfId="195" priority="20" operator="containsText" text="AUTHORIZED"/>
    <x:cfRule type="containsText" dxfId="196" priority="21" operator="containsText" text="PLANNING PASS"/>
    <x:cfRule type="containsText" dxfId="197" priority="22" operator="containsText" text="COMPLETE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39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20" hidden="0" customWidth="1"/>
  </x:cols>
  <x:sheetData>
    <x:row r="2">
      <x:c r="B2" s="92" t="str">
        <x:v>Deterministic integrity audit</x:v>
      </x:c>
      <x:c r="C2" s="83"/>
      <x:c r="D2" s="83"/>
      <x:c r="E2" s="83"/>
      <x:c r="F2" s="83"/>
      <x:c r="G2" s="83"/>
      <x:c r="H2" s="83"/>
    </x:row>
    <x:row r="3">
      <x:c r="B3" s="84" t="str">
        <x:v>Terminal checks only. No decision or calculation elsewhere in the workbook depends on this sheet.</x:v>
      </x:c>
      <x:c r="C3" s="83"/>
      <x:c r="D3" s="83"/>
      <x:c r="E3" s="83"/>
      <x:c r="F3" s="83"/>
      <x:c r="G3" s="83"/>
      <x:c r="H3" s="83"/>
    </x:row>
    <x:row r="4">
      <x:c r="B4" s="85"/>
      <x:c r="C4" s="85"/>
      <x:c r="D4" s="85"/>
      <x:c r="E4" s="85"/>
      <x:c r="F4" s="85"/>
      <x:c r="G4" s="85"/>
      <x:c r="H4" s="85"/>
    </x:row>
    <x:row r="5">
      <x:c r="B5" s="83"/>
      <x:c r="C5" s="83"/>
      <x:c r="D5" s="83"/>
      <x:c r="E5" s="83"/>
      <x:c r="F5" s="83"/>
      <x:c r="G5" s="83"/>
      <x:c r="H5" s="83"/>
    </x:row>
    <x:row r="6">
      <x:c r="B6" s="18" t="str">
        <x:v>Check</x:v>
      </x:c>
      <x:c r="C6" s="19" t="str">
        <x:v>Control</x:v>
      </x:c>
      <x:c r="D6" s="19" t="str">
        <x:v>Observed</x:v>
      </x:c>
      <x:c r="E6" s="19" t="str">
        <x:v>Expected</x:v>
      </x:c>
      <x:c r="F6" s="19" t="str">
        <x:v>Difference</x:v>
      </x:c>
      <x:c r="G6" s="19" t="str">
        <x:v>Status</x:v>
      </x:c>
      <x:c r="H6" s="19" t="str">
        <x:v>Scope</x:v>
      </x:c>
    </x:row>
    <x:row r="7">
      <x:c r="B7" s="105" t="str">
        <x:v>AU01</x:v>
      </x:c>
      <x:c r="C7" s="105" t="str">
        <x:v>Input count</x:v>
      </x:c>
      <x:c r="D7" s="105" t="n">
        <x:f>COUNTA('Control Inputs'!B7:B44)</x:f>
        <x:v>38</x:v>
      </x:c>
      <x:c r="E7" s="105" t="n">
        <x:v>38</x:v>
      </x:c>
      <x:c r="F7" s="159" t="n">
        <x:f>D7-E7</x:f>
        <x:v>0</x:v>
      </x:c>
      <x:c r="G7" s="105" t="str">
        <x:f>IF(ABS(F7)&lt;0.0001,"PASS","FAIL")</x:f>
        <x:v>PASS</x:v>
      </x:c>
      <x:c r="H7" s="131" t="str">
        <x:v>planning integrity</x:v>
      </x:c>
    </x:row>
    <x:row r="8">
      <x:c r="B8" s="105" t="str">
        <x:v>AU02</x:v>
      </x:c>
      <x:c r="C8" s="105" t="str">
        <x:v>Common envelope records</x:v>
      </x:c>
      <x:c r="D8" s="105" t="n">
        <x:f>COUNTA('Common Envelope'!B7:B24)</x:f>
        <x:v>18</x:v>
      </x:c>
      <x:c r="E8" s="105" t="n">
        <x:v>18</x:v>
      </x:c>
      <x:c r="F8" s="159" t="n">
        <x:f>D8-E8</x:f>
        <x:v>0</x:v>
      </x:c>
      <x:c r="G8" s="105" t="str">
        <x:f>IF(ABS(F8)&lt;0.0001,"PASS","FAIL")</x:f>
        <x:v>PASS</x:v>
      </x:c>
      <x:c r="H8" s="131" t="str">
        <x:v>planning integrity</x:v>
      </x:c>
    </x:row>
    <x:row r="9">
      <x:c r="B9" s="105" t="str">
        <x:v>AU03</x:v>
      </x:c>
      <x:c r="C9" s="105" t="str">
        <x:v>Root count</x:v>
      </x:c>
      <x:c r="D9" s="105" t="n">
        <x:f>COUNTA('Root Lanes'!B7:B9)</x:f>
        <x:v>3</x:v>
      </x:c>
      <x:c r="E9" s="105" t="n">
        <x:v>3</x:v>
      </x:c>
      <x:c r="F9" s="159" t="n">
        <x:f>D9-E9</x:f>
        <x:v>0</x:v>
      </x:c>
      <x:c r="G9" s="105" t="str">
        <x:f>IF(ABS(F9)&lt;0.0001,"PASS","FAIL")</x:f>
        <x:v>PASS</x:v>
      </x:c>
      <x:c r="H9" s="131" t="str">
        <x:v>planning integrity</x:v>
      </x:c>
    </x:row>
    <x:row r="10">
      <x:c r="B10" s="105" t="str">
        <x:v>AU04</x:v>
      </x:c>
      <x:c r="C10" s="105" t="str">
        <x:v>Root lots</x:v>
      </x:c>
      <x:c r="D10" s="105" t="n">
        <x:f>SUM('Root Lanes'!H7:H9)</x:f>
        <x:v>66</x:v>
      </x:c>
      <x:c r="E10" s="105" t="n">
        <x:v>66</x:v>
      </x:c>
      <x:c r="F10" s="159" t="n">
        <x:f>D10-E10</x:f>
        <x:v>0</x:v>
      </x:c>
      <x:c r="G10" s="105" t="str">
        <x:f>IF(ABS(F10)&lt;0.0001,"PASS","FAIL")</x:f>
        <x:v>PASS</x:v>
      </x:c>
      <x:c r="H10" s="131" t="str">
        <x:v>planning integrity</x:v>
      </x:c>
    </x:row>
    <x:row r="11">
      <x:c r="B11" s="105" t="str">
        <x:v>AU05</x:v>
      </x:c>
      <x:c r="C11" s="105" t="str">
        <x:v>Root units</x:v>
      </x:c>
      <x:c r="D11" s="105" t="n">
        <x:f>SUM('Root Lanes'!I7:I9)</x:f>
        <x:v>196</x:v>
      </x:c>
      <x:c r="E11" s="105" t="n">
        <x:v>196</x:v>
      </x:c>
      <x:c r="F11" s="159" t="n">
        <x:f>D11-E11</x:f>
        <x:v>0</x:v>
      </x:c>
      <x:c r="G11" s="105" t="str">
        <x:f>IF(ABS(F11)&lt;0.0001,"PASS","FAIL")</x:f>
        <x:v>PASS</x:v>
      </x:c>
      <x:c r="H11" s="131" t="str">
        <x:v>planning integrity</x:v>
      </x:c>
    </x:row>
    <x:row r="12">
      <x:c r="B12" s="105" t="str">
        <x:v>AU06</x:v>
      </x:c>
      <x:c r="C12" s="105" t="str">
        <x:v>Article-plan lots</x:v>
      </x:c>
      <x:c r="D12" s="105" t="n">
        <x:f>'Article Plan'!F28</x:f>
        <x:v>66</x:v>
      </x:c>
      <x:c r="E12" s="105" t="n">
        <x:v>66</x:v>
      </x:c>
      <x:c r="F12" s="159" t="n">
        <x:f>D12-E12</x:f>
        <x:v>0</x:v>
      </x:c>
      <x:c r="G12" s="105" t="str">
        <x:f>IF(ABS(F12)&lt;0.0001,"PASS","FAIL")</x:f>
        <x:v>PASS</x:v>
      </x:c>
      <x:c r="H12" s="131" t="str">
        <x:v>planning integrity</x:v>
      </x:c>
    </x:row>
    <x:row r="13">
      <x:c r="B13" s="105" t="str">
        <x:v>AU07</x:v>
      </x:c>
      <x:c r="C13" s="105" t="str">
        <x:v>Article-plan units</x:v>
      </x:c>
      <x:c r="D13" s="105" t="n">
        <x:f>'Article Plan'!G28</x:f>
        <x:v>196</x:v>
      </x:c>
      <x:c r="E13" s="105" t="n">
        <x:v>196</x:v>
      </x:c>
      <x:c r="F13" s="159" t="n">
        <x:f>D13-E13</x:f>
        <x:v>0</x:v>
      </x:c>
      <x:c r="G13" s="105" t="str">
        <x:f>IF(ABS(F13)&lt;0.0001,"PASS","FAIL")</x:f>
        <x:v>PASS</x:v>
      </x:c>
      <x:c r="H13" s="131" t="str">
        <x:v>planning integrity</x:v>
      </x:c>
    </x:row>
    <x:row r="14">
      <x:c r="B14" s="105" t="str">
        <x:v>AU08</x:v>
      </x:c>
      <x:c r="C14" s="105" t="str">
        <x:v>Build-root route km</x:v>
      </x:c>
      <x:c r="D14" s="105" t="n">
        <x:f>SUMIFS('Article Plan'!I7:I27,'Article Plan'!C7:C27,"R1",'Article Plan'!D7:D27,"SA")</x:f>
        <x:v>4</x:v>
      </x:c>
      <x:c r="E14" s="105" t="n">
        <x:v>4</x:v>
      </x:c>
      <x:c r="F14" s="159" t="n">
        <x:f>D14-E14</x:f>
        <x:v>0</x:v>
      </x:c>
      <x:c r="G14" s="105" t="str">
        <x:f>IF(ABS(F14)&lt;0.0001,"PASS","FAIL")</x:f>
        <x:v>PASS</x:v>
      </x:c>
      <x:c r="H14" s="131" t="str">
        <x:v>planning integrity</x:v>
      </x:c>
    </x:row>
    <x:row r="15">
      <x:c r="B15" s="105" t="str">
        <x:v>AU09</x:v>
      </x:c>
      <x:c r="C15" s="105" t="str">
        <x:v>Material records</x:v>
      </x:c>
      <x:c r="D15" s="105" t="n">
        <x:f>COUNTA('Material Envelope'!B7:B22)</x:f>
        <x:v>16</x:v>
      </x:c>
      <x:c r="E15" s="105" t="n">
        <x:v>16</x:v>
      </x:c>
      <x:c r="F15" s="159" t="n">
        <x:f>D15-E15</x:f>
        <x:v>0</x:v>
      </x:c>
      <x:c r="G15" s="105" t="str">
        <x:f>IF(ABS(F15)&lt;0.0001,"PASS","FAIL")</x:f>
        <x:v>PASS</x:v>
      </x:c>
      <x:c r="H15" s="131" t="str">
        <x:v>planning integrity</x:v>
      </x:c>
    </x:row>
    <x:row r="16">
      <x:c r="B16" s="105" t="str">
        <x:v>AU10</x:v>
      </x:c>
      <x:c r="C16" s="105" t="str">
        <x:v>Closure units per root</x:v>
      </x:c>
      <x:c r="D16" s="105" t="n">
        <x:f>'Closure Envelope'!I20</x:f>
        <x:v>24</x:v>
      </x:c>
      <x:c r="E16" s="105" t="n">
        <x:v>24</x:v>
      </x:c>
      <x:c r="F16" s="159" t="n">
        <x:f>D16-E16</x:f>
        <x:v>0</x:v>
      </x:c>
      <x:c r="G16" s="105" t="str">
        <x:f>IF(ABS(F16)&lt;0.0001,"PASS","FAIL")</x:f>
        <x:v>PASS</x:v>
      </x:c>
      <x:c r="H16" s="131" t="str">
        <x:v>planning integrity</x:v>
      </x:c>
    </x:row>
    <x:row r="17">
      <x:c r="B17" s="105" t="str">
        <x:v>AU11</x:v>
      </x:c>
      <x:c r="C17" s="105" t="str">
        <x:v>Sector designed metres</x:v>
      </x:c>
      <x:c r="D17" s="105" t="n">
        <x:f>'Sector Articles'!E25</x:f>
        <x:v>4000</x:v>
      </x:c>
      <x:c r="E17" s="105" t="n">
        <x:v>4000</x:v>
      </x:c>
      <x:c r="F17" s="159" t="n">
        <x:f>D17-E17</x:f>
        <x:v>0</x:v>
      </x:c>
      <x:c r="G17" s="105" t="str">
        <x:f>IF(ABS(F17)&lt;0.0001,"PASS","FAIL")</x:f>
        <x:v>PASS</x:v>
      </x:c>
      <x:c r="H17" s="131" t="str">
        <x:v>planning integrity</x:v>
      </x:c>
    </x:row>
    <x:row r="18">
      <x:c r="B18" s="105" t="str">
        <x:v>AU12</x:v>
      </x:c>
      <x:c r="C18" s="105" t="str">
        <x:v>Damage runs</x:v>
      </x:c>
      <x:c r="D18" s="105" t="n">
        <x:f>'Damage &amp; Repair'!I32</x:f>
        <x:v>26</x:v>
      </x:c>
      <x:c r="E18" s="105" t="n">
        <x:v>26</x:v>
      </x:c>
      <x:c r="F18" s="159" t="n">
        <x:f>D18-E18</x:f>
        <x:v>0</x:v>
      </x:c>
      <x:c r="G18" s="105" t="str">
        <x:f>IF(ABS(F18)&lt;0.0001,"PASS","FAIL")</x:f>
        <x:v>PASS</x:v>
      </x:c>
      <x:c r="H18" s="131" t="str">
        <x:v>planning integrity</x:v>
      </x:c>
    </x:row>
    <x:row r="19">
      <x:c r="B19" s="105" t="str">
        <x:v>AU13</x:v>
      </x:c>
      <x:c r="C19" s="105" t="str">
        <x:v>Independent channels per reach</x:v>
      </x:c>
      <x:c r="D19" s="105" t="n">
        <x:f>'Instrument Plan'!D20</x:f>
        <x:v>268</x:v>
      </x:c>
      <x:c r="E19" s="105" t="n">
        <x:v>268</x:v>
      </x:c>
      <x:c r="F19" s="159" t="n">
        <x:f>D19-E19</x:f>
        <x:v>0</x:v>
      </x:c>
      <x:c r="G19" s="105" t="str">
        <x:f>IF(ABS(F19)&lt;0.0001,"PASS","FAIL")</x:f>
        <x:v>PASS</x:v>
      </x:c>
      <x:c r="H19" s="131" t="str">
        <x:v>planning integrity</x:v>
      </x:c>
    </x:row>
    <x:row r="20">
      <x:c r="B20" s="105" t="str">
        <x:v>AU14</x:v>
      </x:c>
      <x:c r="C20" s="105" t="str">
        <x:v>Channels for two reaches</x:v>
      </x:c>
      <x:c r="D20" s="105" t="n">
        <x:f>'Instrument Plan'!K20</x:f>
        <x:v>536</x:v>
      </x:c>
      <x:c r="E20" s="105" t="n">
        <x:v>536</x:v>
      </x:c>
      <x:c r="F20" s="159" t="n">
        <x:f>D20-E20</x:f>
        <x:v>0</x:v>
      </x:c>
      <x:c r="G20" s="105" t="str">
        <x:f>IF(ABS(F20)&lt;0.0001,"PASS","FAIL")</x:f>
        <x:v>PASS</x:v>
      </x:c>
      <x:c r="H20" s="131" t="str">
        <x:v>planning integrity</x:v>
      </x:c>
    </x:row>
    <x:row r="21">
      <x:c r="B21" s="105" t="str">
        <x:v>AU15</x:v>
      </x:c>
      <x:c r="C21" s="105" t="str">
        <x:v>Evidence objects</x:v>
      </x:c>
      <x:c r="D21" s="105" t="n">
        <x:f>COUNTA('Evidence Objects'!B7:B18)</x:f>
        <x:v>12</x:v>
      </x:c>
      <x:c r="E21" s="105" t="n">
        <x:v>12</x:v>
      </x:c>
      <x:c r="F21" s="159" t="n">
        <x:f>D21-E21</x:f>
        <x:v>0</x:v>
      </x:c>
      <x:c r="G21" s="105" t="str">
        <x:f>IF(ABS(F21)&lt;0.0001,"PASS","FAIL")</x:f>
        <x:v>PASS</x:v>
      </x:c>
      <x:c r="H21" s="131" t="str">
        <x:v>planning integrity</x:v>
      </x:c>
    </x:row>
    <x:row r="22">
      <x:c r="B22" s="105" t="str">
        <x:v>AU16</x:v>
      </x:c>
      <x:c r="C22" s="105" t="str">
        <x:v>Custody transitions</x:v>
      </x:c>
      <x:c r="D22" s="105" t="n">
        <x:f>COUNTA(Custody!B7:B17)</x:f>
        <x:v>11</x:v>
      </x:c>
      <x:c r="E22" s="105" t="n">
        <x:v>11</x:v>
      </x:c>
      <x:c r="F22" s="159" t="n">
        <x:f>D22-E22</x:f>
        <x:v>0</x:v>
      </x:c>
      <x:c r="G22" s="105" t="str">
        <x:f>IF(ABS(F22)&lt;0.0001,"PASS","FAIL")</x:f>
        <x:v>PASS</x:v>
      </x:c>
      <x:c r="H22" s="131" t="str">
        <x:v>planning integrity</x:v>
      </x:c>
    </x:row>
    <x:row r="23">
      <x:c r="B23" s="105" t="str">
        <x:v>AU17</x:v>
      </x:c>
      <x:c r="C23" s="105" t="str">
        <x:v>CTDP classes</x:v>
      </x:c>
      <x:c r="D23" s="105" t="n">
        <x:f>COUNTA('CTDP Rights'!B7:B22)</x:f>
        <x:v>16</x:v>
      </x:c>
      <x:c r="E23" s="105" t="n">
        <x:v>16</x:v>
      </x:c>
      <x:c r="F23" s="159" t="n">
        <x:f>D23-E23</x:f>
        <x:v>0</x:v>
      </x:c>
      <x:c r="G23" s="105" t="str">
        <x:f>IF(ABS(F23)&lt;0.0001,"PASS","FAIL")</x:f>
        <x:v>PASS</x:v>
      </x:c>
      <x:c r="H23" s="131" t="str">
        <x:v>planning integrity</x:v>
      </x:c>
    </x:row>
    <x:row r="24">
      <x:c r="B24" s="105" t="str">
        <x:v>AU18</x:v>
      </x:c>
      <x:c r="C24" s="105" t="str">
        <x:v>Authorities</x:v>
      </x:c>
      <x:c r="D24" s="105" t="n">
        <x:f>COUNTA('Authority Matrix'!B7:B17)</x:f>
        <x:v>11</x:v>
      </x:c>
      <x:c r="E24" s="105" t="n">
        <x:v>11</x:v>
      </x:c>
      <x:c r="F24" s="159" t="n">
        <x:f>D24-E24</x:f>
        <x:v>0</x:v>
      </x:c>
      <x:c r="G24" s="105" t="str">
        <x:f>IF(ABS(F24)&lt;0.0001,"PASS","FAIL")</x:f>
        <x:v>PASS</x:v>
      </x:c>
      <x:c r="H24" s="131" t="str">
        <x:v>planning integrity</x:v>
      </x:c>
    </x:row>
    <x:row r="25">
      <x:c r="B25" s="105" t="str">
        <x:v>AU19</x:v>
      </x:c>
      <x:c r="C25" s="105" t="str">
        <x:v>Schedule rows</x:v>
      </x:c>
      <x:c r="D25" s="105" t="n">
        <x:f>COUNTA(Schedule!B7:B27)</x:f>
        <x:v>21</x:v>
      </x:c>
      <x:c r="E25" s="105" t="n">
        <x:v>21</x:v>
      </x:c>
      <x:c r="F25" s="159" t="n">
        <x:f>D25-E25</x:f>
        <x:v>0</x:v>
      </x:c>
      <x:c r="G25" s="105" t="str">
        <x:f>IF(ABS(F25)&lt;0.0001,"PASS","FAIL")</x:f>
        <x:v>PASS</x:v>
      </x:c>
      <x:c r="H25" s="131" t="str">
        <x:v>planning integrity</x:v>
      </x:c>
    </x:row>
    <x:row r="26">
      <x:c r="B26" s="105" t="str">
        <x:v>AU20</x:v>
      </x:c>
      <x:c r="C26" s="105" t="str">
        <x:v>Program months</x:v>
      </x:c>
      <x:c r="D26" s="105" t="n">
        <x:f>MAX(Schedule!E7:E27)</x:f>
        <x:v>42</x:v>
      </x:c>
      <x:c r="E26" s="105" t="n">
        <x:v>42</x:v>
      </x:c>
      <x:c r="F26" s="159" t="n">
        <x:f>D26-E26</x:f>
        <x:v>0</x:v>
      </x:c>
      <x:c r="G26" s="105" t="str">
        <x:f>IF(ABS(F26)&lt;0.0001,"PASS","FAIL")</x:f>
        <x:v>PASS</x:v>
      </x:c>
      <x:c r="H26" s="131" t="str">
        <x:v>planning integrity</x:v>
      </x:c>
    </x:row>
    <x:row r="27">
      <x:c r="B27" s="105" t="str">
        <x:v>AU21</x:v>
      </x:c>
      <x:c r="C27" s="105" t="str">
        <x:v>Capital tranche</x:v>
      </x:c>
      <x:c r="D27" s="105" t="n">
        <x:f>'Capital Control'!D19</x:f>
        <x:v>8.12</x:v>
      </x:c>
      <x:c r="E27" s="105" t="n">
        <x:v>8.12</x:v>
      </x:c>
      <x:c r="F27" s="159" t="n">
        <x:f>D27-E27</x:f>
        <x:v>0</x:v>
      </x:c>
      <x:c r="G27" s="105" t="str">
        <x:f>IF(ABS(F27)&lt;0.0001,"PASS","FAIL")</x:f>
        <x:v>PASS</x:v>
      </x:c>
      <x:c r="H27" s="131" t="str">
        <x:v>planning integrity</x:v>
      </x:c>
    </x:row>
    <x:row r="28">
      <x:c r="B28" s="105" t="str">
        <x:v>AU22</x:v>
      </x:c>
      <x:c r="C28" s="105" t="str">
        <x:v>Capital source total</x:v>
      </x:c>
      <x:c r="D28" s="105" t="n">
        <x:f>'Capital Control'!D34</x:f>
        <x:v>38.684</x:v>
      </x:c>
      <x:c r="E28" s="105" t="n">
        <x:v>38.684</x:v>
      </x:c>
      <x:c r="F28" s="159" t="n">
        <x:f>D28-E28</x:f>
        <x:v>0</x:v>
      </x:c>
      <x:c r="G28" s="105" t="str">
        <x:f>IF(ABS(F28)&lt;0.0001,"PASS","FAIL")</x:f>
        <x:v>PASS</x:v>
      </x:c>
      <x:c r="H28" s="131" t="str">
        <x:v>planning integrity</x:v>
      </x:c>
    </x:row>
    <x:row r="29">
      <x:c r="B29" s="105" t="str">
        <x:v>AU23</x:v>
      </x:c>
      <x:c r="C29" s="105" t="str">
        <x:v>Capital source draw</x:v>
      </x:c>
      <x:c r="D29" s="105" t="n">
        <x:f>'Capital Control'!E34</x:f>
        <x:v>8.120000000000001</x:v>
      </x:c>
      <x:c r="E29" s="105" t="n">
        <x:v>8.12</x:v>
      </x:c>
      <x:c r="F29" s="159" t="n">
        <x:f>D29-E29</x:f>
        <x:v>1.7763568394002505e-15</x:v>
      </x:c>
      <x:c r="G29" s="105" t="str">
        <x:f>IF(ABS(F29)&lt;0.0001,"PASS","FAIL")</x:f>
        <x:v>PASS</x:v>
      </x:c>
      <x:c r="H29" s="131" t="str">
        <x:v>planning integrity</x:v>
      </x:c>
    </x:row>
    <x:row r="30">
      <x:c r="B30" s="105" t="str">
        <x:v>AU24</x:v>
      </x:c>
      <x:c r="C30" s="105" t="str">
        <x:v>Annual support</x:v>
      </x:c>
      <x:c r="D30" s="105" t="n">
        <x:f>'Annual Readiness'!D14</x:f>
        <x:v>0.44599999999999995</x:v>
      </x:c>
      <x:c r="E30" s="105" t="n">
        <x:v>0.446</x:v>
      </x:c>
      <x:c r="F30" s="159" t="n">
        <x:f>D30-E30</x:f>
        <x:v>-5.551115123125783e-17</x:v>
      </x:c>
      <x:c r="G30" s="105" t="str">
        <x:f>IF(ABS(F30)&lt;0.0001,"PASS","FAIL")</x:f>
        <x:v>PASS</x:v>
      </x:c>
      <x:c r="H30" s="131" t="str">
        <x:v>planning integrity</x:v>
      </x:c>
    </x:row>
    <x:row r="31">
      <x:c r="B31" s="105" t="str">
        <x:v>AU25</x:v>
      </x:c>
      <x:c r="C31" s="105" t="str">
        <x:v>Planning gates passed</x:v>
      </x:c>
      <x:c r="D31" s="105" t="n">
        <x:f>COUNTIF('Release Gates'!H7:H15,"PLANNING PASS")</x:f>
        <x:v>9</x:v>
      </x:c>
      <x:c r="E31" s="105" t="n">
        <x:v>9</x:v>
      </x:c>
      <x:c r="F31" s="159" t="n">
        <x:f>D31-E31</x:f>
        <x:v>0</x:v>
      </x:c>
      <x:c r="G31" s="105" t="str">
        <x:f>IF(ABS(F31)&lt;0.0001,"PASS","FAIL")</x:f>
        <x:v>PASS</x:v>
      </x:c>
      <x:c r="H31" s="131" t="str">
        <x:v>planning integrity</x:v>
      </x:c>
    </x:row>
    <x:row r="32">
      <x:c r="B32" s="105" t="str">
        <x:v>AU26</x:v>
      </x:c>
      <x:c r="C32" s="105" t="str">
        <x:v>Physical article acceptances</x:v>
      </x:c>
      <x:c r="D32" s="105" t="n">
        <x:f>'Control Inputs'!D40</x:f>
        <x:v>0</x:v>
      </x:c>
      <x:c r="E32" s="105" t="n">
        <x:v>0</x:v>
      </x:c>
      <x:c r="F32" s="159" t="n">
        <x:f>D32-E32</x:f>
        <x:v>0</x:v>
      </x:c>
      <x:c r="G32" s="105" t="str">
        <x:f>IF(ABS(F32)&lt;0.0001,"PASS","FAIL")</x:f>
        <x:v>PASS</x:v>
      </x:c>
      <x:c r="H32" s="131" t="str">
        <x:v>authority stop</x:v>
      </x:c>
    </x:row>
    <x:row r="33">
      <x:c r="B33" s="105" t="str">
        <x:v>AU27</x:v>
      </x:c>
      <x:c r="C33" s="105" t="str">
        <x:v>Admitted campaign claims</x:v>
      </x:c>
      <x:c r="D33" s="105" t="n">
        <x:f>'Control Inputs'!D41</x:f>
        <x:v>0</x:v>
      </x:c>
      <x:c r="E33" s="105" t="n">
        <x:v>0</x:v>
      </x:c>
      <x:c r="F33" s="159" t="n">
        <x:f>D33-E33</x:f>
        <x:v>0</x:v>
      </x:c>
      <x:c r="G33" s="105" t="str">
        <x:f>IF(ABS(F33)&lt;0.0001,"PASS","FAIL")</x:f>
        <x:v>PASS</x:v>
      </x:c>
      <x:c r="H33" s="131" t="str">
        <x:v>authority stop</x:v>
      </x:c>
    </x:row>
    <x:row r="34">
      <x:c r="B34" s="105" t="str">
        <x:v>AU28</x:v>
      </x:c>
      <x:c r="C34" s="105" t="str">
        <x:v>Independent reproductions</x:v>
      </x:c>
      <x:c r="D34" s="105" t="n">
        <x:f>'Control Inputs'!D42</x:f>
        <x:v>0</x:v>
      </x:c>
      <x:c r="E34" s="105" t="n">
        <x:v>0</x:v>
      </x:c>
      <x:c r="F34" s="159" t="n">
        <x:f>D34-E34</x:f>
        <x:v>0</x:v>
      </x:c>
      <x:c r="G34" s="105" t="str">
        <x:f>IF(ABS(F34)&lt;0.0001,"PASS","FAIL")</x:f>
        <x:v>PASS</x:v>
      </x:c>
      <x:c r="H34" s="131" t="str">
        <x:v>authority stop</x:v>
      </x:c>
    </x:row>
    <x:row r="35">
      <x:c r="B35" s="105" t="str">
        <x:v>AU29</x:v>
      </x:c>
      <x:c r="C35" s="105" t="str">
        <x:v>Production authority</x:v>
      </x:c>
      <x:c r="D35" s="105" t="n">
        <x:f>'Control Inputs'!D43</x:f>
        <x:v>0</x:v>
      </x:c>
      <x:c r="E35" s="105" t="n">
        <x:v>0</x:v>
      </x:c>
      <x:c r="F35" s="159" t="n">
        <x:f>D35-E35</x:f>
        <x:v>0</x:v>
      </x:c>
      <x:c r="G35" s="105" t="str">
        <x:f>IF(ABS(F35)&lt;0.0001,"PASS","FAIL")</x:f>
        <x:v>PASS</x:v>
      </x:c>
      <x:c r="H35" s="131" t="str">
        <x:v>authority stop</x:v>
      </x:c>
    </x:row>
    <x:row r="36">
      <x:c r="B36" s="105" t="str">
        <x:v>AU30</x:v>
      </x:c>
      <x:c r="C36" s="105" t="str">
        <x:v>Rendering authority</x:v>
      </x:c>
      <x:c r="D36" s="105" t="n">
        <x:f>'Control Inputs'!D44</x:f>
        <x:v>0</x:v>
      </x:c>
      <x:c r="E36" s="105" t="n">
        <x:v>0</x:v>
      </x:c>
      <x:c r="F36" s="159" t="n">
        <x:f>D36-E36</x:f>
        <x:v>0</x:v>
      </x:c>
      <x:c r="G36" s="105" t="str">
        <x:f>IF(ABS(F36)&lt;0.0001,"PASS","FAIL")</x:f>
        <x:v>PASS</x:v>
      </x:c>
      <x:c r="H36" s="131" t="str">
        <x:v>authority stop</x:v>
      </x:c>
    </x:row>
    <x:row r="37">
      <x:c r="B37" s="105"/>
      <x:c r="C37" s="105"/>
      <x:c r="D37" s="105"/>
      <x:c r="E37" s="105"/>
      <x:c r="F37" s="159"/>
      <x:c r="G37" s="105"/>
      <x:c r="H37" s="131"/>
    </x:row>
    <x:row r="38">
      <x:c r="B38" s="105"/>
      <x:c r="C38" s="105"/>
      <x:c r="D38" s="105"/>
      <x:c r="E38" s="105"/>
      <x:c r="F38" s="159"/>
      <x:c r="G38" s="105"/>
      <x:c r="H38" s="131"/>
    </x:row>
    <x:row r="39">
      <x:c r="B39" s="110" t="str">
        <x:v>CONTROL</x:v>
      </x:c>
      <x:c r="C39" s="110" t="str">
        <x:v>Passing checks</x:v>
      </x:c>
      <x:c r="D39" s="110" t="n">
        <x:f>COUNTIF(G7:G36,"PASS")</x:f>
        <x:v>30</x:v>
      </x:c>
      <x:c r="E39" s="110" t="n">
        <x:v>30</x:v>
      </x:c>
      <x:c r="F39" s="160" t="n">
        <x:f>D39-E39</x:f>
        <x:v>0</x:v>
      </x:c>
      <x:c r="G39" s="110" t="str">
        <x:f>IF(F39=0,"PASS","FAIL")</x:f>
        <x:v>PASS</x:v>
      </x:c>
      <x:c r="H39" s="128"/>
    </x:row>
  </x:sheetData>
  <x:mergeCells>
    <x:mergeCell ref="B3:H3"/>
  </x:mergeCells>
  <x:conditionalFormatting sqref="G7:G39">
    <x:cfRule type="containsText" dxfId="198" priority="1" operator="containsText" text="FAIL"/>
    <x:cfRule type="containsText" dxfId="199" priority="2" operator="containsText" text="BLOCKED"/>
    <x:cfRule type="containsText" dxfId="200" priority="3" operator="containsText" text="HOLD"/>
    <x:cfRule type="containsText" dxfId="201" priority="4" operator="containsText" text="OPEN"/>
    <x:cfRule type="containsText" dxfId="202" priority="5" operator="containsText" text="NOT ADMITTED"/>
    <x:cfRule type="containsText" dxfId="203" priority="6" operator="containsText" text="PASS"/>
    <x:cfRule type="containsText" dxfId="204" priority="7" operator="containsText" text="CLOSED"/>
    <x:cfRule type="containsText" dxfId="205" priority="8" operator="containsText" text="READY"/>
    <x:cfRule type="containsText" dxfId="206" priority="9" operator="containsText" text="AUTHORIZED"/>
    <x:cfRule type="containsText" dxfId="207" priority="10" operator="containsText" text="PLANNING PASS"/>
    <x:cfRule type="containsText" dxfId="208" priority="11" operator="containsText" text="COMPLETE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8B7D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0" hidden="0" customWidth="1"/>
    <x:col min="3" max="3" width="38" hidden="0" customWidth="1"/>
    <x:col min="4" max="4" width="38" hidden="0" customWidth="1"/>
    <x:col min="5" max="5" width="30" hidden="0" customWidth="1"/>
    <x:col min="6" max="6" width="32" hidden="0" customWidth="1"/>
    <x:col min="7" max="7" width="28" hidden="0" customWidth="1"/>
    <x:col min="8" max="8" width="16" hidden="0" customWidth="1"/>
    <x:col min="9" max="9" width="27" hidden="0" customWidth="1"/>
    <x:col min="10" max="10" width="30" hidden="0" customWidth="1"/>
  </x:cols>
  <x:sheetData>
    <x:row r="2">
      <x:c r="B2" s="92" t="str">
        <x:v>Workbook use and authority</x:v>
      </x:c>
      <x:c r="C2" s="83"/>
      <x:c r="D2" s="83"/>
      <x:c r="E2" s="83"/>
      <x:c r="F2" s="83"/>
      <x:c r="G2" s="83"/>
      <x:c r="H2" s="83"/>
      <x:c r="I2" s="83"/>
      <x:c r="J2" s="83"/>
    </x:row>
    <x:row r="3">
      <x:c r="B3" s="84" t="str">
        <x:v>This workbook is a planning constitution for supplier-neutral full-diameter articles. It is not a construction drawing, adopted standard or physical test result.</x:v>
      </x:c>
      <x:c r="C3" s="83"/>
      <x:c r="D3" s="83"/>
      <x:c r="E3" s="83"/>
      <x:c r="F3" s="83"/>
      <x:c r="G3" s="83"/>
      <x:c r="H3" s="83"/>
      <x:c r="I3" s="83"/>
      <x:c r="J3" s="83"/>
    </x:row>
    <x:row r="4">
      <x:c r="B4" s="85"/>
      <x:c r="C4" s="85"/>
      <x:c r="D4" s="85"/>
      <x:c r="E4" s="85"/>
      <x:c r="F4" s="85"/>
      <x:c r="G4" s="85"/>
      <x:c r="H4" s="85"/>
      <x:c r="I4" s="85"/>
      <x:c r="J4" s="85"/>
    </x:row>
    <x:row r="5">
      <x:c r="B5" s="83"/>
      <x:c r="C5" s="83"/>
      <x:c r="D5" s="83"/>
      <x:c r="E5" s="83"/>
      <x:c r="F5" s="83"/>
      <x:c r="G5" s="83"/>
      <x:c r="H5" s="83"/>
      <x:c r="I5" s="83"/>
      <x:c r="J5" s="83"/>
    </x:row>
    <x:row r="6">
      <x:c r="B6" s="18" t="str">
        <x:v>Topic</x:v>
      </x:c>
      <x:c r="C6" s="19" t="str">
        <x:v>Use</x:v>
      </x:c>
      <x:c r="D6" s="19" t="str">
        <x:v>Do not infer</x:v>
      </x:c>
      <x:c r="E6" s="19" t="str">
        <x:v>Owning sheet</x:v>
      </x:c>
      <x:c r="F6" s="19" t="str">
        <x:v>Update rule</x:v>
      </x:c>
      <x:c r="G6" s="19" t="str">
        <x:v>Authority</x:v>
      </x:c>
      <x:c r="H6" s="19" t="str">
        <x:v>Current state</x:v>
      </x:c>
      <x:c r="I6" s="19" t="str">
        <x:v>Reopen trigger</x:v>
      </x:c>
      <x:c r="J6" s="19" t="str">
        <x:v>Notes</x:v>
      </x:c>
    </x:row>
    <x:row r="7" ht="58" customHeight="1">
      <x:c r="B7" s="105" t="str">
        <x:v>Control hierarchy</x:v>
      </x:c>
      <x:c r="C7" s="106" t="str">
        <x:v>edit only blue-font controls when a constituted decision changes</x:v>
      </x:c>
      <x:c r="D7" s="106" t="str">
        <x:v>model values are observations</x:v>
      </x:c>
      <x:c r="E7" s="106" t="str">
        <x:v>Control Inputs</x:v>
      </x:c>
      <x:c r="F7" s="106" t="str">
        <x:v>preserve units and lineage</x:v>
      </x:c>
      <x:c r="G7" s="106" t="str">
        <x:v>F36 Program Office</x:v>
      </x:c>
      <x:c r="H7" s="106" t="str">
        <x:v>PLANNING</x:v>
      </x:c>
      <x:c r="I7" s="106" t="str">
        <x:v>approved boundary change</x:v>
      </x:c>
      <x:c r="J7" s="108" t="str">
        <x:v>all thresholds prospective</x:v>
      </x:c>
    </x:row>
    <x:row r="8" ht="58" customHeight="1">
      <x:c r="B8" s="105" t="str">
        <x:v>Supplier neutrality</x:v>
      </x:c>
      <x:c r="C8" s="106" t="str">
        <x:v>hold effect, hazards, evidence, custody and rights common</x:v>
      </x:c>
      <x:c r="D8" s="106" t="str">
        <x:v>identical materials or joints</x:v>
      </x:c>
      <x:c r="E8" s="106" t="str">
        <x:v>Common Envelope</x:v>
      </x:c>
      <x:c r="F8" s="106" t="str">
        <x:v>root packages remain separate</x:v>
      </x:c>
      <x:c r="G8" s="106" t="str">
        <x:v>requirements authority</x:v>
      </x:c>
      <x:c r="H8" s="106" t="str">
        <x:v>COMPLETE</x:v>
      </x:c>
      <x:c r="I8" s="106" t="str">
        <x:v>interface or hazard change</x:v>
      </x:c>
      <x:c r="J8" s="108" t="str">
        <x:v>public question, rival answers</x:v>
      </x:c>
    </x:row>
    <x:row r="9" ht="58" customHeight="1">
      <x:c r="B9" s="105" t="str">
        <x:v>Article bank</x:v>
      </x:c>
      <x:c r="C9" s="106" t="str">
        <x:v>track both lots and physical units</x:v>
      </x:c>
      <x:c r="D9" s="106" t="str">
        <x:v>specimen count equals industrial diversity</x:v>
      </x:c>
      <x:c r="E9" s="106" t="str">
        <x:v>Article Plan</x:v>
      </x:c>
      <x:c r="F9" s="106" t="str">
        <x:v>new lot requires configuration split</x:v>
      </x:c>
      <x:c r="G9" s="106" t="str">
        <x:v>configuration authority</x:v>
      </x:c>
      <x:c r="H9" s="106" t="str">
        <x:v>PLANNED</x:v>
      </x:c>
      <x:c r="I9" s="106" t="str">
        <x:v>material/process/facility change</x:v>
      </x:c>
      <x:c r="J9" s="108" t="str">
        <x:v>66 lots; 196 units</x:v>
      </x:c>
    </x:row>
    <x:row r="10" ht="58" customHeight="1">
      <x:c r="B10" s="105" t="str">
        <x:v>Physical evidence</x:v>
      </x:c>
      <x:c r="C10" s="106" t="str">
        <x:v>enter only accepted serial records</x:v>
      </x:c>
      <x:c r="D10" s="106" t="str">
        <x:v>package completion earns hardware credit</x:v>
      </x:c>
      <x:c r="E10" s="106" t="str">
        <x:v>Damage &amp; Repair / Evidence Objects</x:v>
      </x:c>
      <x:c r="F10" s="106" t="str">
        <x:v>retain originals and custody</x:v>
      </x:c>
      <x:c r="G10" s="106" t="str">
        <x:v>Independent Evidence Board</x:v>
      </x:c>
      <x:c r="H10" s="106" t="str">
        <x:v>OPEN</x:v>
      </x:c>
      <x:c r="I10" s="106" t="str">
        <x:v>representative accepted event</x:v>
      </x:c>
      <x:c r="J10" s="108" t="str">
        <x:v>current physical count is zero</x:v>
      </x:c>
    </x:row>
    <x:row r="11" ht="58" customHeight="1">
      <x:c r="B11" s="105" t="str">
        <x:v>Finance</x:v>
      </x:c>
      <x:c r="C11" s="106" t="str">
        <x:v>treat capital and annual support as nested planning allocations</x:v>
      </x:c>
      <x:c r="D11" s="106" t="str">
        <x:v>vendor price or appropriation</x:v>
      </x:c>
      <x:c r="E11" s="106" t="str">
        <x:v>Capital Control / Annual Readiness</x:v>
      </x:c>
      <x:c r="F11" s="106" t="str">
        <x:v>reconcile to Pass 100</x:v>
      </x:c>
      <x:c r="G11" s="106" t="str">
        <x:v>cost and rights authority</x:v>
      </x:c>
      <x:c r="H11" s="106" t="str">
        <x:v>PLANNING</x:v>
      </x:c>
      <x:c r="I11" s="106" t="str">
        <x:v>new family authority</x:v>
      </x:c>
      <x:c r="J11" s="108" t="str">
        <x:v>constant planning dollars</x:v>
      </x:c>
    </x:row>
    <x:row r="12" ht="58" customHeight="1">
      <x:c r="B12" s="105" t="str">
        <x:v>Audit</x:v>
      </x:c>
      <x:c r="C12" s="106" t="str">
        <x:v>use as a terminal reconciliation view</x:v>
      </x:c>
      <x:c r="D12" s="106" t="str">
        <x:v>audit cells drive decisions</x:v>
      </x:c>
      <x:c r="E12" s="106" t="str">
        <x:v>Audit</x:v>
      </x:c>
      <x:c r="F12" s="106" t="str">
        <x:v>no external dependencies from Audit</x:v>
      </x:c>
      <x:c r="G12" s="106" t="str">
        <x:v>model custodian</x:v>
      </x:c>
      <x:c r="H12" s="106" t="str">
        <x:v>PASS</x:v>
      </x:c>
      <x:c r="I12" s="106" t="str">
        <x:v>any failed control</x:v>
      </x:c>
      <x:c r="J12" s="108" t="str">
        <x:v>checks observe only</x:v>
      </x:c>
    </x:row>
    <x:row r="13" ht="58" customHeight="1">
      <x:c r="B13" s="110" t="str">
        <x:v>Rendering</x:v>
      </x:c>
      <x:c r="C13" s="111" t="str">
        <x:v>wait for measured internal sections and independent mission evidence</x:v>
      </x:c>
      <x:c r="D13" s="111" t="str">
        <x:v>a concept image is a design decision</x:v>
      </x:c>
      <x:c r="E13" s="111" t="str">
        <x:v>Release Gates</x:v>
      </x:c>
      <x:c r="F13" s="111" t="str">
        <x:v>requires separate authority</x:v>
      </x:c>
      <x:c r="G13" s="111" t="str">
        <x:v>Production Release Board</x:v>
      </x:c>
      <x:c r="H13" s="111" t="str">
        <x:v>BLOCKED</x:v>
      </x:c>
      <x:c r="I13" s="111" t="str">
        <x:v>accepted full mission</x:v>
      </x:c>
      <x:c r="J13" s="113" t="str">
        <x:v>no renderings in this pass</x:v>
      </x:c>
    </x:row>
  </x:sheetData>
  <x:mergeCells>
    <x:mergeCell ref="B3:J3"/>
  </x:mergeCells>
  <x:conditionalFormatting sqref="H7:H13">
    <x:cfRule type="containsText" dxfId="220" priority="1" operator="containsText" text="FAIL"/>
    <x:cfRule type="containsText" dxfId="221" priority="2" operator="containsText" text="BLOCKED"/>
    <x:cfRule type="containsText" dxfId="222" priority="3" operator="containsText" text="HOLD"/>
    <x:cfRule type="containsText" dxfId="223" priority="4" operator="containsText" text="OPEN"/>
    <x:cfRule type="containsText" dxfId="224" priority="5" operator="containsText" text="NOT ADMITTED"/>
    <x:cfRule type="containsText" dxfId="225" priority="6" operator="containsText" text="PASS"/>
    <x:cfRule type="containsText" dxfId="226" priority="7" operator="containsText" text="CLOSED"/>
    <x:cfRule type="containsText" dxfId="227" priority="8" operator="containsText" text="READY"/>
    <x:cfRule type="containsText" dxfId="228" priority="9" operator="containsText" text="AUTHORIZED"/>
    <x:cfRule type="containsText" dxfId="229" priority="10" operator="containsText" text="PLANNING PASS"/>
    <x:cfRule type="containsText" dxfId="230" priority="11" operator="containsText" text="COMPLETE"/>
  </x:conditionalFormatting>
  <x:pageMargins left="0.7" right="0.7" top="0.75" bottom="0.75" header="0.3" footer="0.3"/>
</x:worksheet>
</file>